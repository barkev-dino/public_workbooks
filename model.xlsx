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Milestones" sheetId="4" state="visible" r:id="rId6"/>
    <sheet name="BOE" sheetId="5" state="visible" r:id="rId7"/>
    <sheet name="Phasing" sheetId="6" state="visible" r:id="rId8"/>
    <sheet name="Timeline" sheetId="7" state="visible" r:id="rId9"/>
  </sheets>
  <definedNames>
    <definedName function="false" hidden="true" localSheetId="4" name="_xlnm._FilterDatabase" vbProcedure="false">BOE!$A$5:$U$60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SAR rows: fraction of the SAR P50 hours (0.60 = 60% of a SAR). LOE rows: hours per month. FIXED rows: hours. Defaults are planning assumptions — calibrate to your actuals.</t>
        </r>
      </text>
    </comment>
    <comment ref="H5" authorId="0">
      <text>
        <r>
          <rPr>
            <sz val="10"/>
            <rFont val="Arial"/>
            <family val="2"/>
          </rPr>
          <t xml:space="preserve">Multiplier. For per-unit tasks this links to the Inputs quantity drivers (green). Override by typing a number.</t>
        </r>
      </text>
    </comment>
    <comment ref="S5" authorId="0">
      <text>
        <r>
          <rPr>
            <sz val="10"/>
            <rFont val="Arial"/>
            <family val="2"/>
          </rPr>
          <t xml:space="preserve">Optional per-row P90/P50 ratio. Blank = use the SAR-derived ratio from Inputs.</t>
        </r>
      </text>
    </comment>
  </commentList>
</comments>
</file>

<file path=xl/sharedStrings.xml><?xml version="1.0" encoding="utf-8"?>
<sst xmlns="http://schemas.openxmlformats.org/spreadsheetml/2006/main" count="506" uniqueCount="289">
  <si>
    <t xml:space="preserve">MIL-STD-882E w/Change 1 — System Safety Basis of Estimate (BOE) Model</t>
  </si>
  <si>
    <t xml:space="preserve">How it works</t>
  </si>
  <si>
    <t xml:space="preserve">1. Inputs: enter program start/end, the two SAR anchor estimates (P50 and P90 hours), the complexity level, the SwCI level, and the quantity drivers (subsystems, test events, ECPs, reviews).</t>
  </si>
  <si>
    <t xml:space="preserve">2. Milestones: define your program milestones as months-after-start (or type a hard date in the override column). Every task's dates hang off these milestones.</t>
  </si>
  <si>
    <t xml:space="preserve">3. BOE: one row per 882E task (and per LOE item). Each row is anchored one of three ways:</t>
  </si>
  <si>
    <t xml:space="preserve">     SAR   = ratio × SAR P50 hours × quantity          (documents and analyses — the default)</t>
  </si>
  <si>
    <t xml:space="preserve">     LOE   = hours per month × months between its start and end milestones × quantity   (meetings, HTS upkeep, reporting)</t>
  </si>
  <si>
    <t xml:space="preserve">     FIXED = hours entered directly × quantity        (anything you want to hard-size)</t>
  </si>
  <si>
    <t xml:space="preserve">   The result is multiplied by the complexity factor (if 'Apply Cx' = Y) and the SwCI multiplier (if 'Apply SwCI' = Y).</t>
  </si>
  <si>
    <t xml:space="preserve">   P90 = P50 × (SAR P90 ÷ SAR P50) unless a per-row P90 ratio override is entered.</t>
  </si>
  <si>
    <t xml:space="preserve">   Set 'Tasked' to N to remove a task from the estimate without deleting the row (only Sections 3 and 4 of the standard are mandatory; tasks are cited by contract).</t>
  </si>
  <si>
    <t xml:space="preserve">4. Phasing: spreads each row's hours evenly across its start–end window by month, and shows the monthly FTE load. Switch P50/P90 on the Inputs sheet.</t>
  </si>
  <si>
    <t xml:space="preserve">5. Timeline: Gantt view — milestone diamonds and task bars — generated from Milestones and BOE. Nothing is typed on this sheet.</t>
  </si>
  <si>
    <t xml:space="preserve">6. Summary: totals by task section, P50 vs P90, average and peak FTE.</t>
  </si>
  <si>
    <t xml:space="preserve">Cell colors</t>
  </si>
  <si>
    <t xml:space="preserve">   Blue text on light-yellow fill = input you can change.   Black = formula.   Green = link to another sheet.   Yellow fill = key assumption.</t>
  </si>
  <si>
    <t xml:space="preserve">Assumption notes</t>
  </si>
  <si>
    <t xml:space="preserve">   Default anchor ratios are planning assumptions typical of DoD system safety programs; they are not from the standard. Calibrate them against your own actuals.</t>
  </si>
  <si>
    <t xml:space="preserve">   Task 103 and Task 302 are the equivalents of 102/301 for other functional disciplines and default to Not Tasked. Tasks 402/403 (explosives/EOD) default to Not Tasked.</t>
  </si>
  <si>
    <t xml:space="preserve">   Section 4.4 software Level-of-Rigor (LOR) work is not a numbered task but is real effort; it is included as row 'SW-LOR' and scaled by the SwCI multiplier.</t>
  </si>
  <si>
    <t xml:space="preserve">   Hours per FTE-month default (156) ≈ 1,872 productive hours per year ÷ 12.</t>
  </si>
  <si>
    <t xml:space="preserve">   Source document: MIL-STD-882E w/CHANGE 1, 27 September 2023 (ASSIST). Task numbers and titles are taken from it.</t>
  </si>
  <si>
    <t xml:space="preserve">Adding rows</t>
  </si>
  <si>
    <t xml:space="preserve">   Milestones: up to 30 rows are pre-wired. BOE: insert a row inside the table and copy the formulas down from the row above; Phasing and Timeline reference BOE rows 6–60.</t>
  </si>
  <si>
    <t xml:space="preserve">Estimate Summary</t>
  </si>
  <si>
    <t xml:space="preserve">Section</t>
  </si>
  <si>
    <t xml:space="preserve">Rows tasked</t>
  </si>
  <si>
    <t xml:space="preserve">P50 hours</t>
  </si>
  <si>
    <t xml:space="preserve">P90 hours</t>
  </si>
  <si>
    <t xml:space="preserve">P50 share</t>
  </si>
  <si>
    <t xml:space="preserve">P90 ÷ P50</t>
  </si>
  <si>
    <t xml:space="preserve">100 Management</t>
  </si>
  <si>
    <t xml:space="preserve">200 Analysis</t>
  </si>
  <si>
    <t xml:space="preserve">300 Evaluation</t>
  </si>
  <si>
    <t xml:space="preserve">400 Verification</t>
  </si>
  <si>
    <t xml:space="preserve">LOE / Other</t>
  </si>
  <si>
    <t xml:space="preserve">TOTAL</t>
  </si>
  <si>
    <t xml:space="preserve">Program metrics</t>
  </si>
  <si>
    <t xml:space="preserve">Program duration (months)</t>
  </si>
  <si>
    <t xml:space="preserve">Average FTE — P50</t>
  </si>
  <si>
    <t xml:space="preserve">Average FTE — P90</t>
  </si>
  <si>
    <t xml:space="preserve">Peak monthly FTE (phasing basis)</t>
  </si>
  <si>
    <t xml:space="preserve">Peak month hours (phasing basis)</t>
  </si>
  <si>
    <t xml:space="preserve">Phasing basis in use</t>
  </si>
  <si>
    <t xml:space="preserve">Hours per FTE-month</t>
  </si>
  <si>
    <t xml:space="preserve">Anchor-ratio check: SAR-anchored rows as a multiple of one SAR (P50, before factors)</t>
  </si>
  <si>
    <t xml:space="preserve">Sum of SAR ratios × qty (tasked rows)</t>
  </si>
  <si>
    <t xml:space="preserve">e.g. 9.5 means the SAR-anchored documents total ~9.5 SARs of effort. Useful sanity check against your historical program totals.</t>
  </si>
  <si>
    <t xml:space="preserve">Program Inputs &amp; Assumptions</t>
  </si>
  <si>
    <t xml:space="preserve">Blue cells on yellow are inputs. Everything else in the workbook derives from this sheet and Milestones.</t>
  </si>
  <si>
    <t xml:space="preserve">Program start date</t>
  </si>
  <si>
    <t xml:space="preserve">Month 1 of the timeline. Milestones are offsets from this date.</t>
  </si>
  <si>
    <t xml:space="preserve">Program end date</t>
  </si>
  <si>
    <t xml:space="preserve">Timeline and phasing stop here (max 72 months).</t>
  </si>
  <si>
    <t xml:space="preserve">Used to convert monthly hours to FTE loading. 1,872 hrs/yr ÷ 12.</t>
  </si>
  <si>
    <t xml:space="preserve">Phasing basis (P50 / P90)</t>
  </si>
  <si>
    <t xml:space="preserve">P50</t>
  </si>
  <si>
    <t xml:space="preserve">Which estimate the Phasing and Timeline sheets spread by month.</t>
  </si>
  <si>
    <t xml:space="preserve">SAR anchor (Task 301 Safety Assessment Report)</t>
  </si>
  <si>
    <t xml:space="preserve">SAR P50 hours</t>
  </si>
  <si>
    <t xml:space="preserve">User estimate: hours to produce the SAR at a 50% confidence level. All SAR-anchored rows scale from this.</t>
  </si>
  <si>
    <t xml:space="preserve">SAR P90 hours</t>
  </si>
  <si>
    <t xml:space="preserve">User estimate: hours at 90% confidence. The P90/P50 ratio drives every other row's P90 unless overridden.</t>
  </si>
  <si>
    <t xml:space="preserve">P90 / P50 ratio</t>
  </si>
  <si>
    <t xml:space="preserve">Derived. Applied to all rows without a per-row override.</t>
  </si>
  <si>
    <t xml:space="preserve">Complexity</t>
  </si>
  <si>
    <t xml:space="preserve">Program complexity level</t>
  </si>
  <si>
    <t xml:space="preserve">Moderate</t>
  </si>
  <si>
    <t xml:space="preserve">Level</t>
  </si>
  <si>
    <t xml:space="preserve">Factor</t>
  </si>
  <si>
    <t xml:space="preserve">Pick from the table at right.</t>
  </si>
  <si>
    <t xml:space="preserve">Complexity factor (lookup)</t>
  </si>
  <si>
    <t xml:space="preserve">Low</t>
  </si>
  <si>
    <t xml:space="preserve">Complexity factor override (optional)</t>
  </si>
  <si>
    <t xml:space="preserve">Leave blank to use the lookup. Enter e.g. 1.25 to override.</t>
  </si>
  <si>
    <t xml:space="preserve">Effective complexity factor</t>
  </si>
  <si>
    <t xml:space="preserve">High</t>
  </si>
  <si>
    <t xml:space="preserve">Multiplies every BOE row flagged 'Apply Cx = Y'.</t>
  </si>
  <si>
    <t xml:space="preserve">Very High</t>
  </si>
  <si>
    <t xml:space="preserve">Complexity guide: Low = mature design, few interfaces, no safety-significant software. Moderate = typical. High = new design, many subsystems/interfaces, safety-significant software. Very High = autonomous/novel energy storage, SoS interfaces, multiple risk-acceptance authorities.</t>
  </si>
  <si>
    <t xml:space="preserve">Software criticality (Section 4.4)</t>
  </si>
  <si>
    <t xml:space="preserve">Software Criticality Index (SwCI 1–5)</t>
  </si>
  <si>
    <t xml:space="preserve">SwCI</t>
  </si>
  <si>
    <t xml:space="preserve">Multiplier</t>
  </si>
  <si>
    <t xml:space="preserve">From Table V: severity × software control category. BMS firmware that alone opens contactors on a Catastrophic hazard = SwCI 1; with an independent HW protection layer = SwCI 2–3.</t>
  </si>
  <si>
    <t xml:space="preserve">SwCI multiplier (lookup)</t>
  </si>
  <si>
    <t xml:space="preserve">Multiplies rows flagged 'Apply SwCI = Y' (software-touching analyses, verification, LOR).</t>
  </si>
  <si>
    <t xml:space="preserve">Multiplier rationale: SwCI 1 adds code-level analysis and in-depth safety testing (Table V); SwCI 5 means no safety-specific software analysis.</t>
  </si>
  <si>
    <t xml:space="preserve">Quantity drivers</t>
  </si>
  <si>
    <t xml:space="preserve">Number of subsystems analyzed (Task 204)</t>
  </si>
  <si>
    <t xml:space="preserve">e.g., pack/modules, BMS, contactor/precharge, HV distribution, thermal mgmt, charger interface.</t>
  </si>
  <si>
    <t xml:space="preserve">Number of test events (Task 303)</t>
  </si>
  <si>
    <t xml:space="preserve">Each needs hazard review, Safety Release support, post-test analysis.</t>
  </si>
  <si>
    <t xml:space="preserve">Expected ECPs / change notices reviewed (Task 304)</t>
  </si>
  <si>
    <t xml:space="preserve">Over the program life.</t>
  </si>
  <si>
    <t xml:space="preserve">Government reviews / audits / boards supported (Task 104)</t>
  </si>
  <si>
    <t xml:space="preserve">SRR, PDR, CDR, TRR, safety boards, audits.</t>
  </si>
  <si>
    <t xml:space="preserve">Design reviews with safety packages (SRR/PDR/CDR/TRR)</t>
  </si>
  <si>
    <t xml:space="preserve">Safety data package preparation per review.</t>
  </si>
  <si>
    <t xml:space="preserve">Program Milestones</t>
  </si>
  <si>
    <t xml:space="preserve">Enter each milestone as months after program start (column C), or type a hard date in column D to override. Column E is what the BOE uses. Keep names unique — the BOE picks them from a dropdown.</t>
  </si>
  <si>
    <t xml:space="preserve">#</t>
  </si>
  <si>
    <t xml:space="preserve">Milestone</t>
  </si>
  <si>
    <t xml:space="preserve">Months after start</t>
  </si>
  <si>
    <t xml:space="preserve">Date override (optional)</t>
  </si>
  <si>
    <t xml:space="preserve">Milestone date (used)</t>
  </si>
  <si>
    <t xml:space="preserve">Description</t>
  </si>
  <si>
    <t xml:space="preserve">Program Start</t>
  </si>
  <si>
    <t xml:space="preserve">Contract award / program kickoff.</t>
  </si>
  <si>
    <t xml:space="preserve">SRR</t>
  </si>
  <si>
    <t xml:space="preserve">System Requirements Review.</t>
  </si>
  <si>
    <t xml:space="preserve">SFR</t>
  </si>
  <si>
    <t xml:space="preserve">System Functional Review.</t>
  </si>
  <si>
    <t xml:space="preserve">PDR</t>
  </si>
  <si>
    <t xml:space="preserve">Preliminary Design Review.</t>
  </si>
  <si>
    <t xml:space="preserve">CDR</t>
  </si>
  <si>
    <t xml:space="preserve">Critical Design Review.</t>
  </si>
  <si>
    <t xml:space="preserve">TRR</t>
  </si>
  <si>
    <t xml:space="preserve">Test Readiness Review.</t>
  </si>
  <si>
    <t xml:space="preserve">Test Start</t>
  </si>
  <si>
    <t xml:space="preserve">First safety-relevant test event (bench / HIL / pack abuse).</t>
  </si>
  <si>
    <t xml:space="preserve">Test Complete</t>
  </si>
  <si>
    <t xml:space="preserve">Last test event complete.</t>
  </si>
  <si>
    <t xml:space="preserve">SAR Submittal</t>
  </si>
  <si>
    <t xml:space="preserve">Safety Assessment Report delivered for risk acceptance.</t>
  </si>
  <si>
    <t xml:space="preserve">Program End</t>
  </si>
  <si>
    <t xml:space="preserve">Contract end — taken from Inputs.</t>
  </si>
  <si>
    <t xml:space="preserve">Basis of Estimate — MIL-STD-882E w/Change 1 Tasks</t>
  </si>
  <si>
    <t xml:space="preserve">Anchor: SAR = ratio × SAR P50 × Qty | LOE = hrs/month × months in window × Qty | FIXED = hours × Qty. Then × complexity (if Apply Cx=Y) × SwCI multiplier (if Apply SwCI=Y). P90 = P50 × P90/P50 ratio (or row override).</t>
  </si>
  <si>
    <t xml:space="preserve">SAR P50 anchor:</t>
  </si>
  <si>
    <t xml:space="preserve">Cx factor:</t>
  </si>
  <si>
    <t xml:space="preserve">SwCI mult:</t>
  </si>
  <si>
    <t xml:space="preserve">P90/P50:</t>
  </si>
  <si>
    <t xml:space="preserve">Task</t>
  </si>
  <si>
    <t xml:space="preserve">Title / Work Element</t>
  </si>
  <si>
    <t xml:space="preserve">Deliverable</t>
  </si>
  <si>
    <t xml:space="preserve">Tasked (Y/N)</t>
  </si>
  <si>
    <t xml:space="preserve">Anchor type</t>
  </si>
  <si>
    <t xml:space="preserve">Driver value
(ratio of SAR | hrs/month | hours)</t>
  </si>
  <si>
    <t xml:space="preserve">Qty</t>
  </si>
  <si>
    <t xml:space="preserve">Apply Cx (Y/N)</t>
  </si>
  <si>
    <t xml:space="preserve">Apply SwCI (Y/N)</t>
  </si>
  <si>
    <t xml:space="preserve">Start milestone</t>
  </si>
  <si>
    <t xml:space="preserve">Start offset (wks)</t>
  </si>
  <si>
    <t xml:space="preserve">End milestone</t>
  </si>
  <si>
    <t xml:space="preserve">End offset (wks)</t>
  </si>
  <si>
    <t xml:space="preserve">Start date</t>
  </si>
  <si>
    <t xml:space="preserve">End date</t>
  </si>
  <si>
    <t xml:space="preserve">Months</t>
  </si>
  <si>
    <t xml:space="preserve">P90 ratio override</t>
  </si>
  <si>
    <t xml:space="preserve">Basis / assumption</t>
  </si>
  <si>
    <t xml:space="preserve">101</t>
  </si>
  <si>
    <t xml:space="preserve">Hazard identification &amp; mitigation effort using the system safety methodology (program execution)</t>
  </si>
  <si>
    <t xml:space="preserve">Program execution</t>
  </si>
  <si>
    <t xml:space="preserve">Y</t>
  </si>
  <si>
    <t xml:space="preserve">LOE</t>
  </si>
  <si>
    <t xml:space="preserve">N</t>
  </si>
  <si>
    <t xml:space="preserve">Ongoing management of the safety effort: planning, roles, subcontractor flow-down, status reporting, IMS inputs (101.2.1–101.2.9). Sized as a monthly run-rate.</t>
  </si>
  <si>
    <t xml:space="preserve">102</t>
  </si>
  <si>
    <t xml:space="preserve">System Safety Program Plan (SSPP)</t>
  </si>
  <si>
    <t xml:space="preserve">SSPP</t>
  </si>
  <si>
    <t xml:space="preserve">SAR</t>
  </si>
  <si>
    <t xml:space="preserve">Plan covering scope, interfaces, organization, milestones, requirements, analyses, V&amp;V, audits, training, incident reporting (102.2.1–102.2.11). ~40% of a SAR.</t>
  </si>
  <si>
    <t xml:space="preserve">103</t>
  </si>
  <si>
    <t xml:space="preserve">Hazard Management Plan (HMP) — other functional disciplines</t>
  </si>
  <si>
    <t xml:space="preserve">HMP</t>
  </si>
  <si>
    <t xml:space="preserve">Equivalent of the SSPP for a non-system-safety discipline (103). Default Not Tasked; turn on if a separate discipline plan is contracted.</t>
  </si>
  <si>
    <t xml:space="preserve">104</t>
  </si>
  <si>
    <t xml:space="preserve">Support of Government reviews / audits / boards</t>
  </si>
  <si>
    <t xml:space="preserve">Review support</t>
  </si>
  <si>
    <t xml:space="preserve">Per review/audit/board (104.2.1): prep, attendance, action closure. ~5% of a SAR each × number of reviews (Inputs).</t>
  </si>
  <si>
    <t xml:space="preserve">105</t>
  </si>
  <si>
    <t xml:space="preserve">Integrated Product Team / Working Group support</t>
  </si>
  <si>
    <t xml:space="preserve">IPT / SSWG participation</t>
  </si>
  <si>
    <t xml:space="preserve">Standing membership in designated IPTs and the System Safety Working Group (105.2). Monthly run-rate; raise if several IPTs are supported.</t>
  </si>
  <si>
    <t xml:space="preserve">106a</t>
  </si>
  <si>
    <t xml:space="preserve">Hazard Tracking System — establish</t>
  </si>
  <si>
    <t xml:space="preserve">HTS (initial)</t>
  </si>
  <si>
    <t xml:space="preserve">Stand up the closed-loop HTS with the required data elements (106.2) and Government access controls (106.2.1).</t>
  </si>
  <si>
    <t xml:space="preserve">106b</t>
  </si>
  <si>
    <t xml:space="preserve">Hazard Tracking System — maintain</t>
  </si>
  <si>
    <t xml:space="preserve">HTS (upkeep)</t>
  </si>
  <si>
    <t xml:space="preserve">Keep hazard records, risk assessments, mitigation status and acceptance current through the life-cycle (106.2, 4.3.8).</t>
  </si>
  <si>
    <t xml:space="preserve">107</t>
  </si>
  <si>
    <t xml:space="preserve">Hazard Management Progress Report</t>
  </si>
  <si>
    <t xml:space="preserve">Periodic progress reports</t>
  </si>
  <si>
    <t xml:space="preserve">Periodic report summarizing hazard status, risk assessments, mitigations and open actions (107.2). Assumes monthly.</t>
  </si>
  <si>
    <t xml:space="preserve">108</t>
  </si>
  <si>
    <t xml:space="preserve">Hazardous Materials Management Plan (HMMP)</t>
  </si>
  <si>
    <t xml:space="preserve">HMMP + HAZMAT list</t>
  </si>
  <si>
    <t xml:space="preserve">HAZMAT identification, categorization, tracking (108.2.1–108.2.4). Relevant to Li-ion cells, electrolyte, coolant.</t>
  </si>
  <si>
    <t xml:space="preserve">201</t>
  </si>
  <si>
    <t xml:space="preserve">Preliminary Hazard List (PHL)</t>
  </si>
  <si>
    <t xml:space="preserve">PHL</t>
  </si>
  <si>
    <t xml:space="preserve">Early hazard list from legacy/similar-system data and lessons learned (201.2.1–201.2.3).</t>
  </si>
  <si>
    <t xml:space="preserve">202</t>
  </si>
  <si>
    <t xml:space="preserve">Preliminary Hazard Analysis (PHA)</t>
  </si>
  <si>
    <t xml:space="preserve">PHA report</t>
  </si>
  <si>
    <t xml:space="preserve">Initial risk assessment per hazard across the 202.2.2 hazard sources (energy, software, HAZMAT, environment, human factors, etc.).</t>
  </si>
  <si>
    <t xml:space="preserve">203</t>
  </si>
  <si>
    <t xml:space="preserve">System Requirements Hazard Analysis (SRHA)</t>
  </si>
  <si>
    <t xml:space="preserve">SRHA + requirements traceability</t>
  </si>
  <si>
    <t xml:space="preserve">Derive safety design requirements, incorporate into specs, assess compliance through design (203.2.1–203.2.3). Continues through CDR.</t>
  </si>
  <si>
    <t xml:space="preserve">204</t>
  </si>
  <si>
    <t xml:space="preserve">Subsystem Hazard Analysis (SSHA)</t>
  </si>
  <si>
    <t xml:space="preserve">SSHA report(s)</t>
  </si>
  <si>
    <t xml:space="preserve">Per subsystem (Inputs qty): component failure modes, software causal factors, human error (204.2.1). ~30% of a SAR per subsystem.</t>
  </si>
  <si>
    <t xml:space="preserve">205</t>
  </si>
  <si>
    <t xml:space="preserve">System Hazard Analysis (SHA)</t>
  </si>
  <si>
    <t xml:space="preserve">SHA report</t>
  </si>
  <si>
    <t xml:space="preserve">Subsystem interface and interrelationship hazards, software and human interfaces (205.2.1); design-change evaluation (205.2.4).</t>
  </si>
  <si>
    <t xml:space="preserve">206</t>
  </si>
  <si>
    <t xml:space="preserve">Operating &amp; Support Hazard Analysis (O&amp;SHA)</t>
  </si>
  <si>
    <t xml:space="preserve">O&amp;SHA report</t>
  </si>
  <si>
    <t xml:space="preserve">Operations, maintenance, test, storage, transport, disposal hazards; procedures, warnings, PPE (206.2.1–206.2.5).</t>
  </si>
  <si>
    <t xml:space="preserve">207</t>
  </si>
  <si>
    <t xml:space="preserve">Health Hazard Analysis (HHA)</t>
  </si>
  <si>
    <t xml:space="preserve">HHA report</t>
  </si>
  <si>
    <t xml:space="preserve">Chemical, electrical, thermal, noise and other health hazards per 207.2.2–207.2.3 categories (electrolyte, HF, HV).</t>
  </si>
  <si>
    <t xml:space="preserve">208</t>
  </si>
  <si>
    <t xml:space="preserve">Functional Hazard Analysis (FHA)</t>
  </si>
  <si>
    <t xml:space="preserve">FHA + SCF/SCI list</t>
  </si>
  <si>
    <t xml:space="preserve">Loss/degraded/out-of-sequence function hazards, identify SCFs/SCIs, map to HW/SW/human (208.2.1). Feeds the fault-injection list.</t>
  </si>
  <si>
    <t xml:space="preserve">209</t>
  </si>
  <si>
    <t xml:space="preserve">System-of-Systems Hazard Analysis</t>
  </si>
  <si>
    <t xml:space="preserve">SoS HA report</t>
  </si>
  <si>
    <t xml:space="preserve">Unique SoS hazards and traceability (209.2.1–209.2.4). Default Not Tasked; enable if the vehicle integrates into a larger SoS.</t>
  </si>
  <si>
    <t xml:space="preserve">210</t>
  </si>
  <si>
    <t xml:space="preserve">Environmental Hazard Analysis (EHA)</t>
  </si>
  <si>
    <t xml:space="preserve">EHA report</t>
  </si>
  <si>
    <t xml:space="preserve">Environmental impacts, HAZMAT and pollutant hazards across the life-cycle (210.2.2–210.2.5).</t>
  </si>
  <si>
    <t xml:space="preserve">301</t>
  </si>
  <si>
    <t xml:space="preserve">Safety Assessment Report (SAR)  — ANCHOR</t>
  </si>
  <si>
    <t xml:space="preserve">The anchor estimate. Ratio 1.00 by definition; hours come straight from Inputs SAR P50/P90. Summarizes hazards, residual risk, and recommendations for risk acceptance (301.2).</t>
  </si>
  <si>
    <t xml:space="preserve">302</t>
  </si>
  <si>
    <t xml:space="preserve">Hazard Management Assessment Report (HMAR)</t>
  </si>
  <si>
    <t xml:space="preserve">HMAR</t>
  </si>
  <si>
    <t xml:space="preserve">Equivalent of the SAR for another functional discipline (302). Default Not Tasked.</t>
  </si>
  <si>
    <t xml:space="preserve">303</t>
  </si>
  <si>
    <t xml:space="preserve">Test &amp; Evaluation participation</t>
  </si>
  <si>
    <t xml:space="preserve">Safety Releases, post-test analyses, T&amp;E repository</t>
  </si>
  <si>
    <t xml:space="preserve">Per test event (Inputs qty): hazard review of test setup/procedures, Safety Release, post-test analysis and HTS update (303.2.1–303.2.3). Your fault-injection campaign lives here.</t>
  </si>
  <si>
    <t xml:space="preserve">304</t>
  </si>
  <si>
    <t xml:space="preserve">Review of ECPs, change notices, deficiency reports, waivers</t>
  </si>
  <si>
    <t xml:space="preserve">Change reviews</t>
  </si>
  <si>
    <t xml:space="preserve">Per change (Inputs qty): hazard impact assessment and HTS update (304.2). ~3% of a SAR each.</t>
  </si>
  <si>
    <t xml:space="preserve">401</t>
  </si>
  <si>
    <t xml:space="preserve">Safety Verification (tests, demonstrations, induced/simulated failures)</t>
  </si>
  <si>
    <t xml:space="preserve">Safety verification report</t>
  </si>
  <si>
    <t xml:space="preserve">Define and perform tests/demos/analyses on safety-significant HW, SW and procedures; induced or simulated failures (401.2). Fault-injection test planning, execution support and reporting.</t>
  </si>
  <si>
    <t xml:space="preserve">402</t>
  </si>
  <si>
    <t xml:space="preserve">Explosives Hazard Classification Data</t>
  </si>
  <si>
    <t xml:space="preserve">Hazard classification package</t>
  </si>
  <si>
    <t xml:space="preserve">Not applicable to a battery program unless energetics are present. Default Not Tasked.</t>
  </si>
  <si>
    <t xml:space="preserve">403</t>
  </si>
  <si>
    <t xml:space="preserve">Explosive Ordnance Disposal Data</t>
  </si>
  <si>
    <t xml:space="preserve">EOD source data</t>
  </si>
  <si>
    <t xml:space="preserve">Not applicable unless explosives are present. Default Not Tasked.</t>
  </si>
  <si>
    <t xml:space="preserve">SW-LOR</t>
  </si>
  <si>
    <t xml:space="preserve">Software Level-of-Rigor tasks (Section 4.4, Table V)</t>
  </si>
  <si>
    <t xml:space="preserve">LOR analysis &amp; test evidence</t>
  </si>
  <si>
    <t xml:space="preserve">Not a numbered task but required by 4.4.1–4.4.3: requirements/architecture/design/code analysis and safety-specific testing per SwCI. Strongly scaled by the SwCI multiplier.</t>
  </si>
  <si>
    <t xml:space="preserve">LOE-1</t>
  </si>
  <si>
    <t xml:space="preserve">System Safety Working Group meetings</t>
  </si>
  <si>
    <t xml:space="preserve">Meeting prep, attendance, minutes, actions</t>
  </si>
  <si>
    <t xml:space="preserve">Assumes a monthly SSWG: 2 hrs meeting + prep/minutes/actions for the safety lead. Increase Qty for additional attendees.</t>
  </si>
  <si>
    <t xml:space="preserve">LOE-2</t>
  </si>
  <si>
    <t xml:space="preserve">Design review safety data packages (SRR/PDR/CDR/TRR)</t>
  </si>
  <si>
    <t xml:space="preserve">Safety briefing packages</t>
  </si>
  <si>
    <t xml:space="preserve">Per design review (Inputs qty): hazard status briefing, risk matrix, open items. Distinct from Task 104 attendance.</t>
  </si>
  <si>
    <t xml:space="preserve">LOE-3</t>
  </si>
  <si>
    <t xml:space="preserve">Safety program management, BOE/EVM upkeep, travel</t>
  </si>
  <si>
    <t xml:space="preserve">Internal management</t>
  </si>
  <si>
    <t xml:space="preserve">Internal overhead not tied to a task: EVM/BOE maintenance, scheduling, travel. Complexity not applied.</t>
  </si>
  <si>
    <t xml:space="preserve">TOTAL (tasked rows)</t>
  </si>
  <si>
    <t xml:space="preserve">Monthly Phasing — hours spread evenly across each row's start–end window</t>
  </si>
  <si>
    <t xml:space="preserve">Month #</t>
  </si>
  <si>
    <t xml:space="preserve">Title</t>
  </si>
  <si>
    <t xml:space="preserve">Start</t>
  </si>
  <si>
    <t xml:space="preserve">End</t>
  </si>
  <si>
    <t xml:space="preserve">Hours</t>
  </si>
  <si>
    <t xml:space="preserve">Total hours / month</t>
  </si>
  <si>
    <t xml:space="preserve">FTE load (hours ÷ hours per FTE-month)</t>
  </si>
  <si>
    <t xml:space="preserve">Cumulative hours</t>
  </si>
  <si>
    <t xml:space="preserve">Program Timeline — milestones and 882E task windows (generated; do not type here)</t>
  </si>
  <si>
    <t xml:space="preserve">Name</t>
  </si>
  <si>
    <t xml:space="preserve">MILESTONES</t>
  </si>
  <si>
    <t xml:space="preserve">TASKS</t>
  </si>
  <si>
    <t xml:space="preserve">FTE load (from Phasing)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</si>
</sst>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0.00"/>
    <numFmt numFmtId="168" formatCode="0.0"/>
    <numFmt numFmtId="169" formatCode="yyyy\-mm\-dd"/>
    <numFmt numFmtId="170" formatCode="0"/>
    <numFmt numFmtId="171" formatCode="#,##0;\-#,##0;&quot;&quot;"/>
    <numFmt numFmtId="172" formatCode="\M0"/>
    <numFmt numFmtId="173" formatCode="mmm\-yy"/>
    <numFmt numFmtId="174" formatCode="0.0;\-0.0;&quot;&quot;"/>
    <numFmt numFmtId="175" formatCode=";;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2E75B6"/>
        </patternFill>
      </fill>
    </dxf>
    <dxf>
      <border diagonalUp="false" diagonalDown="false">
        <left style="hair">
          <color rgb="FFD9D9D9"/>
        </left>
        <right style="hair">
          <color rgb="FFD9D9D9"/>
        </right>
        <top/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26.85" hidden="false" customHeight="false" outlineLevel="0" collapsed="false">
      <c r="A4" s="2" t="s">
        <v>2</v>
      </c>
    </row>
    <row r="5" customFormat="false" ht="26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26.85" hidden="false" customHeight="false" outlineLevel="0" collapsed="false">
      <c r="A12" s="2" t="s">
        <v>10</v>
      </c>
    </row>
    <row r="13" customFormat="false" ht="26.85" hidden="false" customHeight="false" outlineLevel="0" collapsed="false">
      <c r="A13" s="2" t="s">
        <v>11</v>
      </c>
    </row>
    <row r="14" customFormat="false" ht="26.8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14</v>
      </c>
    </row>
    <row r="18" customFormat="false" ht="26.8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16</v>
      </c>
    </row>
    <row r="21" customFormat="false" ht="26.85" hidden="false" customHeight="false" outlineLevel="0" collapsed="false">
      <c r="A21" s="2" t="s">
        <v>17</v>
      </c>
    </row>
    <row r="22" customFormat="false" ht="26.85" hidden="false" customHeight="false" outlineLevel="0" collapsed="false">
      <c r="A22" s="2" t="s">
        <v>18</v>
      </c>
    </row>
    <row r="23" customFormat="false" ht="26.8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1" t="s">
        <v>22</v>
      </c>
    </row>
    <row r="28" customFormat="false" ht="26.85" hidden="false" customHeight="false" outlineLevel="0" collapsed="false">
      <c r="A2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3" t="s">
        <v>24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tr">
        <f aca="false">"Complexity: "&amp;Inputs!$B$13&amp;" ("&amp;TEXT(Inputs!$B$16,"0.00")&amp;")   |   SwCI "&amp;Inputs!$B$21&amp;" (×"&amp;TEXT(Inputs!$B$22,"0.00")&amp;")   |   SAR P50 "&amp;TEXT(Inputs!$B$9,"#,##0")&amp;" h, P90 "&amp;TEXT(Inputs!$B$10,"#,##0")&amp;" h"</f>
        <v>Complexity: Moderate (1.00)   |   SwCI 2 (×1.30)   |   SAR P50 800 h, P90 1,200 h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 t="s">
        <v>30</v>
      </c>
    </row>
    <row r="5" customFormat="false" ht="15" hidden="false" customHeight="false" outlineLevel="0" collapsed="false">
      <c r="A5" s="7" t="s">
        <v>31</v>
      </c>
      <c r="B5" s="7" t="n">
        <f aca="false">COUNTIFS(BOE!$B$6:$B$60,A5,BOE!$E$6:$E$60,"Y")</f>
        <v>8</v>
      </c>
      <c r="C5" s="8" t="n">
        <f aca="false">SUMIFS(BOE!$R$6:$R$60,BOE!$B$6:$B$60,A5)</f>
        <v>2434.92402464066</v>
      </c>
      <c r="D5" s="8" t="n">
        <f aca="false">SUMIFS(BOE!$T$6:$T$60,BOE!$B$6:$B$60,A5)</f>
        <v>3652.38603696099</v>
      </c>
      <c r="E5" s="9" t="n">
        <f aca="false">IF($C$10&gt;0,C5/$C$10,0)</f>
        <v>0.203704798041918</v>
      </c>
      <c r="F5" s="10" t="n">
        <f aca="false">IF(C5&gt;0,D5/C5,0)</f>
        <v>1.5</v>
      </c>
    </row>
    <row r="6" customFormat="false" ht="15" hidden="false" customHeight="false" outlineLevel="0" collapsed="false">
      <c r="A6" s="7" t="s">
        <v>32</v>
      </c>
      <c r="B6" s="7" t="n">
        <f aca="false">COUNTIFS(BOE!$B$6:$B$60,A6,BOE!$E$6:$E$60,"Y")</f>
        <v>9</v>
      </c>
      <c r="C6" s="8" t="n">
        <f aca="false">SUMIFS(BOE!$R$6:$R$60,BOE!$B$6:$B$60,A6)</f>
        <v>5424</v>
      </c>
      <c r="D6" s="8" t="n">
        <f aca="false">SUMIFS(BOE!$T$6:$T$60,BOE!$B$6:$B$60,A6)</f>
        <v>8136</v>
      </c>
      <c r="E6" s="9" t="n">
        <f aca="false">IF($C$10&gt;0,C6/$C$10,0)</f>
        <v>0.453769733017614</v>
      </c>
      <c r="F6" s="10" t="n">
        <f aca="false">IF(C6&gt;0,D6/C6,0)</f>
        <v>1.5</v>
      </c>
    </row>
    <row r="7" customFormat="false" ht="15" hidden="false" customHeight="false" outlineLevel="0" collapsed="false">
      <c r="A7" s="7" t="s">
        <v>33</v>
      </c>
      <c r="B7" s="7" t="n">
        <f aca="false">COUNTIFS(BOE!$B$6:$B$60,A7,BOE!$E$6:$E$60,"Y")</f>
        <v>3</v>
      </c>
      <c r="C7" s="8" t="n">
        <f aca="false">SUMIFS(BOE!$R$6:$R$60,BOE!$B$6:$B$60,A7)</f>
        <v>1920</v>
      </c>
      <c r="D7" s="8" t="n">
        <f aca="false">SUMIFS(BOE!$T$6:$T$60,BOE!$B$6:$B$60,A7)</f>
        <v>2880</v>
      </c>
      <c r="E7" s="9" t="n">
        <f aca="false">IF($C$10&gt;0,C7/$C$10,0)</f>
        <v>0.160626454165527</v>
      </c>
      <c r="F7" s="10" t="n">
        <f aca="false">IF(C7&gt;0,D7/C7,0)</f>
        <v>1.5</v>
      </c>
    </row>
    <row r="8" customFormat="false" ht="15" hidden="false" customHeight="false" outlineLevel="0" collapsed="false">
      <c r="A8" s="7" t="s">
        <v>34</v>
      </c>
      <c r="B8" s="7" t="n">
        <f aca="false">COUNTIFS(BOE!$B$6:$B$60,A8,BOE!$E$6:$E$60,"Y")</f>
        <v>2</v>
      </c>
      <c r="C8" s="8" t="n">
        <f aca="false">SUMIFS(BOE!$R$6:$R$60,BOE!$B$6:$B$60,A8)</f>
        <v>1352</v>
      </c>
      <c r="D8" s="8" t="n">
        <f aca="false">SUMIFS(BOE!$T$6:$T$60,BOE!$B$6:$B$60,A8)</f>
        <v>2028</v>
      </c>
      <c r="E8" s="9" t="n">
        <f aca="false">IF($C$10&gt;0,C8/$C$10,0)</f>
        <v>0.113107794808225</v>
      </c>
      <c r="F8" s="10" t="n">
        <f aca="false">IF(C8&gt;0,D8/C8,0)</f>
        <v>1.5</v>
      </c>
    </row>
    <row r="9" customFormat="false" ht="15" hidden="false" customHeight="false" outlineLevel="0" collapsed="false">
      <c r="A9" s="7" t="s">
        <v>35</v>
      </c>
      <c r="B9" s="7" t="n">
        <f aca="false">COUNTIFS(BOE!$B$6:$B$60,A9,BOE!$E$6:$E$60,"Y")</f>
        <v>3</v>
      </c>
      <c r="C9" s="8" t="n">
        <f aca="false">SUMIFS(BOE!$R$6:$R$60,BOE!$B$6:$B$60,A9)</f>
        <v>822.275154004107</v>
      </c>
      <c r="D9" s="8" t="n">
        <f aca="false">SUMIFS(BOE!$T$6:$T$60,BOE!$B$6:$B$60,A9)</f>
        <v>1233.41273100616</v>
      </c>
      <c r="E9" s="9" t="n">
        <f aca="false">IF($C$10&gt;0,C9/$C$10,0)</f>
        <v>0.0687912199667148</v>
      </c>
      <c r="F9" s="10" t="n">
        <f aca="false">IF(C9&gt;0,D9/C9,0)</f>
        <v>1.5</v>
      </c>
    </row>
    <row r="10" customFormat="false" ht="15" hidden="false" customHeight="false" outlineLevel="0" collapsed="false">
      <c r="A10" s="11" t="s">
        <v>36</v>
      </c>
      <c r="B10" s="11" t="n">
        <f aca="false">SUM(B5:B9)</f>
        <v>25</v>
      </c>
      <c r="C10" s="12" t="n">
        <f aca="false">SUM(C5:C9)</f>
        <v>11953.1991786448</v>
      </c>
      <c r="D10" s="12" t="n">
        <f aca="false">SUM(D5:D9)</f>
        <v>17929.7987679671</v>
      </c>
      <c r="E10" s="13" t="n">
        <f aca="false">SUM(E5:E9)</f>
        <v>1</v>
      </c>
      <c r="F10" s="14" t="n">
        <f aca="false">IF(C10&gt;0,D10/C10,0)</f>
        <v>1.5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</row>
    <row r="12" customFormat="false" ht="15" hidden="false" customHeight="false" outlineLevel="0" collapsed="false">
      <c r="A12" s="15" t="s">
        <v>37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7" t="s">
        <v>38</v>
      </c>
      <c r="B13" s="16" t="n">
        <f aca="false">(Inputs!$B$5-Inputs!$B$4)/(365.25/12)</f>
        <v>35.8767967145791</v>
      </c>
      <c r="C13" s="4"/>
      <c r="D13" s="4"/>
      <c r="E13" s="4"/>
      <c r="F13" s="4"/>
    </row>
    <row r="14" customFormat="false" ht="15" hidden="false" customHeight="false" outlineLevel="0" collapsed="false">
      <c r="A14" s="7" t="s">
        <v>39</v>
      </c>
      <c r="B14" s="17" t="n">
        <f aca="false">IF(B13&gt;0,C10/(B13*Inputs!$B$6),0)</f>
        <v>2.13572778717009</v>
      </c>
      <c r="C14" s="4"/>
      <c r="D14" s="4"/>
      <c r="E14" s="4"/>
      <c r="F14" s="4"/>
    </row>
    <row r="15" customFormat="false" ht="15" hidden="false" customHeight="false" outlineLevel="0" collapsed="false">
      <c r="A15" s="7" t="s">
        <v>40</v>
      </c>
      <c r="B15" s="17" t="n">
        <f aca="false">IF(B13&gt;0,D10/(B13*Inputs!$B$6),0)</f>
        <v>3.20359168075514</v>
      </c>
      <c r="C15" s="4"/>
      <c r="D15" s="4"/>
      <c r="E15" s="4"/>
      <c r="F15" s="4"/>
    </row>
    <row r="16" customFormat="false" ht="15" hidden="false" customHeight="false" outlineLevel="0" collapsed="false">
      <c r="A16" s="7" t="s">
        <v>41</v>
      </c>
      <c r="B16" s="17" t="n">
        <f aca="false">MAX(Phasing!F62:BY62)</f>
        <v>4.13044903783152</v>
      </c>
      <c r="C16" s="4"/>
      <c r="D16" s="4"/>
      <c r="E16" s="4"/>
      <c r="F16" s="4"/>
    </row>
    <row r="17" customFormat="false" ht="15" hidden="false" customHeight="false" outlineLevel="0" collapsed="false">
      <c r="A17" s="7" t="s">
        <v>42</v>
      </c>
      <c r="B17" s="18" t="n">
        <f aca="false">MAX(Phasing!F61:BY61)</f>
        <v>644.350049901717</v>
      </c>
      <c r="C17" s="4"/>
      <c r="D17" s="4"/>
      <c r="E17" s="4"/>
      <c r="F17" s="4"/>
    </row>
    <row r="18" customFormat="false" ht="15" hidden="false" customHeight="false" outlineLevel="0" collapsed="false">
      <c r="A18" s="7" t="s">
        <v>43</v>
      </c>
      <c r="B18" s="19" t="str">
        <f aca="false">Inputs!$B$7</f>
        <v>P50</v>
      </c>
      <c r="C18" s="4"/>
      <c r="D18" s="4"/>
      <c r="E18" s="4"/>
      <c r="F18" s="4"/>
    </row>
    <row r="19" customFormat="false" ht="15" hidden="false" customHeight="false" outlineLevel="0" collapsed="false">
      <c r="A19" s="7" t="s">
        <v>44</v>
      </c>
      <c r="B19" s="18" t="n">
        <f aca="false">Inputs!$B$6</f>
        <v>156</v>
      </c>
      <c r="C19" s="4"/>
      <c r="D19" s="4"/>
      <c r="E19" s="4"/>
      <c r="F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</row>
    <row r="21" customFormat="false" ht="15" hidden="false" customHeight="false" outlineLevel="0" collapsed="false">
      <c r="A21" s="15" t="s">
        <v>45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7" t="s">
        <v>46</v>
      </c>
      <c r="B22" s="10" t="n">
        <f aca="false">SUMPRODUCT((BOE!$F$6:$F$60="SAR")*(BOE!$E$6:$E$60="Y")*(BOE!$G$6:$G$60)*(BOE!$H$6:$H$60))</f>
        <v>10.9</v>
      </c>
      <c r="C22" s="20" t="s">
        <v>47</v>
      </c>
      <c r="D22" s="4"/>
      <c r="E22" s="4"/>
      <c r="F2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48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49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15" hidden="false" customHeight="false" outlineLevel="0" collapsed="false">
      <c r="A4" s="21" t="s">
        <v>50</v>
      </c>
      <c r="B4" s="22" t="n">
        <v>46391</v>
      </c>
      <c r="C4" s="4"/>
      <c r="D4" s="4"/>
      <c r="E4" s="4"/>
      <c r="F4" s="20" t="s">
        <v>51</v>
      </c>
    </row>
    <row r="5" customFormat="false" ht="15" hidden="false" customHeight="false" outlineLevel="0" collapsed="false">
      <c r="A5" s="21" t="s">
        <v>52</v>
      </c>
      <c r="B5" s="22" t="n">
        <v>47483</v>
      </c>
      <c r="C5" s="4"/>
      <c r="D5" s="4"/>
      <c r="E5" s="4"/>
      <c r="F5" s="20" t="s">
        <v>53</v>
      </c>
    </row>
    <row r="6" customFormat="false" ht="15" hidden="false" customHeight="false" outlineLevel="0" collapsed="false">
      <c r="A6" s="21" t="s">
        <v>44</v>
      </c>
      <c r="B6" s="23" t="n">
        <v>156</v>
      </c>
      <c r="C6" s="4"/>
      <c r="D6" s="4"/>
      <c r="E6" s="4"/>
      <c r="F6" s="20" t="s">
        <v>54</v>
      </c>
    </row>
    <row r="7" customFormat="false" ht="15" hidden="false" customHeight="false" outlineLevel="0" collapsed="false">
      <c r="A7" s="21" t="s">
        <v>55</v>
      </c>
      <c r="B7" s="24" t="s">
        <v>56</v>
      </c>
      <c r="C7" s="4"/>
      <c r="D7" s="4"/>
      <c r="E7" s="4"/>
      <c r="F7" s="20" t="s">
        <v>57</v>
      </c>
    </row>
    <row r="8" customFormat="false" ht="15" hidden="false" customHeight="false" outlineLevel="0" collapsed="false">
      <c r="A8" s="11" t="s">
        <v>58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21" t="s">
        <v>59</v>
      </c>
      <c r="B9" s="25" t="n">
        <v>800</v>
      </c>
      <c r="C9" s="4"/>
      <c r="D9" s="4"/>
      <c r="E9" s="4"/>
      <c r="F9" s="20" t="s">
        <v>60</v>
      </c>
    </row>
    <row r="10" customFormat="false" ht="15" hidden="false" customHeight="false" outlineLevel="0" collapsed="false">
      <c r="A10" s="21" t="s">
        <v>61</v>
      </c>
      <c r="B10" s="25" t="n">
        <v>1200</v>
      </c>
      <c r="C10" s="4"/>
      <c r="D10" s="4"/>
      <c r="E10" s="4"/>
      <c r="F10" s="20" t="s">
        <v>62</v>
      </c>
    </row>
    <row r="11" customFormat="false" ht="15" hidden="false" customHeight="false" outlineLevel="0" collapsed="false">
      <c r="A11" s="21" t="s">
        <v>63</v>
      </c>
      <c r="B11" s="26" t="n">
        <f aca="false">IF(B9&gt;0,B10/B9,1)</f>
        <v>1.5</v>
      </c>
      <c r="C11" s="4"/>
      <c r="D11" s="4"/>
      <c r="E11" s="4"/>
      <c r="F11" s="20" t="s">
        <v>64</v>
      </c>
    </row>
    <row r="12" customFormat="false" ht="15" hidden="false" customHeight="false" outlineLevel="0" collapsed="false">
      <c r="A12" s="11" t="s">
        <v>65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21" t="s">
        <v>66</v>
      </c>
      <c r="B13" s="27" t="s">
        <v>67</v>
      </c>
      <c r="C13" s="4"/>
      <c r="D13" s="6" t="s">
        <v>68</v>
      </c>
      <c r="E13" s="6" t="s">
        <v>69</v>
      </c>
      <c r="F13" s="20" t="s">
        <v>70</v>
      </c>
    </row>
    <row r="14" customFormat="false" ht="15" hidden="false" customHeight="false" outlineLevel="0" collapsed="false">
      <c r="A14" s="21" t="s">
        <v>71</v>
      </c>
      <c r="B14" s="26" t="n">
        <f aca="false">IFERROR(INDEX($E$14:$E$17,MATCH($B$13,$D$14:$D$17,0)),1)</f>
        <v>1</v>
      </c>
      <c r="C14" s="4"/>
      <c r="D14" s="28" t="s">
        <v>72</v>
      </c>
      <c r="E14" s="29" t="n">
        <v>0.8</v>
      </c>
      <c r="F14" s="4"/>
    </row>
    <row r="15" customFormat="false" ht="15" hidden="false" customHeight="false" outlineLevel="0" collapsed="false">
      <c r="A15" s="21" t="s">
        <v>73</v>
      </c>
      <c r="B15" s="30"/>
      <c r="C15" s="4"/>
      <c r="D15" s="28" t="s">
        <v>67</v>
      </c>
      <c r="E15" s="29" t="n">
        <v>1</v>
      </c>
      <c r="F15" s="20" t="s">
        <v>74</v>
      </c>
    </row>
    <row r="16" customFormat="false" ht="15" hidden="false" customHeight="false" outlineLevel="0" collapsed="false">
      <c r="A16" s="21" t="s">
        <v>75</v>
      </c>
      <c r="B16" s="26" t="n">
        <f aca="false">IF(B15&lt;&gt;"",B15,B14)</f>
        <v>1</v>
      </c>
      <c r="C16" s="4"/>
      <c r="D16" s="28" t="s">
        <v>76</v>
      </c>
      <c r="E16" s="29" t="n">
        <v>1.3</v>
      </c>
      <c r="F16" s="20" t="s">
        <v>77</v>
      </c>
    </row>
    <row r="17" customFormat="false" ht="15" hidden="false" customHeight="false" outlineLevel="0" collapsed="false">
      <c r="A17" s="7"/>
      <c r="B17" s="4"/>
      <c r="C17" s="4"/>
      <c r="D17" s="28" t="s">
        <v>78</v>
      </c>
      <c r="E17" s="29" t="n">
        <v>1.6</v>
      </c>
      <c r="F17" s="4"/>
    </row>
    <row r="18" customFormat="false" ht="15" hidden="false" customHeight="true" outlineLevel="0" collapsed="false">
      <c r="A18" s="7"/>
      <c r="B18" s="4"/>
      <c r="C18" s="4"/>
      <c r="D18" s="31" t="s">
        <v>79</v>
      </c>
      <c r="E18" s="31"/>
      <c r="F18" s="31"/>
    </row>
    <row r="19" customFormat="false" ht="15" hidden="false" customHeight="false" outlineLevel="0" collapsed="false">
      <c r="A19" s="7"/>
      <c r="B19" s="4"/>
      <c r="C19" s="4"/>
      <c r="D19" s="31"/>
      <c r="E19" s="31"/>
      <c r="F19" s="31"/>
    </row>
    <row r="20" customFormat="false" ht="15" hidden="false" customHeight="false" outlineLevel="0" collapsed="false">
      <c r="A20" s="11" t="s">
        <v>80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21" t="s">
        <v>81</v>
      </c>
      <c r="B21" s="32" t="n">
        <v>2</v>
      </c>
      <c r="C21" s="4"/>
      <c r="D21" s="6" t="s">
        <v>82</v>
      </c>
      <c r="E21" s="6" t="s">
        <v>83</v>
      </c>
      <c r="F21" s="20" t="s">
        <v>84</v>
      </c>
    </row>
    <row r="22" customFormat="false" ht="15" hidden="false" customHeight="false" outlineLevel="0" collapsed="false">
      <c r="A22" s="21" t="s">
        <v>85</v>
      </c>
      <c r="B22" s="26" t="n">
        <f aca="false">IFERROR(INDEX($E$22:$E$26,MATCH($B$21,$D$22:$D$26,0)),1)</f>
        <v>1.3</v>
      </c>
      <c r="C22" s="4"/>
      <c r="D22" s="28" t="n">
        <v>1</v>
      </c>
      <c r="E22" s="29" t="n">
        <v>1.5</v>
      </c>
      <c r="F22" s="20" t="s">
        <v>86</v>
      </c>
    </row>
    <row r="23" customFormat="false" ht="15" hidden="false" customHeight="false" outlineLevel="0" collapsed="false">
      <c r="A23" s="7"/>
      <c r="B23" s="4"/>
      <c r="C23" s="4"/>
      <c r="D23" s="28" t="n">
        <v>2</v>
      </c>
      <c r="E23" s="29" t="n">
        <v>1.3</v>
      </c>
      <c r="F23" s="4"/>
    </row>
    <row r="24" customFormat="false" ht="15" hidden="false" customHeight="false" outlineLevel="0" collapsed="false">
      <c r="A24" s="7"/>
      <c r="B24" s="4"/>
      <c r="C24" s="4"/>
      <c r="D24" s="28" t="n">
        <v>3</v>
      </c>
      <c r="E24" s="29" t="n">
        <v>1.15</v>
      </c>
      <c r="F24" s="4"/>
    </row>
    <row r="25" customFormat="false" ht="15" hidden="false" customHeight="false" outlineLevel="0" collapsed="false">
      <c r="A25" s="7"/>
      <c r="B25" s="4"/>
      <c r="C25" s="4"/>
      <c r="D25" s="28" t="n">
        <v>4</v>
      </c>
      <c r="E25" s="29" t="n">
        <v>1</v>
      </c>
      <c r="F25" s="4"/>
    </row>
    <row r="26" customFormat="false" ht="15" hidden="false" customHeight="false" outlineLevel="0" collapsed="false">
      <c r="A26" s="7"/>
      <c r="B26" s="4"/>
      <c r="C26" s="4"/>
      <c r="D26" s="28" t="n">
        <v>5</v>
      </c>
      <c r="E26" s="29" t="n">
        <v>0.8</v>
      </c>
      <c r="F26" s="4"/>
    </row>
    <row r="27" customFormat="false" ht="15" hidden="false" customHeight="true" outlineLevel="0" collapsed="false">
      <c r="A27" s="7"/>
      <c r="B27" s="4"/>
      <c r="C27" s="4"/>
      <c r="D27" s="31" t="s">
        <v>87</v>
      </c>
      <c r="E27" s="31"/>
      <c r="F27" s="31"/>
    </row>
    <row r="28" customFormat="false" ht="15" hidden="false" customHeight="false" outlineLevel="0" collapsed="false">
      <c r="A28" s="7"/>
      <c r="B28" s="4"/>
      <c r="C28" s="4"/>
      <c r="D28" s="31"/>
      <c r="E28" s="31"/>
      <c r="F28" s="31"/>
    </row>
    <row r="29" customFormat="false" ht="15" hidden="false" customHeight="false" outlineLevel="0" collapsed="false">
      <c r="A29" s="11" t="s">
        <v>88</v>
      </c>
      <c r="B29" s="4"/>
      <c r="C29" s="4"/>
      <c r="D29" s="4"/>
      <c r="E29" s="4"/>
      <c r="F29" s="4"/>
    </row>
    <row r="30" customFormat="false" ht="15" hidden="false" customHeight="false" outlineLevel="0" collapsed="false">
      <c r="A30" s="21" t="s">
        <v>89</v>
      </c>
      <c r="B30" s="33" t="n">
        <v>6</v>
      </c>
      <c r="C30" s="4"/>
      <c r="D30" s="4"/>
      <c r="E30" s="4"/>
      <c r="F30" s="20" t="s">
        <v>90</v>
      </c>
    </row>
    <row r="31" customFormat="false" ht="15" hidden="false" customHeight="false" outlineLevel="0" collapsed="false">
      <c r="A31" s="21" t="s">
        <v>91</v>
      </c>
      <c r="B31" s="33" t="n">
        <v>8</v>
      </c>
      <c r="C31" s="4"/>
      <c r="D31" s="4"/>
      <c r="E31" s="4"/>
      <c r="F31" s="20" t="s">
        <v>92</v>
      </c>
    </row>
    <row r="32" customFormat="false" ht="15" hidden="false" customHeight="false" outlineLevel="0" collapsed="false">
      <c r="A32" s="21" t="s">
        <v>93</v>
      </c>
      <c r="B32" s="33" t="n">
        <v>20</v>
      </c>
      <c r="C32" s="4"/>
      <c r="D32" s="4"/>
      <c r="E32" s="4"/>
      <c r="F32" s="20" t="s">
        <v>94</v>
      </c>
    </row>
    <row r="33" customFormat="false" ht="15" hidden="false" customHeight="false" outlineLevel="0" collapsed="false">
      <c r="A33" s="21" t="s">
        <v>95</v>
      </c>
      <c r="B33" s="33" t="n">
        <v>6</v>
      </c>
      <c r="C33" s="4"/>
      <c r="D33" s="4"/>
      <c r="E33" s="4"/>
      <c r="F33" s="20" t="s">
        <v>96</v>
      </c>
    </row>
    <row r="34" customFormat="false" ht="15" hidden="false" customHeight="false" outlineLevel="0" collapsed="false">
      <c r="A34" s="21" t="s">
        <v>97</v>
      </c>
      <c r="B34" s="33" t="n">
        <v>4</v>
      </c>
      <c r="C34" s="4"/>
      <c r="D34" s="4"/>
      <c r="E34" s="4"/>
      <c r="F34" s="20" t="s">
        <v>98</v>
      </c>
    </row>
  </sheetData>
  <mergeCells count="2">
    <mergeCell ref="D18:F19"/>
    <mergeCell ref="D27:F28"/>
  </mergeCells>
  <dataValidations count="2">
    <dataValidation allowBlank="false" errorStyle="stop" operator="between" showDropDown="false" showErrorMessage="false" showInputMessage="false" sqref="B7" type="list">
      <formula1>"P50,P90"</formula1>
      <formula2>0</formula2>
    </dataValidation>
    <dataValidation allowBlank="false" errorStyle="stop" operator="between" showDropDown="false" showErrorMessage="false" showInputMessage="false" sqref="B13" type="list">
      <formula1>$D$14:$D$17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3" t="s">
        <v>99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100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</row>
    <row r="4" customFormat="false" ht="26.85" hidden="false" customHeight="false" outlineLevel="0" collapsed="false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</row>
    <row r="5" customFormat="false" ht="15" hidden="false" customHeight="false" outlineLevel="0" collapsed="false">
      <c r="A5" s="21" t="n">
        <v>1</v>
      </c>
      <c r="B5" s="24" t="s">
        <v>107</v>
      </c>
      <c r="C5" s="34" t="n">
        <v>0</v>
      </c>
      <c r="D5" s="35"/>
      <c r="E5" s="36" t="n">
        <f aca="false">IF(B5="","",IF(D5&lt;&gt;"",D5,IF(C5&lt;&gt;"",EDATE(Inputs!$B$4,C5),"")))</f>
        <v>46391</v>
      </c>
      <c r="F5" s="21" t="s">
        <v>108</v>
      </c>
    </row>
    <row r="6" customFormat="false" ht="15" hidden="false" customHeight="false" outlineLevel="0" collapsed="false">
      <c r="A6" s="21" t="n">
        <v>2</v>
      </c>
      <c r="B6" s="24" t="s">
        <v>109</v>
      </c>
      <c r="C6" s="34" t="n">
        <v>3</v>
      </c>
      <c r="D6" s="35"/>
      <c r="E6" s="36" t="n">
        <f aca="false">IF(B6="","",IF(D6&lt;&gt;"",D6,IF(C6&lt;&gt;"",EDATE(Inputs!$B$4,C6),"")))</f>
        <v>46481</v>
      </c>
      <c r="F6" s="21" t="s">
        <v>110</v>
      </c>
    </row>
    <row r="7" customFormat="false" ht="15" hidden="false" customHeight="false" outlineLevel="0" collapsed="false">
      <c r="A7" s="21" t="n">
        <v>3</v>
      </c>
      <c r="B7" s="24" t="s">
        <v>111</v>
      </c>
      <c r="C7" s="34" t="n">
        <v>6</v>
      </c>
      <c r="D7" s="35"/>
      <c r="E7" s="36" t="n">
        <f aca="false">IF(B7="","",IF(D7&lt;&gt;"",D7,IF(C7&lt;&gt;"",EDATE(Inputs!$B$4,C7),"")))</f>
        <v>46572</v>
      </c>
      <c r="F7" s="21" t="s">
        <v>112</v>
      </c>
    </row>
    <row r="8" customFormat="false" ht="15" hidden="false" customHeight="false" outlineLevel="0" collapsed="false">
      <c r="A8" s="21" t="n">
        <v>4</v>
      </c>
      <c r="B8" s="24" t="s">
        <v>113</v>
      </c>
      <c r="C8" s="34" t="n">
        <v>10</v>
      </c>
      <c r="D8" s="35"/>
      <c r="E8" s="36" t="n">
        <f aca="false">IF(B8="","",IF(D8&lt;&gt;"",D8,IF(C8&lt;&gt;"",EDATE(Inputs!$B$4,C8),"")))</f>
        <v>46695</v>
      </c>
      <c r="F8" s="21" t="s">
        <v>114</v>
      </c>
    </row>
    <row r="9" customFormat="false" ht="15" hidden="false" customHeight="false" outlineLevel="0" collapsed="false">
      <c r="A9" s="21" t="n">
        <v>5</v>
      </c>
      <c r="B9" s="24" t="s">
        <v>115</v>
      </c>
      <c r="C9" s="34" t="n">
        <v>16</v>
      </c>
      <c r="D9" s="35"/>
      <c r="E9" s="36" t="n">
        <f aca="false">IF(B9="","",IF(D9&lt;&gt;"",D9,IF(C9&lt;&gt;"",EDATE(Inputs!$B$4,C9),"")))</f>
        <v>46877</v>
      </c>
      <c r="F9" s="21" t="s">
        <v>116</v>
      </c>
    </row>
    <row r="10" customFormat="false" ht="15" hidden="false" customHeight="false" outlineLevel="0" collapsed="false">
      <c r="A10" s="21" t="n">
        <v>6</v>
      </c>
      <c r="B10" s="24" t="s">
        <v>117</v>
      </c>
      <c r="C10" s="34" t="n">
        <v>24</v>
      </c>
      <c r="D10" s="35"/>
      <c r="E10" s="36" t="n">
        <f aca="false">IF(B10="","",IF(D10&lt;&gt;"",D10,IF(C10&lt;&gt;"",EDATE(Inputs!$B$4,C10),"")))</f>
        <v>47122</v>
      </c>
      <c r="F10" s="21" t="s">
        <v>118</v>
      </c>
    </row>
    <row r="11" customFormat="false" ht="15" hidden="false" customHeight="false" outlineLevel="0" collapsed="false">
      <c r="A11" s="21" t="n">
        <v>7</v>
      </c>
      <c r="B11" s="24" t="s">
        <v>119</v>
      </c>
      <c r="C11" s="34" t="n">
        <v>25</v>
      </c>
      <c r="D11" s="35"/>
      <c r="E11" s="36" t="n">
        <f aca="false">IF(B11="","",IF(D11&lt;&gt;"",D11,IF(C11&lt;&gt;"",EDATE(Inputs!$B$4,C11),"")))</f>
        <v>47153</v>
      </c>
      <c r="F11" s="21" t="s">
        <v>120</v>
      </c>
    </row>
    <row r="12" customFormat="false" ht="15" hidden="false" customHeight="false" outlineLevel="0" collapsed="false">
      <c r="A12" s="21" t="n">
        <v>8</v>
      </c>
      <c r="B12" s="24" t="s">
        <v>121</v>
      </c>
      <c r="C12" s="34" t="n">
        <v>31</v>
      </c>
      <c r="D12" s="35"/>
      <c r="E12" s="36" t="n">
        <f aca="false">IF(B12="","",IF(D12&lt;&gt;"",D12,IF(C12&lt;&gt;"",EDATE(Inputs!$B$4,C12),"")))</f>
        <v>47334</v>
      </c>
      <c r="F12" s="21" t="s">
        <v>122</v>
      </c>
    </row>
    <row r="13" customFormat="false" ht="15" hidden="false" customHeight="false" outlineLevel="0" collapsed="false">
      <c r="A13" s="21" t="n">
        <v>9</v>
      </c>
      <c r="B13" s="24" t="s">
        <v>123</v>
      </c>
      <c r="C13" s="34" t="n">
        <v>33</v>
      </c>
      <c r="D13" s="35"/>
      <c r="E13" s="36" t="n">
        <f aca="false">IF(B13="","",IF(D13&lt;&gt;"",D13,IF(C13&lt;&gt;"",EDATE(Inputs!$B$4,C13),"")))</f>
        <v>47395</v>
      </c>
      <c r="F13" s="21" t="s">
        <v>124</v>
      </c>
    </row>
    <row r="14" customFormat="false" ht="15" hidden="false" customHeight="false" outlineLevel="0" collapsed="false">
      <c r="A14" s="21" t="n">
        <v>10</v>
      </c>
      <c r="B14" s="24" t="s">
        <v>125</v>
      </c>
      <c r="C14" s="37"/>
      <c r="D14" s="38" t="n">
        <f aca="false">Inputs!$B$5</f>
        <v>47483</v>
      </c>
      <c r="E14" s="36" t="n">
        <f aca="false">IF(B14="","",IF(D14&lt;&gt;"",D14,IF(C14&lt;&gt;"",EDATE(Inputs!$B$4,C14),"")))</f>
        <v>47483</v>
      </c>
      <c r="F14" s="21" t="s">
        <v>126</v>
      </c>
    </row>
    <row r="15" customFormat="false" ht="15" hidden="false" customHeight="false" outlineLevel="0" collapsed="false">
      <c r="A15" s="21" t="n">
        <v>11</v>
      </c>
      <c r="B15" s="39"/>
      <c r="C15" s="40"/>
      <c r="D15" s="35"/>
      <c r="E15" s="36" t="str">
        <f aca="false">IF(B15="","",IF(D15&lt;&gt;"",D15,IF(C15&lt;&gt;"",EDATE(Inputs!$B$4,C15),"")))</f>
        <v/>
      </c>
      <c r="F15" s="7"/>
    </row>
    <row r="16" customFormat="false" ht="15" hidden="false" customHeight="false" outlineLevel="0" collapsed="false">
      <c r="A16" s="21" t="n">
        <v>12</v>
      </c>
      <c r="B16" s="39"/>
      <c r="C16" s="40"/>
      <c r="D16" s="35"/>
      <c r="E16" s="36" t="str">
        <f aca="false">IF(B16="","",IF(D16&lt;&gt;"",D16,IF(C16&lt;&gt;"",EDATE(Inputs!$B$4,C16),"")))</f>
        <v/>
      </c>
      <c r="F16" s="7"/>
    </row>
    <row r="17" customFormat="false" ht="15" hidden="false" customHeight="false" outlineLevel="0" collapsed="false">
      <c r="A17" s="21" t="n">
        <v>13</v>
      </c>
      <c r="B17" s="39"/>
      <c r="C17" s="40"/>
      <c r="D17" s="35"/>
      <c r="E17" s="36" t="str">
        <f aca="false">IF(B17="","",IF(D17&lt;&gt;"",D17,IF(C17&lt;&gt;"",EDATE(Inputs!$B$4,C17),"")))</f>
        <v/>
      </c>
      <c r="F17" s="7"/>
    </row>
    <row r="18" customFormat="false" ht="15" hidden="false" customHeight="false" outlineLevel="0" collapsed="false">
      <c r="A18" s="21" t="n">
        <v>14</v>
      </c>
      <c r="B18" s="39"/>
      <c r="C18" s="40"/>
      <c r="D18" s="35"/>
      <c r="E18" s="36" t="str">
        <f aca="false">IF(B18="","",IF(D18&lt;&gt;"",D18,IF(C18&lt;&gt;"",EDATE(Inputs!$B$4,C18),"")))</f>
        <v/>
      </c>
      <c r="F18" s="7"/>
    </row>
    <row r="19" customFormat="false" ht="15" hidden="false" customHeight="false" outlineLevel="0" collapsed="false">
      <c r="A19" s="21" t="n">
        <v>15</v>
      </c>
      <c r="B19" s="39"/>
      <c r="C19" s="40"/>
      <c r="D19" s="35"/>
      <c r="E19" s="36" t="str">
        <f aca="false">IF(B19="","",IF(D19&lt;&gt;"",D19,IF(C19&lt;&gt;"",EDATE(Inputs!$B$4,C19),"")))</f>
        <v/>
      </c>
      <c r="F19" s="7"/>
    </row>
    <row r="20" customFormat="false" ht="15" hidden="false" customHeight="false" outlineLevel="0" collapsed="false">
      <c r="A20" s="21" t="n">
        <v>16</v>
      </c>
      <c r="B20" s="39"/>
      <c r="C20" s="40"/>
      <c r="D20" s="35"/>
      <c r="E20" s="36" t="str">
        <f aca="false">IF(B20="","",IF(D20&lt;&gt;"",D20,IF(C20&lt;&gt;"",EDATE(Inputs!$B$4,C20),"")))</f>
        <v/>
      </c>
      <c r="F20" s="7"/>
    </row>
    <row r="21" customFormat="false" ht="15" hidden="false" customHeight="false" outlineLevel="0" collapsed="false">
      <c r="A21" s="21" t="n">
        <v>17</v>
      </c>
      <c r="B21" s="39"/>
      <c r="C21" s="40"/>
      <c r="D21" s="35"/>
      <c r="E21" s="36" t="str">
        <f aca="false">IF(B21="","",IF(D21&lt;&gt;"",D21,IF(C21&lt;&gt;"",EDATE(Inputs!$B$4,C21),"")))</f>
        <v/>
      </c>
      <c r="F21" s="7"/>
    </row>
    <row r="22" customFormat="false" ht="15" hidden="false" customHeight="false" outlineLevel="0" collapsed="false">
      <c r="A22" s="21" t="n">
        <v>18</v>
      </c>
      <c r="B22" s="39"/>
      <c r="C22" s="40"/>
      <c r="D22" s="35"/>
      <c r="E22" s="36" t="str">
        <f aca="false">IF(B22="","",IF(D22&lt;&gt;"",D22,IF(C22&lt;&gt;"",EDATE(Inputs!$B$4,C22),"")))</f>
        <v/>
      </c>
      <c r="F22" s="7"/>
    </row>
    <row r="23" customFormat="false" ht="15" hidden="false" customHeight="false" outlineLevel="0" collapsed="false">
      <c r="A23" s="21" t="n">
        <v>19</v>
      </c>
      <c r="B23" s="39"/>
      <c r="C23" s="40"/>
      <c r="D23" s="35"/>
      <c r="E23" s="36" t="str">
        <f aca="false">IF(B23="","",IF(D23&lt;&gt;"",D23,IF(C23&lt;&gt;"",EDATE(Inputs!$B$4,C23),"")))</f>
        <v/>
      </c>
      <c r="F23" s="7"/>
    </row>
    <row r="24" customFormat="false" ht="15" hidden="false" customHeight="false" outlineLevel="0" collapsed="false">
      <c r="A24" s="21" t="n">
        <v>20</v>
      </c>
      <c r="B24" s="39"/>
      <c r="C24" s="40"/>
      <c r="D24" s="35"/>
      <c r="E24" s="36" t="str">
        <f aca="false">IF(B24="","",IF(D24&lt;&gt;"",D24,IF(C24&lt;&gt;"",EDATE(Inputs!$B$4,C24),"")))</f>
        <v/>
      </c>
      <c r="F24" s="7"/>
    </row>
    <row r="25" customFormat="false" ht="15" hidden="false" customHeight="false" outlineLevel="0" collapsed="false">
      <c r="A25" s="21" t="n">
        <v>21</v>
      </c>
      <c r="B25" s="39"/>
      <c r="C25" s="40"/>
      <c r="D25" s="35"/>
      <c r="E25" s="36" t="str">
        <f aca="false">IF(B25="","",IF(D25&lt;&gt;"",D25,IF(C25&lt;&gt;"",EDATE(Inputs!$B$4,C25),"")))</f>
        <v/>
      </c>
      <c r="F25" s="7"/>
    </row>
    <row r="26" customFormat="false" ht="15" hidden="false" customHeight="false" outlineLevel="0" collapsed="false">
      <c r="A26" s="21" t="n">
        <v>22</v>
      </c>
      <c r="B26" s="39"/>
      <c r="C26" s="40"/>
      <c r="D26" s="35"/>
      <c r="E26" s="36" t="str">
        <f aca="false">IF(B26="","",IF(D26&lt;&gt;"",D26,IF(C26&lt;&gt;"",EDATE(Inputs!$B$4,C26),"")))</f>
        <v/>
      </c>
      <c r="F26" s="7"/>
    </row>
    <row r="27" customFormat="false" ht="15" hidden="false" customHeight="false" outlineLevel="0" collapsed="false">
      <c r="A27" s="21" t="n">
        <v>23</v>
      </c>
      <c r="B27" s="39"/>
      <c r="C27" s="40"/>
      <c r="D27" s="35"/>
      <c r="E27" s="36" t="str">
        <f aca="false">IF(B27="","",IF(D27&lt;&gt;"",D27,IF(C27&lt;&gt;"",EDATE(Inputs!$B$4,C27),"")))</f>
        <v/>
      </c>
      <c r="F27" s="7"/>
    </row>
    <row r="28" customFormat="false" ht="15" hidden="false" customHeight="false" outlineLevel="0" collapsed="false">
      <c r="A28" s="21" t="n">
        <v>24</v>
      </c>
      <c r="B28" s="39"/>
      <c r="C28" s="40"/>
      <c r="D28" s="35"/>
      <c r="E28" s="36" t="str">
        <f aca="false">IF(B28="","",IF(D28&lt;&gt;"",D28,IF(C28&lt;&gt;"",EDATE(Inputs!$B$4,C28),"")))</f>
        <v/>
      </c>
      <c r="F28" s="7"/>
    </row>
    <row r="29" customFormat="false" ht="15" hidden="false" customHeight="false" outlineLevel="0" collapsed="false">
      <c r="A29" s="21" t="n">
        <v>25</v>
      </c>
      <c r="B29" s="39"/>
      <c r="C29" s="40"/>
      <c r="D29" s="35"/>
      <c r="E29" s="36" t="str">
        <f aca="false">IF(B29="","",IF(D29&lt;&gt;"",D29,IF(C29&lt;&gt;"",EDATE(Inputs!$B$4,C29),"")))</f>
        <v/>
      </c>
      <c r="F29" s="7"/>
    </row>
    <row r="30" customFormat="false" ht="15" hidden="false" customHeight="false" outlineLevel="0" collapsed="false">
      <c r="A30" s="21" t="n">
        <v>26</v>
      </c>
      <c r="B30" s="39"/>
      <c r="C30" s="40"/>
      <c r="D30" s="35"/>
      <c r="E30" s="36" t="str">
        <f aca="false">IF(B30="","",IF(D30&lt;&gt;"",D30,IF(C30&lt;&gt;"",EDATE(Inputs!$B$4,C30),"")))</f>
        <v/>
      </c>
      <c r="F30" s="7"/>
    </row>
    <row r="31" customFormat="false" ht="15" hidden="false" customHeight="false" outlineLevel="0" collapsed="false">
      <c r="A31" s="21" t="n">
        <v>27</v>
      </c>
      <c r="B31" s="39"/>
      <c r="C31" s="40"/>
      <c r="D31" s="35"/>
      <c r="E31" s="36" t="str">
        <f aca="false">IF(B31="","",IF(D31&lt;&gt;"",D31,IF(C31&lt;&gt;"",EDATE(Inputs!$B$4,C31),"")))</f>
        <v/>
      </c>
      <c r="F31" s="7"/>
    </row>
    <row r="32" customFormat="false" ht="15" hidden="false" customHeight="false" outlineLevel="0" collapsed="false">
      <c r="A32" s="21" t="n">
        <v>28</v>
      </c>
      <c r="B32" s="39"/>
      <c r="C32" s="40"/>
      <c r="D32" s="35"/>
      <c r="E32" s="36" t="str">
        <f aca="false">IF(B32="","",IF(D32&lt;&gt;"",D32,IF(C32&lt;&gt;"",EDATE(Inputs!$B$4,C32),"")))</f>
        <v/>
      </c>
      <c r="F32" s="7"/>
    </row>
    <row r="33" customFormat="false" ht="15" hidden="false" customHeight="false" outlineLevel="0" collapsed="false">
      <c r="A33" s="21" t="n">
        <v>29</v>
      </c>
      <c r="B33" s="39"/>
      <c r="C33" s="40"/>
      <c r="D33" s="35"/>
      <c r="E33" s="36" t="str">
        <f aca="false">IF(B33="","",IF(D33&lt;&gt;"",D33,IF(C33&lt;&gt;"",EDATE(Inputs!$B$4,C33),"")))</f>
        <v/>
      </c>
      <c r="F33" s="7"/>
    </row>
    <row r="34" customFormat="false" ht="15" hidden="false" customHeight="false" outlineLevel="0" collapsed="false">
      <c r="A34" s="21" t="n">
        <v>30</v>
      </c>
      <c r="B34" s="39"/>
      <c r="C34" s="40"/>
      <c r="D34" s="35"/>
      <c r="E34" s="36" t="str">
        <f aca="false">IF(B34="","",IF(D34&lt;&gt;"",D34,IF(C34&lt;&gt;"",EDATE(Inputs!$B$4,C34),"")))</f>
        <v/>
      </c>
      <c r="F3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6" min="15" style="0" width="12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70"/>
  </cols>
  <sheetData>
    <row r="1" customFormat="false" ht="17.35" hidden="false" customHeight="false" outlineLevel="0" collapsed="false">
      <c r="A1" s="3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5" hidden="false" customHeight="false" outlineLevel="0" collapsed="false">
      <c r="A2" s="5" t="s">
        <v>128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5" hidden="false" customHeight="false" outlineLevel="0" collapsed="false">
      <c r="A3" s="4" t="s">
        <v>129</v>
      </c>
      <c r="B3" s="41" t="n">
        <f aca="false">Inputs!$B$9</f>
        <v>800</v>
      </c>
      <c r="C3" s="4" t="s">
        <v>130</v>
      </c>
      <c r="D3" s="42" t="n">
        <f aca="false">Inputs!$B$16</f>
        <v>1</v>
      </c>
      <c r="E3" s="4" t="s">
        <v>131</v>
      </c>
      <c r="F3" s="42" t="n">
        <f aca="false">Inputs!$B$22</f>
        <v>1.3</v>
      </c>
      <c r="G3" s="4" t="s">
        <v>132</v>
      </c>
      <c r="H3" s="42" t="n">
        <f aca="false">Inputs!$B$11</f>
        <v>1.5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45" hidden="false" customHeight="true" outlineLevel="0" collapsed="false">
      <c r="A5" s="6" t="s">
        <v>133</v>
      </c>
      <c r="B5" s="6" t="s">
        <v>25</v>
      </c>
      <c r="C5" s="6" t="s">
        <v>134</v>
      </c>
      <c r="D5" s="6" t="s">
        <v>135</v>
      </c>
      <c r="E5" s="6" t="s">
        <v>136</v>
      </c>
      <c r="F5" s="6" t="s">
        <v>137</v>
      </c>
      <c r="G5" s="6" t="s">
        <v>138</v>
      </c>
      <c r="H5" s="6" t="s">
        <v>139</v>
      </c>
      <c r="I5" s="6" t="s">
        <v>140</v>
      </c>
      <c r="J5" s="6" t="s">
        <v>141</v>
      </c>
      <c r="K5" s="6" t="s">
        <v>142</v>
      </c>
      <c r="L5" s="6" t="s">
        <v>143</v>
      </c>
      <c r="M5" s="6" t="s">
        <v>144</v>
      </c>
      <c r="N5" s="6" t="s">
        <v>145</v>
      </c>
      <c r="O5" s="6" t="s">
        <v>146</v>
      </c>
      <c r="P5" s="6" t="s">
        <v>147</v>
      </c>
      <c r="Q5" s="6" t="s">
        <v>148</v>
      </c>
      <c r="R5" s="6" t="s">
        <v>27</v>
      </c>
      <c r="S5" s="6" t="s">
        <v>149</v>
      </c>
      <c r="T5" s="6" t="s">
        <v>28</v>
      </c>
      <c r="U5" s="6" t="s">
        <v>150</v>
      </c>
    </row>
    <row r="6" customFormat="false" ht="39.55" hidden="false" customHeight="false" outlineLevel="0" collapsed="false">
      <c r="A6" s="43" t="s">
        <v>151</v>
      </c>
      <c r="B6" s="43" t="s">
        <v>31</v>
      </c>
      <c r="C6" s="44" t="s">
        <v>152</v>
      </c>
      <c r="D6" s="43" t="s">
        <v>153</v>
      </c>
      <c r="E6" s="24" t="s">
        <v>154</v>
      </c>
      <c r="F6" s="24" t="s">
        <v>155</v>
      </c>
      <c r="G6" s="30" t="n">
        <v>20</v>
      </c>
      <c r="H6" s="33" t="n">
        <v>1</v>
      </c>
      <c r="I6" s="24" t="s">
        <v>154</v>
      </c>
      <c r="J6" s="24" t="s">
        <v>156</v>
      </c>
      <c r="K6" s="24" t="s">
        <v>107</v>
      </c>
      <c r="L6" s="24" t="n">
        <v>0</v>
      </c>
      <c r="M6" s="24" t="s">
        <v>125</v>
      </c>
      <c r="N6" s="24" t="n">
        <v>0</v>
      </c>
      <c r="O6" s="36" t="n">
        <f aca="false">IFERROR(INDEX(Milestones!$E$5:$E$34,MATCH($K6,Milestones!$B$5:$B$34,0))+N($L6)*7,"")</f>
        <v>46391</v>
      </c>
      <c r="P6" s="36" t="n">
        <f aca="false">IFERROR(INDEX(Milestones!$E$5:$E$34,MATCH($M6,Milestones!$B$5:$B$34,0))+N($N6)*7,"")</f>
        <v>47483</v>
      </c>
      <c r="Q6" s="45" t="n">
        <f aca="false">IF(OR($O6="",$P6=""),"",MAX(0,($P6-$O6)/(365.25/12)))</f>
        <v>35.8767967145791</v>
      </c>
      <c r="R6" s="46" t="n">
        <f aca="false">IF(OR($A6="",$E6&lt;&gt;"Y"),0,IF($F6="SAR",$G6*Inputs!$B$9,IF($F6="LOE",$G6*N($Q6),$G6))*N($H6)*IF($I6="Y",Inputs!$B$16,1)*IF($J6="Y",Inputs!$B$22,1))</f>
        <v>717.535934291581</v>
      </c>
      <c r="S6" s="30"/>
      <c r="T6" s="46" t="n">
        <f aca="false">$R6*IF($S6&lt;&gt;"",$S6,Inputs!$B$11)</f>
        <v>1076.30390143737</v>
      </c>
      <c r="U6" s="44" t="s">
        <v>157</v>
      </c>
    </row>
    <row r="7" customFormat="false" ht="39.55" hidden="false" customHeight="false" outlineLevel="0" collapsed="false">
      <c r="A7" s="43" t="s">
        <v>158</v>
      </c>
      <c r="B7" s="43" t="s">
        <v>31</v>
      </c>
      <c r="C7" s="44" t="s">
        <v>159</v>
      </c>
      <c r="D7" s="43" t="s">
        <v>160</v>
      </c>
      <c r="E7" s="24" t="s">
        <v>154</v>
      </c>
      <c r="F7" s="24" t="s">
        <v>161</v>
      </c>
      <c r="G7" s="30" t="n">
        <v>0.4</v>
      </c>
      <c r="H7" s="33" t="n">
        <v>1</v>
      </c>
      <c r="I7" s="24" t="s">
        <v>154</v>
      </c>
      <c r="J7" s="24" t="s">
        <v>156</v>
      </c>
      <c r="K7" s="24" t="s">
        <v>107</v>
      </c>
      <c r="L7" s="24" t="n">
        <v>0</v>
      </c>
      <c r="M7" s="24" t="s">
        <v>109</v>
      </c>
      <c r="N7" s="24" t="n">
        <v>0</v>
      </c>
      <c r="O7" s="36" t="n">
        <f aca="false">IFERROR(INDEX(Milestones!$E$5:$E$34,MATCH($K7,Milestones!$B$5:$B$34,0))+N($L7)*7,"")</f>
        <v>46391</v>
      </c>
      <c r="P7" s="36" t="n">
        <f aca="false">IFERROR(INDEX(Milestones!$E$5:$E$34,MATCH($M7,Milestones!$B$5:$B$34,0))+N($N7)*7,"")</f>
        <v>46481</v>
      </c>
      <c r="Q7" s="45" t="n">
        <f aca="false">IF(OR($O7="",$P7=""),"",MAX(0,($P7-$O7)/(365.25/12)))</f>
        <v>2.95687885010267</v>
      </c>
      <c r="R7" s="46" t="n">
        <f aca="false">IF(OR($A7="",$E7&lt;&gt;"Y"),0,IF($F7="SAR",$G7*Inputs!$B$9,IF($F7="LOE",$G7*N($Q7),$G7))*N($H7)*IF($I7="Y",Inputs!$B$16,1)*IF($J7="Y",Inputs!$B$22,1))</f>
        <v>320</v>
      </c>
      <c r="S7" s="30"/>
      <c r="T7" s="46" t="n">
        <f aca="false">$R7*IF($S7&lt;&gt;"",$S7,Inputs!$B$11)</f>
        <v>480</v>
      </c>
      <c r="U7" s="44" t="s">
        <v>162</v>
      </c>
    </row>
    <row r="8" customFormat="false" ht="26.85" hidden="false" customHeight="false" outlineLevel="0" collapsed="false">
      <c r="A8" s="43" t="s">
        <v>163</v>
      </c>
      <c r="B8" s="43" t="s">
        <v>31</v>
      </c>
      <c r="C8" s="44" t="s">
        <v>164</v>
      </c>
      <c r="D8" s="43" t="s">
        <v>165</v>
      </c>
      <c r="E8" s="24" t="s">
        <v>156</v>
      </c>
      <c r="F8" s="24" t="s">
        <v>161</v>
      </c>
      <c r="G8" s="30" t="n">
        <v>0.3</v>
      </c>
      <c r="H8" s="33" t="n">
        <v>1</v>
      </c>
      <c r="I8" s="24" t="s">
        <v>154</v>
      </c>
      <c r="J8" s="24" t="s">
        <v>156</v>
      </c>
      <c r="K8" s="24" t="s">
        <v>107</v>
      </c>
      <c r="L8" s="24" t="n">
        <v>0</v>
      </c>
      <c r="M8" s="24" t="s">
        <v>109</v>
      </c>
      <c r="N8" s="24" t="n">
        <v>0</v>
      </c>
      <c r="O8" s="36" t="n">
        <f aca="false">IFERROR(INDEX(Milestones!$E$5:$E$34,MATCH($K8,Milestones!$B$5:$B$34,0))+N($L8)*7,"")</f>
        <v>46391</v>
      </c>
      <c r="P8" s="36" t="n">
        <f aca="false">IFERROR(INDEX(Milestones!$E$5:$E$34,MATCH($M8,Milestones!$B$5:$B$34,0))+N($N8)*7,"")</f>
        <v>46481</v>
      </c>
      <c r="Q8" s="45" t="n">
        <f aca="false">IF(OR($O8="",$P8=""),"",MAX(0,($P8-$O8)/(365.25/12)))</f>
        <v>2.95687885010267</v>
      </c>
      <c r="R8" s="46" t="n">
        <f aca="false">IF(OR($A8="",$E8&lt;&gt;"Y"),0,IF($F8="SAR",$G8*Inputs!$B$9,IF($F8="LOE",$G8*N($Q8),$G8))*N($H8)*IF($I8="Y",Inputs!$B$16,1)*IF($J8="Y",Inputs!$B$22,1))</f>
        <v>0</v>
      </c>
      <c r="S8" s="30"/>
      <c r="T8" s="46" t="n">
        <f aca="false">$R8*IF($S8&lt;&gt;"",$S8,Inputs!$B$11)</f>
        <v>0</v>
      </c>
      <c r="U8" s="44" t="s">
        <v>166</v>
      </c>
    </row>
    <row r="9" customFormat="false" ht="26.85" hidden="false" customHeight="false" outlineLevel="0" collapsed="false">
      <c r="A9" s="43" t="s">
        <v>167</v>
      </c>
      <c r="B9" s="43" t="s">
        <v>31</v>
      </c>
      <c r="C9" s="44" t="s">
        <v>168</v>
      </c>
      <c r="D9" s="43" t="s">
        <v>169</v>
      </c>
      <c r="E9" s="24" t="s">
        <v>154</v>
      </c>
      <c r="F9" s="24" t="s">
        <v>161</v>
      </c>
      <c r="G9" s="30" t="n">
        <v>0.05</v>
      </c>
      <c r="H9" s="47" t="n">
        <f aca="false">Inputs!$B$33</f>
        <v>6</v>
      </c>
      <c r="I9" s="24" t="s">
        <v>154</v>
      </c>
      <c r="J9" s="24" t="s">
        <v>156</v>
      </c>
      <c r="K9" s="24" t="s">
        <v>109</v>
      </c>
      <c r="L9" s="24" t="n">
        <v>-4</v>
      </c>
      <c r="M9" s="24" t="s">
        <v>125</v>
      </c>
      <c r="N9" s="24" t="n">
        <v>0</v>
      </c>
      <c r="O9" s="36" t="n">
        <f aca="false">IFERROR(INDEX(Milestones!$E$5:$E$34,MATCH($K9,Milestones!$B$5:$B$34,0))+N($L9)*7,"")</f>
        <v>46453</v>
      </c>
      <c r="P9" s="36" t="n">
        <f aca="false">IFERROR(INDEX(Milestones!$E$5:$E$34,MATCH($M9,Milestones!$B$5:$B$34,0))+N($N9)*7,"")</f>
        <v>47483</v>
      </c>
      <c r="Q9" s="45" t="n">
        <f aca="false">IF(OR($O9="",$P9=""),"",MAX(0,($P9-$O9)/(365.25/12)))</f>
        <v>33.8398357289528</v>
      </c>
      <c r="R9" s="46" t="n">
        <f aca="false">IF(OR($A9="",$E9&lt;&gt;"Y"),0,IF($F9="SAR",$G9*Inputs!$B$9,IF($F9="LOE",$G9*N($Q9),$G9))*N($H9)*IF($I9="Y",Inputs!$B$16,1)*IF($J9="Y",Inputs!$B$22,1))</f>
        <v>240</v>
      </c>
      <c r="S9" s="30"/>
      <c r="T9" s="46" t="n">
        <f aca="false">$R9*IF($S9&lt;&gt;"",$S9,Inputs!$B$11)</f>
        <v>360</v>
      </c>
      <c r="U9" s="44" t="s">
        <v>170</v>
      </c>
    </row>
    <row r="10" customFormat="false" ht="26.85" hidden="false" customHeight="false" outlineLevel="0" collapsed="false">
      <c r="A10" s="43" t="s">
        <v>171</v>
      </c>
      <c r="B10" s="43" t="s">
        <v>31</v>
      </c>
      <c r="C10" s="44" t="s">
        <v>172</v>
      </c>
      <c r="D10" s="43" t="s">
        <v>173</v>
      </c>
      <c r="E10" s="24" t="s">
        <v>154</v>
      </c>
      <c r="F10" s="24" t="s">
        <v>155</v>
      </c>
      <c r="G10" s="30" t="n">
        <v>12</v>
      </c>
      <c r="H10" s="33" t="n">
        <v>1</v>
      </c>
      <c r="I10" s="24" t="s">
        <v>154</v>
      </c>
      <c r="J10" s="24" t="s">
        <v>156</v>
      </c>
      <c r="K10" s="24" t="s">
        <v>107</v>
      </c>
      <c r="L10" s="24" t="n">
        <v>0</v>
      </c>
      <c r="M10" s="24" t="s">
        <v>125</v>
      </c>
      <c r="N10" s="24" t="n">
        <v>0</v>
      </c>
      <c r="O10" s="36" t="n">
        <f aca="false">IFERROR(INDEX(Milestones!$E$5:$E$34,MATCH($K10,Milestones!$B$5:$B$34,0))+N($L10)*7,"")</f>
        <v>46391</v>
      </c>
      <c r="P10" s="36" t="n">
        <f aca="false">IFERROR(INDEX(Milestones!$E$5:$E$34,MATCH($M10,Milestones!$B$5:$B$34,0))+N($N10)*7,"")</f>
        <v>47483</v>
      </c>
      <c r="Q10" s="45" t="n">
        <f aca="false">IF(OR($O10="",$P10=""),"",MAX(0,($P10-$O10)/(365.25/12)))</f>
        <v>35.8767967145791</v>
      </c>
      <c r="R10" s="46" t="n">
        <f aca="false">IF(OR($A10="",$E10&lt;&gt;"Y"),0,IF($F10="SAR",$G10*Inputs!$B$9,IF($F10="LOE",$G10*N($Q10),$G10))*N($H10)*IF($I10="Y",Inputs!$B$16,1)*IF($J10="Y",Inputs!$B$22,1))</f>
        <v>430.521560574949</v>
      </c>
      <c r="S10" s="30"/>
      <c r="T10" s="46" t="n">
        <f aca="false">$R10*IF($S10&lt;&gt;"",$S10,Inputs!$B$11)</f>
        <v>645.782340862423</v>
      </c>
      <c r="U10" s="44" t="s">
        <v>174</v>
      </c>
    </row>
    <row r="11" customFormat="false" ht="26.85" hidden="false" customHeight="false" outlineLevel="0" collapsed="false">
      <c r="A11" s="43" t="s">
        <v>175</v>
      </c>
      <c r="B11" s="43" t="s">
        <v>31</v>
      </c>
      <c r="C11" s="44" t="s">
        <v>176</v>
      </c>
      <c r="D11" s="43" t="s">
        <v>177</v>
      </c>
      <c r="E11" s="24" t="s">
        <v>154</v>
      </c>
      <c r="F11" s="24" t="s">
        <v>161</v>
      </c>
      <c r="G11" s="30" t="n">
        <v>0.15</v>
      </c>
      <c r="H11" s="33" t="n">
        <v>1</v>
      </c>
      <c r="I11" s="24" t="s">
        <v>154</v>
      </c>
      <c r="J11" s="24" t="s">
        <v>156</v>
      </c>
      <c r="K11" s="24" t="s">
        <v>107</v>
      </c>
      <c r="L11" s="24" t="n">
        <v>0</v>
      </c>
      <c r="M11" s="24" t="s">
        <v>109</v>
      </c>
      <c r="N11" s="24" t="n">
        <v>0</v>
      </c>
      <c r="O11" s="36" t="n">
        <f aca="false">IFERROR(INDEX(Milestones!$E$5:$E$34,MATCH($K11,Milestones!$B$5:$B$34,0))+N($L11)*7,"")</f>
        <v>46391</v>
      </c>
      <c r="P11" s="36" t="n">
        <f aca="false">IFERROR(INDEX(Milestones!$E$5:$E$34,MATCH($M11,Milestones!$B$5:$B$34,0))+N($N11)*7,"")</f>
        <v>46481</v>
      </c>
      <c r="Q11" s="45" t="n">
        <f aca="false">IF(OR($O11="",$P11=""),"",MAX(0,($P11-$O11)/(365.25/12)))</f>
        <v>2.95687885010267</v>
      </c>
      <c r="R11" s="46" t="n">
        <f aca="false">IF(OR($A11="",$E11&lt;&gt;"Y"),0,IF($F11="SAR",$G11*Inputs!$B$9,IF($F11="LOE",$G11*N($Q11),$G11))*N($H11)*IF($I11="Y",Inputs!$B$16,1)*IF($J11="Y",Inputs!$B$22,1))</f>
        <v>120</v>
      </c>
      <c r="S11" s="30"/>
      <c r="T11" s="46" t="n">
        <f aca="false">$R11*IF($S11&lt;&gt;"",$S11,Inputs!$B$11)</f>
        <v>180</v>
      </c>
      <c r="U11" s="44" t="s">
        <v>178</v>
      </c>
    </row>
    <row r="12" customFormat="false" ht="26.85" hidden="false" customHeight="false" outlineLevel="0" collapsed="false">
      <c r="A12" s="43" t="s">
        <v>179</v>
      </c>
      <c r="B12" s="43" t="s">
        <v>31</v>
      </c>
      <c r="C12" s="44" t="s">
        <v>180</v>
      </c>
      <c r="D12" s="43" t="s">
        <v>181</v>
      </c>
      <c r="E12" s="24" t="s">
        <v>154</v>
      </c>
      <c r="F12" s="24" t="s">
        <v>155</v>
      </c>
      <c r="G12" s="30" t="n">
        <v>8</v>
      </c>
      <c r="H12" s="33" t="n">
        <v>1</v>
      </c>
      <c r="I12" s="24" t="s">
        <v>154</v>
      </c>
      <c r="J12" s="24" t="s">
        <v>156</v>
      </c>
      <c r="K12" s="24" t="s">
        <v>109</v>
      </c>
      <c r="L12" s="24" t="n">
        <v>0</v>
      </c>
      <c r="M12" s="24" t="s">
        <v>125</v>
      </c>
      <c r="N12" s="24" t="n">
        <v>0</v>
      </c>
      <c r="O12" s="36" t="n">
        <f aca="false">IFERROR(INDEX(Milestones!$E$5:$E$34,MATCH($K12,Milestones!$B$5:$B$34,0))+N($L12)*7,"")</f>
        <v>46481</v>
      </c>
      <c r="P12" s="36" t="n">
        <f aca="false">IFERROR(INDEX(Milestones!$E$5:$E$34,MATCH($M12,Milestones!$B$5:$B$34,0))+N($N12)*7,"")</f>
        <v>47483</v>
      </c>
      <c r="Q12" s="45" t="n">
        <f aca="false">IF(OR($O12="",$P12=""),"",MAX(0,($P12-$O12)/(365.25/12)))</f>
        <v>32.9199178644764</v>
      </c>
      <c r="R12" s="46" t="n">
        <f aca="false">IF(OR($A12="",$E12&lt;&gt;"Y"),0,IF($F12="SAR",$G12*Inputs!$B$9,IF($F12="LOE",$G12*N($Q12),$G12))*N($H12)*IF($I12="Y",Inputs!$B$16,1)*IF($J12="Y",Inputs!$B$22,1))</f>
        <v>263.359342915811</v>
      </c>
      <c r="S12" s="30"/>
      <c r="T12" s="46" t="n">
        <f aca="false">$R12*IF($S12&lt;&gt;"",$S12,Inputs!$B$11)</f>
        <v>395.039014373717</v>
      </c>
      <c r="U12" s="44" t="s">
        <v>182</v>
      </c>
    </row>
    <row r="13" customFormat="false" ht="26.85" hidden="false" customHeight="false" outlineLevel="0" collapsed="false">
      <c r="A13" s="43" t="s">
        <v>183</v>
      </c>
      <c r="B13" s="43" t="s">
        <v>31</v>
      </c>
      <c r="C13" s="44" t="s">
        <v>184</v>
      </c>
      <c r="D13" s="43" t="s">
        <v>185</v>
      </c>
      <c r="E13" s="24" t="s">
        <v>154</v>
      </c>
      <c r="F13" s="24" t="s">
        <v>155</v>
      </c>
      <c r="G13" s="30" t="n">
        <v>4</v>
      </c>
      <c r="H13" s="33" t="n">
        <v>1</v>
      </c>
      <c r="I13" s="24" t="s">
        <v>154</v>
      </c>
      <c r="J13" s="24" t="s">
        <v>156</v>
      </c>
      <c r="K13" s="24" t="s">
        <v>107</v>
      </c>
      <c r="L13" s="24" t="n">
        <v>0</v>
      </c>
      <c r="M13" s="24" t="s">
        <v>125</v>
      </c>
      <c r="N13" s="24" t="n">
        <v>0</v>
      </c>
      <c r="O13" s="36" t="n">
        <f aca="false">IFERROR(INDEX(Milestones!$E$5:$E$34,MATCH($K13,Milestones!$B$5:$B$34,0))+N($L13)*7,"")</f>
        <v>46391</v>
      </c>
      <c r="P13" s="36" t="n">
        <f aca="false">IFERROR(INDEX(Milestones!$E$5:$E$34,MATCH($M13,Milestones!$B$5:$B$34,0))+N($N13)*7,"")</f>
        <v>47483</v>
      </c>
      <c r="Q13" s="45" t="n">
        <f aca="false">IF(OR($O13="",$P13=""),"",MAX(0,($P13-$O13)/(365.25/12)))</f>
        <v>35.8767967145791</v>
      </c>
      <c r="R13" s="46" t="n">
        <f aca="false">IF(OR($A13="",$E13&lt;&gt;"Y"),0,IF($F13="SAR",$G13*Inputs!$B$9,IF($F13="LOE",$G13*N($Q13),$G13))*N($H13)*IF($I13="Y",Inputs!$B$16,1)*IF($J13="Y",Inputs!$B$22,1))</f>
        <v>143.507186858316</v>
      </c>
      <c r="S13" s="30"/>
      <c r="T13" s="46" t="n">
        <f aca="false">$R13*IF($S13&lt;&gt;"",$S13,Inputs!$B$11)</f>
        <v>215.260780287474</v>
      </c>
      <c r="U13" s="44" t="s">
        <v>186</v>
      </c>
    </row>
    <row r="14" customFormat="false" ht="26.85" hidden="false" customHeight="false" outlineLevel="0" collapsed="false">
      <c r="A14" s="43" t="s">
        <v>187</v>
      </c>
      <c r="B14" s="43" t="s">
        <v>31</v>
      </c>
      <c r="C14" s="44" t="s">
        <v>188</v>
      </c>
      <c r="D14" s="43" t="s">
        <v>189</v>
      </c>
      <c r="E14" s="24" t="s">
        <v>154</v>
      </c>
      <c r="F14" s="24" t="s">
        <v>161</v>
      </c>
      <c r="G14" s="30" t="n">
        <v>0.25</v>
      </c>
      <c r="H14" s="33" t="n">
        <v>1</v>
      </c>
      <c r="I14" s="24" t="s">
        <v>154</v>
      </c>
      <c r="J14" s="24" t="s">
        <v>156</v>
      </c>
      <c r="K14" s="24" t="s">
        <v>107</v>
      </c>
      <c r="L14" s="24" t="n">
        <v>0</v>
      </c>
      <c r="M14" s="24" t="s">
        <v>113</v>
      </c>
      <c r="N14" s="24" t="n">
        <v>0</v>
      </c>
      <c r="O14" s="36" t="n">
        <f aca="false">IFERROR(INDEX(Milestones!$E$5:$E$34,MATCH($K14,Milestones!$B$5:$B$34,0))+N($L14)*7,"")</f>
        <v>46391</v>
      </c>
      <c r="P14" s="36" t="n">
        <f aca="false">IFERROR(INDEX(Milestones!$E$5:$E$34,MATCH($M14,Milestones!$B$5:$B$34,0))+N($N14)*7,"")</f>
        <v>46695</v>
      </c>
      <c r="Q14" s="45" t="n">
        <f aca="false">IF(OR($O14="",$P14=""),"",MAX(0,($P14-$O14)/(365.25/12)))</f>
        <v>9.98767967145791</v>
      </c>
      <c r="R14" s="46" t="n">
        <f aca="false">IF(OR($A14="",$E14&lt;&gt;"Y"),0,IF($F14="SAR",$G14*Inputs!$B$9,IF($F14="LOE",$G14*N($Q14),$G14))*N($H14)*IF($I14="Y",Inputs!$B$16,1)*IF($J14="Y",Inputs!$B$22,1))</f>
        <v>200</v>
      </c>
      <c r="S14" s="30"/>
      <c r="T14" s="46" t="n">
        <f aca="false">$R14*IF($S14&lt;&gt;"",$S14,Inputs!$B$11)</f>
        <v>300</v>
      </c>
      <c r="U14" s="44" t="s">
        <v>190</v>
      </c>
    </row>
    <row r="15" customFormat="false" ht="26.85" hidden="false" customHeight="false" outlineLevel="0" collapsed="false">
      <c r="A15" s="43" t="s">
        <v>191</v>
      </c>
      <c r="B15" s="43" t="s">
        <v>32</v>
      </c>
      <c r="C15" s="44" t="s">
        <v>192</v>
      </c>
      <c r="D15" s="43" t="s">
        <v>193</v>
      </c>
      <c r="E15" s="24" t="s">
        <v>154</v>
      </c>
      <c r="F15" s="24" t="s">
        <v>161</v>
      </c>
      <c r="G15" s="30" t="n">
        <v>0.2</v>
      </c>
      <c r="H15" s="33" t="n">
        <v>1</v>
      </c>
      <c r="I15" s="24" t="s">
        <v>154</v>
      </c>
      <c r="J15" s="24" t="s">
        <v>156</v>
      </c>
      <c r="K15" s="24" t="s">
        <v>107</v>
      </c>
      <c r="L15" s="24" t="n">
        <v>0</v>
      </c>
      <c r="M15" s="24" t="s">
        <v>109</v>
      </c>
      <c r="N15" s="24" t="n">
        <v>0</v>
      </c>
      <c r="O15" s="36" t="n">
        <f aca="false">IFERROR(INDEX(Milestones!$E$5:$E$34,MATCH($K15,Milestones!$B$5:$B$34,0))+N($L15)*7,"")</f>
        <v>46391</v>
      </c>
      <c r="P15" s="36" t="n">
        <f aca="false">IFERROR(INDEX(Milestones!$E$5:$E$34,MATCH($M15,Milestones!$B$5:$B$34,0))+N($N15)*7,"")</f>
        <v>46481</v>
      </c>
      <c r="Q15" s="45" t="n">
        <f aca="false">IF(OR($O15="",$P15=""),"",MAX(0,($P15-$O15)/(365.25/12)))</f>
        <v>2.95687885010267</v>
      </c>
      <c r="R15" s="46" t="n">
        <f aca="false">IF(OR($A15="",$E15&lt;&gt;"Y"),0,IF($F15="SAR",$G15*Inputs!$B$9,IF($F15="LOE",$G15*N($Q15),$G15))*N($H15)*IF($I15="Y",Inputs!$B$16,1)*IF($J15="Y",Inputs!$B$22,1))</f>
        <v>160</v>
      </c>
      <c r="S15" s="30"/>
      <c r="T15" s="46" t="n">
        <f aca="false">$R15*IF($S15&lt;&gt;"",$S15,Inputs!$B$11)</f>
        <v>240</v>
      </c>
      <c r="U15" s="44" t="s">
        <v>194</v>
      </c>
    </row>
    <row r="16" customFormat="false" ht="26.85" hidden="false" customHeight="false" outlineLevel="0" collapsed="false">
      <c r="A16" s="43" t="s">
        <v>195</v>
      </c>
      <c r="B16" s="43" t="s">
        <v>32</v>
      </c>
      <c r="C16" s="44" t="s">
        <v>196</v>
      </c>
      <c r="D16" s="43" t="s">
        <v>197</v>
      </c>
      <c r="E16" s="24" t="s">
        <v>154</v>
      </c>
      <c r="F16" s="24" t="s">
        <v>161</v>
      </c>
      <c r="G16" s="30" t="n">
        <v>0.6</v>
      </c>
      <c r="H16" s="33" t="n">
        <v>1</v>
      </c>
      <c r="I16" s="24" t="s">
        <v>154</v>
      </c>
      <c r="J16" s="24" t="s">
        <v>156</v>
      </c>
      <c r="K16" s="24" t="s">
        <v>109</v>
      </c>
      <c r="L16" s="24" t="n">
        <v>0</v>
      </c>
      <c r="M16" s="24" t="s">
        <v>111</v>
      </c>
      <c r="N16" s="24" t="n">
        <v>4</v>
      </c>
      <c r="O16" s="36" t="n">
        <f aca="false">IFERROR(INDEX(Milestones!$E$5:$E$34,MATCH($K16,Milestones!$B$5:$B$34,0))+N($L16)*7,"")</f>
        <v>46481</v>
      </c>
      <c r="P16" s="36" t="n">
        <f aca="false">IFERROR(INDEX(Milestones!$E$5:$E$34,MATCH($M16,Milestones!$B$5:$B$34,0))+N($N16)*7,"")</f>
        <v>46600</v>
      </c>
      <c r="Q16" s="45" t="n">
        <f aca="false">IF(OR($O16="",$P16=""),"",MAX(0,($P16-$O16)/(365.25/12)))</f>
        <v>3.90965092402464</v>
      </c>
      <c r="R16" s="46" t="n">
        <f aca="false">IF(OR($A16="",$E16&lt;&gt;"Y"),0,IF($F16="SAR",$G16*Inputs!$B$9,IF($F16="LOE",$G16*N($Q16),$G16))*N($H16)*IF($I16="Y",Inputs!$B$16,1)*IF($J16="Y",Inputs!$B$22,1))</f>
        <v>480</v>
      </c>
      <c r="S16" s="30"/>
      <c r="T16" s="46" t="n">
        <f aca="false">$R16*IF($S16&lt;&gt;"",$S16,Inputs!$B$11)</f>
        <v>720</v>
      </c>
      <c r="U16" s="44" t="s">
        <v>198</v>
      </c>
    </row>
    <row r="17" customFormat="false" ht="26.85" hidden="false" customHeight="false" outlineLevel="0" collapsed="false">
      <c r="A17" s="43" t="s">
        <v>199</v>
      </c>
      <c r="B17" s="43" t="s">
        <v>32</v>
      </c>
      <c r="C17" s="44" t="s">
        <v>200</v>
      </c>
      <c r="D17" s="43" t="s">
        <v>201</v>
      </c>
      <c r="E17" s="24" t="s">
        <v>154</v>
      </c>
      <c r="F17" s="24" t="s">
        <v>161</v>
      </c>
      <c r="G17" s="30" t="n">
        <v>0.5</v>
      </c>
      <c r="H17" s="33" t="n">
        <v>1</v>
      </c>
      <c r="I17" s="24" t="s">
        <v>154</v>
      </c>
      <c r="J17" s="24" t="s">
        <v>154</v>
      </c>
      <c r="K17" s="24" t="s">
        <v>109</v>
      </c>
      <c r="L17" s="24" t="n">
        <v>0</v>
      </c>
      <c r="M17" s="24" t="s">
        <v>115</v>
      </c>
      <c r="N17" s="24" t="n">
        <v>0</v>
      </c>
      <c r="O17" s="36" t="n">
        <f aca="false">IFERROR(INDEX(Milestones!$E$5:$E$34,MATCH($K17,Milestones!$B$5:$B$34,0))+N($L17)*7,"")</f>
        <v>46481</v>
      </c>
      <c r="P17" s="36" t="n">
        <f aca="false">IFERROR(INDEX(Milestones!$E$5:$E$34,MATCH($M17,Milestones!$B$5:$B$34,0))+N($N17)*7,"")</f>
        <v>46877</v>
      </c>
      <c r="Q17" s="45" t="n">
        <f aca="false">IF(OR($O17="",$P17=""),"",MAX(0,($P17-$O17)/(365.25/12)))</f>
        <v>13.0102669404517</v>
      </c>
      <c r="R17" s="46" t="n">
        <f aca="false">IF(OR($A17="",$E17&lt;&gt;"Y"),0,IF($F17="SAR",$G17*Inputs!$B$9,IF($F17="LOE",$G17*N($Q17),$G17))*N($H17)*IF($I17="Y",Inputs!$B$16,1)*IF($J17="Y",Inputs!$B$22,1))</f>
        <v>520</v>
      </c>
      <c r="S17" s="30"/>
      <c r="T17" s="46" t="n">
        <f aca="false">$R17*IF($S17&lt;&gt;"",$S17,Inputs!$B$11)</f>
        <v>780</v>
      </c>
      <c r="U17" s="44" t="s">
        <v>202</v>
      </c>
    </row>
    <row r="18" customFormat="false" ht="26.85" hidden="false" customHeight="false" outlineLevel="0" collapsed="false">
      <c r="A18" s="43" t="s">
        <v>203</v>
      </c>
      <c r="B18" s="43" t="s">
        <v>32</v>
      </c>
      <c r="C18" s="44" t="s">
        <v>204</v>
      </c>
      <c r="D18" s="43" t="s">
        <v>205</v>
      </c>
      <c r="E18" s="24" t="s">
        <v>154</v>
      </c>
      <c r="F18" s="24" t="s">
        <v>161</v>
      </c>
      <c r="G18" s="30" t="n">
        <v>0.3</v>
      </c>
      <c r="H18" s="47" t="n">
        <f aca="false">Inputs!$B$30</f>
        <v>6</v>
      </c>
      <c r="I18" s="24" t="s">
        <v>154</v>
      </c>
      <c r="J18" s="24" t="s">
        <v>154</v>
      </c>
      <c r="K18" s="24" t="s">
        <v>113</v>
      </c>
      <c r="L18" s="24" t="n">
        <v>0</v>
      </c>
      <c r="M18" s="24" t="s">
        <v>115</v>
      </c>
      <c r="N18" s="24" t="n">
        <v>4</v>
      </c>
      <c r="O18" s="36" t="n">
        <f aca="false">IFERROR(INDEX(Milestones!$E$5:$E$34,MATCH($K18,Milestones!$B$5:$B$34,0))+N($L18)*7,"")</f>
        <v>46695</v>
      </c>
      <c r="P18" s="36" t="n">
        <f aca="false">IFERROR(INDEX(Milestones!$E$5:$E$34,MATCH($M18,Milestones!$B$5:$B$34,0))+N($N18)*7,"")</f>
        <v>46905</v>
      </c>
      <c r="Q18" s="45" t="n">
        <f aca="false">IF(OR($O18="",$P18=""),"",MAX(0,($P18-$O18)/(365.25/12)))</f>
        <v>6.8993839835729</v>
      </c>
      <c r="R18" s="46" t="n">
        <f aca="false">IF(OR($A18="",$E18&lt;&gt;"Y"),0,IF($F18="SAR",$G18*Inputs!$B$9,IF($F18="LOE",$G18*N($Q18),$G18))*N($H18)*IF($I18="Y",Inputs!$B$16,1)*IF($J18="Y",Inputs!$B$22,1))</f>
        <v>1872</v>
      </c>
      <c r="S18" s="30"/>
      <c r="T18" s="46" t="n">
        <f aca="false">$R18*IF($S18&lt;&gt;"",$S18,Inputs!$B$11)</f>
        <v>2808</v>
      </c>
      <c r="U18" s="44" t="s">
        <v>206</v>
      </c>
    </row>
    <row r="19" customFormat="false" ht="26.85" hidden="false" customHeight="false" outlineLevel="0" collapsed="false">
      <c r="A19" s="43" t="s">
        <v>207</v>
      </c>
      <c r="B19" s="43" t="s">
        <v>32</v>
      </c>
      <c r="C19" s="44" t="s">
        <v>208</v>
      </c>
      <c r="D19" s="43" t="s">
        <v>209</v>
      </c>
      <c r="E19" s="24" t="s">
        <v>154</v>
      </c>
      <c r="F19" s="24" t="s">
        <v>161</v>
      </c>
      <c r="G19" s="30" t="n">
        <v>0.8</v>
      </c>
      <c r="H19" s="33" t="n">
        <v>1</v>
      </c>
      <c r="I19" s="24" t="s">
        <v>154</v>
      </c>
      <c r="J19" s="24" t="s">
        <v>154</v>
      </c>
      <c r="K19" s="24" t="s">
        <v>113</v>
      </c>
      <c r="L19" s="24" t="n">
        <v>0</v>
      </c>
      <c r="M19" s="24" t="s">
        <v>115</v>
      </c>
      <c r="N19" s="24" t="n">
        <v>8</v>
      </c>
      <c r="O19" s="36" t="n">
        <f aca="false">IFERROR(INDEX(Milestones!$E$5:$E$34,MATCH($K19,Milestones!$B$5:$B$34,0))+N($L19)*7,"")</f>
        <v>46695</v>
      </c>
      <c r="P19" s="36" t="n">
        <f aca="false">IFERROR(INDEX(Milestones!$E$5:$E$34,MATCH($M19,Milestones!$B$5:$B$34,0))+N($N19)*7,"")</f>
        <v>46933</v>
      </c>
      <c r="Q19" s="45" t="n">
        <f aca="false">IF(OR($O19="",$P19=""),"",MAX(0,($P19-$O19)/(365.25/12)))</f>
        <v>7.81930184804928</v>
      </c>
      <c r="R19" s="46" t="n">
        <f aca="false">IF(OR($A19="",$E19&lt;&gt;"Y"),0,IF($F19="SAR",$G19*Inputs!$B$9,IF($F19="LOE",$G19*N($Q19),$G19))*N($H19)*IF($I19="Y",Inputs!$B$16,1)*IF($J19="Y",Inputs!$B$22,1))</f>
        <v>832</v>
      </c>
      <c r="S19" s="30"/>
      <c r="T19" s="46" t="n">
        <f aca="false">$R19*IF($S19&lt;&gt;"",$S19,Inputs!$B$11)</f>
        <v>1248</v>
      </c>
      <c r="U19" s="44" t="s">
        <v>210</v>
      </c>
    </row>
    <row r="20" customFormat="false" ht="26.85" hidden="false" customHeight="false" outlineLevel="0" collapsed="false">
      <c r="A20" s="43" t="s">
        <v>211</v>
      </c>
      <c r="B20" s="43" t="s">
        <v>32</v>
      </c>
      <c r="C20" s="44" t="s">
        <v>212</v>
      </c>
      <c r="D20" s="43" t="s">
        <v>213</v>
      </c>
      <c r="E20" s="24" t="s">
        <v>154</v>
      </c>
      <c r="F20" s="24" t="s">
        <v>161</v>
      </c>
      <c r="G20" s="30" t="n">
        <v>0.6</v>
      </c>
      <c r="H20" s="33" t="n">
        <v>1</v>
      </c>
      <c r="I20" s="24" t="s">
        <v>154</v>
      </c>
      <c r="J20" s="24" t="s">
        <v>156</v>
      </c>
      <c r="K20" s="24" t="s">
        <v>115</v>
      </c>
      <c r="L20" s="24" t="n">
        <v>0</v>
      </c>
      <c r="M20" s="24" t="s">
        <v>117</v>
      </c>
      <c r="N20" s="24" t="n">
        <v>0</v>
      </c>
      <c r="O20" s="36" t="n">
        <f aca="false">IFERROR(INDEX(Milestones!$E$5:$E$34,MATCH($K20,Milestones!$B$5:$B$34,0))+N($L20)*7,"")</f>
        <v>46877</v>
      </c>
      <c r="P20" s="36" t="n">
        <f aca="false">IFERROR(INDEX(Milestones!$E$5:$E$34,MATCH($M20,Milestones!$B$5:$B$34,0))+N($N20)*7,"")</f>
        <v>47122</v>
      </c>
      <c r="Q20" s="45" t="n">
        <f aca="false">IF(OR($O20="",$P20=""),"",MAX(0,($P20-$O20)/(365.25/12)))</f>
        <v>8.04928131416838</v>
      </c>
      <c r="R20" s="46" t="n">
        <f aca="false">IF(OR($A20="",$E20&lt;&gt;"Y"),0,IF($F20="SAR",$G20*Inputs!$B$9,IF($F20="LOE",$G20*N($Q20),$G20))*N($H20)*IF($I20="Y",Inputs!$B$16,1)*IF($J20="Y",Inputs!$B$22,1))</f>
        <v>480</v>
      </c>
      <c r="S20" s="30"/>
      <c r="T20" s="46" t="n">
        <f aca="false">$R20*IF($S20&lt;&gt;"",$S20,Inputs!$B$11)</f>
        <v>720</v>
      </c>
      <c r="U20" s="44" t="s">
        <v>214</v>
      </c>
    </row>
    <row r="21" customFormat="false" ht="26.85" hidden="false" customHeight="false" outlineLevel="0" collapsed="false">
      <c r="A21" s="43" t="s">
        <v>215</v>
      </c>
      <c r="B21" s="43" t="s">
        <v>32</v>
      </c>
      <c r="C21" s="44" t="s">
        <v>216</v>
      </c>
      <c r="D21" s="43" t="s">
        <v>217</v>
      </c>
      <c r="E21" s="24" t="s">
        <v>154</v>
      </c>
      <c r="F21" s="24" t="s">
        <v>161</v>
      </c>
      <c r="G21" s="30" t="n">
        <v>0.35</v>
      </c>
      <c r="H21" s="33" t="n">
        <v>1</v>
      </c>
      <c r="I21" s="24" t="s">
        <v>154</v>
      </c>
      <c r="J21" s="24" t="s">
        <v>156</v>
      </c>
      <c r="K21" s="24" t="s">
        <v>113</v>
      </c>
      <c r="L21" s="24" t="n">
        <v>0</v>
      </c>
      <c r="M21" s="24" t="s">
        <v>115</v>
      </c>
      <c r="N21" s="24" t="n">
        <v>0</v>
      </c>
      <c r="O21" s="36" t="n">
        <f aca="false">IFERROR(INDEX(Milestones!$E$5:$E$34,MATCH($K21,Milestones!$B$5:$B$34,0))+N($L21)*7,"")</f>
        <v>46695</v>
      </c>
      <c r="P21" s="36" t="n">
        <f aca="false">IFERROR(INDEX(Milestones!$E$5:$E$34,MATCH($M21,Milestones!$B$5:$B$34,0))+N($N21)*7,"")</f>
        <v>46877</v>
      </c>
      <c r="Q21" s="45" t="n">
        <f aca="false">IF(OR($O21="",$P21=""),"",MAX(0,($P21-$O21)/(365.25/12)))</f>
        <v>5.97946611909651</v>
      </c>
      <c r="R21" s="46" t="n">
        <f aca="false">IF(OR($A21="",$E21&lt;&gt;"Y"),0,IF($F21="SAR",$G21*Inputs!$B$9,IF($F21="LOE",$G21*N($Q21),$G21))*N($H21)*IF($I21="Y",Inputs!$B$16,1)*IF($J21="Y",Inputs!$B$22,1))</f>
        <v>280</v>
      </c>
      <c r="S21" s="30"/>
      <c r="T21" s="46" t="n">
        <f aca="false">$R21*IF($S21&lt;&gt;"",$S21,Inputs!$B$11)</f>
        <v>420</v>
      </c>
      <c r="U21" s="44" t="s">
        <v>218</v>
      </c>
    </row>
    <row r="22" customFormat="false" ht="26.85" hidden="false" customHeight="false" outlineLevel="0" collapsed="false">
      <c r="A22" s="43" t="s">
        <v>219</v>
      </c>
      <c r="B22" s="43" t="s">
        <v>32</v>
      </c>
      <c r="C22" s="44" t="s">
        <v>220</v>
      </c>
      <c r="D22" s="43" t="s">
        <v>221</v>
      </c>
      <c r="E22" s="24" t="s">
        <v>154</v>
      </c>
      <c r="F22" s="24" t="s">
        <v>161</v>
      </c>
      <c r="G22" s="30" t="n">
        <v>0.5</v>
      </c>
      <c r="H22" s="33" t="n">
        <v>1</v>
      </c>
      <c r="I22" s="24" t="s">
        <v>154</v>
      </c>
      <c r="J22" s="24" t="s">
        <v>154</v>
      </c>
      <c r="K22" s="24" t="s">
        <v>109</v>
      </c>
      <c r="L22" s="24" t="n">
        <v>0</v>
      </c>
      <c r="M22" s="24" t="s">
        <v>113</v>
      </c>
      <c r="N22" s="24" t="n">
        <v>0</v>
      </c>
      <c r="O22" s="36" t="n">
        <f aca="false">IFERROR(INDEX(Milestones!$E$5:$E$34,MATCH($K22,Milestones!$B$5:$B$34,0))+N($L22)*7,"")</f>
        <v>46481</v>
      </c>
      <c r="P22" s="36" t="n">
        <f aca="false">IFERROR(INDEX(Milestones!$E$5:$E$34,MATCH($M22,Milestones!$B$5:$B$34,0))+N($N22)*7,"")</f>
        <v>46695</v>
      </c>
      <c r="Q22" s="45" t="n">
        <f aca="false">IF(OR($O22="",$P22=""),"",MAX(0,($P22-$O22)/(365.25/12)))</f>
        <v>7.03080082135524</v>
      </c>
      <c r="R22" s="46" t="n">
        <f aca="false">IF(OR($A22="",$E22&lt;&gt;"Y"),0,IF($F22="SAR",$G22*Inputs!$B$9,IF($F22="LOE",$G22*N($Q22),$G22))*N($H22)*IF($I22="Y",Inputs!$B$16,1)*IF($J22="Y",Inputs!$B$22,1))</f>
        <v>520</v>
      </c>
      <c r="S22" s="30"/>
      <c r="T22" s="46" t="n">
        <f aca="false">$R22*IF($S22&lt;&gt;"",$S22,Inputs!$B$11)</f>
        <v>780</v>
      </c>
      <c r="U22" s="44" t="s">
        <v>222</v>
      </c>
    </row>
    <row r="23" customFormat="false" ht="26.85" hidden="false" customHeight="false" outlineLevel="0" collapsed="false">
      <c r="A23" s="43" t="s">
        <v>223</v>
      </c>
      <c r="B23" s="43" t="s">
        <v>32</v>
      </c>
      <c r="C23" s="44" t="s">
        <v>224</v>
      </c>
      <c r="D23" s="43" t="s">
        <v>225</v>
      </c>
      <c r="E23" s="24" t="s">
        <v>156</v>
      </c>
      <c r="F23" s="24" t="s">
        <v>161</v>
      </c>
      <c r="G23" s="30" t="n">
        <v>0.4</v>
      </c>
      <c r="H23" s="33" t="n">
        <v>1</v>
      </c>
      <c r="I23" s="24" t="s">
        <v>154</v>
      </c>
      <c r="J23" s="24" t="s">
        <v>156</v>
      </c>
      <c r="K23" s="24" t="s">
        <v>113</v>
      </c>
      <c r="L23" s="24" t="n">
        <v>0</v>
      </c>
      <c r="M23" s="24" t="s">
        <v>115</v>
      </c>
      <c r="N23" s="24" t="n">
        <v>0</v>
      </c>
      <c r="O23" s="36" t="n">
        <f aca="false">IFERROR(INDEX(Milestones!$E$5:$E$34,MATCH($K23,Milestones!$B$5:$B$34,0))+N($L23)*7,"")</f>
        <v>46695</v>
      </c>
      <c r="P23" s="36" t="n">
        <f aca="false">IFERROR(INDEX(Milestones!$E$5:$E$34,MATCH($M23,Milestones!$B$5:$B$34,0))+N($N23)*7,"")</f>
        <v>46877</v>
      </c>
      <c r="Q23" s="45" t="n">
        <f aca="false">IF(OR($O23="",$P23=""),"",MAX(0,($P23-$O23)/(365.25/12)))</f>
        <v>5.97946611909651</v>
      </c>
      <c r="R23" s="46" t="n">
        <f aca="false">IF(OR($A23="",$E23&lt;&gt;"Y"),0,IF($F23="SAR",$G23*Inputs!$B$9,IF($F23="LOE",$G23*N($Q23),$G23))*N($H23)*IF($I23="Y",Inputs!$B$16,1)*IF($J23="Y",Inputs!$B$22,1))</f>
        <v>0</v>
      </c>
      <c r="S23" s="30"/>
      <c r="T23" s="46" t="n">
        <f aca="false">$R23*IF($S23&lt;&gt;"",$S23,Inputs!$B$11)</f>
        <v>0</v>
      </c>
      <c r="U23" s="44" t="s">
        <v>226</v>
      </c>
    </row>
    <row r="24" customFormat="false" ht="26.85" hidden="false" customHeight="false" outlineLevel="0" collapsed="false">
      <c r="A24" s="43" t="s">
        <v>227</v>
      </c>
      <c r="B24" s="43" t="s">
        <v>32</v>
      </c>
      <c r="C24" s="44" t="s">
        <v>228</v>
      </c>
      <c r="D24" s="43" t="s">
        <v>229</v>
      </c>
      <c r="E24" s="24" t="s">
        <v>154</v>
      </c>
      <c r="F24" s="24" t="s">
        <v>161</v>
      </c>
      <c r="G24" s="30" t="n">
        <v>0.35</v>
      </c>
      <c r="H24" s="33" t="n">
        <v>1</v>
      </c>
      <c r="I24" s="24" t="s">
        <v>154</v>
      </c>
      <c r="J24" s="24" t="s">
        <v>156</v>
      </c>
      <c r="K24" s="24" t="s">
        <v>113</v>
      </c>
      <c r="L24" s="24" t="n">
        <v>0</v>
      </c>
      <c r="M24" s="24" t="s">
        <v>115</v>
      </c>
      <c r="N24" s="24" t="n">
        <v>0</v>
      </c>
      <c r="O24" s="36" t="n">
        <f aca="false">IFERROR(INDEX(Milestones!$E$5:$E$34,MATCH($K24,Milestones!$B$5:$B$34,0))+N($L24)*7,"")</f>
        <v>46695</v>
      </c>
      <c r="P24" s="36" t="n">
        <f aca="false">IFERROR(INDEX(Milestones!$E$5:$E$34,MATCH($M24,Milestones!$B$5:$B$34,0))+N($N24)*7,"")</f>
        <v>46877</v>
      </c>
      <c r="Q24" s="45" t="n">
        <f aca="false">IF(OR($O24="",$P24=""),"",MAX(0,($P24-$O24)/(365.25/12)))</f>
        <v>5.97946611909651</v>
      </c>
      <c r="R24" s="46" t="n">
        <f aca="false">IF(OR($A24="",$E24&lt;&gt;"Y"),0,IF($F24="SAR",$G24*Inputs!$B$9,IF($F24="LOE",$G24*N($Q24),$G24))*N($H24)*IF($I24="Y",Inputs!$B$16,1)*IF($J24="Y",Inputs!$B$22,1))</f>
        <v>280</v>
      </c>
      <c r="S24" s="30"/>
      <c r="T24" s="46" t="n">
        <f aca="false">$R24*IF($S24&lt;&gt;"",$S24,Inputs!$B$11)</f>
        <v>420</v>
      </c>
      <c r="U24" s="44" t="s">
        <v>230</v>
      </c>
    </row>
    <row r="25" customFormat="false" ht="39.55" hidden="false" customHeight="false" outlineLevel="0" collapsed="false">
      <c r="A25" s="43" t="s">
        <v>231</v>
      </c>
      <c r="B25" s="43" t="s">
        <v>33</v>
      </c>
      <c r="C25" s="44" t="s">
        <v>232</v>
      </c>
      <c r="D25" s="43" t="s">
        <v>161</v>
      </c>
      <c r="E25" s="24" t="s">
        <v>154</v>
      </c>
      <c r="F25" s="24" t="s">
        <v>161</v>
      </c>
      <c r="G25" s="30" t="n">
        <v>1</v>
      </c>
      <c r="H25" s="33" t="n">
        <v>1</v>
      </c>
      <c r="I25" s="24" t="s">
        <v>154</v>
      </c>
      <c r="J25" s="24" t="s">
        <v>156</v>
      </c>
      <c r="K25" s="24" t="s">
        <v>117</v>
      </c>
      <c r="L25" s="24" t="n">
        <v>0</v>
      </c>
      <c r="M25" s="24" t="s">
        <v>123</v>
      </c>
      <c r="N25" s="24" t="n">
        <v>0</v>
      </c>
      <c r="O25" s="36" t="n">
        <f aca="false">IFERROR(INDEX(Milestones!$E$5:$E$34,MATCH($K25,Milestones!$B$5:$B$34,0))+N($L25)*7,"")</f>
        <v>47122</v>
      </c>
      <c r="P25" s="36" t="n">
        <f aca="false">IFERROR(INDEX(Milestones!$E$5:$E$34,MATCH($M25,Milestones!$B$5:$B$34,0))+N($N25)*7,"")</f>
        <v>47395</v>
      </c>
      <c r="Q25" s="45" t="n">
        <f aca="false">IF(OR($O25="",$P25=""),"",MAX(0,($P25-$O25)/(365.25/12)))</f>
        <v>8.96919917864476</v>
      </c>
      <c r="R25" s="46" t="n">
        <f aca="false">IF(OR($A25="",$E25&lt;&gt;"Y"),0,IF($F25="SAR",$G25*Inputs!$B$9,IF($F25="LOE",$G25*N($Q25),$G25))*N($H25)*IF($I25="Y",Inputs!$B$16,1)*IF($J25="Y",Inputs!$B$22,1))</f>
        <v>800</v>
      </c>
      <c r="S25" s="30"/>
      <c r="T25" s="46" t="n">
        <f aca="false">$R25*IF($S25&lt;&gt;"",$S25,Inputs!$B$11)</f>
        <v>1200</v>
      </c>
      <c r="U25" s="44" t="s">
        <v>233</v>
      </c>
    </row>
    <row r="26" customFormat="false" ht="26.85" hidden="false" customHeight="false" outlineLevel="0" collapsed="false">
      <c r="A26" s="43" t="s">
        <v>234</v>
      </c>
      <c r="B26" s="43" t="s">
        <v>33</v>
      </c>
      <c r="C26" s="44" t="s">
        <v>235</v>
      </c>
      <c r="D26" s="43" t="s">
        <v>236</v>
      </c>
      <c r="E26" s="24" t="s">
        <v>156</v>
      </c>
      <c r="F26" s="24" t="s">
        <v>161</v>
      </c>
      <c r="G26" s="30" t="n">
        <v>0.8</v>
      </c>
      <c r="H26" s="33" t="n">
        <v>1</v>
      </c>
      <c r="I26" s="24" t="s">
        <v>154</v>
      </c>
      <c r="J26" s="24" t="s">
        <v>156</v>
      </c>
      <c r="K26" s="24" t="s">
        <v>117</v>
      </c>
      <c r="L26" s="24" t="n">
        <v>0</v>
      </c>
      <c r="M26" s="24" t="s">
        <v>123</v>
      </c>
      <c r="N26" s="24" t="n">
        <v>0</v>
      </c>
      <c r="O26" s="36" t="n">
        <f aca="false">IFERROR(INDEX(Milestones!$E$5:$E$34,MATCH($K26,Milestones!$B$5:$B$34,0))+N($L26)*7,"")</f>
        <v>47122</v>
      </c>
      <c r="P26" s="36" t="n">
        <f aca="false">IFERROR(INDEX(Milestones!$E$5:$E$34,MATCH($M26,Milestones!$B$5:$B$34,0))+N($N26)*7,"")</f>
        <v>47395</v>
      </c>
      <c r="Q26" s="45" t="n">
        <f aca="false">IF(OR($O26="",$P26=""),"",MAX(0,($P26-$O26)/(365.25/12)))</f>
        <v>8.96919917864476</v>
      </c>
      <c r="R26" s="46" t="n">
        <f aca="false">IF(OR($A26="",$E26&lt;&gt;"Y"),0,IF($F26="SAR",$G26*Inputs!$B$9,IF($F26="LOE",$G26*N($Q26),$G26))*N($H26)*IF($I26="Y",Inputs!$B$16,1)*IF($J26="Y",Inputs!$B$22,1))</f>
        <v>0</v>
      </c>
      <c r="S26" s="30"/>
      <c r="T26" s="46" t="n">
        <f aca="false">$R26*IF($S26&lt;&gt;"",$S26,Inputs!$B$11)</f>
        <v>0</v>
      </c>
      <c r="U26" s="44" t="s">
        <v>237</v>
      </c>
    </row>
    <row r="27" customFormat="false" ht="39.55" hidden="false" customHeight="false" outlineLevel="0" collapsed="false">
      <c r="A27" s="43" t="s">
        <v>238</v>
      </c>
      <c r="B27" s="43" t="s">
        <v>33</v>
      </c>
      <c r="C27" s="44" t="s">
        <v>239</v>
      </c>
      <c r="D27" s="43" t="s">
        <v>240</v>
      </c>
      <c r="E27" s="24" t="s">
        <v>154</v>
      </c>
      <c r="F27" s="24" t="s">
        <v>161</v>
      </c>
      <c r="G27" s="30" t="n">
        <v>0.1</v>
      </c>
      <c r="H27" s="47" t="n">
        <f aca="false">Inputs!$B$31</f>
        <v>8</v>
      </c>
      <c r="I27" s="24" t="s">
        <v>154</v>
      </c>
      <c r="J27" s="24" t="s">
        <v>156</v>
      </c>
      <c r="K27" s="24" t="s">
        <v>119</v>
      </c>
      <c r="L27" s="24" t="n">
        <v>-8</v>
      </c>
      <c r="M27" s="24" t="s">
        <v>121</v>
      </c>
      <c r="N27" s="24" t="n">
        <v>4</v>
      </c>
      <c r="O27" s="36" t="n">
        <f aca="false">IFERROR(INDEX(Milestones!$E$5:$E$34,MATCH($K27,Milestones!$B$5:$B$34,0))+N($L27)*7,"")</f>
        <v>47097</v>
      </c>
      <c r="P27" s="36" t="n">
        <f aca="false">IFERROR(INDEX(Milestones!$E$5:$E$34,MATCH($M27,Milestones!$B$5:$B$34,0))+N($N27)*7,"")</f>
        <v>47362</v>
      </c>
      <c r="Q27" s="45" t="n">
        <f aca="false">IF(OR($O27="",$P27=""),"",MAX(0,($P27-$O27)/(365.25/12)))</f>
        <v>8.70636550308008</v>
      </c>
      <c r="R27" s="46" t="n">
        <f aca="false">IF(OR($A27="",$E27&lt;&gt;"Y"),0,IF($F27="SAR",$G27*Inputs!$B$9,IF($F27="LOE",$G27*N($Q27),$G27))*N($H27)*IF($I27="Y",Inputs!$B$16,1)*IF($J27="Y",Inputs!$B$22,1))</f>
        <v>640</v>
      </c>
      <c r="S27" s="30"/>
      <c r="T27" s="46" t="n">
        <f aca="false">$R27*IF($S27&lt;&gt;"",$S27,Inputs!$B$11)</f>
        <v>960</v>
      </c>
      <c r="U27" s="44" t="s">
        <v>241</v>
      </c>
    </row>
    <row r="28" customFormat="false" ht="26.85" hidden="false" customHeight="false" outlineLevel="0" collapsed="false">
      <c r="A28" s="43" t="s">
        <v>242</v>
      </c>
      <c r="B28" s="43" t="s">
        <v>33</v>
      </c>
      <c r="C28" s="44" t="s">
        <v>243</v>
      </c>
      <c r="D28" s="43" t="s">
        <v>244</v>
      </c>
      <c r="E28" s="24" t="s">
        <v>154</v>
      </c>
      <c r="F28" s="24" t="s">
        <v>161</v>
      </c>
      <c r="G28" s="30" t="n">
        <v>0.03</v>
      </c>
      <c r="H28" s="47" t="n">
        <f aca="false">Inputs!$B$32</f>
        <v>20</v>
      </c>
      <c r="I28" s="24" t="s">
        <v>154</v>
      </c>
      <c r="J28" s="24" t="s">
        <v>156</v>
      </c>
      <c r="K28" s="24" t="s">
        <v>115</v>
      </c>
      <c r="L28" s="24" t="n">
        <v>0</v>
      </c>
      <c r="M28" s="24" t="s">
        <v>125</v>
      </c>
      <c r="N28" s="24" t="n">
        <v>0</v>
      </c>
      <c r="O28" s="36" t="n">
        <f aca="false">IFERROR(INDEX(Milestones!$E$5:$E$34,MATCH($K28,Milestones!$B$5:$B$34,0))+N($L28)*7,"")</f>
        <v>46877</v>
      </c>
      <c r="P28" s="36" t="n">
        <f aca="false">IFERROR(INDEX(Milestones!$E$5:$E$34,MATCH($M28,Milestones!$B$5:$B$34,0))+N($N28)*7,"")</f>
        <v>47483</v>
      </c>
      <c r="Q28" s="45" t="n">
        <f aca="false">IF(OR($O28="",$P28=""),"",MAX(0,($P28-$O28)/(365.25/12)))</f>
        <v>19.9096509240246</v>
      </c>
      <c r="R28" s="46" t="n">
        <f aca="false">IF(OR($A28="",$E28&lt;&gt;"Y"),0,IF($F28="SAR",$G28*Inputs!$B$9,IF($F28="LOE",$G28*N($Q28),$G28))*N($H28)*IF($I28="Y",Inputs!$B$16,1)*IF($J28="Y",Inputs!$B$22,1))</f>
        <v>480</v>
      </c>
      <c r="S28" s="30"/>
      <c r="T28" s="46" t="n">
        <f aca="false">$R28*IF($S28&lt;&gt;"",$S28,Inputs!$B$11)</f>
        <v>720</v>
      </c>
      <c r="U28" s="44" t="s">
        <v>245</v>
      </c>
    </row>
    <row r="29" customFormat="false" ht="39.55" hidden="false" customHeight="false" outlineLevel="0" collapsed="false">
      <c r="A29" s="43" t="s">
        <v>246</v>
      </c>
      <c r="B29" s="43" t="s">
        <v>34</v>
      </c>
      <c r="C29" s="44" t="s">
        <v>247</v>
      </c>
      <c r="D29" s="43" t="s">
        <v>248</v>
      </c>
      <c r="E29" s="24" t="s">
        <v>154</v>
      </c>
      <c r="F29" s="24" t="s">
        <v>161</v>
      </c>
      <c r="G29" s="30" t="n">
        <v>0.7</v>
      </c>
      <c r="H29" s="33" t="n">
        <v>1</v>
      </c>
      <c r="I29" s="24" t="s">
        <v>154</v>
      </c>
      <c r="J29" s="24" t="s">
        <v>154</v>
      </c>
      <c r="K29" s="24" t="s">
        <v>115</v>
      </c>
      <c r="L29" s="24" t="n">
        <v>0</v>
      </c>
      <c r="M29" s="24" t="s">
        <v>121</v>
      </c>
      <c r="N29" s="24" t="n">
        <v>0</v>
      </c>
      <c r="O29" s="36" t="n">
        <f aca="false">IFERROR(INDEX(Milestones!$E$5:$E$34,MATCH($K29,Milestones!$B$5:$B$34,0))+N($L29)*7,"")</f>
        <v>46877</v>
      </c>
      <c r="P29" s="36" t="n">
        <f aca="false">IFERROR(INDEX(Milestones!$E$5:$E$34,MATCH($M29,Milestones!$B$5:$B$34,0))+N($N29)*7,"")</f>
        <v>47334</v>
      </c>
      <c r="Q29" s="45" t="n">
        <f aca="false">IF(OR($O29="",$P29=""),"",MAX(0,($P29-$O29)/(365.25/12)))</f>
        <v>15.0143737166324</v>
      </c>
      <c r="R29" s="46" t="n">
        <f aca="false">IF(OR($A29="",$E29&lt;&gt;"Y"),0,IF($F29="SAR",$G29*Inputs!$B$9,IF($F29="LOE",$G29*N($Q29),$G29))*N($H29)*IF($I29="Y",Inputs!$B$16,1)*IF($J29="Y",Inputs!$B$22,1))</f>
        <v>728</v>
      </c>
      <c r="S29" s="30"/>
      <c r="T29" s="46" t="n">
        <f aca="false">$R29*IF($S29&lt;&gt;"",$S29,Inputs!$B$11)</f>
        <v>1092</v>
      </c>
      <c r="U29" s="44" t="s">
        <v>249</v>
      </c>
    </row>
    <row r="30" customFormat="false" ht="26.85" hidden="false" customHeight="false" outlineLevel="0" collapsed="false">
      <c r="A30" s="43" t="s">
        <v>250</v>
      </c>
      <c r="B30" s="43" t="s">
        <v>34</v>
      </c>
      <c r="C30" s="44" t="s">
        <v>251</v>
      </c>
      <c r="D30" s="43" t="s">
        <v>252</v>
      </c>
      <c r="E30" s="24" t="s">
        <v>156</v>
      </c>
      <c r="F30" s="24" t="s">
        <v>161</v>
      </c>
      <c r="G30" s="30" t="n">
        <v>0.5</v>
      </c>
      <c r="H30" s="33" t="n">
        <v>1</v>
      </c>
      <c r="I30" s="24" t="s">
        <v>154</v>
      </c>
      <c r="J30" s="24" t="s">
        <v>156</v>
      </c>
      <c r="K30" s="24" t="s">
        <v>115</v>
      </c>
      <c r="L30" s="24" t="n">
        <v>0</v>
      </c>
      <c r="M30" s="24" t="s">
        <v>117</v>
      </c>
      <c r="N30" s="24" t="n">
        <v>0</v>
      </c>
      <c r="O30" s="36" t="n">
        <f aca="false">IFERROR(INDEX(Milestones!$E$5:$E$34,MATCH($K30,Milestones!$B$5:$B$34,0))+N($L30)*7,"")</f>
        <v>46877</v>
      </c>
      <c r="P30" s="36" t="n">
        <f aca="false">IFERROR(INDEX(Milestones!$E$5:$E$34,MATCH($M30,Milestones!$B$5:$B$34,0))+N($N30)*7,"")</f>
        <v>47122</v>
      </c>
      <c r="Q30" s="45" t="n">
        <f aca="false">IF(OR($O30="",$P30=""),"",MAX(0,($P30-$O30)/(365.25/12)))</f>
        <v>8.04928131416838</v>
      </c>
      <c r="R30" s="46" t="n">
        <f aca="false">IF(OR($A30="",$E30&lt;&gt;"Y"),0,IF($F30="SAR",$G30*Inputs!$B$9,IF($F30="LOE",$G30*N($Q30),$G30))*N($H30)*IF($I30="Y",Inputs!$B$16,1)*IF($J30="Y",Inputs!$B$22,1))</f>
        <v>0</v>
      </c>
      <c r="S30" s="30"/>
      <c r="T30" s="46" t="n">
        <f aca="false">$R30*IF($S30&lt;&gt;"",$S30,Inputs!$B$11)</f>
        <v>0</v>
      </c>
      <c r="U30" s="44" t="s">
        <v>253</v>
      </c>
    </row>
    <row r="31" customFormat="false" ht="15" hidden="false" customHeight="false" outlineLevel="0" collapsed="false">
      <c r="A31" s="43" t="s">
        <v>254</v>
      </c>
      <c r="B31" s="43" t="s">
        <v>34</v>
      </c>
      <c r="C31" s="44" t="s">
        <v>255</v>
      </c>
      <c r="D31" s="43" t="s">
        <v>256</v>
      </c>
      <c r="E31" s="24" t="s">
        <v>156</v>
      </c>
      <c r="F31" s="24" t="s">
        <v>161</v>
      </c>
      <c r="G31" s="30" t="n">
        <v>0.3</v>
      </c>
      <c r="H31" s="33" t="n">
        <v>1</v>
      </c>
      <c r="I31" s="24" t="s">
        <v>154</v>
      </c>
      <c r="J31" s="24" t="s">
        <v>156</v>
      </c>
      <c r="K31" s="24" t="s">
        <v>115</v>
      </c>
      <c r="L31" s="24" t="n">
        <v>0</v>
      </c>
      <c r="M31" s="24" t="s">
        <v>117</v>
      </c>
      <c r="N31" s="24" t="n">
        <v>0</v>
      </c>
      <c r="O31" s="36" t="n">
        <f aca="false">IFERROR(INDEX(Milestones!$E$5:$E$34,MATCH($K31,Milestones!$B$5:$B$34,0))+N($L31)*7,"")</f>
        <v>46877</v>
      </c>
      <c r="P31" s="36" t="n">
        <f aca="false">IFERROR(INDEX(Milestones!$E$5:$E$34,MATCH($M31,Milestones!$B$5:$B$34,0))+N($N31)*7,"")</f>
        <v>47122</v>
      </c>
      <c r="Q31" s="45" t="n">
        <f aca="false">IF(OR($O31="",$P31=""),"",MAX(0,($P31-$O31)/(365.25/12)))</f>
        <v>8.04928131416838</v>
      </c>
      <c r="R31" s="46" t="n">
        <f aca="false">IF(OR($A31="",$E31&lt;&gt;"Y"),0,IF($F31="SAR",$G31*Inputs!$B$9,IF($F31="LOE",$G31*N($Q31),$G31))*N($H31)*IF($I31="Y",Inputs!$B$16,1)*IF($J31="Y",Inputs!$B$22,1))</f>
        <v>0</v>
      </c>
      <c r="S31" s="30"/>
      <c r="T31" s="46" t="n">
        <f aca="false">$R31*IF($S31&lt;&gt;"",$S31,Inputs!$B$11)</f>
        <v>0</v>
      </c>
      <c r="U31" s="44" t="s">
        <v>257</v>
      </c>
    </row>
    <row r="32" customFormat="false" ht="39.55" hidden="false" customHeight="false" outlineLevel="0" collapsed="false">
      <c r="A32" s="43" t="s">
        <v>258</v>
      </c>
      <c r="B32" s="43" t="s">
        <v>34</v>
      </c>
      <c r="C32" s="44" t="s">
        <v>259</v>
      </c>
      <c r="D32" s="43" t="s">
        <v>260</v>
      </c>
      <c r="E32" s="24" t="s">
        <v>154</v>
      </c>
      <c r="F32" s="24" t="s">
        <v>161</v>
      </c>
      <c r="G32" s="30" t="n">
        <v>0.6</v>
      </c>
      <c r="H32" s="33" t="n">
        <v>1</v>
      </c>
      <c r="I32" s="24" t="s">
        <v>154</v>
      </c>
      <c r="J32" s="24" t="s">
        <v>154</v>
      </c>
      <c r="K32" s="24" t="s">
        <v>113</v>
      </c>
      <c r="L32" s="24" t="n">
        <v>0</v>
      </c>
      <c r="M32" s="24" t="s">
        <v>117</v>
      </c>
      <c r="N32" s="24" t="n">
        <v>0</v>
      </c>
      <c r="O32" s="36" t="n">
        <f aca="false">IFERROR(INDEX(Milestones!$E$5:$E$34,MATCH($K32,Milestones!$B$5:$B$34,0))+N($L32)*7,"")</f>
        <v>46695</v>
      </c>
      <c r="P32" s="36" t="n">
        <f aca="false">IFERROR(INDEX(Milestones!$E$5:$E$34,MATCH($M32,Milestones!$B$5:$B$34,0))+N($N32)*7,"")</f>
        <v>47122</v>
      </c>
      <c r="Q32" s="45" t="n">
        <f aca="false">IF(OR($O32="",$P32=""),"",MAX(0,($P32-$O32)/(365.25/12)))</f>
        <v>14.0287474332649</v>
      </c>
      <c r="R32" s="46" t="n">
        <f aca="false">IF(OR($A32="",$E32&lt;&gt;"Y"),0,IF($F32="SAR",$G32*Inputs!$B$9,IF($F32="LOE",$G32*N($Q32),$G32))*N($H32)*IF($I32="Y",Inputs!$B$16,1)*IF($J32="Y",Inputs!$B$22,1))</f>
        <v>624</v>
      </c>
      <c r="S32" s="30"/>
      <c r="T32" s="46" t="n">
        <f aca="false">$R32*IF($S32&lt;&gt;"",$S32,Inputs!$B$11)</f>
        <v>936</v>
      </c>
      <c r="U32" s="44" t="s">
        <v>261</v>
      </c>
    </row>
    <row r="33" customFormat="false" ht="26.85" hidden="false" customHeight="false" outlineLevel="0" collapsed="false">
      <c r="A33" s="43" t="s">
        <v>262</v>
      </c>
      <c r="B33" s="43" t="s">
        <v>35</v>
      </c>
      <c r="C33" s="44" t="s">
        <v>263</v>
      </c>
      <c r="D33" s="43" t="s">
        <v>264</v>
      </c>
      <c r="E33" s="24" t="s">
        <v>154</v>
      </c>
      <c r="F33" s="24" t="s">
        <v>155</v>
      </c>
      <c r="G33" s="30" t="n">
        <v>8</v>
      </c>
      <c r="H33" s="33" t="n">
        <v>1</v>
      </c>
      <c r="I33" s="24" t="s">
        <v>154</v>
      </c>
      <c r="J33" s="24" t="s">
        <v>156</v>
      </c>
      <c r="K33" s="24" t="s">
        <v>107</v>
      </c>
      <c r="L33" s="24" t="n">
        <v>0</v>
      </c>
      <c r="M33" s="24" t="s">
        <v>125</v>
      </c>
      <c r="N33" s="24" t="n">
        <v>0</v>
      </c>
      <c r="O33" s="36" t="n">
        <f aca="false">IFERROR(INDEX(Milestones!$E$5:$E$34,MATCH($K33,Milestones!$B$5:$B$34,0))+N($L33)*7,"")</f>
        <v>46391</v>
      </c>
      <c r="P33" s="36" t="n">
        <f aca="false">IFERROR(INDEX(Milestones!$E$5:$E$34,MATCH($M33,Milestones!$B$5:$B$34,0))+N($N33)*7,"")</f>
        <v>47483</v>
      </c>
      <c r="Q33" s="45" t="n">
        <f aca="false">IF(OR($O33="",$P33=""),"",MAX(0,($P33-$O33)/(365.25/12)))</f>
        <v>35.8767967145791</v>
      </c>
      <c r="R33" s="46" t="n">
        <f aca="false">IF(OR($A33="",$E33&lt;&gt;"Y"),0,IF($F33="SAR",$G33*Inputs!$B$9,IF($F33="LOE",$G33*N($Q33),$G33))*N($H33)*IF($I33="Y",Inputs!$B$16,1)*IF($J33="Y",Inputs!$B$22,1))</f>
        <v>287.014373716632</v>
      </c>
      <c r="S33" s="30"/>
      <c r="T33" s="46" t="n">
        <f aca="false">$R33*IF($S33&lt;&gt;"",$S33,Inputs!$B$11)</f>
        <v>430.521560574949</v>
      </c>
      <c r="U33" s="44" t="s">
        <v>265</v>
      </c>
    </row>
    <row r="34" customFormat="false" ht="26.85" hidden="false" customHeight="false" outlineLevel="0" collapsed="false">
      <c r="A34" s="43" t="s">
        <v>266</v>
      </c>
      <c r="B34" s="43" t="s">
        <v>35</v>
      </c>
      <c r="C34" s="44" t="s">
        <v>267</v>
      </c>
      <c r="D34" s="43" t="s">
        <v>268</v>
      </c>
      <c r="E34" s="24" t="s">
        <v>154</v>
      </c>
      <c r="F34" s="24" t="s">
        <v>161</v>
      </c>
      <c r="G34" s="30" t="n">
        <v>0.1</v>
      </c>
      <c r="H34" s="47" t="n">
        <f aca="false">Inputs!$B$34</f>
        <v>4</v>
      </c>
      <c r="I34" s="24" t="s">
        <v>154</v>
      </c>
      <c r="J34" s="24" t="s">
        <v>156</v>
      </c>
      <c r="K34" s="24" t="s">
        <v>109</v>
      </c>
      <c r="L34" s="24" t="n">
        <v>-6</v>
      </c>
      <c r="M34" s="24" t="s">
        <v>117</v>
      </c>
      <c r="N34" s="24" t="n">
        <v>0</v>
      </c>
      <c r="O34" s="36" t="n">
        <f aca="false">IFERROR(INDEX(Milestones!$E$5:$E$34,MATCH($K34,Milestones!$B$5:$B$34,0))+N($L34)*7,"")</f>
        <v>46439</v>
      </c>
      <c r="P34" s="36" t="n">
        <f aca="false">IFERROR(INDEX(Milestones!$E$5:$E$34,MATCH($M34,Milestones!$B$5:$B$34,0))+N($N34)*7,"")</f>
        <v>47122</v>
      </c>
      <c r="Q34" s="45" t="n">
        <f aca="false">IF(OR($O34="",$P34=""),"",MAX(0,($P34-$O34)/(365.25/12)))</f>
        <v>22.4394250513347</v>
      </c>
      <c r="R34" s="46" t="n">
        <f aca="false">IF(OR($A34="",$E34&lt;&gt;"Y"),0,IF($F34="SAR",$G34*Inputs!$B$9,IF($F34="LOE",$G34*N($Q34),$G34))*N($H34)*IF($I34="Y",Inputs!$B$16,1)*IF($J34="Y",Inputs!$B$22,1))</f>
        <v>320</v>
      </c>
      <c r="S34" s="30"/>
      <c r="T34" s="46" t="n">
        <f aca="false">$R34*IF($S34&lt;&gt;"",$S34,Inputs!$B$11)</f>
        <v>480</v>
      </c>
      <c r="U34" s="44" t="s">
        <v>269</v>
      </c>
    </row>
    <row r="35" customFormat="false" ht="26.85" hidden="false" customHeight="false" outlineLevel="0" collapsed="false">
      <c r="A35" s="43" t="s">
        <v>270</v>
      </c>
      <c r="B35" s="43" t="s">
        <v>35</v>
      </c>
      <c r="C35" s="44" t="s">
        <v>271</v>
      </c>
      <c r="D35" s="43" t="s">
        <v>272</v>
      </c>
      <c r="E35" s="24" t="s">
        <v>154</v>
      </c>
      <c r="F35" s="24" t="s">
        <v>155</v>
      </c>
      <c r="G35" s="30" t="n">
        <v>6</v>
      </c>
      <c r="H35" s="33" t="n">
        <v>1</v>
      </c>
      <c r="I35" s="24" t="s">
        <v>156</v>
      </c>
      <c r="J35" s="24" t="s">
        <v>156</v>
      </c>
      <c r="K35" s="24" t="s">
        <v>107</v>
      </c>
      <c r="L35" s="24" t="n">
        <v>0</v>
      </c>
      <c r="M35" s="24" t="s">
        <v>125</v>
      </c>
      <c r="N35" s="24" t="n">
        <v>0</v>
      </c>
      <c r="O35" s="36" t="n">
        <f aca="false">IFERROR(INDEX(Milestones!$E$5:$E$34,MATCH($K35,Milestones!$B$5:$B$34,0))+N($L35)*7,"")</f>
        <v>46391</v>
      </c>
      <c r="P35" s="36" t="n">
        <f aca="false">IFERROR(INDEX(Milestones!$E$5:$E$34,MATCH($M35,Milestones!$B$5:$B$34,0))+N($N35)*7,"")</f>
        <v>47483</v>
      </c>
      <c r="Q35" s="45" t="n">
        <f aca="false">IF(OR($O35="",$P35=""),"",MAX(0,($P35-$O35)/(365.25/12)))</f>
        <v>35.8767967145791</v>
      </c>
      <c r="R35" s="46" t="n">
        <f aca="false">IF(OR($A35="",$E35&lt;&gt;"Y"),0,IF($F35="SAR",$G35*Inputs!$B$9,IF($F35="LOE",$G35*N($Q35),$G35))*N($H35)*IF($I35="Y",Inputs!$B$16,1)*IF($J35="Y",Inputs!$B$22,1))</f>
        <v>215.260780287474</v>
      </c>
      <c r="S35" s="30"/>
      <c r="T35" s="46" t="n">
        <f aca="false">$R35*IF($S35&lt;&gt;"",$S35,Inputs!$B$11)</f>
        <v>322.891170431212</v>
      </c>
      <c r="U35" s="44" t="s">
        <v>273</v>
      </c>
    </row>
    <row r="36" customFormat="false" ht="15" hidden="false" customHeight="false" outlineLevel="0" collapsed="false">
      <c r="A36" s="7"/>
      <c r="B36" s="7"/>
      <c r="C36" s="48"/>
      <c r="D36" s="7"/>
      <c r="E36" s="7"/>
      <c r="F36" s="7"/>
      <c r="G36" s="10"/>
      <c r="H36" s="49"/>
      <c r="I36" s="7"/>
      <c r="J36" s="7"/>
      <c r="K36" s="7"/>
      <c r="L36" s="7"/>
      <c r="M36" s="7"/>
      <c r="N36" s="7"/>
      <c r="O36" s="36" t="str">
        <f aca="false">IFERROR(INDEX(Milestones!$E$5:$E$34,MATCH($K36,Milestones!$B$5:$B$34,0))+N($L36)*7,"")</f>
        <v/>
      </c>
      <c r="P36" s="36" t="str">
        <f aca="false">IFERROR(INDEX(Milestones!$E$5:$E$34,MATCH($M36,Milestones!$B$5:$B$34,0))+N($N36)*7,"")</f>
        <v/>
      </c>
      <c r="Q36" s="45" t="str">
        <f aca="false">IF(OR($O36="",$P36=""),"",MAX(0,($P36-$O36)/(365.25/12)))</f>
        <v/>
      </c>
      <c r="R36" s="46" t="n">
        <f aca="false">IF(OR($A36="",$E36&lt;&gt;"Y"),0,IF($F36="SAR",$G36*Inputs!$B$9,IF($F36="LOE",$G36*N($Q36),$G36))*N($H36)*IF($I36="Y",Inputs!$B$16,1)*IF($J36="Y",Inputs!$B$22,1))</f>
        <v>0</v>
      </c>
      <c r="S36" s="10"/>
      <c r="T36" s="46" t="n">
        <f aca="false">$R36*IF($S36&lt;&gt;"",$S36,Inputs!$B$11)</f>
        <v>0</v>
      </c>
      <c r="U36" s="48"/>
    </row>
    <row r="37" customFormat="false" ht="15" hidden="false" customHeight="false" outlineLevel="0" collapsed="false">
      <c r="A37" s="7"/>
      <c r="B37" s="7"/>
      <c r="C37" s="48"/>
      <c r="D37" s="7"/>
      <c r="E37" s="7"/>
      <c r="F37" s="7"/>
      <c r="G37" s="10"/>
      <c r="H37" s="49"/>
      <c r="I37" s="7"/>
      <c r="J37" s="7"/>
      <c r="K37" s="7"/>
      <c r="L37" s="7"/>
      <c r="M37" s="7"/>
      <c r="N37" s="7"/>
      <c r="O37" s="36" t="str">
        <f aca="false">IFERROR(INDEX(Milestones!$E$5:$E$34,MATCH($K37,Milestones!$B$5:$B$34,0))+N($L37)*7,"")</f>
        <v/>
      </c>
      <c r="P37" s="36" t="str">
        <f aca="false">IFERROR(INDEX(Milestones!$E$5:$E$34,MATCH($M37,Milestones!$B$5:$B$34,0))+N($N37)*7,"")</f>
        <v/>
      </c>
      <c r="Q37" s="45" t="str">
        <f aca="false">IF(OR($O37="",$P37=""),"",MAX(0,($P37-$O37)/(365.25/12)))</f>
        <v/>
      </c>
      <c r="R37" s="46" t="n">
        <f aca="false">IF(OR($A37="",$E37&lt;&gt;"Y"),0,IF($F37="SAR",$G37*Inputs!$B$9,IF($F37="LOE",$G37*N($Q37),$G37))*N($H37)*IF($I37="Y",Inputs!$B$16,1)*IF($J37="Y",Inputs!$B$22,1))</f>
        <v>0</v>
      </c>
      <c r="S37" s="10"/>
      <c r="T37" s="46" t="n">
        <f aca="false">$R37*IF($S37&lt;&gt;"",$S37,Inputs!$B$11)</f>
        <v>0</v>
      </c>
      <c r="U37" s="48"/>
    </row>
    <row r="38" customFormat="false" ht="15" hidden="false" customHeight="false" outlineLevel="0" collapsed="false">
      <c r="A38" s="7"/>
      <c r="B38" s="7"/>
      <c r="C38" s="48"/>
      <c r="D38" s="7"/>
      <c r="E38" s="7"/>
      <c r="F38" s="7"/>
      <c r="G38" s="10"/>
      <c r="H38" s="49"/>
      <c r="I38" s="7"/>
      <c r="J38" s="7"/>
      <c r="K38" s="7"/>
      <c r="L38" s="7"/>
      <c r="M38" s="7"/>
      <c r="N38" s="7"/>
      <c r="O38" s="36" t="str">
        <f aca="false">IFERROR(INDEX(Milestones!$E$5:$E$34,MATCH($K38,Milestones!$B$5:$B$34,0))+N($L38)*7,"")</f>
        <v/>
      </c>
      <c r="P38" s="36" t="str">
        <f aca="false">IFERROR(INDEX(Milestones!$E$5:$E$34,MATCH($M38,Milestones!$B$5:$B$34,0))+N($N38)*7,"")</f>
        <v/>
      </c>
      <c r="Q38" s="45" t="str">
        <f aca="false">IF(OR($O38="",$P38=""),"",MAX(0,($P38-$O38)/(365.25/12)))</f>
        <v/>
      </c>
      <c r="R38" s="46" t="n">
        <f aca="false">IF(OR($A38="",$E38&lt;&gt;"Y"),0,IF($F38="SAR",$G38*Inputs!$B$9,IF($F38="LOE",$G38*N($Q38),$G38))*N($H38)*IF($I38="Y",Inputs!$B$16,1)*IF($J38="Y",Inputs!$B$22,1))</f>
        <v>0</v>
      </c>
      <c r="S38" s="10"/>
      <c r="T38" s="46" t="n">
        <f aca="false">$R38*IF($S38&lt;&gt;"",$S38,Inputs!$B$11)</f>
        <v>0</v>
      </c>
      <c r="U38" s="48"/>
    </row>
    <row r="39" customFormat="false" ht="15" hidden="false" customHeight="false" outlineLevel="0" collapsed="false">
      <c r="A39" s="7"/>
      <c r="B39" s="7"/>
      <c r="C39" s="48"/>
      <c r="D39" s="7"/>
      <c r="E39" s="7"/>
      <c r="F39" s="7"/>
      <c r="G39" s="10"/>
      <c r="H39" s="49"/>
      <c r="I39" s="7"/>
      <c r="J39" s="7"/>
      <c r="K39" s="7"/>
      <c r="L39" s="7"/>
      <c r="M39" s="7"/>
      <c r="N39" s="7"/>
      <c r="O39" s="36" t="str">
        <f aca="false">IFERROR(INDEX(Milestones!$E$5:$E$34,MATCH($K39,Milestones!$B$5:$B$34,0))+N($L39)*7,"")</f>
        <v/>
      </c>
      <c r="P39" s="36" t="str">
        <f aca="false">IFERROR(INDEX(Milestones!$E$5:$E$34,MATCH($M39,Milestones!$B$5:$B$34,0))+N($N39)*7,"")</f>
        <v/>
      </c>
      <c r="Q39" s="45" t="str">
        <f aca="false">IF(OR($O39="",$P39=""),"",MAX(0,($P39-$O39)/(365.25/12)))</f>
        <v/>
      </c>
      <c r="R39" s="46" t="n">
        <f aca="false">IF(OR($A39="",$E39&lt;&gt;"Y"),0,IF($F39="SAR",$G39*Inputs!$B$9,IF($F39="LOE",$G39*N($Q39),$G39))*N($H39)*IF($I39="Y",Inputs!$B$16,1)*IF($J39="Y",Inputs!$B$22,1))</f>
        <v>0</v>
      </c>
      <c r="S39" s="10"/>
      <c r="T39" s="46" t="n">
        <f aca="false">$R39*IF($S39&lt;&gt;"",$S39,Inputs!$B$11)</f>
        <v>0</v>
      </c>
      <c r="U39" s="48"/>
    </row>
    <row r="40" customFormat="false" ht="15" hidden="false" customHeight="false" outlineLevel="0" collapsed="false">
      <c r="A40" s="7"/>
      <c r="B40" s="7"/>
      <c r="C40" s="48"/>
      <c r="D40" s="7"/>
      <c r="E40" s="7"/>
      <c r="F40" s="7"/>
      <c r="G40" s="10"/>
      <c r="H40" s="49"/>
      <c r="I40" s="7"/>
      <c r="J40" s="7"/>
      <c r="K40" s="7"/>
      <c r="L40" s="7"/>
      <c r="M40" s="7"/>
      <c r="N40" s="7"/>
      <c r="O40" s="36" t="str">
        <f aca="false">IFERROR(INDEX(Milestones!$E$5:$E$34,MATCH($K40,Milestones!$B$5:$B$34,0))+N($L40)*7,"")</f>
        <v/>
      </c>
      <c r="P40" s="36" t="str">
        <f aca="false">IFERROR(INDEX(Milestones!$E$5:$E$34,MATCH($M40,Milestones!$B$5:$B$34,0))+N($N40)*7,"")</f>
        <v/>
      </c>
      <c r="Q40" s="45" t="str">
        <f aca="false">IF(OR($O40="",$P40=""),"",MAX(0,($P40-$O40)/(365.25/12)))</f>
        <v/>
      </c>
      <c r="R40" s="46" t="n">
        <f aca="false">IF(OR($A40="",$E40&lt;&gt;"Y"),0,IF($F40="SAR",$G40*Inputs!$B$9,IF($F40="LOE",$G40*N($Q40),$G40))*N($H40)*IF($I40="Y",Inputs!$B$16,1)*IF($J40="Y",Inputs!$B$22,1))</f>
        <v>0</v>
      </c>
      <c r="S40" s="10"/>
      <c r="T40" s="46" t="n">
        <f aca="false">$R40*IF($S40&lt;&gt;"",$S40,Inputs!$B$11)</f>
        <v>0</v>
      </c>
      <c r="U40" s="48"/>
    </row>
    <row r="41" customFormat="false" ht="15" hidden="false" customHeight="false" outlineLevel="0" collapsed="false">
      <c r="A41" s="7"/>
      <c r="B41" s="7"/>
      <c r="C41" s="48"/>
      <c r="D41" s="7"/>
      <c r="E41" s="7"/>
      <c r="F41" s="7"/>
      <c r="G41" s="10"/>
      <c r="H41" s="49"/>
      <c r="I41" s="7"/>
      <c r="J41" s="7"/>
      <c r="K41" s="7"/>
      <c r="L41" s="7"/>
      <c r="M41" s="7"/>
      <c r="N41" s="7"/>
      <c r="O41" s="36" t="str">
        <f aca="false">IFERROR(INDEX(Milestones!$E$5:$E$34,MATCH($K41,Milestones!$B$5:$B$34,0))+N($L41)*7,"")</f>
        <v/>
      </c>
      <c r="P41" s="36" t="str">
        <f aca="false">IFERROR(INDEX(Milestones!$E$5:$E$34,MATCH($M41,Milestones!$B$5:$B$34,0))+N($N41)*7,"")</f>
        <v/>
      </c>
      <c r="Q41" s="45" t="str">
        <f aca="false">IF(OR($O41="",$P41=""),"",MAX(0,($P41-$O41)/(365.25/12)))</f>
        <v/>
      </c>
      <c r="R41" s="46" t="n">
        <f aca="false">IF(OR($A41="",$E41&lt;&gt;"Y"),0,IF($F41="SAR",$G41*Inputs!$B$9,IF($F41="LOE",$G41*N($Q41),$G41))*N($H41)*IF($I41="Y",Inputs!$B$16,1)*IF($J41="Y",Inputs!$B$22,1))</f>
        <v>0</v>
      </c>
      <c r="S41" s="10"/>
      <c r="T41" s="46" t="n">
        <f aca="false">$R41*IF($S41&lt;&gt;"",$S41,Inputs!$B$11)</f>
        <v>0</v>
      </c>
      <c r="U41" s="48"/>
    </row>
    <row r="42" customFormat="false" ht="15" hidden="false" customHeight="false" outlineLevel="0" collapsed="false">
      <c r="A42" s="7"/>
      <c r="B42" s="7"/>
      <c r="C42" s="48"/>
      <c r="D42" s="7"/>
      <c r="E42" s="7"/>
      <c r="F42" s="7"/>
      <c r="G42" s="10"/>
      <c r="H42" s="49"/>
      <c r="I42" s="7"/>
      <c r="J42" s="7"/>
      <c r="K42" s="7"/>
      <c r="L42" s="7"/>
      <c r="M42" s="7"/>
      <c r="N42" s="7"/>
      <c r="O42" s="36" t="str">
        <f aca="false">IFERROR(INDEX(Milestones!$E$5:$E$34,MATCH($K42,Milestones!$B$5:$B$34,0))+N($L42)*7,"")</f>
        <v/>
      </c>
      <c r="P42" s="36" t="str">
        <f aca="false">IFERROR(INDEX(Milestones!$E$5:$E$34,MATCH($M42,Milestones!$B$5:$B$34,0))+N($N42)*7,"")</f>
        <v/>
      </c>
      <c r="Q42" s="45" t="str">
        <f aca="false">IF(OR($O42="",$P42=""),"",MAX(0,($P42-$O42)/(365.25/12)))</f>
        <v/>
      </c>
      <c r="R42" s="46" t="n">
        <f aca="false">IF(OR($A42="",$E42&lt;&gt;"Y"),0,IF($F42="SAR",$G42*Inputs!$B$9,IF($F42="LOE",$G42*N($Q42),$G42))*N($H42)*IF($I42="Y",Inputs!$B$16,1)*IF($J42="Y",Inputs!$B$22,1))</f>
        <v>0</v>
      </c>
      <c r="S42" s="10"/>
      <c r="T42" s="46" t="n">
        <f aca="false">$R42*IF($S42&lt;&gt;"",$S42,Inputs!$B$11)</f>
        <v>0</v>
      </c>
      <c r="U42" s="48"/>
    </row>
    <row r="43" customFormat="false" ht="15" hidden="false" customHeight="false" outlineLevel="0" collapsed="false">
      <c r="A43" s="7"/>
      <c r="B43" s="7"/>
      <c r="C43" s="48"/>
      <c r="D43" s="7"/>
      <c r="E43" s="7"/>
      <c r="F43" s="7"/>
      <c r="G43" s="10"/>
      <c r="H43" s="49"/>
      <c r="I43" s="7"/>
      <c r="J43" s="7"/>
      <c r="K43" s="7"/>
      <c r="L43" s="7"/>
      <c r="M43" s="7"/>
      <c r="N43" s="7"/>
      <c r="O43" s="36" t="str">
        <f aca="false">IFERROR(INDEX(Milestones!$E$5:$E$34,MATCH($K43,Milestones!$B$5:$B$34,0))+N($L43)*7,"")</f>
        <v/>
      </c>
      <c r="P43" s="36" t="str">
        <f aca="false">IFERROR(INDEX(Milestones!$E$5:$E$34,MATCH($M43,Milestones!$B$5:$B$34,0))+N($N43)*7,"")</f>
        <v/>
      </c>
      <c r="Q43" s="45" t="str">
        <f aca="false">IF(OR($O43="",$P43=""),"",MAX(0,($P43-$O43)/(365.25/12)))</f>
        <v/>
      </c>
      <c r="R43" s="46" t="n">
        <f aca="false">IF(OR($A43="",$E43&lt;&gt;"Y"),0,IF($F43="SAR",$G43*Inputs!$B$9,IF($F43="LOE",$G43*N($Q43),$G43))*N($H43)*IF($I43="Y",Inputs!$B$16,1)*IF($J43="Y",Inputs!$B$22,1))</f>
        <v>0</v>
      </c>
      <c r="S43" s="10"/>
      <c r="T43" s="46" t="n">
        <f aca="false">$R43*IF($S43&lt;&gt;"",$S43,Inputs!$B$11)</f>
        <v>0</v>
      </c>
      <c r="U43" s="48"/>
    </row>
    <row r="44" customFormat="false" ht="15" hidden="false" customHeight="false" outlineLevel="0" collapsed="false">
      <c r="A44" s="7"/>
      <c r="B44" s="7"/>
      <c r="C44" s="48"/>
      <c r="D44" s="7"/>
      <c r="E44" s="7"/>
      <c r="F44" s="7"/>
      <c r="G44" s="10"/>
      <c r="H44" s="49"/>
      <c r="I44" s="7"/>
      <c r="J44" s="7"/>
      <c r="K44" s="7"/>
      <c r="L44" s="7"/>
      <c r="M44" s="7"/>
      <c r="N44" s="7"/>
      <c r="O44" s="36" t="str">
        <f aca="false">IFERROR(INDEX(Milestones!$E$5:$E$34,MATCH($K44,Milestones!$B$5:$B$34,0))+N($L44)*7,"")</f>
        <v/>
      </c>
      <c r="P44" s="36" t="str">
        <f aca="false">IFERROR(INDEX(Milestones!$E$5:$E$34,MATCH($M44,Milestones!$B$5:$B$34,0))+N($N44)*7,"")</f>
        <v/>
      </c>
      <c r="Q44" s="45" t="str">
        <f aca="false">IF(OR($O44="",$P44=""),"",MAX(0,($P44-$O44)/(365.25/12)))</f>
        <v/>
      </c>
      <c r="R44" s="46" t="n">
        <f aca="false">IF(OR($A44="",$E44&lt;&gt;"Y"),0,IF($F44="SAR",$G44*Inputs!$B$9,IF($F44="LOE",$G44*N($Q44),$G44))*N($H44)*IF($I44="Y",Inputs!$B$16,1)*IF($J44="Y",Inputs!$B$22,1))</f>
        <v>0</v>
      </c>
      <c r="S44" s="10"/>
      <c r="T44" s="46" t="n">
        <f aca="false">$R44*IF($S44&lt;&gt;"",$S44,Inputs!$B$11)</f>
        <v>0</v>
      </c>
      <c r="U44" s="48"/>
    </row>
    <row r="45" customFormat="false" ht="15" hidden="false" customHeight="false" outlineLevel="0" collapsed="false">
      <c r="A45" s="7"/>
      <c r="B45" s="7"/>
      <c r="C45" s="48"/>
      <c r="D45" s="7"/>
      <c r="E45" s="7"/>
      <c r="F45" s="7"/>
      <c r="G45" s="10"/>
      <c r="H45" s="49"/>
      <c r="I45" s="7"/>
      <c r="J45" s="7"/>
      <c r="K45" s="7"/>
      <c r="L45" s="7"/>
      <c r="M45" s="7"/>
      <c r="N45" s="7"/>
      <c r="O45" s="36" t="str">
        <f aca="false">IFERROR(INDEX(Milestones!$E$5:$E$34,MATCH($K45,Milestones!$B$5:$B$34,0))+N($L45)*7,"")</f>
        <v/>
      </c>
      <c r="P45" s="36" t="str">
        <f aca="false">IFERROR(INDEX(Milestones!$E$5:$E$34,MATCH($M45,Milestones!$B$5:$B$34,0))+N($N45)*7,"")</f>
        <v/>
      </c>
      <c r="Q45" s="45" t="str">
        <f aca="false">IF(OR($O45="",$P45=""),"",MAX(0,($P45-$O45)/(365.25/12)))</f>
        <v/>
      </c>
      <c r="R45" s="46" t="n">
        <f aca="false">IF(OR($A45="",$E45&lt;&gt;"Y"),0,IF($F45="SAR",$G45*Inputs!$B$9,IF($F45="LOE",$G45*N($Q45),$G45))*N($H45)*IF($I45="Y",Inputs!$B$16,1)*IF($J45="Y",Inputs!$B$22,1))</f>
        <v>0</v>
      </c>
      <c r="S45" s="10"/>
      <c r="T45" s="46" t="n">
        <f aca="false">$R45*IF($S45&lt;&gt;"",$S45,Inputs!$B$11)</f>
        <v>0</v>
      </c>
      <c r="U45" s="48"/>
    </row>
    <row r="46" customFormat="false" ht="15" hidden="false" customHeight="false" outlineLevel="0" collapsed="false">
      <c r="A46" s="7"/>
      <c r="B46" s="7"/>
      <c r="C46" s="48"/>
      <c r="D46" s="7"/>
      <c r="E46" s="7"/>
      <c r="F46" s="7"/>
      <c r="G46" s="10"/>
      <c r="H46" s="49"/>
      <c r="I46" s="7"/>
      <c r="J46" s="7"/>
      <c r="K46" s="7"/>
      <c r="L46" s="7"/>
      <c r="M46" s="7"/>
      <c r="N46" s="7"/>
      <c r="O46" s="36" t="str">
        <f aca="false">IFERROR(INDEX(Milestones!$E$5:$E$34,MATCH($K46,Milestones!$B$5:$B$34,0))+N($L46)*7,"")</f>
        <v/>
      </c>
      <c r="P46" s="36" t="str">
        <f aca="false">IFERROR(INDEX(Milestones!$E$5:$E$34,MATCH($M46,Milestones!$B$5:$B$34,0))+N($N46)*7,"")</f>
        <v/>
      </c>
      <c r="Q46" s="45" t="str">
        <f aca="false">IF(OR($O46="",$P46=""),"",MAX(0,($P46-$O46)/(365.25/12)))</f>
        <v/>
      </c>
      <c r="R46" s="46" t="n">
        <f aca="false">IF(OR($A46="",$E46&lt;&gt;"Y"),0,IF($F46="SAR",$G46*Inputs!$B$9,IF($F46="LOE",$G46*N($Q46),$G46))*N($H46)*IF($I46="Y",Inputs!$B$16,1)*IF($J46="Y",Inputs!$B$22,1))</f>
        <v>0</v>
      </c>
      <c r="S46" s="10"/>
      <c r="T46" s="46" t="n">
        <f aca="false">$R46*IF($S46&lt;&gt;"",$S46,Inputs!$B$11)</f>
        <v>0</v>
      </c>
      <c r="U46" s="48"/>
    </row>
    <row r="47" customFormat="false" ht="15" hidden="false" customHeight="false" outlineLevel="0" collapsed="false">
      <c r="A47" s="7"/>
      <c r="B47" s="7"/>
      <c r="C47" s="48"/>
      <c r="D47" s="7"/>
      <c r="E47" s="7"/>
      <c r="F47" s="7"/>
      <c r="G47" s="10"/>
      <c r="H47" s="49"/>
      <c r="I47" s="7"/>
      <c r="J47" s="7"/>
      <c r="K47" s="7"/>
      <c r="L47" s="7"/>
      <c r="M47" s="7"/>
      <c r="N47" s="7"/>
      <c r="O47" s="36" t="str">
        <f aca="false">IFERROR(INDEX(Milestones!$E$5:$E$34,MATCH($K47,Milestones!$B$5:$B$34,0))+N($L47)*7,"")</f>
        <v/>
      </c>
      <c r="P47" s="36" t="str">
        <f aca="false">IFERROR(INDEX(Milestones!$E$5:$E$34,MATCH($M47,Milestones!$B$5:$B$34,0))+N($N47)*7,"")</f>
        <v/>
      </c>
      <c r="Q47" s="45" t="str">
        <f aca="false">IF(OR($O47="",$P47=""),"",MAX(0,($P47-$O47)/(365.25/12)))</f>
        <v/>
      </c>
      <c r="R47" s="46" t="n">
        <f aca="false">IF(OR($A47="",$E47&lt;&gt;"Y"),0,IF($F47="SAR",$G47*Inputs!$B$9,IF($F47="LOE",$G47*N($Q47),$G47))*N($H47)*IF($I47="Y",Inputs!$B$16,1)*IF($J47="Y",Inputs!$B$22,1))</f>
        <v>0</v>
      </c>
      <c r="S47" s="10"/>
      <c r="T47" s="46" t="n">
        <f aca="false">$R47*IF($S47&lt;&gt;"",$S47,Inputs!$B$11)</f>
        <v>0</v>
      </c>
      <c r="U47" s="48"/>
    </row>
    <row r="48" customFormat="false" ht="15" hidden="false" customHeight="false" outlineLevel="0" collapsed="false">
      <c r="A48" s="7"/>
      <c r="B48" s="7"/>
      <c r="C48" s="48"/>
      <c r="D48" s="7"/>
      <c r="E48" s="7"/>
      <c r="F48" s="7"/>
      <c r="G48" s="10"/>
      <c r="H48" s="49"/>
      <c r="I48" s="7"/>
      <c r="J48" s="7"/>
      <c r="K48" s="7"/>
      <c r="L48" s="7"/>
      <c r="M48" s="7"/>
      <c r="N48" s="7"/>
      <c r="O48" s="36" t="str">
        <f aca="false">IFERROR(INDEX(Milestones!$E$5:$E$34,MATCH($K48,Milestones!$B$5:$B$34,0))+N($L48)*7,"")</f>
        <v/>
      </c>
      <c r="P48" s="36" t="str">
        <f aca="false">IFERROR(INDEX(Milestones!$E$5:$E$34,MATCH($M48,Milestones!$B$5:$B$34,0))+N($N48)*7,"")</f>
        <v/>
      </c>
      <c r="Q48" s="45" t="str">
        <f aca="false">IF(OR($O48="",$P48=""),"",MAX(0,($P48-$O48)/(365.25/12)))</f>
        <v/>
      </c>
      <c r="R48" s="46" t="n">
        <f aca="false">IF(OR($A48="",$E48&lt;&gt;"Y"),0,IF($F48="SAR",$G48*Inputs!$B$9,IF($F48="LOE",$G48*N($Q48),$G48))*N($H48)*IF($I48="Y",Inputs!$B$16,1)*IF($J48="Y",Inputs!$B$22,1))</f>
        <v>0</v>
      </c>
      <c r="S48" s="10"/>
      <c r="T48" s="46" t="n">
        <f aca="false">$R48*IF($S48&lt;&gt;"",$S48,Inputs!$B$11)</f>
        <v>0</v>
      </c>
      <c r="U48" s="48"/>
    </row>
    <row r="49" customFormat="false" ht="15" hidden="false" customHeight="false" outlineLevel="0" collapsed="false">
      <c r="A49" s="7"/>
      <c r="B49" s="7"/>
      <c r="C49" s="48"/>
      <c r="D49" s="7"/>
      <c r="E49" s="7"/>
      <c r="F49" s="7"/>
      <c r="G49" s="10"/>
      <c r="H49" s="49"/>
      <c r="I49" s="7"/>
      <c r="J49" s="7"/>
      <c r="K49" s="7"/>
      <c r="L49" s="7"/>
      <c r="M49" s="7"/>
      <c r="N49" s="7"/>
      <c r="O49" s="36" t="str">
        <f aca="false">IFERROR(INDEX(Milestones!$E$5:$E$34,MATCH($K49,Milestones!$B$5:$B$34,0))+N($L49)*7,"")</f>
        <v/>
      </c>
      <c r="P49" s="36" t="str">
        <f aca="false">IFERROR(INDEX(Milestones!$E$5:$E$34,MATCH($M49,Milestones!$B$5:$B$34,0))+N($N49)*7,"")</f>
        <v/>
      </c>
      <c r="Q49" s="45" t="str">
        <f aca="false">IF(OR($O49="",$P49=""),"",MAX(0,($P49-$O49)/(365.25/12)))</f>
        <v/>
      </c>
      <c r="R49" s="46" t="n">
        <f aca="false">IF(OR($A49="",$E49&lt;&gt;"Y"),0,IF($F49="SAR",$G49*Inputs!$B$9,IF($F49="LOE",$G49*N($Q49),$G49))*N($H49)*IF($I49="Y",Inputs!$B$16,1)*IF($J49="Y",Inputs!$B$22,1))</f>
        <v>0</v>
      </c>
      <c r="S49" s="10"/>
      <c r="T49" s="46" t="n">
        <f aca="false">$R49*IF($S49&lt;&gt;"",$S49,Inputs!$B$11)</f>
        <v>0</v>
      </c>
      <c r="U49" s="48"/>
    </row>
    <row r="50" customFormat="false" ht="15" hidden="false" customHeight="false" outlineLevel="0" collapsed="false">
      <c r="A50" s="7"/>
      <c r="B50" s="7"/>
      <c r="C50" s="48"/>
      <c r="D50" s="7"/>
      <c r="E50" s="7"/>
      <c r="F50" s="7"/>
      <c r="G50" s="10"/>
      <c r="H50" s="49"/>
      <c r="I50" s="7"/>
      <c r="J50" s="7"/>
      <c r="K50" s="7"/>
      <c r="L50" s="7"/>
      <c r="M50" s="7"/>
      <c r="N50" s="7"/>
      <c r="O50" s="36" t="str">
        <f aca="false">IFERROR(INDEX(Milestones!$E$5:$E$34,MATCH($K50,Milestones!$B$5:$B$34,0))+N($L50)*7,"")</f>
        <v/>
      </c>
      <c r="P50" s="36" t="str">
        <f aca="false">IFERROR(INDEX(Milestones!$E$5:$E$34,MATCH($M50,Milestones!$B$5:$B$34,0))+N($N50)*7,"")</f>
        <v/>
      </c>
      <c r="Q50" s="45" t="str">
        <f aca="false">IF(OR($O50="",$P50=""),"",MAX(0,($P50-$O50)/(365.25/12)))</f>
        <v/>
      </c>
      <c r="R50" s="46" t="n">
        <f aca="false">IF(OR($A50="",$E50&lt;&gt;"Y"),0,IF($F50="SAR",$G50*Inputs!$B$9,IF($F50="LOE",$G50*N($Q50),$G50))*N($H50)*IF($I50="Y",Inputs!$B$16,1)*IF($J50="Y",Inputs!$B$22,1))</f>
        <v>0</v>
      </c>
      <c r="S50" s="10"/>
      <c r="T50" s="46" t="n">
        <f aca="false">$R50*IF($S50&lt;&gt;"",$S50,Inputs!$B$11)</f>
        <v>0</v>
      </c>
      <c r="U50" s="48"/>
    </row>
    <row r="51" customFormat="false" ht="15" hidden="false" customHeight="false" outlineLevel="0" collapsed="false">
      <c r="A51" s="7"/>
      <c r="B51" s="7"/>
      <c r="C51" s="48"/>
      <c r="D51" s="7"/>
      <c r="E51" s="7"/>
      <c r="F51" s="7"/>
      <c r="G51" s="10"/>
      <c r="H51" s="49"/>
      <c r="I51" s="7"/>
      <c r="J51" s="7"/>
      <c r="K51" s="7"/>
      <c r="L51" s="7"/>
      <c r="M51" s="7"/>
      <c r="N51" s="7"/>
      <c r="O51" s="36" t="str">
        <f aca="false">IFERROR(INDEX(Milestones!$E$5:$E$34,MATCH($K51,Milestones!$B$5:$B$34,0))+N($L51)*7,"")</f>
        <v/>
      </c>
      <c r="P51" s="36" t="str">
        <f aca="false">IFERROR(INDEX(Milestones!$E$5:$E$34,MATCH($M51,Milestones!$B$5:$B$34,0))+N($N51)*7,"")</f>
        <v/>
      </c>
      <c r="Q51" s="45" t="str">
        <f aca="false">IF(OR($O51="",$P51=""),"",MAX(0,($P51-$O51)/(365.25/12)))</f>
        <v/>
      </c>
      <c r="R51" s="46" t="n">
        <f aca="false">IF(OR($A51="",$E51&lt;&gt;"Y"),0,IF($F51="SAR",$G51*Inputs!$B$9,IF($F51="LOE",$G51*N($Q51),$G51))*N($H51)*IF($I51="Y",Inputs!$B$16,1)*IF($J51="Y",Inputs!$B$22,1))</f>
        <v>0</v>
      </c>
      <c r="S51" s="10"/>
      <c r="T51" s="46" t="n">
        <f aca="false">$R51*IF($S51&lt;&gt;"",$S51,Inputs!$B$11)</f>
        <v>0</v>
      </c>
      <c r="U51" s="48"/>
    </row>
    <row r="52" customFormat="false" ht="15" hidden="false" customHeight="false" outlineLevel="0" collapsed="false">
      <c r="A52" s="7"/>
      <c r="B52" s="7"/>
      <c r="C52" s="48"/>
      <c r="D52" s="7"/>
      <c r="E52" s="7"/>
      <c r="F52" s="7"/>
      <c r="G52" s="10"/>
      <c r="H52" s="49"/>
      <c r="I52" s="7"/>
      <c r="J52" s="7"/>
      <c r="K52" s="7"/>
      <c r="L52" s="7"/>
      <c r="M52" s="7"/>
      <c r="N52" s="7"/>
      <c r="O52" s="36" t="str">
        <f aca="false">IFERROR(INDEX(Milestones!$E$5:$E$34,MATCH($K52,Milestones!$B$5:$B$34,0))+N($L52)*7,"")</f>
        <v/>
      </c>
      <c r="P52" s="36" t="str">
        <f aca="false">IFERROR(INDEX(Milestones!$E$5:$E$34,MATCH($M52,Milestones!$B$5:$B$34,0))+N($N52)*7,"")</f>
        <v/>
      </c>
      <c r="Q52" s="45" t="str">
        <f aca="false">IF(OR($O52="",$P52=""),"",MAX(0,($P52-$O52)/(365.25/12)))</f>
        <v/>
      </c>
      <c r="R52" s="46" t="n">
        <f aca="false">IF(OR($A52="",$E52&lt;&gt;"Y"),0,IF($F52="SAR",$G52*Inputs!$B$9,IF($F52="LOE",$G52*N($Q52),$G52))*N($H52)*IF($I52="Y",Inputs!$B$16,1)*IF($J52="Y",Inputs!$B$22,1))</f>
        <v>0</v>
      </c>
      <c r="S52" s="10"/>
      <c r="T52" s="46" t="n">
        <f aca="false">$R52*IF($S52&lt;&gt;"",$S52,Inputs!$B$11)</f>
        <v>0</v>
      </c>
      <c r="U52" s="48"/>
    </row>
    <row r="53" customFormat="false" ht="15" hidden="false" customHeight="false" outlineLevel="0" collapsed="false">
      <c r="A53" s="7"/>
      <c r="B53" s="7"/>
      <c r="C53" s="48"/>
      <c r="D53" s="7"/>
      <c r="E53" s="7"/>
      <c r="F53" s="7"/>
      <c r="G53" s="10"/>
      <c r="H53" s="49"/>
      <c r="I53" s="7"/>
      <c r="J53" s="7"/>
      <c r="K53" s="7"/>
      <c r="L53" s="7"/>
      <c r="M53" s="7"/>
      <c r="N53" s="7"/>
      <c r="O53" s="36" t="str">
        <f aca="false">IFERROR(INDEX(Milestones!$E$5:$E$34,MATCH($K53,Milestones!$B$5:$B$34,0))+N($L53)*7,"")</f>
        <v/>
      </c>
      <c r="P53" s="36" t="str">
        <f aca="false">IFERROR(INDEX(Milestones!$E$5:$E$34,MATCH($M53,Milestones!$B$5:$B$34,0))+N($N53)*7,"")</f>
        <v/>
      </c>
      <c r="Q53" s="45" t="str">
        <f aca="false">IF(OR($O53="",$P53=""),"",MAX(0,($P53-$O53)/(365.25/12)))</f>
        <v/>
      </c>
      <c r="R53" s="46" t="n">
        <f aca="false">IF(OR($A53="",$E53&lt;&gt;"Y"),0,IF($F53="SAR",$G53*Inputs!$B$9,IF($F53="LOE",$G53*N($Q53),$G53))*N($H53)*IF($I53="Y",Inputs!$B$16,1)*IF($J53="Y",Inputs!$B$22,1))</f>
        <v>0</v>
      </c>
      <c r="S53" s="10"/>
      <c r="T53" s="46" t="n">
        <f aca="false">$R53*IF($S53&lt;&gt;"",$S53,Inputs!$B$11)</f>
        <v>0</v>
      </c>
      <c r="U53" s="48"/>
    </row>
    <row r="54" customFormat="false" ht="15" hidden="false" customHeight="false" outlineLevel="0" collapsed="false">
      <c r="A54" s="7"/>
      <c r="B54" s="7"/>
      <c r="C54" s="48"/>
      <c r="D54" s="7"/>
      <c r="E54" s="7"/>
      <c r="F54" s="7"/>
      <c r="G54" s="10"/>
      <c r="H54" s="49"/>
      <c r="I54" s="7"/>
      <c r="J54" s="7"/>
      <c r="K54" s="7"/>
      <c r="L54" s="7"/>
      <c r="M54" s="7"/>
      <c r="N54" s="7"/>
      <c r="O54" s="36" t="str">
        <f aca="false">IFERROR(INDEX(Milestones!$E$5:$E$34,MATCH($K54,Milestones!$B$5:$B$34,0))+N($L54)*7,"")</f>
        <v/>
      </c>
      <c r="P54" s="36" t="str">
        <f aca="false">IFERROR(INDEX(Milestones!$E$5:$E$34,MATCH($M54,Milestones!$B$5:$B$34,0))+N($N54)*7,"")</f>
        <v/>
      </c>
      <c r="Q54" s="45" t="str">
        <f aca="false">IF(OR($O54="",$P54=""),"",MAX(0,($P54-$O54)/(365.25/12)))</f>
        <v/>
      </c>
      <c r="R54" s="46" t="n">
        <f aca="false">IF(OR($A54="",$E54&lt;&gt;"Y"),0,IF($F54="SAR",$G54*Inputs!$B$9,IF($F54="LOE",$G54*N($Q54),$G54))*N($H54)*IF($I54="Y",Inputs!$B$16,1)*IF($J54="Y",Inputs!$B$22,1))</f>
        <v>0</v>
      </c>
      <c r="S54" s="10"/>
      <c r="T54" s="46" t="n">
        <f aca="false">$R54*IF($S54&lt;&gt;"",$S54,Inputs!$B$11)</f>
        <v>0</v>
      </c>
      <c r="U54" s="48"/>
    </row>
    <row r="55" customFormat="false" ht="15" hidden="false" customHeight="false" outlineLevel="0" collapsed="false">
      <c r="A55" s="7"/>
      <c r="B55" s="7"/>
      <c r="C55" s="48"/>
      <c r="D55" s="7"/>
      <c r="E55" s="7"/>
      <c r="F55" s="7"/>
      <c r="G55" s="10"/>
      <c r="H55" s="49"/>
      <c r="I55" s="7"/>
      <c r="J55" s="7"/>
      <c r="K55" s="7"/>
      <c r="L55" s="7"/>
      <c r="M55" s="7"/>
      <c r="N55" s="7"/>
      <c r="O55" s="36" t="str">
        <f aca="false">IFERROR(INDEX(Milestones!$E$5:$E$34,MATCH($K55,Milestones!$B$5:$B$34,0))+N($L55)*7,"")</f>
        <v/>
      </c>
      <c r="P55" s="36" t="str">
        <f aca="false">IFERROR(INDEX(Milestones!$E$5:$E$34,MATCH($M55,Milestones!$B$5:$B$34,0))+N($N55)*7,"")</f>
        <v/>
      </c>
      <c r="Q55" s="45" t="str">
        <f aca="false">IF(OR($O55="",$P55=""),"",MAX(0,($P55-$O55)/(365.25/12)))</f>
        <v/>
      </c>
      <c r="R55" s="46" t="n">
        <f aca="false">IF(OR($A55="",$E55&lt;&gt;"Y"),0,IF($F55="SAR",$G55*Inputs!$B$9,IF($F55="LOE",$G55*N($Q55),$G55))*N($H55)*IF($I55="Y",Inputs!$B$16,1)*IF($J55="Y",Inputs!$B$22,1))</f>
        <v>0</v>
      </c>
      <c r="S55" s="10"/>
      <c r="T55" s="46" t="n">
        <f aca="false">$R55*IF($S55&lt;&gt;"",$S55,Inputs!$B$11)</f>
        <v>0</v>
      </c>
      <c r="U55" s="48"/>
    </row>
    <row r="56" customFormat="false" ht="15" hidden="false" customHeight="false" outlineLevel="0" collapsed="false">
      <c r="A56" s="7"/>
      <c r="B56" s="7"/>
      <c r="C56" s="48"/>
      <c r="D56" s="7"/>
      <c r="E56" s="7"/>
      <c r="F56" s="7"/>
      <c r="G56" s="10"/>
      <c r="H56" s="49"/>
      <c r="I56" s="7"/>
      <c r="J56" s="7"/>
      <c r="K56" s="7"/>
      <c r="L56" s="7"/>
      <c r="M56" s="7"/>
      <c r="N56" s="7"/>
      <c r="O56" s="36" t="str">
        <f aca="false">IFERROR(INDEX(Milestones!$E$5:$E$34,MATCH($K56,Milestones!$B$5:$B$34,0))+N($L56)*7,"")</f>
        <v/>
      </c>
      <c r="P56" s="36" t="str">
        <f aca="false">IFERROR(INDEX(Milestones!$E$5:$E$34,MATCH($M56,Milestones!$B$5:$B$34,0))+N($N56)*7,"")</f>
        <v/>
      </c>
      <c r="Q56" s="45" t="str">
        <f aca="false">IF(OR($O56="",$P56=""),"",MAX(0,($P56-$O56)/(365.25/12)))</f>
        <v/>
      </c>
      <c r="R56" s="46" t="n">
        <f aca="false">IF(OR($A56="",$E56&lt;&gt;"Y"),0,IF($F56="SAR",$G56*Inputs!$B$9,IF($F56="LOE",$G56*N($Q56),$G56))*N($H56)*IF($I56="Y",Inputs!$B$16,1)*IF($J56="Y",Inputs!$B$22,1))</f>
        <v>0</v>
      </c>
      <c r="S56" s="10"/>
      <c r="T56" s="46" t="n">
        <f aca="false">$R56*IF($S56&lt;&gt;"",$S56,Inputs!$B$11)</f>
        <v>0</v>
      </c>
      <c r="U56" s="48"/>
    </row>
    <row r="57" customFormat="false" ht="15" hidden="false" customHeight="false" outlineLevel="0" collapsed="false">
      <c r="A57" s="7"/>
      <c r="B57" s="7"/>
      <c r="C57" s="48"/>
      <c r="D57" s="7"/>
      <c r="E57" s="7"/>
      <c r="F57" s="7"/>
      <c r="G57" s="10"/>
      <c r="H57" s="49"/>
      <c r="I57" s="7"/>
      <c r="J57" s="7"/>
      <c r="K57" s="7"/>
      <c r="L57" s="7"/>
      <c r="M57" s="7"/>
      <c r="N57" s="7"/>
      <c r="O57" s="36" t="str">
        <f aca="false">IFERROR(INDEX(Milestones!$E$5:$E$34,MATCH($K57,Milestones!$B$5:$B$34,0))+N($L57)*7,"")</f>
        <v/>
      </c>
      <c r="P57" s="36" t="str">
        <f aca="false">IFERROR(INDEX(Milestones!$E$5:$E$34,MATCH($M57,Milestones!$B$5:$B$34,0))+N($N57)*7,"")</f>
        <v/>
      </c>
      <c r="Q57" s="45" t="str">
        <f aca="false">IF(OR($O57="",$P57=""),"",MAX(0,($P57-$O57)/(365.25/12)))</f>
        <v/>
      </c>
      <c r="R57" s="46" t="n">
        <f aca="false">IF(OR($A57="",$E57&lt;&gt;"Y"),0,IF($F57="SAR",$G57*Inputs!$B$9,IF($F57="LOE",$G57*N($Q57),$G57))*N($H57)*IF($I57="Y",Inputs!$B$16,1)*IF($J57="Y",Inputs!$B$22,1))</f>
        <v>0</v>
      </c>
      <c r="S57" s="10"/>
      <c r="T57" s="46" t="n">
        <f aca="false">$R57*IF($S57&lt;&gt;"",$S57,Inputs!$B$11)</f>
        <v>0</v>
      </c>
      <c r="U57" s="48"/>
    </row>
    <row r="58" customFormat="false" ht="15" hidden="false" customHeight="false" outlineLevel="0" collapsed="false">
      <c r="A58" s="7"/>
      <c r="B58" s="7"/>
      <c r="C58" s="48"/>
      <c r="D58" s="7"/>
      <c r="E58" s="7"/>
      <c r="F58" s="7"/>
      <c r="G58" s="10"/>
      <c r="H58" s="49"/>
      <c r="I58" s="7"/>
      <c r="J58" s="7"/>
      <c r="K58" s="7"/>
      <c r="L58" s="7"/>
      <c r="M58" s="7"/>
      <c r="N58" s="7"/>
      <c r="O58" s="36" t="str">
        <f aca="false">IFERROR(INDEX(Milestones!$E$5:$E$34,MATCH($K58,Milestones!$B$5:$B$34,0))+N($L58)*7,"")</f>
        <v/>
      </c>
      <c r="P58" s="36" t="str">
        <f aca="false">IFERROR(INDEX(Milestones!$E$5:$E$34,MATCH($M58,Milestones!$B$5:$B$34,0))+N($N58)*7,"")</f>
        <v/>
      </c>
      <c r="Q58" s="45" t="str">
        <f aca="false">IF(OR($O58="",$P58=""),"",MAX(0,($P58-$O58)/(365.25/12)))</f>
        <v/>
      </c>
      <c r="R58" s="46" t="n">
        <f aca="false">IF(OR($A58="",$E58&lt;&gt;"Y"),0,IF($F58="SAR",$G58*Inputs!$B$9,IF($F58="LOE",$G58*N($Q58),$G58))*N($H58)*IF($I58="Y",Inputs!$B$16,1)*IF($J58="Y",Inputs!$B$22,1))</f>
        <v>0</v>
      </c>
      <c r="S58" s="10"/>
      <c r="T58" s="46" t="n">
        <f aca="false">$R58*IF($S58&lt;&gt;"",$S58,Inputs!$B$11)</f>
        <v>0</v>
      </c>
      <c r="U58" s="48"/>
    </row>
    <row r="59" customFormat="false" ht="15" hidden="false" customHeight="false" outlineLevel="0" collapsed="false">
      <c r="A59" s="7"/>
      <c r="B59" s="7"/>
      <c r="C59" s="48"/>
      <c r="D59" s="7"/>
      <c r="E59" s="7"/>
      <c r="F59" s="7"/>
      <c r="G59" s="10"/>
      <c r="H59" s="49"/>
      <c r="I59" s="7"/>
      <c r="J59" s="7"/>
      <c r="K59" s="7"/>
      <c r="L59" s="7"/>
      <c r="M59" s="7"/>
      <c r="N59" s="7"/>
      <c r="O59" s="36" t="str">
        <f aca="false">IFERROR(INDEX(Milestones!$E$5:$E$34,MATCH($K59,Milestones!$B$5:$B$34,0))+N($L59)*7,"")</f>
        <v/>
      </c>
      <c r="P59" s="36" t="str">
        <f aca="false">IFERROR(INDEX(Milestones!$E$5:$E$34,MATCH($M59,Milestones!$B$5:$B$34,0))+N($N59)*7,"")</f>
        <v/>
      </c>
      <c r="Q59" s="45" t="str">
        <f aca="false">IF(OR($O59="",$P59=""),"",MAX(0,($P59-$O59)/(365.25/12)))</f>
        <v/>
      </c>
      <c r="R59" s="46" t="n">
        <f aca="false">IF(OR($A59="",$E59&lt;&gt;"Y"),0,IF($F59="SAR",$G59*Inputs!$B$9,IF($F59="LOE",$G59*N($Q59),$G59))*N($H59)*IF($I59="Y",Inputs!$B$16,1)*IF($J59="Y",Inputs!$B$22,1))</f>
        <v>0</v>
      </c>
      <c r="S59" s="10"/>
      <c r="T59" s="46" t="n">
        <f aca="false">$R59*IF($S59&lt;&gt;"",$S59,Inputs!$B$11)</f>
        <v>0</v>
      </c>
      <c r="U59" s="48"/>
    </row>
    <row r="60" customFormat="false" ht="15" hidden="false" customHeight="false" outlineLevel="0" collapsed="false">
      <c r="A60" s="7"/>
      <c r="B60" s="7"/>
      <c r="C60" s="48"/>
      <c r="D60" s="7"/>
      <c r="E60" s="7"/>
      <c r="F60" s="7"/>
      <c r="G60" s="10"/>
      <c r="H60" s="49"/>
      <c r="I60" s="7"/>
      <c r="J60" s="7"/>
      <c r="K60" s="7"/>
      <c r="L60" s="7"/>
      <c r="M60" s="7"/>
      <c r="N60" s="7"/>
      <c r="O60" s="36" t="str">
        <f aca="false">IFERROR(INDEX(Milestones!$E$5:$E$34,MATCH($K60,Milestones!$B$5:$B$34,0))+N($L60)*7,"")</f>
        <v/>
      </c>
      <c r="P60" s="36" t="str">
        <f aca="false">IFERROR(INDEX(Milestones!$E$5:$E$34,MATCH($M60,Milestones!$B$5:$B$34,0))+N($N60)*7,"")</f>
        <v/>
      </c>
      <c r="Q60" s="45" t="str">
        <f aca="false">IF(OR($O60="",$P60=""),"",MAX(0,($P60-$O60)/(365.25/12)))</f>
        <v/>
      </c>
      <c r="R60" s="46" t="n">
        <f aca="false">IF(OR($A60="",$E60&lt;&gt;"Y"),0,IF($F60="SAR",$G60*Inputs!$B$9,IF($F60="LOE",$G60*N($Q60),$G60))*N($H60)*IF($I60="Y",Inputs!$B$16,1)*IF($J60="Y",Inputs!$B$22,1))</f>
        <v>0</v>
      </c>
      <c r="S60" s="10"/>
      <c r="T60" s="46" t="n">
        <f aca="false">$R60*IF($S60&lt;&gt;"",$S60,Inputs!$B$11)</f>
        <v>0</v>
      </c>
      <c r="U60" s="48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customFormat="false" ht="15" hidden="false" customHeight="false" outlineLevel="0" collapsed="false">
      <c r="A62" s="4"/>
      <c r="B62" s="4"/>
      <c r="C62" s="15" t="s">
        <v>274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0" t="n">
        <f aca="false">SUM(R6:R60)</f>
        <v>11953.1991786448</v>
      </c>
      <c r="S62" s="4"/>
      <c r="T62" s="50" t="n">
        <f aca="false">SUM(T6:T60)</f>
        <v>17929.7987679671</v>
      </c>
      <c r="U62" s="4"/>
    </row>
  </sheetData>
  <autoFilter ref="A5:U60"/>
  <dataValidations count="3">
    <dataValidation allowBlank="false" errorStyle="stop" operator="between" showDropDown="false" showErrorMessage="false" showInputMessage="false" sqref="E6:E60 I6:J60" type="list">
      <formula1>"Y,N"</formula1>
      <formula2>0</formula2>
    </dataValidation>
    <dataValidation allowBlank="false" errorStyle="stop" operator="between" showDropDown="false" showErrorMessage="false" showInputMessage="false" sqref="F6:F60" type="list">
      <formula1>"SAR,LOE,FIXED"</formula1>
      <formula2>0</formula2>
    </dataValidation>
    <dataValidation allowBlank="true" errorStyle="stop" operator="between" showDropDown="false" showErrorMessage="false" showInputMessage="false" sqref="K6:K60 M6:M60" type="list">
      <formula1>Milestones!$B$5:$B$34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77" min="6" style="0" width="7.5"/>
  </cols>
  <sheetData>
    <row r="1" customFormat="false" ht="17.35" hidden="false" customHeight="false" outlineLevel="0" collapsed="false">
      <c r="A1" s="3" t="s">
        <v>275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5" hidden="false" customHeight="false" outlineLevel="0" collapsed="false">
      <c r="A2" s="5" t="str">
        <f aca="false">"Basis: "&amp;Inputs!$B$7&amp;"   |   Hours per FTE-month: "&amp;TEXT(Inputs!$B$6,"0")</f>
        <v>Basis: P50   |   Hours per FTE-month: 156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customFormat="false" ht="15" hidden="false" customHeight="false" outlineLevel="0" collapsed="false">
      <c r="A3" s="4"/>
      <c r="B3" s="4"/>
      <c r="C3" s="4"/>
      <c r="D3" s="4"/>
      <c r="E3" s="15" t="s">
        <v>276</v>
      </c>
      <c r="F3" s="51" t="n">
        <f aca="false">IF(F4="","",1)</f>
        <v>1</v>
      </c>
      <c r="G3" s="51" t="n">
        <f aca="false">IF(G4="","",2)</f>
        <v>2</v>
      </c>
      <c r="H3" s="51" t="n">
        <f aca="false">IF(H4="","",3)</f>
        <v>3</v>
      </c>
      <c r="I3" s="51" t="n">
        <f aca="false">IF(I4="","",4)</f>
        <v>4</v>
      </c>
      <c r="J3" s="51" t="n">
        <f aca="false">IF(J4="","",5)</f>
        <v>5</v>
      </c>
      <c r="K3" s="51" t="n">
        <f aca="false">IF(K4="","",6)</f>
        <v>6</v>
      </c>
      <c r="L3" s="51" t="n">
        <f aca="false">IF(L4="","",7)</f>
        <v>7</v>
      </c>
      <c r="M3" s="51" t="n">
        <f aca="false">IF(M4="","",8)</f>
        <v>8</v>
      </c>
      <c r="N3" s="51" t="n">
        <f aca="false">IF(N4="","",9)</f>
        <v>9</v>
      </c>
      <c r="O3" s="51" t="n">
        <f aca="false">IF(O4="","",10)</f>
        <v>10</v>
      </c>
      <c r="P3" s="51" t="n">
        <f aca="false">IF(P4="","",11)</f>
        <v>11</v>
      </c>
      <c r="Q3" s="51" t="n">
        <f aca="false">IF(Q4="","",12)</f>
        <v>12</v>
      </c>
      <c r="R3" s="51" t="n">
        <f aca="false">IF(R4="","",13)</f>
        <v>13</v>
      </c>
      <c r="S3" s="51" t="n">
        <f aca="false">IF(S4="","",14)</f>
        <v>14</v>
      </c>
      <c r="T3" s="51" t="n">
        <f aca="false">IF(T4="","",15)</f>
        <v>15</v>
      </c>
      <c r="U3" s="51" t="n">
        <f aca="false">IF(U4="","",16)</f>
        <v>16</v>
      </c>
      <c r="V3" s="51" t="n">
        <f aca="false">IF(V4="","",17)</f>
        <v>17</v>
      </c>
      <c r="W3" s="51" t="n">
        <f aca="false">IF(W4="","",18)</f>
        <v>18</v>
      </c>
      <c r="X3" s="51" t="n">
        <f aca="false">IF(X4="","",19)</f>
        <v>19</v>
      </c>
      <c r="Y3" s="51" t="n">
        <f aca="false">IF(Y4="","",20)</f>
        <v>20</v>
      </c>
      <c r="Z3" s="51" t="n">
        <f aca="false">IF(Z4="","",21)</f>
        <v>21</v>
      </c>
      <c r="AA3" s="51" t="n">
        <f aca="false">IF(AA4="","",22)</f>
        <v>22</v>
      </c>
      <c r="AB3" s="51" t="n">
        <f aca="false">IF(AB4="","",23)</f>
        <v>23</v>
      </c>
      <c r="AC3" s="51" t="n">
        <f aca="false">IF(AC4="","",24)</f>
        <v>24</v>
      </c>
      <c r="AD3" s="51" t="n">
        <f aca="false">IF(AD4="","",25)</f>
        <v>25</v>
      </c>
      <c r="AE3" s="51" t="n">
        <f aca="false">IF(AE4="","",26)</f>
        <v>26</v>
      </c>
      <c r="AF3" s="51" t="n">
        <f aca="false">IF(AF4="","",27)</f>
        <v>27</v>
      </c>
      <c r="AG3" s="51" t="n">
        <f aca="false">IF(AG4="","",28)</f>
        <v>28</v>
      </c>
      <c r="AH3" s="51" t="n">
        <f aca="false">IF(AH4="","",29)</f>
        <v>29</v>
      </c>
      <c r="AI3" s="51" t="n">
        <f aca="false">IF(AI4="","",30)</f>
        <v>30</v>
      </c>
      <c r="AJ3" s="51" t="n">
        <f aca="false">IF(AJ4="","",31)</f>
        <v>31</v>
      </c>
      <c r="AK3" s="51" t="n">
        <f aca="false">IF(AK4="","",32)</f>
        <v>32</v>
      </c>
      <c r="AL3" s="51" t="n">
        <f aca="false">IF(AL4="","",33)</f>
        <v>33</v>
      </c>
      <c r="AM3" s="51" t="n">
        <f aca="false">IF(AM4="","",34)</f>
        <v>34</v>
      </c>
      <c r="AN3" s="51" t="n">
        <f aca="false">IF(AN4="","",35)</f>
        <v>35</v>
      </c>
      <c r="AO3" s="51" t="n">
        <f aca="false">IF(AO4="","",36)</f>
        <v>36</v>
      </c>
      <c r="AP3" s="51" t="str">
        <f aca="false">IF(AP4="","",37)</f>
        <v/>
      </c>
      <c r="AQ3" s="51" t="str">
        <f aca="false">IF(AQ4="","",38)</f>
        <v/>
      </c>
      <c r="AR3" s="51" t="str">
        <f aca="false">IF(AR4="","",39)</f>
        <v/>
      </c>
      <c r="AS3" s="51" t="str">
        <f aca="false">IF(AS4="","",40)</f>
        <v/>
      </c>
      <c r="AT3" s="51" t="str">
        <f aca="false">IF(AT4="","",41)</f>
        <v/>
      </c>
      <c r="AU3" s="51" t="str">
        <f aca="false">IF(AU4="","",42)</f>
        <v/>
      </c>
      <c r="AV3" s="51" t="str">
        <f aca="false">IF(AV4="","",43)</f>
        <v/>
      </c>
      <c r="AW3" s="51" t="str">
        <f aca="false">IF(AW4="","",44)</f>
        <v/>
      </c>
      <c r="AX3" s="51" t="str">
        <f aca="false">IF(AX4="","",45)</f>
        <v/>
      </c>
      <c r="AY3" s="51" t="str">
        <f aca="false">IF(AY4="","",46)</f>
        <v/>
      </c>
      <c r="AZ3" s="51" t="str">
        <f aca="false">IF(AZ4="","",47)</f>
        <v/>
      </c>
      <c r="BA3" s="51" t="str">
        <f aca="false">IF(BA4="","",48)</f>
        <v/>
      </c>
      <c r="BB3" s="51" t="str">
        <f aca="false">IF(BB4="","",49)</f>
        <v/>
      </c>
      <c r="BC3" s="51" t="str">
        <f aca="false">IF(BC4="","",50)</f>
        <v/>
      </c>
      <c r="BD3" s="51" t="str">
        <f aca="false">IF(BD4="","",51)</f>
        <v/>
      </c>
      <c r="BE3" s="51" t="str">
        <f aca="false">IF(BE4="","",52)</f>
        <v/>
      </c>
      <c r="BF3" s="51" t="str">
        <f aca="false">IF(BF4="","",53)</f>
        <v/>
      </c>
      <c r="BG3" s="51" t="str">
        <f aca="false">IF(BG4="","",54)</f>
        <v/>
      </c>
      <c r="BH3" s="51" t="str">
        <f aca="false">IF(BH4="","",55)</f>
        <v/>
      </c>
      <c r="BI3" s="51" t="str">
        <f aca="false">IF(BI4="","",56)</f>
        <v/>
      </c>
      <c r="BJ3" s="51" t="str">
        <f aca="false">IF(BJ4="","",57)</f>
        <v/>
      </c>
      <c r="BK3" s="51" t="str">
        <f aca="false">IF(BK4="","",58)</f>
        <v/>
      </c>
      <c r="BL3" s="51" t="str">
        <f aca="false">IF(BL4="","",59)</f>
        <v/>
      </c>
      <c r="BM3" s="51" t="str">
        <f aca="false">IF(BM4="","",60)</f>
        <v/>
      </c>
      <c r="BN3" s="51" t="str">
        <f aca="false">IF(BN4="","",61)</f>
        <v/>
      </c>
      <c r="BO3" s="51" t="str">
        <f aca="false">IF(BO4="","",62)</f>
        <v/>
      </c>
      <c r="BP3" s="51" t="str">
        <f aca="false">IF(BP4="","",63)</f>
        <v/>
      </c>
      <c r="BQ3" s="51" t="str">
        <f aca="false">IF(BQ4="","",64)</f>
        <v/>
      </c>
      <c r="BR3" s="51" t="str">
        <f aca="false">IF(BR4="","",65)</f>
        <v/>
      </c>
      <c r="BS3" s="51" t="str">
        <f aca="false">IF(BS4="","",66)</f>
        <v/>
      </c>
      <c r="BT3" s="51" t="str">
        <f aca="false">IF(BT4="","",67)</f>
        <v/>
      </c>
      <c r="BU3" s="51" t="str">
        <f aca="false">IF(BU4="","",68)</f>
        <v/>
      </c>
      <c r="BV3" s="51" t="str">
        <f aca="false">IF(BV4="","",69)</f>
        <v/>
      </c>
      <c r="BW3" s="51" t="str">
        <f aca="false">IF(BW4="","",70)</f>
        <v/>
      </c>
      <c r="BX3" s="51" t="str">
        <f aca="false">IF(BX4="","",71)</f>
        <v/>
      </c>
      <c r="BY3" s="51" t="str">
        <f aca="false">IF(BY4="","",72)</f>
        <v/>
      </c>
    </row>
    <row r="4" customFormat="false" ht="26.85" hidden="false" customHeight="false" outlineLevel="0" collapsed="false">
      <c r="A4" s="6" t="s">
        <v>133</v>
      </c>
      <c r="B4" s="6" t="s">
        <v>277</v>
      </c>
      <c r="C4" s="6" t="s">
        <v>278</v>
      </c>
      <c r="D4" s="6" t="s">
        <v>279</v>
      </c>
      <c r="E4" s="6" t="s">
        <v>280</v>
      </c>
      <c r="F4" s="52" t="n">
        <f aca="false">IF(EDATE(Inputs!$B$4,0)&gt;Inputs!$B$5,"",EDATE(Inputs!$B$4,0))</f>
        <v>46391</v>
      </c>
      <c r="G4" s="52" t="n">
        <f aca="false">IF(EDATE(Inputs!$B$4,1)&gt;Inputs!$B$5,"",EDATE(Inputs!$B$4,1))</f>
        <v>46422</v>
      </c>
      <c r="H4" s="52" t="n">
        <f aca="false">IF(EDATE(Inputs!$B$4,2)&gt;Inputs!$B$5,"",EDATE(Inputs!$B$4,2))</f>
        <v>46450</v>
      </c>
      <c r="I4" s="52" t="n">
        <f aca="false">IF(EDATE(Inputs!$B$4,3)&gt;Inputs!$B$5,"",EDATE(Inputs!$B$4,3))</f>
        <v>46481</v>
      </c>
      <c r="J4" s="52" t="n">
        <f aca="false">IF(EDATE(Inputs!$B$4,4)&gt;Inputs!$B$5,"",EDATE(Inputs!$B$4,4))</f>
        <v>46511</v>
      </c>
      <c r="K4" s="52" t="n">
        <f aca="false">IF(EDATE(Inputs!$B$4,5)&gt;Inputs!$B$5,"",EDATE(Inputs!$B$4,5))</f>
        <v>46542</v>
      </c>
      <c r="L4" s="52" t="n">
        <f aca="false">IF(EDATE(Inputs!$B$4,6)&gt;Inputs!$B$5,"",EDATE(Inputs!$B$4,6))</f>
        <v>46572</v>
      </c>
      <c r="M4" s="52" t="n">
        <f aca="false">IF(EDATE(Inputs!$B$4,7)&gt;Inputs!$B$5,"",EDATE(Inputs!$B$4,7))</f>
        <v>46603</v>
      </c>
      <c r="N4" s="52" t="n">
        <f aca="false">IF(EDATE(Inputs!$B$4,8)&gt;Inputs!$B$5,"",EDATE(Inputs!$B$4,8))</f>
        <v>46634</v>
      </c>
      <c r="O4" s="52" t="n">
        <f aca="false">IF(EDATE(Inputs!$B$4,9)&gt;Inputs!$B$5,"",EDATE(Inputs!$B$4,9))</f>
        <v>46664</v>
      </c>
      <c r="P4" s="52" t="n">
        <f aca="false">IF(EDATE(Inputs!$B$4,10)&gt;Inputs!$B$5,"",EDATE(Inputs!$B$4,10))</f>
        <v>46695</v>
      </c>
      <c r="Q4" s="52" t="n">
        <f aca="false">IF(EDATE(Inputs!$B$4,11)&gt;Inputs!$B$5,"",EDATE(Inputs!$B$4,11))</f>
        <v>46725</v>
      </c>
      <c r="R4" s="52" t="n">
        <f aca="false">IF(EDATE(Inputs!$B$4,12)&gt;Inputs!$B$5,"",EDATE(Inputs!$B$4,12))</f>
        <v>46756</v>
      </c>
      <c r="S4" s="52" t="n">
        <f aca="false">IF(EDATE(Inputs!$B$4,13)&gt;Inputs!$B$5,"",EDATE(Inputs!$B$4,13))</f>
        <v>46787</v>
      </c>
      <c r="T4" s="52" t="n">
        <f aca="false">IF(EDATE(Inputs!$B$4,14)&gt;Inputs!$B$5,"",EDATE(Inputs!$B$4,14))</f>
        <v>46816</v>
      </c>
      <c r="U4" s="52" t="n">
        <f aca="false">IF(EDATE(Inputs!$B$4,15)&gt;Inputs!$B$5,"",EDATE(Inputs!$B$4,15))</f>
        <v>46847</v>
      </c>
      <c r="V4" s="52" t="n">
        <f aca="false">IF(EDATE(Inputs!$B$4,16)&gt;Inputs!$B$5,"",EDATE(Inputs!$B$4,16))</f>
        <v>46877</v>
      </c>
      <c r="W4" s="52" t="n">
        <f aca="false">IF(EDATE(Inputs!$B$4,17)&gt;Inputs!$B$5,"",EDATE(Inputs!$B$4,17))</f>
        <v>46908</v>
      </c>
      <c r="X4" s="52" t="n">
        <f aca="false">IF(EDATE(Inputs!$B$4,18)&gt;Inputs!$B$5,"",EDATE(Inputs!$B$4,18))</f>
        <v>46938</v>
      </c>
      <c r="Y4" s="52" t="n">
        <f aca="false">IF(EDATE(Inputs!$B$4,19)&gt;Inputs!$B$5,"",EDATE(Inputs!$B$4,19))</f>
        <v>46969</v>
      </c>
      <c r="Z4" s="52" t="n">
        <f aca="false">IF(EDATE(Inputs!$B$4,20)&gt;Inputs!$B$5,"",EDATE(Inputs!$B$4,20))</f>
        <v>47000</v>
      </c>
      <c r="AA4" s="52" t="n">
        <f aca="false">IF(EDATE(Inputs!$B$4,21)&gt;Inputs!$B$5,"",EDATE(Inputs!$B$4,21))</f>
        <v>47030</v>
      </c>
      <c r="AB4" s="52" t="n">
        <f aca="false">IF(EDATE(Inputs!$B$4,22)&gt;Inputs!$B$5,"",EDATE(Inputs!$B$4,22))</f>
        <v>47061</v>
      </c>
      <c r="AC4" s="52" t="n">
        <f aca="false">IF(EDATE(Inputs!$B$4,23)&gt;Inputs!$B$5,"",EDATE(Inputs!$B$4,23))</f>
        <v>47091</v>
      </c>
      <c r="AD4" s="52" t="n">
        <f aca="false">IF(EDATE(Inputs!$B$4,24)&gt;Inputs!$B$5,"",EDATE(Inputs!$B$4,24))</f>
        <v>47122</v>
      </c>
      <c r="AE4" s="52" t="n">
        <f aca="false">IF(EDATE(Inputs!$B$4,25)&gt;Inputs!$B$5,"",EDATE(Inputs!$B$4,25))</f>
        <v>47153</v>
      </c>
      <c r="AF4" s="52" t="n">
        <f aca="false">IF(EDATE(Inputs!$B$4,26)&gt;Inputs!$B$5,"",EDATE(Inputs!$B$4,26))</f>
        <v>47181</v>
      </c>
      <c r="AG4" s="52" t="n">
        <f aca="false">IF(EDATE(Inputs!$B$4,27)&gt;Inputs!$B$5,"",EDATE(Inputs!$B$4,27))</f>
        <v>47212</v>
      </c>
      <c r="AH4" s="52" t="n">
        <f aca="false">IF(EDATE(Inputs!$B$4,28)&gt;Inputs!$B$5,"",EDATE(Inputs!$B$4,28))</f>
        <v>47242</v>
      </c>
      <c r="AI4" s="52" t="n">
        <f aca="false">IF(EDATE(Inputs!$B$4,29)&gt;Inputs!$B$5,"",EDATE(Inputs!$B$4,29))</f>
        <v>47273</v>
      </c>
      <c r="AJ4" s="52" t="n">
        <f aca="false">IF(EDATE(Inputs!$B$4,30)&gt;Inputs!$B$5,"",EDATE(Inputs!$B$4,30))</f>
        <v>47303</v>
      </c>
      <c r="AK4" s="52" t="n">
        <f aca="false">IF(EDATE(Inputs!$B$4,31)&gt;Inputs!$B$5,"",EDATE(Inputs!$B$4,31))</f>
        <v>47334</v>
      </c>
      <c r="AL4" s="52" t="n">
        <f aca="false">IF(EDATE(Inputs!$B$4,32)&gt;Inputs!$B$5,"",EDATE(Inputs!$B$4,32))</f>
        <v>47365</v>
      </c>
      <c r="AM4" s="52" t="n">
        <f aca="false">IF(EDATE(Inputs!$B$4,33)&gt;Inputs!$B$5,"",EDATE(Inputs!$B$4,33))</f>
        <v>47395</v>
      </c>
      <c r="AN4" s="52" t="n">
        <f aca="false">IF(EDATE(Inputs!$B$4,34)&gt;Inputs!$B$5,"",EDATE(Inputs!$B$4,34))</f>
        <v>47426</v>
      </c>
      <c r="AO4" s="52" t="n">
        <f aca="false">IF(EDATE(Inputs!$B$4,35)&gt;Inputs!$B$5,"",EDATE(Inputs!$B$4,35))</f>
        <v>47456</v>
      </c>
      <c r="AP4" s="52" t="str">
        <f aca="false">IF(EDATE(Inputs!$B$4,36)&gt;Inputs!$B$5,"",EDATE(Inputs!$B$4,36))</f>
        <v/>
      </c>
      <c r="AQ4" s="52" t="str">
        <f aca="false">IF(EDATE(Inputs!$B$4,37)&gt;Inputs!$B$5,"",EDATE(Inputs!$B$4,37))</f>
        <v/>
      </c>
      <c r="AR4" s="52" t="str">
        <f aca="false">IF(EDATE(Inputs!$B$4,38)&gt;Inputs!$B$5,"",EDATE(Inputs!$B$4,38))</f>
        <v/>
      </c>
      <c r="AS4" s="52" t="str">
        <f aca="false">IF(EDATE(Inputs!$B$4,39)&gt;Inputs!$B$5,"",EDATE(Inputs!$B$4,39))</f>
        <v/>
      </c>
      <c r="AT4" s="52" t="str">
        <f aca="false">IF(EDATE(Inputs!$B$4,40)&gt;Inputs!$B$5,"",EDATE(Inputs!$B$4,40))</f>
        <v/>
      </c>
      <c r="AU4" s="52" t="str">
        <f aca="false">IF(EDATE(Inputs!$B$4,41)&gt;Inputs!$B$5,"",EDATE(Inputs!$B$4,41))</f>
        <v/>
      </c>
      <c r="AV4" s="52" t="str">
        <f aca="false">IF(EDATE(Inputs!$B$4,42)&gt;Inputs!$B$5,"",EDATE(Inputs!$B$4,42))</f>
        <v/>
      </c>
      <c r="AW4" s="52" t="str">
        <f aca="false">IF(EDATE(Inputs!$B$4,43)&gt;Inputs!$B$5,"",EDATE(Inputs!$B$4,43))</f>
        <v/>
      </c>
      <c r="AX4" s="52" t="str">
        <f aca="false">IF(EDATE(Inputs!$B$4,44)&gt;Inputs!$B$5,"",EDATE(Inputs!$B$4,44))</f>
        <v/>
      </c>
      <c r="AY4" s="52" t="str">
        <f aca="false">IF(EDATE(Inputs!$B$4,45)&gt;Inputs!$B$5,"",EDATE(Inputs!$B$4,45))</f>
        <v/>
      </c>
      <c r="AZ4" s="52" t="str">
        <f aca="false">IF(EDATE(Inputs!$B$4,46)&gt;Inputs!$B$5,"",EDATE(Inputs!$B$4,46))</f>
        <v/>
      </c>
      <c r="BA4" s="52" t="str">
        <f aca="false">IF(EDATE(Inputs!$B$4,47)&gt;Inputs!$B$5,"",EDATE(Inputs!$B$4,47))</f>
        <v/>
      </c>
      <c r="BB4" s="52" t="str">
        <f aca="false">IF(EDATE(Inputs!$B$4,48)&gt;Inputs!$B$5,"",EDATE(Inputs!$B$4,48))</f>
        <v/>
      </c>
      <c r="BC4" s="52" t="str">
        <f aca="false">IF(EDATE(Inputs!$B$4,49)&gt;Inputs!$B$5,"",EDATE(Inputs!$B$4,49))</f>
        <v/>
      </c>
      <c r="BD4" s="52" t="str">
        <f aca="false">IF(EDATE(Inputs!$B$4,50)&gt;Inputs!$B$5,"",EDATE(Inputs!$B$4,50))</f>
        <v/>
      </c>
      <c r="BE4" s="52" t="str">
        <f aca="false">IF(EDATE(Inputs!$B$4,51)&gt;Inputs!$B$5,"",EDATE(Inputs!$B$4,51))</f>
        <v/>
      </c>
      <c r="BF4" s="52" t="str">
        <f aca="false">IF(EDATE(Inputs!$B$4,52)&gt;Inputs!$B$5,"",EDATE(Inputs!$B$4,52))</f>
        <v/>
      </c>
      <c r="BG4" s="52" t="str">
        <f aca="false">IF(EDATE(Inputs!$B$4,53)&gt;Inputs!$B$5,"",EDATE(Inputs!$B$4,53))</f>
        <v/>
      </c>
      <c r="BH4" s="52" t="str">
        <f aca="false">IF(EDATE(Inputs!$B$4,54)&gt;Inputs!$B$5,"",EDATE(Inputs!$B$4,54))</f>
        <v/>
      </c>
      <c r="BI4" s="52" t="str">
        <f aca="false">IF(EDATE(Inputs!$B$4,55)&gt;Inputs!$B$5,"",EDATE(Inputs!$B$4,55))</f>
        <v/>
      </c>
      <c r="BJ4" s="52" t="str">
        <f aca="false">IF(EDATE(Inputs!$B$4,56)&gt;Inputs!$B$5,"",EDATE(Inputs!$B$4,56))</f>
        <v/>
      </c>
      <c r="BK4" s="52" t="str">
        <f aca="false">IF(EDATE(Inputs!$B$4,57)&gt;Inputs!$B$5,"",EDATE(Inputs!$B$4,57))</f>
        <v/>
      </c>
      <c r="BL4" s="52" t="str">
        <f aca="false">IF(EDATE(Inputs!$B$4,58)&gt;Inputs!$B$5,"",EDATE(Inputs!$B$4,58))</f>
        <v/>
      </c>
      <c r="BM4" s="52" t="str">
        <f aca="false">IF(EDATE(Inputs!$B$4,59)&gt;Inputs!$B$5,"",EDATE(Inputs!$B$4,59))</f>
        <v/>
      </c>
      <c r="BN4" s="52" t="str">
        <f aca="false">IF(EDATE(Inputs!$B$4,60)&gt;Inputs!$B$5,"",EDATE(Inputs!$B$4,60))</f>
        <v/>
      </c>
      <c r="BO4" s="52" t="str">
        <f aca="false">IF(EDATE(Inputs!$B$4,61)&gt;Inputs!$B$5,"",EDATE(Inputs!$B$4,61))</f>
        <v/>
      </c>
      <c r="BP4" s="52" t="str">
        <f aca="false">IF(EDATE(Inputs!$B$4,62)&gt;Inputs!$B$5,"",EDATE(Inputs!$B$4,62))</f>
        <v/>
      </c>
      <c r="BQ4" s="52" t="str">
        <f aca="false">IF(EDATE(Inputs!$B$4,63)&gt;Inputs!$B$5,"",EDATE(Inputs!$B$4,63))</f>
        <v/>
      </c>
      <c r="BR4" s="52" t="str">
        <f aca="false">IF(EDATE(Inputs!$B$4,64)&gt;Inputs!$B$5,"",EDATE(Inputs!$B$4,64))</f>
        <v/>
      </c>
      <c r="BS4" s="52" t="str">
        <f aca="false">IF(EDATE(Inputs!$B$4,65)&gt;Inputs!$B$5,"",EDATE(Inputs!$B$4,65))</f>
        <v/>
      </c>
      <c r="BT4" s="52" t="str">
        <f aca="false">IF(EDATE(Inputs!$B$4,66)&gt;Inputs!$B$5,"",EDATE(Inputs!$B$4,66))</f>
        <v/>
      </c>
      <c r="BU4" s="52" t="str">
        <f aca="false">IF(EDATE(Inputs!$B$4,67)&gt;Inputs!$B$5,"",EDATE(Inputs!$B$4,67))</f>
        <v/>
      </c>
      <c r="BV4" s="52" t="str">
        <f aca="false">IF(EDATE(Inputs!$B$4,68)&gt;Inputs!$B$5,"",EDATE(Inputs!$B$4,68))</f>
        <v/>
      </c>
      <c r="BW4" s="52" t="str">
        <f aca="false">IF(EDATE(Inputs!$B$4,69)&gt;Inputs!$B$5,"",EDATE(Inputs!$B$4,69))</f>
        <v/>
      </c>
      <c r="BX4" s="52" t="str">
        <f aca="false">IF(EDATE(Inputs!$B$4,70)&gt;Inputs!$B$5,"",EDATE(Inputs!$B$4,70))</f>
        <v/>
      </c>
      <c r="BY4" s="52" t="str">
        <f aca="false">IF(EDATE(Inputs!$B$4,71)&gt;Inputs!$B$5,"",EDATE(Inputs!$B$4,71))</f>
        <v/>
      </c>
    </row>
    <row r="5" customFormat="false" ht="15" hidden="false" customHeight="false" outlineLevel="0" collapsed="false">
      <c r="A5" s="53" t="str">
        <f aca="false">IF(BOE!$A6="","",BOE!$A6)</f>
        <v>101</v>
      </c>
      <c r="B5" s="53" t="str">
        <f aca="false">IF(BOE!$A6="","",BOE!$C6)</f>
        <v>Hazard identification &amp; mitigation effort using the system safety methodology (program execution)</v>
      </c>
      <c r="C5" s="54" t="n">
        <f aca="false">IF(BOE!$O6="","",BOE!$O6)</f>
        <v>46391</v>
      </c>
      <c r="D5" s="54" t="n">
        <f aca="false">IF(BOE!$P6="","",BOE!$P6)</f>
        <v>47483</v>
      </c>
      <c r="E5" s="55" t="n">
        <f aca="false">IF(Inputs!$B$7="P90",BOE!$T6,BOE!$R6)</f>
        <v>717.535934291581</v>
      </c>
      <c r="F5" s="56" t="n">
        <f aca="false">IF(OR(F$4="",$C5="",$D5="",N($E5)=0),"",$E5*MAX(0,MIN($D5+1,EDATE(F$4,1))-MAX($C5,F$4))/MAX(1,$D5+1-$C5))</f>
        <v>20.3509734337045</v>
      </c>
      <c r="G5" s="56" t="n">
        <f aca="false">IF(OR(G$4="",$C5="",$D5="",N($E5)=0),"",$E5*MAX(0,MIN($D5+1,EDATE(G$4,1))-MAX($C5,G$4))/MAX(1,$D5+1-$C5))</f>
        <v>18.3815243917331</v>
      </c>
      <c r="H5" s="56" t="n">
        <f aca="false">IF(OR(H$4="",$C5="",$D5="",N($E5)=0),"",$E5*MAX(0,MIN($D5+1,EDATE(H$4,1))-MAX($C5,H$4))/MAX(1,$D5+1-$C5))</f>
        <v>20.3509734337045</v>
      </c>
      <c r="I5" s="56" t="n">
        <f aca="false">IF(OR(I$4="",$C5="",$D5="",N($E5)=0),"",$E5*MAX(0,MIN($D5+1,EDATE(I$4,1))-MAX($C5,I$4))/MAX(1,$D5+1-$C5))</f>
        <v>19.694490419714</v>
      </c>
      <c r="J5" s="56" t="n">
        <f aca="false">IF(OR(J$4="",$C5="",$D5="",N($E5)=0),"",$E5*MAX(0,MIN($D5+1,EDATE(J$4,1))-MAX($C5,J$4))/MAX(1,$D5+1-$C5))</f>
        <v>20.3509734337045</v>
      </c>
      <c r="K5" s="56" t="n">
        <f aca="false">IF(OR(K$4="",$C5="",$D5="",N($E5)=0),"",$E5*MAX(0,MIN($D5+1,EDATE(K$4,1))-MAX($C5,K$4))/MAX(1,$D5+1-$C5))</f>
        <v>19.694490419714</v>
      </c>
      <c r="L5" s="56" t="n">
        <f aca="false">IF(OR(L$4="",$C5="",$D5="",N($E5)=0),"",$E5*MAX(0,MIN($D5+1,EDATE(L$4,1))-MAX($C5,L$4))/MAX(1,$D5+1-$C5))</f>
        <v>20.3509734337045</v>
      </c>
      <c r="M5" s="56" t="n">
        <f aca="false">IF(OR(M$4="",$C5="",$D5="",N($E5)=0),"",$E5*MAX(0,MIN($D5+1,EDATE(M$4,1))-MAX($C5,M$4))/MAX(1,$D5+1-$C5))</f>
        <v>20.3509734337045</v>
      </c>
      <c r="N5" s="56" t="n">
        <f aca="false">IF(OR(N$4="",$C5="",$D5="",N($E5)=0),"",$E5*MAX(0,MIN($D5+1,EDATE(N$4,1))-MAX($C5,N$4))/MAX(1,$D5+1-$C5))</f>
        <v>19.694490419714</v>
      </c>
      <c r="O5" s="56" t="n">
        <f aca="false">IF(OR(O$4="",$C5="",$D5="",N($E5)=0),"",$E5*MAX(0,MIN($D5+1,EDATE(O$4,1))-MAX($C5,O$4))/MAX(1,$D5+1-$C5))</f>
        <v>20.3509734337045</v>
      </c>
      <c r="P5" s="56" t="n">
        <f aca="false">IF(OR(P$4="",$C5="",$D5="",N($E5)=0),"",$E5*MAX(0,MIN($D5+1,EDATE(P$4,1))-MAX($C5,P$4))/MAX(1,$D5+1-$C5))</f>
        <v>19.694490419714</v>
      </c>
      <c r="Q5" s="56" t="n">
        <f aca="false">IF(OR(Q$4="",$C5="",$D5="",N($E5)=0),"",$E5*MAX(0,MIN($D5+1,EDATE(Q$4,1))-MAX($C5,Q$4))/MAX(1,$D5+1-$C5))</f>
        <v>20.3509734337045</v>
      </c>
      <c r="R5" s="56" t="n">
        <f aca="false">IF(OR(R$4="",$C5="",$D5="",N($E5)=0),"",$E5*MAX(0,MIN($D5+1,EDATE(R$4,1))-MAX($C5,R$4))/MAX(1,$D5+1-$C5))</f>
        <v>20.3509734337045</v>
      </c>
      <c r="S5" s="56" t="n">
        <f aca="false">IF(OR(S$4="",$C5="",$D5="",N($E5)=0),"",$E5*MAX(0,MIN($D5+1,EDATE(S$4,1))-MAX($C5,S$4))/MAX(1,$D5+1-$C5))</f>
        <v>19.0380074057236</v>
      </c>
      <c r="T5" s="56" t="n">
        <f aca="false">IF(OR(T$4="",$C5="",$D5="",N($E5)=0),"",$E5*MAX(0,MIN($D5+1,EDATE(T$4,1))-MAX($C5,T$4))/MAX(1,$D5+1-$C5))</f>
        <v>20.3509734337045</v>
      </c>
      <c r="U5" s="56" t="n">
        <f aca="false">IF(OR(U$4="",$C5="",$D5="",N($E5)=0),"",$E5*MAX(0,MIN($D5+1,EDATE(U$4,1))-MAX($C5,U$4))/MAX(1,$D5+1-$C5))</f>
        <v>19.694490419714</v>
      </c>
      <c r="V5" s="56" t="n">
        <f aca="false">IF(OR(V$4="",$C5="",$D5="",N($E5)=0),"",$E5*MAX(0,MIN($D5+1,EDATE(V$4,1))-MAX($C5,V$4))/MAX(1,$D5+1-$C5))</f>
        <v>20.3509734337045</v>
      </c>
      <c r="W5" s="56" t="n">
        <f aca="false">IF(OR(W$4="",$C5="",$D5="",N($E5)=0),"",$E5*MAX(0,MIN($D5+1,EDATE(W$4,1))-MAX($C5,W$4))/MAX(1,$D5+1-$C5))</f>
        <v>19.694490419714</v>
      </c>
      <c r="X5" s="56" t="n">
        <f aca="false">IF(OR(X$4="",$C5="",$D5="",N($E5)=0),"",$E5*MAX(0,MIN($D5+1,EDATE(X$4,1))-MAX($C5,X$4))/MAX(1,$D5+1-$C5))</f>
        <v>20.3509734337045</v>
      </c>
      <c r="Y5" s="56" t="n">
        <f aca="false">IF(OR(Y$4="",$C5="",$D5="",N($E5)=0),"",$E5*MAX(0,MIN($D5+1,EDATE(Y$4,1))-MAX($C5,Y$4))/MAX(1,$D5+1-$C5))</f>
        <v>20.3509734337045</v>
      </c>
      <c r="Z5" s="56" t="n">
        <f aca="false">IF(OR(Z$4="",$C5="",$D5="",N($E5)=0),"",$E5*MAX(0,MIN($D5+1,EDATE(Z$4,1))-MAX($C5,Z$4))/MAX(1,$D5+1-$C5))</f>
        <v>19.694490419714</v>
      </c>
      <c r="AA5" s="56" t="n">
        <f aca="false">IF(OR(AA$4="",$C5="",$D5="",N($E5)=0),"",$E5*MAX(0,MIN($D5+1,EDATE(AA$4,1))-MAX($C5,AA$4))/MAX(1,$D5+1-$C5))</f>
        <v>20.3509734337045</v>
      </c>
      <c r="AB5" s="56" t="n">
        <f aca="false">IF(OR(AB$4="",$C5="",$D5="",N($E5)=0),"",$E5*MAX(0,MIN($D5+1,EDATE(AB$4,1))-MAX($C5,AB$4))/MAX(1,$D5+1-$C5))</f>
        <v>19.694490419714</v>
      </c>
      <c r="AC5" s="56" t="n">
        <f aca="false">IF(OR(AC$4="",$C5="",$D5="",N($E5)=0),"",$E5*MAX(0,MIN($D5+1,EDATE(AC$4,1))-MAX($C5,AC$4))/MAX(1,$D5+1-$C5))</f>
        <v>20.3509734337045</v>
      </c>
      <c r="AD5" s="56" t="n">
        <f aca="false">IF(OR(AD$4="",$C5="",$D5="",N($E5)=0),"",$E5*MAX(0,MIN($D5+1,EDATE(AD$4,1))-MAX($C5,AD$4))/MAX(1,$D5+1-$C5))</f>
        <v>20.3509734337045</v>
      </c>
      <c r="AE5" s="56" t="n">
        <f aca="false">IF(OR(AE$4="",$C5="",$D5="",N($E5)=0),"",$E5*MAX(0,MIN($D5+1,EDATE(AE$4,1))-MAX($C5,AE$4))/MAX(1,$D5+1-$C5))</f>
        <v>18.3815243917331</v>
      </c>
      <c r="AF5" s="56" t="n">
        <f aca="false">IF(OR(AF$4="",$C5="",$D5="",N($E5)=0),"",$E5*MAX(0,MIN($D5+1,EDATE(AF$4,1))-MAX($C5,AF$4))/MAX(1,$D5+1-$C5))</f>
        <v>20.3509734337045</v>
      </c>
      <c r="AG5" s="56" t="n">
        <f aca="false">IF(OR(AG$4="",$C5="",$D5="",N($E5)=0),"",$E5*MAX(0,MIN($D5+1,EDATE(AG$4,1))-MAX($C5,AG$4))/MAX(1,$D5+1-$C5))</f>
        <v>19.694490419714</v>
      </c>
      <c r="AH5" s="56" t="n">
        <f aca="false">IF(OR(AH$4="",$C5="",$D5="",N($E5)=0),"",$E5*MAX(0,MIN($D5+1,EDATE(AH$4,1))-MAX($C5,AH$4))/MAX(1,$D5+1-$C5))</f>
        <v>20.3509734337045</v>
      </c>
      <c r="AI5" s="56" t="n">
        <f aca="false">IF(OR(AI$4="",$C5="",$D5="",N($E5)=0),"",$E5*MAX(0,MIN($D5+1,EDATE(AI$4,1))-MAX($C5,AI$4))/MAX(1,$D5+1-$C5))</f>
        <v>19.694490419714</v>
      </c>
      <c r="AJ5" s="56" t="n">
        <f aca="false">IF(OR(AJ$4="",$C5="",$D5="",N($E5)=0),"",$E5*MAX(0,MIN($D5+1,EDATE(AJ$4,1))-MAX($C5,AJ$4))/MAX(1,$D5+1-$C5))</f>
        <v>20.3509734337045</v>
      </c>
      <c r="AK5" s="56" t="n">
        <f aca="false">IF(OR(AK$4="",$C5="",$D5="",N($E5)=0),"",$E5*MAX(0,MIN($D5+1,EDATE(AK$4,1))-MAX($C5,AK$4))/MAX(1,$D5+1-$C5))</f>
        <v>20.3509734337045</v>
      </c>
      <c r="AL5" s="56" t="n">
        <f aca="false">IF(OR(AL$4="",$C5="",$D5="",N($E5)=0),"",$E5*MAX(0,MIN($D5+1,EDATE(AL$4,1))-MAX($C5,AL$4))/MAX(1,$D5+1-$C5))</f>
        <v>19.694490419714</v>
      </c>
      <c r="AM5" s="56" t="n">
        <f aca="false">IF(OR(AM$4="",$C5="",$D5="",N($E5)=0),"",$E5*MAX(0,MIN($D5+1,EDATE(AM$4,1))-MAX($C5,AM$4))/MAX(1,$D5+1-$C5))</f>
        <v>20.3509734337045</v>
      </c>
      <c r="AN5" s="56" t="n">
        <f aca="false">IF(OR(AN$4="",$C5="",$D5="",N($E5)=0),"",$E5*MAX(0,MIN($D5+1,EDATE(AN$4,1))-MAX($C5,AN$4))/MAX(1,$D5+1-$C5))</f>
        <v>19.694490419714</v>
      </c>
      <c r="AO5" s="56" t="n">
        <f aca="false">IF(OR(AO$4="",$C5="",$D5="",N($E5)=0),"",$E5*MAX(0,MIN($D5+1,EDATE(AO$4,1))-MAX($C5,AO$4))/MAX(1,$D5+1-$C5))</f>
        <v>18.3815243917331</v>
      </c>
      <c r="AP5" s="56" t="str">
        <f aca="false">IF(OR(AP$4="",$C5="",$D5="",N($E5)=0),"",$E5*MAX(0,MIN($D5+1,EDATE(AP$4,1))-MAX($C5,AP$4))/MAX(1,$D5+1-$C5))</f>
        <v/>
      </c>
      <c r="AQ5" s="56" t="str">
        <f aca="false">IF(OR(AQ$4="",$C5="",$D5="",N($E5)=0),"",$E5*MAX(0,MIN($D5+1,EDATE(AQ$4,1))-MAX($C5,AQ$4))/MAX(1,$D5+1-$C5))</f>
        <v/>
      </c>
      <c r="AR5" s="56" t="str">
        <f aca="false">IF(OR(AR$4="",$C5="",$D5="",N($E5)=0),"",$E5*MAX(0,MIN($D5+1,EDATE(AR$4,1))-MAX($C5,AR$4))/MAX(1,$D5+1-$C5))</f>
        <v/>
      </c>
      <c r="AS5" s="56" t="str">
        <f aca="false">IF(OR(AS$4="",$C5="",$D5="",N($E5)=0),"",$E5*MAX(0,MIN($D5+1,EDATE(AS$4,1))-MAX($C5,AS$4))/MAX(1,$D5+1-$C5))</f>
        <v/>
      </c>
      <c r="AT5" s="56" t="str">
        <f aca="false">IF(OR(AT$4="",$C5="",$D5="",N($E5)=0),"",$E5*MAX(0,MIN($D5+1,EDATE(AT$4,1))-MAX($C5,AT$4))/MAX(1,$D5+1-$C5))</f>
        <v/>
      </c>
      <c r="AU5" s="56" t="str">
        <f aca="false">IF(OR(AU$4="",$C5="",$D5="",N($E5)=0),"",$E5*MAX(0,MIN($D5+1,EDATE(AU$4,1))-MAX($C5,AU$4))/MAX(1,$D5+1-$C5))</f>
        <v/>
      </c>
      <c r="AV5" s="56" t="str">
        <f aca="false">IF(OR(AV$4="",$C5="",$D5="",N($E5)=0),"",$E5*MAX(0,MIN($D5+1,EDATE(AV$4,1))-MAX($C5,AV$4))/MAX(1,$D5+1-$C5))</f>
        <v/>
      </c>
      <c r="AW5" s="56" t="str">
        <f aca="false">IF(OR(AW$4="",$C5="",$D5="",N($E5)=0),"",$E5*MAX(0,MIN($D5+1,EDATE(AW$4,1))-MAX($C5,AW$4))/MAX(1,$D5+1-$C5))</f>
        <v/>
      </c>
      <c r="AX5" s="56" t="str">
        <f aca="false">IF(OR(AX$4="",$C5="",$D5="",N($E5)=0),"",$E5*MAX(0,MIN($D5+1,EDATE(AX$4,1))-MAX($C5,AX$4))/MAX(1,$D5+1-$C5))</f>
        <v/>
      </c>
      <c r="AY5" s="56" t="str">
        <f aca="false">IF(OR(AY$4="",$C5="",$D5="",N($E5)=0),"",$E5*MAX(0,MIN($D5+1,EDATE(AY$4,1))-MAX($C5,AY$4))/MAX(1,$D5+1-$C5))</f>
        <v/>
      </c>
      <c r="AZ5" s="56" t="str">
        <f aca="false">IF(OR(AZ$4="",$C5="",$D5="",N($E5)=0),"",$E5*MAX(0,MIN($D5+1,EDATE(AZ$4,1))-MAX($C5,AZ$4))/MAX(1,$D5+1-$C5))</f>
        <v/>
      </c>
      <c r="BA5" s="56" t="str">
        <f aca="false">IF(OR(BA$4="",$C5="",$D5="",N($E5)=0),"",$E5*MAX(0,MIN($D5+1,EDATE(BA$4,1))-MAX($C5,BA$4))/MAX(1,$D5+1-$C5))</f>
        <v/>
      </c>
      <c r="BB5" s="56" t="str">
        <f aca="false">IF(OR(BB$4="",$C5="",$D5="",N($E5)=0),"",$E5*MAX(0,MIN($D5+1,EDATE(BB$4,1))-MAX($C5,BB$4))/MAX(1,$D5+1-$C5))</f>
        <v/>
      </c>
      <c r="BC5" s="56" t="str">
        <f aca="false">IF(OR(BC$4="",$C5="",$D5="",N($E5)=0),"",$E5*MAX(0,MIN($D5+1,EDATE(BC$4,1))-MAX($C5,BC$4))/MAX(1,$D5+1-$C5))</f>
        <v/>
      </c>
      <c r="BD5" s="56" t="str">
        <f aca="false">IF(OR(BD$4="",$C5="",$D5="",N($E5)=0),"",$E5*MAX(0,MIN($D5+1,EDATE(BD$4,1))-MAX($C5,BD$4))/MAX(1,$D5+1-$C5))</f>
        <v/>
      </c>
      <c r="BE5" s="56" t="str">
        <f aca="false">IF(OR(BE$4="",$C5="",$D5="",N($E5)=0),"",$E5*MAX(0,MIN($D5+1,EDATE(BE$4,1))-MAX($C5,BE$4))/MAX(1,$D5+1-$C5))</f>
        <v/>
      </c>
      <c r="BF5" s="56" t="str">
        <f aca="false">IF(OR(BF$4="",$C5="",$D5="",N($E5)=0),"",$E5*MAX(0,MIN($D5+1,EDATE(BF$4,1))-MAX($C5,BF$4))/MAX(1,$D5+1-$C5))</f>
        <v/>
      </c>
      <c r="BG5" s="56" t="str">
        <f aca="false">IF(OR(BG$4="",$C5="",$D5="",N($E5)=0),"",$E5*MAX(0,MIN($D5+1,EDATE(BG$4,1))-MAX($C5,BG$4))/MAX(1,$D5+1-$C5))</f>
        <v/>
      </c>
      <c r="BH5" s="56" t="str">
        <f aca="false">IF(OR(BH$4="",$C5="",$D5="",N($E5)=0),"",$E5*MAX(0,MIN($D5+1,EDATE(BH$4,1))-MAX($C5,BH$4))/MAX(1,$D5+1-$C5))</f>
        <v/>
      </c>
      <c r="BI5" s="56" t="str">
        <f aca="false">IF(OR(BI$4="",$C5="",$D5="",N($E5)=0),"",$E5*MAX(0,MIN($D5+1,EDATE(BI$4,1))-MAX($C5,BI$4))/MAX(1,$D5+1-$C5))</f>
        <v/>
      </c>
      <c r="BJ5" s="56" t="str">
        <f aca="false">IF(OR(BJ$4="",$C5="",$D5="",N($E5)=0),"",$E5*MAX(0,MIN($D5+1,EDATE(BJ$4,1))-MAX($C5,BJ$4))/MAX(1,$D5+1-$C5))</f>
        <v/>
      </c>
      <c r="BK5" s="56" t="str">
        <f aca="false">IF(OR(BK$4="",$C5="",$D5="",N($E5)=0),"",$E5*MAX(0,MIN($D5+1,EDATE(BK$4,1))-MAX($C5,BK$4))/MAX(1,$D5+1-$C5))</f>
        <v/>
      </c>
      <c r="BL5" s="56" t="str">
        <f aca="false">IF(OR(BL$4="",$C5="",$D5="",N($E5)=0),"",$E5*MAX(0,MIN($D5+1,EDATE(BL$4,1))-MAX($C5,BL$4))/MAX(1,$D5+1-$C5))</f>
        <v/>
      </c>
      <c r="BM5" s="56" t="str">
        <f aca="false">IF(OR(BM$4="",$C5="",$D5="",N($E5)=0),"",$E5*MAX(0,MIN($D5+1,EDATE(BM$4,1))-MAX($C5,BM$4))/MAX(1,$D5+1-$C5))</f>
        <v/>
      </c>
      <c r="BN5" s="56" t="str">
        <f aca="false">IF(OR(BN$4="",$C5="",$D5="",N($E5)=0),"",$E5*MAX(0,MIN($D5+1,EDATE(BN$4,1))-MAX($C5,BN$4))/MAX(1,$D5+1-$C5))</f>
        <v/>
      </c>
      <c r="BO5" s="56" t="str">
        <f aca="false">IF(OR(BO$4="",$C5="",$D5="",N($E5)=0),"",$E5*MAX(0,MIN($D5+1,EDATE(BO$4,1))-MAX($C5,BO$4))/MAX(1,$D5+1-$C5))</f>
        <v/>
      </c>
      <c r="BP5" s="56" t="str">
        <f aca="false">IF(OR(BP$4="",$C5="",$D5="",N($E5)=0),"",$E5*MAX(0,MIN($D5+1,EDATE(BP$4,1))-MAX($C5,BP$4))/MAX(1,$D5+1-$C5))</f>
        <v/>
      </c>
      <c r="BQ5" s="56" t="str">
        <f aca="false">IF(OR(BQ$4="",$C5="",$D5="",N($E5)=0),"",$E5*MAX(0,MIN($D5+1,EDATE(BQ$4,1))-MAX($C5,BQ$4))/MAX(1,$D5+1-$C5))</f>
        <v/>
      </c>
      <c r="BR5" s="56" t="str">
        <f aca="false">IF(OR(BR$4="",$C5="",$D5="",N($E5)=0),"",$E5*MAX(0,MIN($D5+1,EDATE(BR$4,1))-MAX($C5,BR$4))/MAX(1,$D5+1-$C5))</f>
        <v/>
      </c>
      <c r="BS5" s="56" t="str">
        <f aca="false">IF(OR(BS$4="",$C5="",$D5="",N($E5)=0),"",$E5*MAX(0,MIN($D5+1,EDATE(BS$4,1))-MAX($C5,BS$4))/MAX(1,$D5+1-$C5))</f>
        <v/>
      </c>
      <c r="BT5" s="56" t="str">
        <f aca="false">IF(OR(BT$4="",$C5="",$D5="",N($E5)=0),"",$E5*MAX(0,MIN($D5+1,EDATE(BT$4,1))-MAX($C5,BT$4))/MAX(1,$D5+1-$C5))</f>
        <v/>
      </c>
      <c r="BU5" s="56" t="str">
        <f aca="false">IF(OR(BU$4="",$C5="",$D5="",N($E5)=0),"",$E5*MAX(0,MIN($D5+1,EDATE(BU$4,1))-MAX($C5,BU$4))/MAX(1,$D5+1-$C5))</f>
        <v/>
      </c>
      <c r="BV5" s="56" t="str">
        <f aca="false">IF(OR(BV$4="",$C5="",$D5="",N($E5)=0),"",$E5*MAX(0,MIN($D5+1,EDATE(BV$4,1))-MAX($C5,BV$4))/MAX(1,$D5+1-$C5))</f>
        <v/>
      </c>
      <c r="BW5" s="56" t="str">
        <f aca="false">IF(OR(BW$4="",$C5="",$D5="",N($E5)=0),"",$E5*MAX(0,MIN($D5+1,EDATE(BW$4,1))-MAX($C5,BW$4))/MAX(1,$D5+1-$C5))</f>
        <v/>
      </c>
      <c r="BX5" s="56" t="str">
        <f aca="false">IF(OR(BX$4="",$C5="",$D5="",N($E5)=0),"",$E5*MAX(0,MIN($D5+1,EDATE(BX$4,1))-MAX($C5,BX$4))/MAX(1,$D5+1-$C5))</f>
        <v/>
      </c>
      <c r="BY5" s="56" t="str">
        <f aca="false">IF(OR(BY$4="",$C5="",$D5="",N($E5)=0),"",$E5*MAX(0,MIN($D5+1,EDATE(BY$4,1))-MAX($C5,BY$4))/MAX(1,$D5+1-$C5))</f>
        <v/>
      </c>
    </row>
    <row r="6" customFormat="false" ht="15" hidden="false" customHeight="false" outlineLevel="0" collapsed="false">
      <c r="A6" s="53" t="str">
        <f aca="false">IF(BOE!$A7="","",BOE!$A7)</f>
        <v>102</v>
      </c>
      <c r="B6" s="53" t="str">
        <f aca="false">IF(BOE!$A7="","",BOE!$C7)</f>
        <v>System Safety Program Plan (SSPP)</v>
      </c>
      <c r="C6" s="54" t="n">
        <f aca="false">IF(BOE!$O7="","",BOE!$O7)</f>
        <v>46391</v>
      </c>
      <c r="D6" s="54" t="n">
        <f aca="false">IF(BOE!$P7="","",BOE!$P7)</f>
        <v>46481</v>
      </c>
      <c r="E6" s="55" t="n">
        <f aca="false">IF(Inputs!$B$7="P90",BOE!$T7,BOE!$R7)</f>
        <v>320</v>
      </c>
      <c r="F6" s="56" t="n">
        <f aca="false">IF(OR(F$4="",$C6="",$D6="",N($E6)=0),"",$E6*MAX(0,MIN($D6+1,EDATE(F$4,1))-MAX($C6,F$4))/MAX(1,$D6+1-$C6))</f>
        <v>109.010989010989</v>
      </c>
      <c r="G6" s="56" t="n">
        <f aca="false">IF(OR(G$4="",$C6="",$D6="",N($E6)=0),"",$E6*MAX(0,MIN($D6+1,EDATE(G$4,1))-MAX($C6,G$4))/MAX(1,$D6+1-$C6))</f>
        <v>98.4615384615385</v>
      </c>
      <c r="H6" s="56" t="n">
        <f aca="false">IF(OR(H$4="",$C6="",$D6="",N($E6)=0),"",$E6*MAX(0,MIN($D6+1,EDATE(H$4,1))-MAX($C6,H$4))/MAX(1,$D6+1-$C6))</f>
        <v>109.010989010989</v>
      </c>
      <c r="I6" s="56" t="n">
        <f aca="false">IF(OR(I$4="",$C6="",$D6="",N($E6)=0),"",$E6*MAX(0,MIN($D6+1,EDATE(I$4,1))-MAX($C6,I$4))/MAX(1,$D6+1-$C6))</f>
        <v>3.51648351648352</v>
      </c>
      <c r="J6" s="56" t="n">
        <f aca="false">IF(OR(J$4="",$C6="",$D6="",N($E6)=0),"",$E6*MAX(0,MIN($D6+1,EDATE(J$4,1))-MAX($C6,J$4))/MAX(1,$D6+1-$C6))</f>
        <v>0</v>
      </c>
      <c r="K6" s="56" t="n">
        <f aca="false">IF(OR(K$4="",$C6="",$D6="",N($E6)=0),"",$E6*MAX(0,MIN($D6+1,EDATE(K$4,1))-MAX($C6,K$4))/MAX(1,$D6+1-$C6))</f>
        <v>0</v>
      </c>
      <c r="L6" s="56" t="n">
        <f aca="false">IF(OR(L$4="",$C6="",$D6="",N($E6)=0),"",$E6*MAX(0,MIN($D6+1,EDATE(L$4,1))-MAX($C6,L$4))/MAX(1,$D6+1-$C6))</f>
        <v>0</v>
      </c>
      <c r="M6" s="56" t="n">
        <f aca="false">IF(OR(M$4="",$C6="",$D6="",N($E6)=0),"",$E6*MAX(0,MIN($D6+1,EDATE(M$4,1))-MAX($C6,M$4))/MAX(1,$D6+1-$C6))</f>
        <v>0</v>
      </c>
      <c r="N6" s="56" t="n">
        <f aca="false">IF(OR(N$4="",$C6="",$D6="",N($E6)=0),"",$E6*MAX(0,MIN($D6+1,EDATE(N$4,1))-MAX($C6,N$4))/MAX(1,$D6+1-$C6))</f>
        <v>0</v>
      </c>
      <c r="O6" s="56" t="n">
        <f aca="false">IF(OR(O$4="",$C6="",$D6="",N($E6)=0),"",$E6*MAX(0,MIN($D6+1,EDATE(O$4,1))-MAX($C6,O$4))/MAX(1,$D6+1-$C6))</f>
        <v>0</v>
      </c>
      <c r="P6" s="56" t="n">
        <f aca="false">IF(OR(P$4="",$C6="",$D6="",N($E6)=0),"",$E6*MAX(0,MIN($D6+1,EDATE(P$4,1))-MAX($C6,P$4))/MAX(1,$D6+1-$C6))</f>
        <v>0</v>
      </c>
      <c r="Q6" s="56" t="n">
        <f aca="false">IF(OR(Q$4="",$C6="",$D6="",N($E6)=0),"",$E6*MAX(0,MIN($D6+1,EDATE(Q$4,1))-MAX($C6,Q$4))/MAX(1,$D6+1-$C6))</f>
        <v>0</v>
      </c>
      <c r="R6" s="56" t="n">
        <f aca="false">IF(OR(R$4="",$C6="",$D6="",N($E6)=0),"",$E6*MAX(0,MIN($D6+1,EDATE(R$4,1))-MAX($C6,R$4))/MAX(1,$D6+1-$C6))</f>
        <v>0</v>
      </c>
      <c r="S6" s="56" t="n">
        <f aca="false">IF(OR(S$4="",$C6="",$D6="",N($E6)=0),"",$E6*MAX(0,MIN($D6+1,EDATE(S$4,1))-MAX($C6,S$4))/MAX(1,$D6+1-$C6))</f>
        <v>0</v>
      </c>
      <c r="T6" s="56" t="n">
        <f aca="false">IF(OR(T$4="",$C6="",$D6="",N($E6)=0),"",$E6*MAX(0,MIN($D6+1,EDATE(T$4,1))-MAX($C6,T$4))/MAX(1,$D6+1-$C6))</f>
        <v>0</v>
      </c>
      <c r="U6" s="56" t="n">
        <f aca="false">IF(OR(U$4="",$C6="",$D6="",N($E6)=0),"",$E6*MAX(0,MIN($D6+1,EDATE(U$4,1))-MAX($C6,U$4))/MAX(1,$D6+1-$C6))</f>
        <v>0</v>
      </c>
      <c r="V6" s="56" t="n">
        <f aca="false">IF(OR(V$4="",$C6="",$D6="",N($E6)=0),"",$E6*MAX(0,MIN($D6+1,EDATE(V$4,1))-MAX($C6,V$4))/MAX(1,$D6+1-$C6))</f>
        <v>0</v>
      </c>
      <c r="W6" s="56" t="n">
        <f aca="false">IF(OR(W$4="",$C6="",$D6="",N($E6)=0),"",$E6*MAX(0,MIN($D6+1,EDATE(W$4,1))-MAX($C6,W$4))/MAX(1,$D6+1-$C6))</f>
        <v>0</v>
      </c>
      <c r="X6" s="56" t="n">
        <f aca="false">IF(OR(X$4="",$C6="",$D6="",N($E6)=0),"",$E6*MAX(0,MIN($D6+1,EDATE(X$4,1))-MAX($C6,X$4))/MAX(1,$D6+1-$C6))</f>
        <v>0</v>
      </c>
      <c r="Y6" s="56" t="n">
        <f aca="false">IF(OR(Y$4="",$C6="",$D6="",N($E6)=0),"",$E6*MAX(0,MIN($D6+1,EDATE(Y$4,1))-MAX($C6,Y$4))/MAX(1,$D6+1-$C6))</f>
        <v>0</v>
      </c>
      <c r="Z6" s="56" t="n">
        <f aca="false">IF(OR(Z$4="",$C6="",$D6="",N($E6)=0),"",$E6*MAX(0,MIN($D6+1,EDATE(Z$4,1))-MAX($C6,Z$4))/MAX(1,$D6+1-$C6))</f>
        <v>0</v>
      </c>
      <c r="AA6" s="56" t="n">
        <f aca="false">IF(OR(AA$4="",$C6="",$D6="",N($E6)=0),"",$E6*MAX(0,MIN($D6+1,EDATE(AA$4,1))-MAX($C6,AA$4))/MAX(1,$D6+1-$C6))</f>
        <v>0</v>
      </c>
      <c r="AB6" s="56" t="n">
        <f aca="false">IF(OR(AB$4="",$C6="",$D6="",N($E6)=0),"",$E6*MAX(0,MIN($D6+1,EDATE(AB$4,1))-MAX($C6,AB$4))/MAX(1,$D6+1-$C6))</f>
        <v>0</v>
      </c>
      <c r="AC6" s="56" t="n">
        <f aca="false">IF(OR(AC$4="",$C6="",$D6="",N($E6)=0),"",$E6*MAX(0,MIN($D6+1,EDATE(AC$4,1))-MAX($C6,AC$4))/MAX(1,$D6+1-$C6))</f>
        <v>0</v>
      </c>
      <c r="AD6" s="56" t="n">
        <f aca="false">IF(OR(AD$4="",$C6="",$D6="",N($E6)=0),"",$E6*MAX(0,MIN($D6+1,EDATE(AD$4,1))-MAX($C6,AD$4))/MAX(1,$D6+1-$C6))</f>
        <v>0</v>
      </c>
      <c r="AE6" s="56" t="n">
        <f aca="false">IF(OR(AE$4="",$C6="",$D6="",N($E6)=0),"",$E6*MAX(0,MIN($D6+1,EDATE(AE$4,1))-MAX($C6,AE$4))/MAX(1,$D6+1-$C6))</f>
        <v>0</v>
      </c>
      <c r="AF6" s="56" t="n">
        <f aca="false">IF(OR(AF$4="",$C6="",$D6="",N($E6)=0),"",$E6*MAX(0,MIN($D6+1,EDATE(AF$4,1))-MAX($C6,AF$4))/MAX(1,$D6+1-$C6))</f>
        <v>0</v>
      </c>
      <c r="AG6" s="56" t="n">
        <f aca="false">IF(OR(AG$4="",$C6="",$D6="",N($E6)=0),"",$E6*MAX(0,MIN($D6+1,EDATE(AG$4,1))-MAX($C6,AG$4))/MAX(1,$D6+1-$C6))</f>
        <v>0</v>
      </c>
      <c r="AH6" s="56" t="n">
        <f aca="false">IF(OR(AH$4="",$C6="",$D6="",N($E6)=0),"",$E6*MAX(0,MIN($D6+1,EDATE(AH$4,1))-MAX($C6,AH$4))/MAX(1,$D6+1-$C6))</f>
        <v>0</v>
      </c>
      <c r="AI6" s="56" t="n">
        <f aca="false">IF(OR(AI$4="",$C6="",$D6="",N($E6)=0),"",$E6*MAX(0,MIN($D6+1,EDATE(AI$4,1))-MAX($C6,AI$4))/MAX(1,$D6+1-$C6))</f>
        <v>0</v>
      </c>
      <c r="AJ6" s="56" t="n">
        <f aca="false">IF(OR(AJ$4="",$C6="",$D6="",N($E6)=0),"",$E6*MAX(0,MIN($D6+1,EDATE(AJ$4,1))-MAX($C6,AJ$4))/MAX(1,$D6+1-$C6))</f>
        <v>0</v>
      </c>
      <c r="AK6" s="56" t="n">
        <f aca="false">IF(OR(AK$4="",$C6="",$D6="",N($E6)=0),"",$E6*MAX(0,MIN($D6+1,EDATE(AK$4,1))-MAX($C6,AK$4))/MAX(1,$D6+1-$C6))</f>
        <v>0</v>
      </c>
      <c r="AL6" s="56" t="n">
        <f aca="false">IF(OR(AL$4="",$C6="",$D6="",N($E6)=0),"",$E6*MAX(0,MIN($D6+1,EDATE(AL$4,1))-MAX($C6,AL$4))/MAX(1,$D6+1-$C6))</f>
        <v>0</v>
      </c>
      <c r="AM6" s="56" t="n">
        <f aca="false">IF(OR(AM$4="",$C6="",$D6="",N($E6)=0),"",$E6*MAX(0,MIN($D6+1,EDATE(AM$4,1))-MAX($C6,AM$4))/MAX(1,$D6+1-$C6))</f>
        <v>0</v>
      </c>
      <c r="AN6" s="56" t="n">
        <f aca="false">IF(OR(AN$4="",$C6="",$D6="",N($E6)=0),"",$E6*MAX(0,MIN($D6+1,EDATE(AN$4,1))-MAX($C6,AN$4))/MAX(1,$D6+1-$C6))</f>
        <v>0</v>
      </c>
      <c r="AO6" s="56" t="n">
        <f aca="false">IF(OR(AO$4="",$C6="",$D6="",N($E6)=0),"",$E6*MAX(0,MIN($D6+1,EDATE(AO$4,1))-MAX($C6,AO$4))/MAX(1,$D6+1-$C6))</f>
        <v>0</v>
      </c>
      <c r="AP6" s="56" t="str">
        <f aca="false">IF(OR(AP$4="",$C6="",$D6="",N($E6)=0),"",$E6*MAX(0,MIN($D6+1,EDATE(AP$4,1))-MAX($C6,AP$4))/MAX(1,$D6+1-$C6))</f>
        <v/>
      </c>
      <c r="AQ6" s="56" t="str">
        <f aca="false">IF(OR(AQ$4="",$C6="",$D6="",N($E6)=0),"",$E6*MAX(0,MIN($D6+1,EDATE(AQ$4,1))-MAX($C6,AQ$4))/MAX(1,$D6+1-$C6))</f>
        <v/>
      </c>
      <c r="AR6" s="56" t="str">
        <f aca="false">IF(OR(AR$4="",$C6="",$D6="",N($E6)=0),"",$E6*MAX(0,MIN($D6+1,EDATE(AR$4,1))-MAX($C6,AR$4))/MAX(1,$D6+1-$C6))</f>
        <v/>
      </c>
      <c r="AS6" s="56" t="str">
        <f aca="false">IF(OR(AS$4="",$C6="",$D6="",N($E6)=0),"",$E6*MAX(0,MIN($D6+1,EDATE(AS$4,1))-MAX($C6,AS$4))/MAX(1,$D6+1-$C6))</f>
        <v/>
      </c>
      <c r="AT6" s="56" t="str">
        <f aca="false">IF(OR(AT$4="",$C6="",$D6="",N($E6)=0),"",$E6*MAX(0,MIN($D6+1,EDATE(AT$4,1))-MAX($C6,AT$4))/MAX(1,$D6+1-$C6))</f>
        <v/>
      </c>
      <c r="AU6" s="56" t="str">
        <f aca="false">IF(OR(AU$4="",$C6="",$D6="",N($E6)=0),"",$E6*MAX(0,MIN($D6+1,EDATE(AU$4,1))-MAX($C6,AU$4))/MAX(1,$D6+1-$C6))</f>
        <v/>
      </c>
      <c r="AV6" s="56" t="str">
        <f aca="false">IF(OR(AV$4="",$C6="",$D6="",N($E6)=0),"",$E6*MAX(0,MIN($D6+1,EDATE(AV$4,1))-MAX($C6,AV$4))/MAX(1,$D6+1-$C6))</f>
        <v/>
      </c>
      <c r="AW6" s="56" t="str">
        <f aca="false">IF(OR(AW$4="",$C6="",$D6="",N($E6)=0),"",$E6*MAX(0,MIN($D6+1,EDATE(AW$4,1))-MAX($C6,AW$4))/MAX(1,$D6+1-$C6))</f>
        <v/>
      </c>
      <c r="AX6" s="56" t="str">
        <f aca="false">IF(OR(AX$4="",$C6="",$D6="",N($E6)=0),"",$E6*MAX(0,MIN($D6+1,EDATE(AX$4,1))-MAX($C6,AX$4))/MAX(1,$D6+1-$C6))</f>
        <v/>
      </c>
      <c r="AY6" s="56" t="str">
        <f aca="false">IF(OR(AY$4="",$C6="",$D6="",N($E6)=0),"",$E6*MAX(0,MIN($D6+1,EDATE(AY$4,1))-MAX($C6,AY$4))/MAX(1,$D6+1-$C6))</f>
        <v/>
      </c>
      <c r="AZ6" s="56" t="str">
        <f aca="false">IF(OR(AZ$4="",$C6="",$D6="",N($E6)=0),"",$E6*MAX(0,MIN($D6+1,EDATE(AZ$4,1))-MAX($C6,AZ$4))/MAX(1,$D6+1-$C6))</f>
        <v/>
      </c>
      <c r="BA6" s="56" t="str">
        <f aca="false">IF(OR(BA$4="",$C6="",$D6="",N($E6)=0),"",$E6*MAX(0,MIN($D6+1,EDATE(BA$4,1))-MAX($C6,BA$4))/MAX(1,$D6+1-$C6))</f>
        <v/>
      </c>
      <c r="BB6" s="56" t="str">
        <f aca="false">IF(OR(BB$4="",$C6="",$D6="",N($E6)=0),"",$E6*MAX(0,MIN($D6+1,EDATE(BB$4,1))-MAX($C6,BB$4))/MAX(1,$D6+1-$C6))</f>
        <v/>
      </c>
      <c r="BC6" s="56" t="str">
        <f aca="false">IF(OR(BC$4="",$C6="",$D6="",N($E6)=0),"",$E6*MAX(0,MIN($D6+1,EDATE(BC$4,1))-MAX($C6,BC$4))/MAX(1,$D6+1-$C6))</f>
        <v/>
      </c>
      <c r="BD6" s="56" t="str">
        <f aca="false">IF(OR(BD$4="",$C6="",$D6="",N($E6)=0),"",$E6*MAX(0,MIN($D6+1,EDATE(BD$4,1))-MAX($C6,BD$4))/MAX(1,$D6+1-$C6))</f>
        <v/>
      </c>
      <c r="BE6" s="56" t="str">
        <f aca="false">IF(OR(BE$4="",$C6="",$D6="",N($E6)=0),"",$E6*MAX(0,MIN($D6+1,EDATE(BE$4,1))-MAX($C6,BE$4))/MAX(1,$D6+1-$C6))</f>
        <v/>
      </c>
      <c r="BF6" s="56" t="str">
        <f aca="false">IF(OR(BF$4="",$C6="",$D6="",N($E6)=0),"",$E6*MAX(0,MIN($D6+1,EDATE(BF$4,1))-MAX($C6,BF$4))/MAX(1,$D6+1-$C6))</f>
        <v/>
      </c>
      <c r="BG6" s="56" t="str">
        <f aca="false">IF(OR(BG$4="",$C6="",$D6="",N($E6)=0),"",$E6*MAX(0,MIN($D6+1,EDATE(BG$4,1))-MAX($C6,BG$4))/MAX(1,$D6+1-$C6))</f>
        <v/>
      </c>
      <c r="BH6" s="56" t="str">
        <f aca="false">IF(OR(BH$4="",$C6="",$D6="",N($E6)=0),"",$E6*MAX(0,MIN($D6+1,EDATE(BH$4,1))-MAX($C6,BH$4))/MAX(1,$D6+1-$C6))</f>
        <v/>
      </c>
      <c r="BI6" s="56" t="str">
        <f aca="false">IF(OR(BI$4="",$C6="",$D6="",N($E6)=0),"",$E6*MAX(0,MIN($D6+1,EDATE(BI$4,1))-MAX($C6,BI$4))/MAX(1,$D6+1-$C6))</f>
        <v/>
      </c>
      <c r="BJ6" s="56" t="str">
        <f aca="false">IF(OR(BJ$4="",$C6="",$D6="",N($E6)=0),"",$E6*MAX(0,MIN($D6+1,EDATE(BJ$4,1))-MAX($C6,BJ$4))/MAX(1,$D6+1-$C6))</f>
        <v/>
      </c>
      <c r="BK6" s="56" t="str">
        <f aca="false">IF(OR(BK$4="",$C6="",$D6="",N($E6)=0),"",$E6*MAX(0,MIN($D6+1,EDATE(BK$4,1))-MAX($C6,BK$4))/MAX(1,$D6+1-$C6))</f>
        <v/>
      </c>
      <c r="BL6" s="56" t="str">
        <f aca="false">IF(OR(BL$4="",$C6="",$D6="",N($E6)=0),"",$E6*MAX(0,MIN($D6+1,EDATE(BL$4,1))-MAX($C6,BL$4))/MAX(1,$D6+1-$C6))</f>
        <v/>
      </c>
      <c r="BM6" s="56" t="str">
        <f aca="false">IF(OR(BM$4="",$C6="",$D6="",N($E6)=0),"",$E6*MAX(0,MIN($D6+1,EDATE(BM$4,1))-MAX($C6,BM$4))/MAX(1,$D6+1-$C6))</f>
        <v/>
      </c>
      <c r="BN6" s="56" t="str">
        <f aca="false">IF(OR(BN$4="",$C6="",$D6="",N($E6)=0),"",$E6*MAX(0,MIN($D6+1,EDATE(BN$4,1))-MAX($C6,BN$4))/MAX(1,$D6+1-$C6))</f>
        <v/>
      </c>
      <c r="BO6" s="56" t="str">
        <f aca="false">IF(OR(BO$4="",$C6="",$D6="",N($E6)=0),"",$E6*MAX(0,MIN($D6+1,EDATE(BO$4,1))-MAX($C6,BO$4))/MAX(1,$D6+1-$C6))</f>
        <v/>
      </c>
      <c r="BP6" s="56" t="str">
        <f aca="false">IF(OR(BP$4="",$C6="",$D6="",N($E6)=0),"",$E6*MAX(0,MIN($D6+1,EDATE(BP$4,1))-MAX($C6,BP$4))/MAX(1,$D6+1-$C6))</f>
        <v/>
      </c>
      <c r="BQ6" s="56" t="str">
        <f aca="false">IF(OR(BQ$4="",$C6="",$D6="",N($E6)=0),"",$E6*MAX(0,MIN($D6+1,EDATE(BQ$4,1))-MAX($C6,BQ$4))/MAX(1,$D6+1-$C6))</f>
        <v/>
      </c>
      <c r="BR6" s="56" t="str">
        <f aca="false">IF(OR(BR$4="",$C6="",$D6="",N($E6)=0),"",$E6*MAX(0,MIN($D6+1,EDATE(BR$4,1))-MAX($C6,BR$4))/MAX(1,$D6+1-$C6))</f>
        <v/>
      </c>
      <c r="BS6" s="56" t="str">
        <f aca="false">IF(OR(BS$4="",$C6="",$D6="",N($E6)=0),"",$E6*MAX(0,MIN($D6+1,EDATE(BS$4,1))-MAX($C6,BS$4))/MAX(1,$D6+1-$C6))</f>
        <v/>
      </c>
      <c r="BT6" s="56" t="str">
        <f aca="false">IF(OR(BT$4="",$C6="",$D6="",N($E6)=0),"",$E6*MAX(0,MIN($D6+1,EDATE(BT$4,1))-MAX($C6,BT$4))/MAX(1,$D6+1-$C6))</f>
        <v/>
      </c>
      <c r="BU6" s="56" t="str">
        <f aca="false">IF(OR(BU$4="",$C6="",$D6="",N($E6)=0),"",$E6*MAX(0,MIN($D6+1,EDATE(BU$4,1))-MAX($C6,BU$4))/MAX(1,$D6+1-$C6))</f>
        <v/>
      </c>
      <c r="BV6" s="56" t="str">
        <f aca="false">IF(OR(BV$4="",$C6="",$D6="",N($E6)=0),"",$E6*MAX(0,MIN($D6+1,EDATE(BV$4,1))-MAX($C6,BV$4))/MAX(1,$D6+1-$C6))</f>
        <v/>
      </c>
      <c r="BW6" s="56" t="str">
        <f aca="false">IF(OR(BW$4="",$C6="",$D6="",N($E6)=0),"",$E6*MAX(0,MIN($D6+1,EDATE(BW$4,1))-MAX($C6,BW$4))/MAX(1,$D6+1-$C6))</f>
        <v/>
      </c>
      <c r="BX6" s="56" t="str">
        <f aca="false">IF(OR(BX$4="",$C6="",$D6="",N($E6)=0),"",$E6*MAX(0,MIN($D6+1,EDATE(BX$4,1))-MAX($C6,BX$4))/MAX(1,$D6+1-$C6))</f>
        <v/>
      </c>
      <c r="BY6" s="56" t="str">
        <f aca="false">IF(OR(BY$4="",$C6="",$D6="",N($E6)=0),"",$E6*MAX(0,MIN($D6+1,EDATE(BY$4,1))-MAX($C6,BY$4))/MAX(1,$D6+1-$C6))</f>
        <v/>
      </c>
    </row>
    <row r="7" customFormat="false" ht="15" hidden="false" customHeight="false" outlineLevel="0" collapsed="false">
      <c r="A7" s="53" t="str">
        <f aca="false">IF(BOE!$A8="","",BOE!$A8)</f>
        <v>103</v>
      </c>
      <c r="B7" s="53" t="str">
        <f aca="false">IF(BOE!$A8="","",BOE!$C8)</f>
        <v>Hazard Management Plan (HMP) — other functional disciplines</v>
      </c>
      <c r="C7" s="54" t="n">
        <f aca="false">IF(BOE!$O8="","",BOE!$O8)</f>
        <v>46391</v>
      </c>
      <c r="D7" s="54" t="n">
        <f aca="false">IF(BOE!$P8="","",BOE!$P8)</f>
        <v>46481</v>
      </c>
      <c r="E7" s="55" t="n">
        <f aca="false">IF(Inputs!$B$7="P90",BOE!$T8,BOE!$R8)</f>
        <v>0</v>
      </c>
      <c r="F7" s="56" t="str">
        <f aca="false">IF(OR(F$4="",$C7="",$D7="",N($E7)=0),"",$E7*MAX(0,MIN($D7+1,EDATE(F$4,1))-MAX($C7,F$4))/MAX(1,$D7+1-$C7))</f>
        <v/>
      </c>
      <c r="G7" s="56" t="str">
        <f aca="false">IF(OR(G$4="",$C7="",$D7="",N($E7)=0),"",$E7*MAX(0,MIN($D7+1,EDATE(G$4,1))-MAX($C7,G$4))/MAX(1,$D7+1-$C7))</f>
        <v/>
      </c>
      <c r="H7" s="56" t="str">
        <f aca="false">IF(OR(H$4="",$C7="",$D7="",N($E7)=0),"",$E7*MAX(0,MIN($D7+1,EDATE(H$4,1))-MAX($C7,H$4))/MAX(1,$D7+1-$C7))</f>
        <v/>
      </c>
      <c r="I7" s="56" t="str">
        <f aca="false">IF(OR(I$4="",$C7="",$D7="",N($E7)=0),"",$E7*MAX(0,MIN($D7+1,EDATE(I$4,1))-MAX($C7,I$4))/MAX(1,$D7+1-$C7))</f>
        <v/>
      </c>
      <c r="J7" s="56" t="str">
        <f aca="false">IF(OR(J$4="",$C7="",$D7="",N($E7)=0),"",$E7*MAX(0,MIN($D7+1,EDATE(J$4,1))-MAX($C7,J$4))/MAX(1,$D7+1-$C7))</f>
        <v/>
      </c>
      <c r="K7" s="56" t="str">
        <f aca="false">IF(OR(K$4="",$C7="",$D7="",N($E7)=0),"",$E7*MAX(0,MIN($D7+1,EDATE(K$4,1))-MAX($C7,K$4))/MAX(1,$D7+1-$C7))</f>
        <v/>
      </c>
      <c r="L7" s="56" t="str">
        <f aca="false">IF(OR(L$4="",$C7="",$D7="",N($E7)=0),"",$E7*MAX(0,MIN($D7+1,EDATE(L$4,1))-MAX($C7,L$4))/MAX(1,$D7+1-$C7))</f>
        <v/>
      </c>
      <c r="M7" s="56" t="str">
        <f aca="false">IF(OR(M$4="",$C7="",$D7="",N($E7)=0),"",$E7*MAX(0,MIN($D7+1,EDATE(M$4,1))-MAX($C7,M$4))/MAX(1,$D7+1-$C7))</f>
        <v/>
      </c>
      <c r="N7" s="56" t="str">
        <f aca="false">IF(OR(N$4="",$C7="",$D7="",N($E7)=0),"",$E7*MAX(0,MIN($D7+1,EDATE(N$4,1))-MAX($C7,N$4))/MAX(1,$D7+1-$C7))</f>
        <v/>
      </c>
      <c r="O7" s="56" t="str">
        <f aca="false">IF(OR(O$4="",$C7="",$D7="",N($E7)=0),"",$E7*MAX(0,MIN($D7+1,EDATE(O$4,1))-MAX($C7,O$4))/MAX(1,$D7+1-$C7))</f>
        <v/>
      </c>
      <c r="P7" s="56" t="str">
        <f aca="false">IF(OR(P$4="",$C7="",$D7="",N($E7)=0),"",$E7*MAX(0,MIN($D7+1,EDATE(P$4,1))-MAX($C7,P$4))/MAX(1,$D7+1-$C7))</f>
        <v/>
      </c>
      <c r="Q7" s="56" t="str">
        <f aca="false">IF(OR(Q$4="",$C7="",$D7="",N($E7)=0),"",$E7*MAX(0,MIN($D7+1,EDATE(Q$4,1))-MAX($C7,Q$4))/MAX(1,$D7+1-$C7))</f>
        <v/>
      </c>
      <c r="R7" s="56" t="str">
        <f aca="false">IF(OR(R$4="",$C7="",$D7="",N($E7)=0),"",$E7*MAX(0,MIN($D7+1,EDATE(R$4,1))-MAX($C7,R$4))/MAX(1,$D7+1-$C7))</f>
        <v/>
      </c>
      <c r="S7" s="56" t="str">
        <f aca="false">IF(OR(S$4="",$C7="",$D7="",N($E7)=0),"",$E7*MAX(0,MIN($D7+1,EDATE(S$4,1))-MAX($C7,S$4))/MAX(1,$D7+1-$C7))</f>
        <v/>
      </c>
      <c r="T7" s="56" t="str">
        <f aca="false">IF(OR(T$4="",$C7="",$D7="",N($E7)=0),"",$E7*MAX(0,MIN($D7+1,EDATE(T$4,1))-MAX($C7,T$4))/MAX(1,$D7+1-$C7))</f>
        <v/>
      </c>
      <c r="U7" s="56" t="str">
        <f aca="false">IF(OR(U$4="",$C7="",$D7="",N($E7)=0),"",$E7*MAX(0,MIN($D7+1,EDATE(U$4,1))-MAX($C7,U$4))/MAX(1,$D7+1-$C7))</f>
        <v/>
      </c>
      <c r="V7" s="56" t="str">
        <f aca="false">IF(OR(V$4="",$C7="",$D7="",N($E7)=0),"",$E7*MAX(0,MIN($D7+1,EDATE(V$4,1))-MAX($C7,V$4))/MAX(1,$D7+1-$C7))</f>
        <v/>
      </c>
      <c r="W7" s="56" t="str">
        <f aca="false">IF(OR(W$4="",$C7="",$D7="",N($E7)=0),"",$E7*MAX(0,MIN($D7+1,EDATE(W$4,1))-MAX($C7,W$4))/MAX(1,$D7+1-$C7))</f>
        <v/>
      </c>
      <c r="X7" s="56" t="str">
        <f aca="false">IF(OR(X$4="",$C7="",$D7="",N($E7)=0),"",$E7*MAX(0,MIN($D7+1,EDATE(X$4,1))-MAX($C7,X$4))/MAX(1,$D7+1-$C7))</f>
        <v/>
      </c>
      <c r="Y7" s="56" t="str">
        <f aca="false">IF(OR(Y$4="",$C7="",$D7="",N($E7)=0),"",$E7*MAX(0,MIN($D7+1,EDATE(Y$4,1))-MAX($C7,Y$4))/MAX(1,$D7+1-$C7))</f>
        <v/>
      </c>
      <c r="Z7" s="56" t="str">
        <f aca="false">IF(OR(Z$4="",$C7="",$D7="",N($E7)=0),"",$E7*MAX(0,MIN($D7+1,EDATE(Z$4,1))-MAX($C7,Z$4))/MAX(1,$D7+1-$C7))</f>
        <v/>
      </c>
      <c r="AA7" s="56" t="str">
        <f aca="false">IF(OR(AA$4="",$C7="",$D7="",N($E7)=0),"",$E7*MAX(0,MIN($D7+1,EDATE(AA$4,1))-MAX($C7,AA$4))/MAX(1,$D7+1-$C7))</f>
        <v/>
      </c>
      <c r="AB7" s="56" t="str">
        <f aca="false">IF(OR(AB$4="",$C7="",$D7="",N($E7)=0),"",$E7*MAX(0,MIN($D7+1,EDATE(AB$4,1))-MAX($C7,AB$4))/MAX(1,$D7+1-$C7))</f>
        <v/>
      </c>
      <c r="AC7" s="56" t="str">
        <f aca="false">IF(OR(AC$4="",$C7="",$D7="",N($E7)=0),"",$E7*MAX(0,MIN($D7+1,EDATE(AC$4,1))-MAX($C7,AC$4))/MAX(1,$D7+1-$C7))</f>
        <v/>
      </c>
      <c r="AD7" s="56" t="str">
        <f aca="false">IF(OR(AD$4="",$C7="",$D7="",N($E7)=0),"",$E7*MAX(0,MIN($D7+1,EDATE(AD$4,1))-MAX($C7,AD$4))/MAX(1,$D7+1-$C7))</f>
        <v/>
      </c>
      <c r="AE7" s="56" t="str">
        <f aca="false">IF(OR(AE$4="",$C7="",$D7="",N($E7)=0),"",$E7*MAX(0,MIN($D7+1,EDATE(AE$4,1))-MAX($C7,AE$4))/MAX(1,$D7+1-$C7))</f>
        <v/>
      </c>
      <c r="AF7" s="56" t="str">
        <f aca="false">IF(OR(AF$4="",$C7="",$D7="",N($E7)=0),"",$E7*MAX(0,MIN($D7+1,EDATE(AF$4,1))-MAX($C7,AF$4))/MAX(1,$D7+1-$C7))</f>
        <v/>
      </c>
      <c r="AG7" s="56" t="str">
        <f aca="false">IF(OR(AG$4="",$C7="",$D7="",N($E7)=0),"",$E7*MAX(0,MIN($D7+1,EDATE(AG$4,1))-MAX($C7,AG$4))/MAX(1,$D7+1-$C7))</f>
        <v/>
      </c>
      <c r="AH7" s="56" t="str">
        <f aca="false">IF(OR(AH$4="",$C7="",$D7="",N($E7)=0),"",$E7*MAX(0,MIN($D7+1,EDATE(AH$4,1))-MAX($C7,AH$4))/MAX(1,$D7+1-$C7))</f>
        <v/>
      </c>
      <c r="AI7" s="56" t="str">
        <f aca="false">IF(OR(AI$4="",$C7="",$D7="",N($E7)=0),"",$E7*MAX(0,MIN($D7+1,EDATE(AI$4,1))-MAX($C7,AI$4))/MAX(1,$D7+1-$C7))</f>
        <v/>
      </c>
      <c r="AJ7" s="56" t="str">
        <f aca="false">IF(OR(AJ$4="",$C7="",$D7="",N($E7)=0),"",$E7*MAX(0,MIN($D7+1,EDATE(AJ$4,1))-MAX($C7,AJ$4))/MAX(1,$D7+1-$C7))</f>
        <v/>
      </c>
      <c r="AK7" s="56" t="str">
        <f aca="false">IF(OR(AK$4="",$C7="",$D7="",N($E7)=0),"",$E7*MAX(0,MIN($D7+1,EDATE(AK$4,1))-MAX($C7,AK$4))/MAX(1,$D7+1-$C7))</f>
        <v/>
      </c>
      <c r="AL7" s="56" t="str">
        <f aca="false">IF(OR(AL$4="",$C7="",$D7="",N($E7)=0),"",$E7*MAX(0,MIN($D7+1,EDATE(AL$4,1))-MAX($C7,AL$4))/MAX(1,$D7+1-$C7))</f>
        <v/>
      </c>
      <c r="AM7" s="56" t="str">
        <f aca="false">IF(OR(AM$4="",$C7="",$D7="",N($E7)=0),"",$E7*MAX(0,MIN($D7+1,EDATE(AM$4,1))-MAX($C7,AM$4))/MAX(1,$D7+1-$C7))</f>
        <v/>
      </c>
      <c r="AN7" s="56" t="str">
        <f aca="false">IF(OR(AN$4="",$C7="",$D7="",N($E7)=0),"",$E7*MAX(0,MIN($D7+1,EDATE(AN$4,1))-MAX($C7,AN$4))/MAX(1,$D7+1-$C7))</f>
        <v/>
      </c>
      <c r="AO7" s="56" t="str">
        <f aca="false">IF(OR(AO$4="",$C7="",$D7="",N($E7)=0),"",$E7*MAX(0,MIN($D7+1,EDATE(AO$4,1))-MAX($C7,AO$4))/MAX(1,$D7+1-$C7))</f>
        <v/>
      </c>
      <c r="AP7" s="56" t="str">
        <f aca="false">IF(OR(AP$4="",$C7="",$D7="",N($E7)=0),"",$E7*MAX(0,MIN($D7+1,EDATE(AP$4,1))-MAX($C7,AP$4))/MAX(1,$D7+1-$C7))</f>
        <v/>
      </c>
      <c r="AQ7" s="56" t="str">
        <f aca="false">IF(OR(AQ$4="",$C7="",$D7="",N($E7)=0),"",$E7*MAX(0,MIN($D7+1,EDATE(AQ$4,1))-MAX($C7,AQ$4))/MAX(1,$D7+1-$C7))</f>
        <v/>
      </c>
      <c r="AR7" s="56" t="str">
        <f aca="false">IF(OR(AR$4="",$C7="",$D7="",N($E7)=0),"",$E7*MAX(0,MIN($D7+1,EDATE(AR$4,1))-MAX($C7,AR$4))/MAX(1,$D7+1-$C7))</f>
        <v/>
      </c>
      <c r="AS7" s="56" t="str">
        <f aca="false">IF(OR(AS$4="",$C7="",$D7="",N($E7)=0),"",$E7*MAX(0,MIN($D7+1,EDATE(AS$4,1))-MAX($C7,AS$4))/MAX(1,$D7+1-$C7))</f>
        <v/>
      </c>
      <c r="AT7" s="56" t="str">
        <f aca="false">IF(OR(AT$4="",$C7="",$D7="",N($E7)=0),"",$E7*MAX(0,MIN($D7+1,EDATE(AT$4,1))-MAX($C7,AT$4))/MAX(1,$D7+1-$C7))</f>
        <v/>
      </c>
      <c r="AU7" s="56" t="str">
        <f aca="false">IF(OR(AU$4="",$C7="",$D7="",N($E7)=0),"",$E7*MAX(0,MIN($D7+1,EDATE(AU$4,1))-MAX($C7,AU$4))/MAX(1,$D7+1-$C7))</f>
        <v/>
      </c>
      <c r="AV7" s="56" t="str">
        <f aca="false">IF(OR(AV$4="",$C7="",$D7="",N($E7)=0),"",$E7*MAX(0,MIN($D7+1,EDATE(AV$4,1))-MAX($C7,AV$4))/MAX(1,$D7+1-$C7))</f>
        <v/>
      </c>
      <c r="AW7" s="56" t="str">
        <f aca="false">IF(OR(AW$4="",$C7="",$D7="",N($E7)=0),"",$E7*MAX(0,MIN($D7+1,EDATE(AW$4,1))-MAX($C7,AW$4))/MAX(1,$D7+1-$C7))</f>
        <v/>
      </c>
      <c r="AX7" s="56" t="str">
        <f aca="false">IF(OR(AX$4="",$C7="",$D7="",N($E7)=0),"",$E7*MAX(0,MIN($D7+1,EDATE(AX$4,1))-MAX($C7,AX$4))/MAX(1,$D7+1-$C7))</f>
        <v/>
      </c>
      <c r="AY7" s="56" t="str">
        <f aca="false">IF(OR(AY$4="",$C7="",$D7="",N($E7)=0),"",$E7*MAX(0,MIN($D7+1,EDATE(AY$4,1))-MAX($C7,AY$4))/MAX(1,$D7+1-$C7))</f>
        <v/>
      </c>
      <c r="AZ7" s="56" t="str">
        <f aca="false">IF(OR(AZ$4="",$C7="",$D7="",N($E7)=0),"",$E7*MAX(0,MIN($D7+1,EDATE(AZ$4,1))-MAX($C7,AZ$4))/MAX(1,$D7+1-$C7))</f>
        <v/>
      </c>
      <c r="BA7" s="56" t="str">
        <f aca="false">IF(OR(BA$4="",$C7="",$D7="",N($E7)=0),"",$E7*MAX(0,MIN($D7+1,EDATE(BA$4,1))-MAX($C7,BA$4))/MAX(1,$D7+1-$C7))</f>
        <v/>
      </c>
      <c r="BB7" s="56" t="str">
        <f aca="false">IF(OR(BB$4="",$C7="",$D7="",N($E7)=0),"",$E7*MAX(0,MIN($D7+1,EDATE(BB$4,1))-MAX($C7,BB$4))/MAX(1,$D7+1-$C7))</f>
        <v/>
      </c>
      <c r="BC7" s="56" t="str">
        <f aca="false">IF(OR(BC$4="",$C7="",$D7="",N($E7)=0),"",$E7*MAX(0,MIN($D7+1,EDATE(BC$4,1))-MAX($C7,BC$4))/MAX(1,$D7+1-$C7))</f>
        <v/>
      </c>
      <c r="BD7" s="56" t="str">
        <f aca="false">IF(OR(BD$4="",$C7="",$D7="",N($E7)=0),"",$E7*MAX(0,MIN($D7+1,EDATE(BD$4,1))-MAX($C7,BD$4))/MAX(1,$D7+1-$C7))</f>
        <v/>
      </c>
      <c r="BE7" s="56" t="str">
        <f aca="false">IF(OR(BE$4="",$C7="",$D7="",N($E7)=0),"",$E7*MAX(0,MIN($D7+1,EDATE(BE$4,1))-MAX($C7,BE$4))/MAX(1,$D7+1-$C7))</f>
        <v/>
      </c>
      <c r="BF7" s="56" t="str">
        <f aca="false">IF(OR(BF$4="",$C7="",$D7="",N($E7)=0),"",$E7*MAX(0,MIN($D7+1,EDATE(BF$4,1))-MAX($C7,BF$4))/MAX(1,$D7+1-$C7))</f>
        <v/>
      </c>
      <c r="BG7" s="56" t="str">
        <f aca="false">IF(OR(BG$4="",$C7="",$D7="",N($E7)=0),"",$E7*MAX(0,MIN($D7+1,EDATE(BG$4,1))-MAX($C7,BG$4))/MAX(1,$D7+1-$C7))</f>
        <v/>
      </c>
      <c r="BH7" s="56" t="str">
        <f aca="false">IF(OR(BH$4="",$C7="",$D7="",N($E7)=0),"",$E7*MAX(0,MIN($D7+1,EDATE(BH$4,1))-MAX($C7,BH$4))/MAX(1,$D7+1-$C7))</f>
        <v/>
      </c>
      <c r="BI7" s="56" t="str">
        <f aca="false">IF(OR(BI$4="",$C7="",$D7="",N($E7)=0),"",$E7*MAX(0,MIN($D7+1,EDATE(BI$4,1))-MAX($C7,BI$4))/MAX(1,$D7+1-$C7))</f>
        <v/>
      </c>
      <c r="BJ7" s="56" t="str">
        <f aca="false">IF(OR(BJ$4="",$C7="",$D7="",N($E7)=0),"",$E7*MAX(0,MIN($D7+1,EDATE(BJ$4,1))-MAX($C7,BJ$4))/MAX(1,$D7+1-$C7))</f>
        <v/>
      </c>
      <c r="BK7" s="56" t="str">
        <f aca="false">IF(OR(BK$4="",$C7="",$D7="",N($E7)=0),"",$E7*MAX(0,MIN($D7+1,EDATE(BK$4,1))-MAX($C7,BK$4))/MAX(1,$D7+1-$C7))</f>
        <v/>
      </c>
      <c r="BL7" s="56" t="str">
        <f aca="false">IF(OR(BL$4="",$C7="",$D7="",N($E7)=0),"",$E7*MAX(0,MIN($D7+1,EDATE(BL$4,1))-MAX($C7,BL$4))/MAX(1,$D7+1-$C7))</f>
        <v/>
      </c>
      <c r="BM7" s="56" t="str">
        <f aca="false">IF(OR(BM$4="",$C7="",$D7="",N($E7)=0),"",$E7*MAX(0,MIN($D7+1,EDATE(BM$4,1))-MAX($C7,BM$4))/MAX(1,$D7+1-$C7))</f>
        <v/>
      </c>
      <c r="BN7" s="56" t="str">
        <f aca="false">IF(OR(BN$4="",$C7="",$D7="",N($E7)=0),"",$E7*MAX(0,MIN($D7+1,EDATE(BN$4,1))-MAX($C7,BN$4))/MAX(1,$D7+1-$C7))</f>
        <v/>
      </c>
      <c r="BO7" s="56" t="str">
        <f aca="false">IF(OR(BO$4="",$C7="",$D7="",N($E7)=0),"",$E7*MAX(0,MIN($D7+1,EDATE(BO$4,1))-MAX($C7,BO$4))/MAX(1,$D7+1-$C7))</f>
        <v/>
      </c>
      <c r="BP7" s="56" t="str">
        <f aca="false">IF(OR(BP$4="",$C7="",$D7="",N($E7)=0),"",$E7*MAX(0,MIN($D7+1,EDATE(BP$4,1))-MAX($C7,BP$4))/MAX(1,$D7+1-$C7))</f>
        <v/>
      </c>
      <c r="BQ7" s="56" t="str">
        <f aca="false">IF(OR(BQ$4="",$C7="",$D7="",N($E7)=0),"",$E7*MAX(0,MIN($D7+1,EDATE(BQ$4,1))-MAX($C7,BQ$4))/MAX(1,$D7+1-$C7))</f>
        <v/>
      </c>
      <c r="BR7" s="56" t="str">
        <f aca="false">IF(OR(BR$4="",$C7="",$D7="",N($E7)=0),"",$E7*MAX(0,MIN($D7+1,EDATE(BR$4,1))-MAX($C7,BR$4))/MAX(1,$D7+1-$C7))</f>
        <v/>
      </c>
      <c r="BS7" s="56" t="str">
        <f aca="false">IF(OR(BS$4="",$C7="",$D7="",N($E7)=0),"",$E7*MAX(0,MIN($D7+1,EDATE(BS$4,1))-MAX($C7,BS$4))/MAX(1,$D7+1-$C7))</f>
        <v/>
      </c>
      <c r="BT7" s="56" t="str">
        <f aca="false">IF(OR(BT$4="",$C7="",$D7="",N($E7)=0),"",$E7*MAX(0,MIN($D7+1,EDATE(BT$4,1))-MAX($C7,BT$4))/MAX(1,$D7+1-$C7))</f>
        <v/>
      </c>
      <c r="BU7" s="56" t="str">
        <f aca="false">IF(OR(BU$4="",$C7="",$D7="",N($E7)=0),"",$E7*MAX(0,MIN($D7+1,EDATE(BU$4,1))-MAX($C7,BU$4))/MAX(1,$D7+1-$C7))</f>
        <v/>
      </c>
      <c r="BV7" s="56" t="str">
        <f aca="false">IF(OR(BV$4="",$C7="",$D7="",N($E7)=0),"",$E7*MAX(0,MIN($D7+1,EDATE(BV$4,1))-MAX($C7,BV$4))/MAX(1,$D7+1-$C7))</f>
        <v/>
      </c>
      <c r="BW7" s="56" t="str">
        <f aca="false">IF(OR(BW$4="",$C7="",$D7="",N($E7)=0),"",$E7*MAX(0,MIN($D7+1,EDATE(BW$4,1))-MAX($C7,BW$4))/MAX(1,$D7+1-$C7))</f>
        <v/>
      </c>
      <c r="BX7" s="56" t="str">
        <f aca="false">IF(OR(BX$4="",$C7="",$D7="",N($E7)=0),"",$E7*MAX(0,MIN($D7+1,EDATE(BX$4,1))-MAX($C7,BX$4))/MAX(1,$D7+1-$C7))</f>
        <v/>
      </c>
      <c r="BY7" s="56" t="str">
        <f aca="false">IF(OR(BY$4="",$C7="",$D7="",N($E7)=0),"",$E7*MAX(0,MIN($D7+1,EDATE(BY$4,1))-MAX($C7,BY$4))/MAX(1,$D7+1-$C7))</f>
        <v/>
      </c>
    </row>
    <row r="8" customFormat="false" ht="15" hidden="false" customHeight="false" outlineLevel="0" collapsed="false">
      <c r="A8" s="53" t="str">
        <f aca="false">IF(BOE!$A9="","",BOE!$A9)</f>
        <v>104</v>
      </c>
      <c r="B8" s="53" t="str">
        <f aca="false">IF(BOE!$A9="","",BOE!$C9)</f>
        <v>Support of Government reviews / audits / boards</v>
      </c>
      <c r="C8" s="54" t="n">
        <f aca="false">IF(BOE!$O9="","",BOE!$O9)</f>
        <v>46453</v>
      </c>
      <c r="D8" s="54" t="n">
        <f aca="false">IF(BOE!$P9="","",BOE!$P9)</f>
        <v>47483</v>
      </c>
      <c r="E8" s="55" t="n">
        <f aca="false">IF(Inputs!$B$7="P90",BOE!$T9,BOE!$R9)</f>
        <v>240</v>
      </c>
      <c r="F8" s="56" t="n">
        <f aca="false">IF(OR(F$4="",$C8="",$D8="",N($E8)=0),"",$E8*MAX(0,MIN($D8+1,EDATE(F$4,1))-MAX($C8,F$4))/MAX(1,$D8+1-$C8))</f>
        <v>0</v>
      </c>
      <c r="G8" s="56" t="n">
        <f aca="false">IF(OR(G$4="",$C8="",$D8="",N($E8)=0),"",$E8*MAX(0,MIN($D8+1,EDATE(G$4,1))-MAX($C8,G$4))/MAX(1,$D8+1-$C8))</f>
        <v>0</v>
      </c>
      <c r="H8" s="56" t="n">
        <f aca="false">IF(OR(H$4="",$C8="",$D8="",N($E8)=0),"",$E8*MAX(0,MIN($D8+1,EDATE(H$4,1))-MAX($C8,H$4))/MAX(1,$D8+1-$C8))</f>
        <v>6.51794374393792</v>
      </c>
      <c r="I8" s="56" t="n">
        <f aca="false">IF(OR(I$4="",$C8="",$D8="",N($E8)=0),"",$E8*MAX(0,MIN($D8+1,EDATE(I$4,1))-MAX($C8,I$4))/MAX(1,$D8+1-$C8))</f>
        <v>6.9835111542192</v>
      </c>
      <c r="J8" s="56" t="n">
        <f aca="false">IF(OR(J$4="",$C8="",$D8="",N($E8)=0),"",$E8*MAX(0,MIN($D8+1,EDATE(J$4,1))-MAX($C8,J$4))/MAX(1,$D8+1-$C8))</f>
        <v>7.21629485935985</v>
      </c>
      <c r="K8" s="56" t="n">
        <f aca="false">IF(OR(K$4="",$C8="",$D8="",N($E8)=0),"",$E8*MAX(0,MIN($D8+1,EDATE(K$4,1))-MAX($C8,K$4))/MAX(1,$D8+1-$C8))</f>
        <v>6.9835111542192</v>
      </c>
      <c r="L8" s="56" t="n">
        <f aca="false">IF(OR(L$4="",$C8="",$D8="",N($E8)=0),"",$E8*MAX(0,MIN($D8+1,EDATE(L$4,1))-MAX($C8,L$4))/MAX(1,$D8+1-$C8))</f>
        <v>7.21629485935985</v>
      </c>
      <c r="M8" s="56" t="n">
        <f aca="false">IF(OR(M$4="",$C8="",$D8="",N($E8)=0),"",$E8*MAX(0,MIN($D8+1,EDATE(M$4,1))-MAX($C8,M$4))/MAX(1,$D8+1-$C8))</f>
        <v>7.21629485935985</v>
      </c>
      <c r="N8" s="56" t="n">
        <f aca="false">IF(OR(N$4="",$C8="",$D8="",N($E8)=0),"",$E8*MAX(0,MIN($D8+1,EDATE(N$4,1))-MAX($C8,N$4))/MAX(1,$D8+1-$C8))</f>
        <v>6.9835111542192</v>
      </c>
      <c r="O8" s="56" t="n">
        <f aca="false">IF(OR(O$4="",$C8="",$D8="",N($E8)=0),"",$E8*MAX(0,MIN($D8+1,EDATE(O$4,1))-MAX($C8,O$4))/MAX(1,$D8+1-$C8))</f>
        <v>7.21629485935985</v>
      </c>
      <c r="P8" s="56" t="n">
        <f aca="false">IF(OR(P$4="",$C8="",$D8="",N($E8)=0),"",$E8*MAX(0,MIN($D8+1,EDATE(P$4,1))-MAX($C8,P$4))/MAX(1,$D8+1-$C8))</f>
        <v>6.9835111542192</v>
      </c>
      <c r="Q8" s="56" t="n">
        <f aca="false">IF(OR(Q$4="",$C8="",$D8="",N($E8)=0),"",$E8*MAX(0,MIN($D8+1,EDATE(Q$4,1))-MAX($C8,Q$4))/MAX(1,$D8+1-$C8))</f>
        <v>7.21629485935985</v>
      </c>
      <c r="R8" s="56" t="n">
        <f aca="false">IF(OR(R$4="",$C8="",$D8="",N($E8)=0),"",$E8*MAX(0,MIN($D8+1,EDATE(R$4,1))-MAX($C8,R$4))/MAX(1,$D8+1-$C8))</f>
        <v>7.21629485935985</v>
      </c>
      <c r="S8" s="56" t="n">
        <f aca="false">IF(OR(S$4="",$C8="",$D8="",N($E8)=0),"",$E8*MAX(0,MIN($D8+1,EDATE(S$4,1))-MAX($C8,S$4))/MAX(1,$D8+1-$C8))</f>
        <v>6.75072744907857</v>
      </c>
      <c r="T8" s="56" t="n">
        <f aca="false">IF(OR(T$4="",$C8="",$D8="",N($E8)=0),"",$E8*MAX(0,MIN($D8+1,EDATE(T$4,1))-MAX($C8,T$4))/MAX(1,$D8+1-$C8))</f>
        <v>7.21629485935985</v>
      </c>
      <c r="U8" s="56" t="n">
        <f aca="false">IF(OR(U$4="",$C8="",$D8="",N($E8)=0),"",$E8*MAX(0,MIN($D8+1,EDATE(U$4,1))-MAX($C8,U$4))/MAX(1,$D8+1-$C8))</f>
        <v>6.9835111542192</v>
      </c>
      <c r="V8" s="56" t="n">
        <f aca="false">IF(OR(V$4="",$C8="",$D8="",N($E8)=0),"",$E8*MAX(0,MIN($D8+1,EDATE(V$4,1))-MAX($C8,V$4))/MAX(1,$D8+1-$C8))</f>
        <v>7.21629485935985</v>
      </c>
      <c r="W8" s="56" t="n">
        <f aca="false">IF(OR(W$4="",$C8="",$D8="",N($E8)=0),"",$E8*MAX(0,MIN($D8+1,EDATE(W$4,1))-MAX($C8,W$4))/MAX(1,$D8+1-$C8))</f>
        <v>6.9835111542192</v>
      </c>
      <c r="X8" s="56" t="n">
        <f aca="false">IF(OR(X$4="",$C8="",$D8="",N($E8)=0),"",$E8*MAX(0,MIN($D8+1,EDATE(X$4,1))-MAX($C8,X$4))/MAX(1,$D8+1-$C8))</f>
        <v>7.21629485935985</v>
      </c>
      <c r="Y8" s="56" t="n">
        <f aca="false">IF(OR(Y$4="",$C8="",$D8="",N($E8)=0),"",$E8*MAX(0,MIN($D8+1,EDATE(Y$4,1))-MAX($C8,Y$4))/MAX(1,$D8+1-$C8))</f>
        <v>7.21629485935985</v>
      </c>
      <c r="Z8" s="56" t="n">
        <f aca="false">IF(OR(Z$4="",$C8="",$D8="",N($E8)=0),"",$E8*MAX(0,MIN($D8+1,EDATE(Z$4,1))-MAX($C8,Z$4))/MAX(1,$D8+1-$C8))</f>
        <v>6.9835111542192</v>
      </c>
      <c r="AA8" s="56" t="n">
        <f aca="false">IF(OR(AA$4="",$C8="",$D8="",N($E8)=0),"",$E8*MAX(0,MIN($D8+1,EDATE(AA$4,1))-MAX($C8,AA$4))/MAX(1,$D8+1-$C8))</f>
        <v>7.21629485935985</v>
      </c>
      <c r="AB8" s="56" t="n">
        <f aca="false">IF(OR(AB$4="",$C8="",$D8="",N($E8)=0),"",$E8*MAX(0,MIN($D8+1,EDATE(AB$4,1))-MAX($C8,AB$4))/MAX(1,$D8+1-$C8))</f>
        <v>6.9835111542192</v>
      </c>
      <c r="AC8" s="56" t="n">
        <f aca="false">IF(OR(AC$4="",$C8="",$D8="",N($E8)=0),"",$E8*MAX(0,MIN($D8+1,EDATE(AC$4,1))-MAX($C8,AC$4))/MAX(1,$D8+1-$C8))</f>
        <v>7.21629485935985</v>
      </c>
      <c r="AD8" s="56" t="n">
        <f aca="false">IF(OR(AD$4="",$C8="",$D8="",N($E8)=0),"",$E8*MAX(0,MIN($D8+1,EDATE(AD$4,1))-MAX($C8,AD$4))/MAX(1,$D8+1-$C8))</f>
        <v>7.21629485935985</v>
      </c>
      <c r="AE8" s="56" t="n">
        <f aca="false">IF(OR(AE$4="",$C8="",$D8="",N($E8)=0),"",$E8*MAX(0,MIN($D8+1,EDATE(AE$4,1))-MAX($C8,AE$4))/MAX(1,$D8+1-$C8))</f>
        <v>6.51794374393792</v>
      </c>
      <c r="AF8" s="56" t="n">
        <f aca="false">IF(OR(AF$4="",$C8="",$D8="",N($E8)=0),"",$E8*MAX(0,MIN($D8+1,EDATE(AF$4,1))-MAX($C8,AF$4))/MAX(1,$D8+1-$C8))</f>
        <v>7.21629485935985</v>
      </c>
      <c r="AG8" s="56" t="n">
        <f aca="false">IF(OR(AG$4="",$C8="",$D8="",N($E8)=0),"",$E8*MAX(0,MIN($D8+1,EDATE(AG$4,1))-MAX($C8,AG$4))/MAX(1,$D8+1-$C8))</f>
        <v>6.9835111542192</v>
      </c>
      <c r="AH8" s="56" t="n">
        <f aca="false">IF(OR(AH$4="",$C8="",$D8="",N($E8)=0),"",$E8*MAX(0,MIN($D8+1,EDATE(AH$4,1))-MAX($C8,AH$4))/MAX(1,$D8+1-$C8))</f>
        <v>7.21629485935985</v>
      </c>
      <c r="AI8" s="56" t="n">
        <f aca="false">IF(OR(AI$4="",$C8="",$D8="",N($E8)=0),"",$E8*MAX(0,MIN($D8+1,EDATE(AI$4,1))-MAX($C8,AI$4))/MAX(1,$D8+1-$C8))</f>
        <v>6.9835111542192</v>
      </c>
      <c r="AJ8" s="56" t="n">
        <f aca="false">IF(OR(AJ$4="",$C8="",$D8="",N($E8)=0),"",$E8*MAX(0,MIN($D8+1,EDATE(AJ$4,1))-MAX($C8,AJ$4))/MAX(1,$D8+1-$C8))</f>
        <v>7.21629485935985</v>
      </c>
      <c r="AK8" s="56" t="n">
        <f aca="false">IF(OR(AK$4="",$C8="",$D8="",N($E8)=0),"",$E8*MAX(0,MIN($D8+1,EDATE(AK$4,1))-MAX($C8,AK$4))/MAX(1,$D8+1-$C8))</f>
        <v>7.21629485935985</v>
      </c>
      <c r="AL8" s="56" t="n">
        <f aca="false">IF(OR(AL$4="",$C8="",$D8="",N($E8)=0),"",$E8*MAX(0,MIN($D8+1,EDATE(AL$4,1))-MAX($C8,AL$4))/MAX(1,$D8+1-$C8))</f>
        <v>6.9835111542192</v>
      </c>
      <c r="AM8" s="56" t="n">
        <f aca="false">IF(OR(AM$4="",$C8="",$D8="",N($E8)=0),"",$E8*MAX(0,MIN($D8+1,EDATE(AM$4,1))-MAX($C8,AM$4))/MAX(1,$D8+1-$C8))</f>
        <v>7.21629485935985</v>
      </c>
      <c r="AN8" s="56" t="n">
        <f aca="false">IF(OR(AN$4="",$C8="",$D8="",N($E8)=0),"",$E8*MAX(0,MIN($D8+1,EDATE(AN$4,1))-MAX($C8,AN$4))/MAX(1,$D8+1-$C8))</f>
        <v>6.9835111542192</v>
      </c>
      <c r="AO8" s="56" t="n">
        <f aca="false">IF(OR(AO$4="",$C8="",$D8="",N($E8)=0),"",$E8*MAX(0,MIN($D8+1,EDATE(AO$4,1))-MAX($C8,AO$4))/MAX(1,$D8+1-$C8))</f>
        <v>6.51794374393792</v>
      </c>
      <c r="AP8" s="56" t="str">
        <f aca="false">IF(OR(AP$4="",$C8="",$D8="",N($E8)=0),"",$E8*MAX(0,MIN($D8+1,EDATE(AP$4,1))-MAX($C8,AP$4))/MAX(1,$D8+1-$C8))</f>
        <v/>
      </c>
      <c r="AQ8" s="56" t="str">
        <f aca="false">IF(OR(AQ$4="",$C8="",$D8="",N($E8)=0),"",$E8*MAX(0,MIN($D8+1,EDATE(AQ$4,1))-MAX($C8,AQ$4))/MAX(1,$D8+1-$C8))</f>
        <v/>
      </c>
      <c r="AR8" s="56" t="str">
        <f aca="false">IF(OR(AR$4="",$C8="",$D8="",N($E8)=0),"",$E8*MAX(0,MIN($D8+1,EDATE(AR$4,1))-MAX($C8,AR$4))/MAX(1,$D8+1-$C8))</f>
        <v/>
      </c>
      <c r="AS8" s="56" t="str">
        <f aca="false">IF(OR(AS$4="",$C8="",$D8="",N($E8)=0),"",$E8*MAX(0,MIN($D8+1,EDATE(AS$4,1))-MAX($C8,AS$4))/MAX(1,$D8+1-$C8))</f>
        <v/>
      </c>
      <c r="AT8" s="56" t="str">
        <f aca="false">IF(OR(AT$4="",$C8="",$D8="",N($E8)=0),"",$E8*MAX(0,MIN($D8+1,EDATE(AT$4,1))-MAX($C8,AT$4))/MAX(1,$D8+1-$C8))</f>
        <v/>
      </c>
      <c r="AU8" s="56" t="str">
        <f aca="false">IF(OR(AU$4="",$C8="",$D8="",N($E8)=0),"",$E8*MAX(0,MIN($D8+1,EDATE(AU$4,1))-MAX($C8,AU$4))/MAX(1,$D8+1-$C8))</f>
        <v/>
      </c>
      <c r="AV8" s="56" t="str">
        <f aca="false">IF(OR(AV$4="",$C8="",$D8="",N($E8)=0),"",$E8*MAX(0,MIN($D8+1,EDATE(AV$4,1))-MAX($C8,AV$4))/MAX(1,$D8+1-$C8))</f>
        <v/>
      </c>
      <c r="AW8" s="56" t="str">
        <f aca="false">IF(OR(AW$4="",$C8="",$D8="",N($E8)=0),"",$E8*MAX(0,MIN($D8+1,EDATE(AW$4,1))-MAX($C8,AW$4))/MAX(1,$D8+1-$C8))</f>
        <v/>
      </c>
      <c r="AX8" s="56" t="str">
        <f aca="false">IF(OR(AX$4="",$C8="",$D8="",N($E8)=0),"",$E8*MAX(0,MIN($D8+1,EDATE(AX$4,1))-MAX($C8,AX$4))/MAX(1,$D8+1-$C8))</f>
        <v/>
      </c>
      <c r="AY8" s="56" t="str">
        <f aca="false">IF(OR(AY$4="",$C8="",$D8="",N($E8)=0),"",$E8*MAX(0,MIN($D8+1,EDATE(AY$4,1))-MAX($C8,AY$4))/MAX(1,$D8+1-$C8))</f>
        <v/>
      </c>
      <c r="AZ8" s="56" t="str">
        <f aca="false">IF(OR(AZ$4="",$C8="",$D8="",N($E8)=0),"",$E8*MAX(0,MIN($D8+1,EDATE(AZ$4,1))-MAX($C8,AZ$4))/MAX(1,$D8+1-$C8))</f>
        <v/>
      </c>
      <c r="BA8" s="56" t="str">
        <f aca="false">IF(OR(BA$4="",$C8="",$D8="",N($E8)=0),"",$E8*MAX(0,MIN($D8+1,EDATE(BA$4,1))-MAX($C8,BA$4))/MAX(1,$D8+1-$C8))</f>
        <v/>
      </c>
      <c r="BB8" s="56" t="str">
        <f aca="false">IF(OR(BB$4="",$C8="",$D8="",N($E8)=0),"",$E8*MAX(0,MIN($D8+1,EDATE(BB$4,1))-MAX($C8,BB$4))/MAX(1,$D8+1-$C8))</f>
        <v/>
      </c>
      <c r="BC8" s="56" t="str">
        <f aca="false">IF(OR(BC$4="",$C8="",$D8="",N($E8)=0),"",$E8*MAX(0,MIN($D8+1,EDATE(BC$4,1))-MAX($C8,BC$4))/MAX(1,$D8+1-$C8))</f>
        <v/>
      </c>
      <c r="BD8" s="56" t="str">
        <f aca="false">IF(OR(BD$4="",$C8="",$D8="",N($E8)=0),"",$E8*MAX(0,MIN($D8+1,EDATE(BD$4,1))-MAX($C8,BD$4))/MAX(1,$D8+1-$C8))</f>
        <v/>
      </c>
      <c r="BE8" s="56" t="str">
        <f aca="false">IF(OR(BE$4="",$C8="",$D8="",N($E8)=0),"",$E8*MAX(0,MIN($D8+1,EDATE(BE$4,1))-MAX($C8,BE$4))/MAX(1,$D8+1-$C8))</f>
        <v/>
      </c>
      <c r="BF8" s="56" t="str">
        <f aca="false">IF(OR(BF$4="",$C8="",$D8="",N($E8)=0),"",$E8*MAX(0,MIN($D8+1,EDATE(BF$4,1))-MAX($C8,BF$4))/MAX(1,$D8+1-$C8))</f>
        <v/>
      </c>
      <c r="BG8" s="56" t="str">
        <f aca="false">IF(OR(BG$4="",$C8="",$D8="",N($E8)=0),"",$E8*MAX(0,MIN($D8+1,EDATE(BG$4,1))-MAX($C8,BG$4))/MAX(1,$D8+1-$C8))</f>
        <v/>
      </c>
      <c r="BH8" s="56" t="str">
        <f aca="false">IF(OR(BH$4="",$C8="",$D8="",N($E8)=0),"",$E8*MAX(0,MIN($D8+1,EDATE(BH$4,1))-MAX($C8,BH$4))/MAX(1,$D8+1-$C8))</f>
        <v/>
      </c>
      <c r="BI8" s="56" t="str">
        <f aca="false">IF(OR(BI$4="",$C8="",$D8="",N($E8)=0),"",$E8*MAX(0,MIN($D8+1,EDATE(BI$4,1))-MAX($C8,BI$4))/MAX(1,$D8+1-$C8))</f>
        <v/>
      </c>
      <c r="BJ8" s="56" t="str">
        <f aca="false">IF(OR(BJ$4="",$C8="",$D8="",N($E8)=0),"",$E8*MAX(0,MIN($D8+1,EDATE(BJ$4,1))-MAX($C8,BJ$4))/MAX(1,$D8+1-$C8))</f>
        <v/>
      </c>
      <c r="BK8" s="56" t="str">
        <f aca="false">IF(OR(BK$4="",$C8="",$D8="",N($E8)=0),"",$E8*MAX(0,MIN($D8+1,EDATE(BK$4,1))-MAX($C8,BK$4))/MAX(1,$D8+1-$C8))</f>
        <v/>
      </c>
      <c r="BL8" s="56" t="str">
        <f aca="false">IF(OR(BL$4="",$C8="",$D8="",N($E8)=0),"",$E8*MAX(0,MIN($D8+1,EDATE(BL$4,1))-MAX($C8,BL$4))/MAX(1,$D8+1-$C8))</f>
        <v/>
      </c>
      <c r="BM8" s="56" t="str">
        <f aca="false">IF(OR(BM$4="",$C8="",$D8="",N($E8)=0),"",$E8*MAX(0,MIN($D8+1,EDATE(BM$4,1))-MAX($C8,BM$4))/MAX(1,$D8+1-$C8))</f>
        <v/>
      </c>
      <c r="BN8" s="56" t="str">
        <f aca="false">IF(OR(BN$4="",$C8="",$D8="",N($E8)=0),"",$E8*MAX(0,MIN($D8+1,EDATE(BN$4,1))-MAX($C8,BN$4))/MAX(1,$D8+1-$C8))</f>
        <v/>
      </c>
      <c r="BO8" s="56" t="str">
        <f aca="false">IF(OR(BO$4="",$C8="",$D8="",N($E8)=0),"",$E8*MAX(0,MIN($D8+1,EDATE(BO$4,1))-MAX($C8,BO$4))/MAX(1,$D8+1-$C8))</f>
        <v/>
      </c>
      <c r="BP8" s="56" t="str">
        <f aca="false">IF(OR(BP$4="",$C8="",$D8="",N($E8)=0),"",$E8*MAX(0,MIN($D8+1,EDATE(BP$4,1))-MAX($C8,BP$4))/MAX(1,$D8+1-$C8))</f>
        <v/>
      </c>
      <c r="BQ8" s="56" t="str">
        <f aca="false">IF(OR(BQ$4="",$C8="",$D8="",N($E8)=0),"",$E8*MAX(0,MIN($D8+1,EDATE(BQ$4,1))-MAX($C8,BQ$4))/MAX(1,$D8+1-$C8))</f>
        <v/>
      </c>
      <c r="BR8" s="56" t="str">
        <f aca="false">IF(OR(BR$4="",$C8="",$D8="",N($E8)=0),"",$E8*MAX(0,MIN($D8+1,EDATE(BR$4,1))-MAX($C8,BR$4))/MAX(1,$D8+1-$C8))</f>
        <v/>
      </c>
      <c r="BS8" s="56" t="str">
        <f aca="false">IF(OR(BS$4="",$C8="",$D8="",N($E8)=0),"",$E8*MAX(0,MIN($D8+1,EDATE(BS$4,1))-MAX($C8,BS$4))/MAX(1,$D8+1-$C8))</f>
        <v/>
      </c>
      <c r="BT8" s="56" t="str">
        <f aca="false">IF(OR(BT$4="",$C8="",$D8="",N($E8)=0),"",$E8*MAX(0,MIN($D8+1,EDATE(BT$4,1))-MAX($C8,BT$4))/MAX(1,$D8+1-$C8))</f>
        <v/>
      </c>
      <c r="BU8" s="56" t="str">
        <f aca="false">IF(OR(BU$4="",$C8="",$D8="",N($E8)=0),"",$E8*MAX(0,MIN($D8+1,EDATE(BU$4,1))-MAX($C8,BU$4))/MAX(1,$D8+1-$C8))</f>
        <v/>
      </c>
      <c r="BV8" s="56" t="str">
        <f aca="false">IF(OR(BV$4="",$C8="",$D8="",N($E8)=0),"",$E8*MAX(0,MIN($D8+1,EDATE(BV$4,1))-MAX($C8,BV$4))/MAX(1,$D8+1-$C8))</f>
        <v/>
      </c>
      <c r="BW8" s="56" t="str">
        <f aca="false">IF(OR(BW$4="",$C8="",$D8="",N($E8)=0),"",$E8*MAX(0,MIN($D8+1,EDATE(BW$4,1))-MAX($C8,BW$4))/MAX(1,$D8+1-$C8))</f>
        <v/>
      </c>
      <c r="BX8" s="56" t="str">
        <f aca="false">IF(OR(BX$4="",$C8="",$D8="",N($E8)=0),"",$E8*MAX(0,MIN($D8+1,EDATE(BX$4,1))-MAX($C8,BX$4))/MAX(1,$D8+1-$C8))</f>
        <v/>
      </c>
      <c r="BY8" s="56" t="str">
        <f aca="false">IF(OR(BY$4="",$C8="",$D8="",N($E8)=0),"",$E8*MAX(0,MIN($D8+1,EDATE(BY$4,1))-MAX($C8,BY$4))/MAX(1,$D8+1-$C8))</f>
        <v/>
      </c>
    </row>
    <row r="9" customFormat="false" ht="15" hidden="false" customHeight="false" outlineLevel="0" collapsed="false">
      <c r="A9" s="53" t="str">
        <f aca="false">IF(BOE!$A10="","",BOE!$A10)</f>
        <v>105</v>
      </c>
      <c r="B9" s="53" t="str">
        <f aca="false">IF(BOE!$A10="","",BOE!$C10)</f>
        <v>Integrated Product Team / Working Group support</v>
      </c>
      <c r="C9" s="54" t="n">
        <f aca="false">IF(BOE!$O10="","",BOE!$O10)</f>
        <v>46391</v>
      </c>
      <c r="D9" s="54" t="n">
        <f aca="false">IF(BOE!$P10="","",BOE!$P10)</f>
        <v>47483</v>
      </c>
      <c r="E9" s="55" t="n">
        <f aca="false">IF(Inputs!$B$7="P90",BOE!$T10,BOE!$R10)</f>
        <v>430.521560574949</v>
      </c>
      <c r="F9" s="56" t="n">
        <f aca="false">IF(OR(F$4="",$C9="",$D9="",N($E9)=0),"",$E9*MAX(0,MIN($D9+1,EDATE(F$4,1))-MAX($C9,F$4))/MAX(1,$D9+1-$C9))</f>
        <v>12.2105840602227</v>
      </c>
      <c r="G9" s="56" t="n">
        <f aca="false">IF(OR(G$4="",$C9="",$D9="",N($E9)=0),"",$E9*MAX(0,MIN($D9+1,EDATE(G$4,1))-MAX($C9,G$4))/MAX(1,$D9+1-$C9))</f>
        <v>11.0289146350399</v>
      </c>
      <c r="H9" s="56" t="n">
        <f aca="false">IF(OR(H$4="",$C9="",$D9="",N($E9)=0),"",$E9*MAX(0,MIN($D9+1,EDATE(H$4,1))-MAX($C9,H$4))/MAX(1,$D9+1-$C9))</f>
        <v>12.2105840602227</v>
      </c>
      <c r="I9" s="56" t="n">
        <f aca="false">IF(OR(I$4="",$C9="",$D9="",N($E9)=0),"",$E9*MAX(0,MIN($D9+1,EDATE(I$4,1))-MAX($C9,I$4))/MAX(1,$D9+1-$C9))</f>
        <v>11.8166942518284</v>
      </c>
      <c r="J9" s="56" t="n">
        <f aca="false">IF(OR(J$4="",$C9="",$D9="",N($E9)=0),"",$E9*MAX(0,MIN($D9+1,EDATE(J$4,1))-MAX($C9,J$4))/MAX(1,$D9+1-$C9))</f>
        <v>12.2105840602227</v>
      </c>
      <c r="K9" s="56" t="n">
        <f aca="false">IF(OR(K$4="",$C9="",$D9="",N($E9)=0),"",$E9*MAX(0,MIN($D9+1,EDATE(K$4,1))-MAX($C9,K$4))/MAX(1,$D9+1-$C9))</f>
        <v>11.8166942518284</v>
      </c>
      <c r="L9" s="56" t="n">
        <f aca="false">IF(OR(L$4="",$C9="",$D9="",N($E9)=0),"",$E9*MAX(0,MIN($D9+1,EDATE(L$4,1))-MAX($C9,L$4))/MAX(1,$D9+1-$C9))</f>
        <v>12.2105840602227</v>
      </c>
      <c r="M9" s="56" t="n">
        <f aca="false">IF(OR(M$4="",$C9="",$D9="",N($E9)=0),"",$E9*MAX(0,MIN($D9+1,EDATE(M$4,1))-MAX($C9,M$4))/MAX(1,$D9+1-$C9))</f>
        <v>12.2105840602227</v>
      </c>
      <c r="N9" s="56" t="n">
        <f aca="false">IF(OR(N$4="",$C9="",$D9="",N($E9)=0),"",$E9*MAX(0,MIN($D9+1,EDATE(N$4,1))-MAX($C9,N$4))/MAX(1,$D9+1-$C9))</f>
        <v>11.8166942518284</v>
      </c>
      <c r="O9" s="56" t="n">
        <f aca="false">IF(OR(O$4="",$C9="",$D9="",N($E9)=0),"",$E9*MAX(0,MIN($D9+1,EDATE(O$4,1))-MAX($C9,O$4))/MAX(1,$D9+1-$C9))</f>
        <v>12.2105840602227</v>
      </c>
      <c r="P9" s="56" t="n">
        <f aca="false">IF(OR(P$4="",$C9="",$D9="",N($E9)=0),"",$E9*MAX(0,MIN($D9+1,EDATE(P$4,1))-MAX($C9,P$4))/MAX(1,$D9+1-$C9))</f>
        <v>11.8166942518284</v>
      </c>
      <c r="Q9" s="56" t="n">
        <f aca="false">IF(OR(Q$4="",$C9="",$D9="",N($E9)=0),"",$E9*MAX(0,MIN($D9+1,EDATE(Q$4,1))-MAX($C9,Q$4))/MAX(1,$D9+1-$C9))</f>
        <v>12.2105840602227</v>
      </c>
      <c r="R9" s="56" t="n">
        <f aca="false">IF(OR(R$4="",$C9="",$D9="",N($E9)=0),"",$E9*MAX(0,MIN($D9+1,EDATE(R$4,1))-MAX($C9,R$4))/MAX(1,$D9+1-$C9))</f>
        <v>12.2105840602227</v>
      </c>
      <c r="S9" s="56" t="n">
        <f aca="false">IF(OR(S$4="",$C9="",$D9="",N($E9)=0),"",$E9*MAX(0,MIN($D9+1,EDATE(S$4,1))-MAX($C9,S$4))/MAX(1,$D9+1-$C9))</f>
        <v>11.4228044434341</v>
      </c>
      <c r="T9" s="56" t="n">
        <f aca="false">IF(OR(T$4="",$C9="",$D9="",N($E9)=0),"",$E9*MAX(0,MIN($D9+1,EDATE(T$4,1))-MAX($C9,T$4))/MAX(1,$D9+1-$C9))</f>
        <v>12.2105840602227</v>
      </c>
      <c r="U9" s="56" t="n">
        <f aca="false">IF(OR(U$4="",$C9="",$D9="",N($E9)=0),"",$E9*MAX(0,MIN($D9+1,EDATE(U$4,1))-MAX($C9,U$4))/MAX(1,$D9+1-$C9))</f>
        <v>11.8166942518284</v>
      </c>
      <c r="V9" s="56" t="n">
        <f aca="false">IF(OR(V$4="",$C9="",$D9="",N($E9)=0),"",$E9*MAX(0,MIN($D9+1,EDATE(V$4,1))-MAX($C9,V$4))/MAX(1,$D9+1-$C9))</f>
        <v>12.2105840602227</v>
      </c>
      <c r="W9" s="56" t="n">
        <f aca="false">IF(OR(W$4="",$C9="",$D9="",N($E9)=0),"",$E9*MAX(0,MIN($D9+1,EDATE(W$4,1))-MAX($C9,W$4))/MAX(1,$D9+1-$C9))</f>
        <v>11.8166942518284</v>
      </c>
      <c r="X9" s="56" t="n">
        <f aca="false">IF(OR(X$4="",$C9="",$D9="",N($E9)=0),"",$E9*MAX(0,MIN($D9+1,EDATE(X$4,1))-MAX($C9,X$4))/MAX(1,$D9+1-$C9))</f>
        <v>12.2105840602227</v>
      </c>
      <c r="Y9" s="56" t="n">
        <f aca="false">IF(OR(Y$4="",$C9="",$D9="",N($E9)=0),"",$E9*MAX(0,MIN($D9+1,EDATE(Y$4,1))-MAX($C9,Y$4))/MAX(1,$D9+1-$C9))</f>
        <v>12.2105840602227</v>
      </c>
      <c r="Z9" s="56" t="n">
        <f aca="false">IF(OR(Z$4="",$C9="",$D9="",N($E9)=0),"",$E9*MAX(0,MIN($D9+1,EDATE(Z$4,1))-MAX($C9,Z$4))/MAX(1,$D9+1-$C9))</f>
        <v>11.8166942518284</v>
      </c>
      <c r="AA9" s="56" t="n">
        <f aca="false">IF(OR(AA$4="",$C9="",$D9="",N($E9)=0),"",$E9*MAX(0,MIN($D9+1,EDATE(AA$4,1))-MAX($C9,AA$4))/MAX(1,$D9+1-$C9))</f>
        <v>12.2105840602227</v>
      </c>
      <c r="AB9" s="56" t="n">
        <f aca="false">IF(OR(AB$4="",$C9="",$D9="",N($E9)=0),"",$E9*MAX(0,MIN($D9+1,EDATE(AB$4,1))-MAX($C9,AB$4))/MAX(1,$D9+1-$C9))</f>
        <v>11.8166942518284</v>
      </c>
      <c r="AC9" s="56" t="n">
        <f aca="false">IF(OR(AC$4="",$C9="",$D9="",N($E9)=0),"",$E9*MAX(0,MIN($D9+1,EDATE(AC$4,1))-MAX($C9,AC$4))/MAX(1,$D9+1-$C9))</f>
        <v>12.2105840602227</v>
      </c>
      <c r="AD9" s="56" t="n">
        <f aca="false">IF(OR(AD$4="",$C9="",$D9="",N($E9)=0),"",$E9*MAX(0,MIN($D9+1,EDATE(AD$4,1))-MAX($C9,AD$4))/MAX(1,$D9+1-$C9))</f>
        <v>12.2105840602227</v>
      </c>
      <c r="AE9" s="56" t="n">
        <f aca="false">IF(OR(AE$4="",$C9="",$D9="",N($E9)=0),"",$E9*MAX(0,MIN($D9+1,EDATE(AE$4,1))-MAX($C9,AE$4))/MAX(1,$D9+1-$C9))</f>
        <v>11.0289146350399</v>
      </c>
      <c r="AF9" s="56" t="n">
        <f aca="false">IF(OR(AF$4="",$C9="",$D9="",N($E9)=0),"",$E9*MAX(0,MIN($D9+1,EDATE(AF$4,1))-MAX($C9,AF$4))/MAX(1,$D9+1-$C9))</f>
        <v>12.2105840602227</v>
      </c>
      <c r="AG9" s="56" t="n">
        <f aca="false">IF(OR(AG$4="",$C9="",$D9="",N($E9)=0),"",$E9*MAX(0,MIN($D9+1,EDATE(AG$4,1))-MAX($C9,AG$4))/MAX(1,$D9+1-$C9))</f>
        <v>11.8166942518284</v>
      </c>
      <c r="AH9" s="56" t="n">
        <f aca="false">IF(OR(AH$4="",$C9="",$D9="",N($E9)=0),"",$E9*MAX(0,MIN($D9+1,EDATE(AH$4,1))-MAX($C9,AH$4))/MAX(1,$D9+1-$C9))</f>
        <v>12.2105840602227</v>
      </c>
      <c r="AI9" s="56" t="n">
        <f aca="false">IF(OR(AI$4="",$C9="",$D9="",N($E9)=0),"",$E9*MAX(0,MIN($D9+1,EDATE(AI$4,1))-MAX($C9,AI$4))/MAX(1,$D9+1-$C9))</f>
        <v>11.8166942518284</v>
      </c>
      <c r="AJ9" s="56" t="n">
        <f aca="false">IF(OR(AJ$4="",$C9="",$D9="",N($E9)=0),"",$E9*MAX(0,MIN($D9+1,EDATE(AJ$4,1))-MAX($C9,AJ$4))/MAX(1,$D9+1-$C9))</f>
        <v>12.2105840602227</v>
      </c>
      <c r="AK9" s="56" t="n">
        <f aca="false">IF(OR(AK$4="",$C9="",$D9="",N($E9)=0),"",$E9*MAX(0,MIN($D9+1,EDATE(AK$4,1))-MAX($C9,AK$4))/MAX(1,$D9+1-$C9))</f>
        <v>12.2105840602227</v>
      </c>
      <c r="AL9" s="56" t="n">
        <f aca="false">IF(OR(AL$4="",$C9="",$D9="",N($E9)=0),"",$E9*MAX(0,MIN($D9+1,EDATE(AL$4,1))-MAX($C9,AL$4))/MAX(1,$D9+1-$C9))</f>
        <v>11.8166942518284</v>
      </c>
      <c r="AM9" s="56" t="n">
        <f aca="false">IF(OR(AM$4="",$C9="",$D9="",N($E9)=0),"",$E9*MAX(0,MIN($D9+1,EDATE(AM$4,1))-MAX($C9,AM$4))/MAX(1,$D9+1-$C9))</f>
        <v>12.2105840602227</v>
      </c>
      <c r="AN9" s="56" t="n">
        <f aca="false">IF(OR(AN$4="",$C9="",$D9="",N($E9)=0),"",$E9*MAX(0,MIN($D9+1,EDATE(AN$4,1))-MAX($C9,AN$4))/MAX(1,$D9+1-$C9))</f>
        <v>11.8166942518284</v>
      </c>
      <c r="AO9" s="56" t="n">
        <f aca="false">IF(OR(AO$4="",$C9="",$D9="",N($E9)=0),"",$E9*MAX(0,MIN($D9+1,EDATE(AO$4,1))-MAX($C9,AO$4))/MAX(1,$D9+1-$C9))</f>
        <v>11.0289146350399</v>
      </c>
      <c r="AP9" s="56" t="str">
        <f aca="false">IF(OR(AP$4="",$C9="",$D9="",N($E9)=0),"",$E9*MAX(0,MIN($D9+1,EDATE(AP$4,1))-MAX($C9,AP$4))/MAX(1,$D9+1-$C9))</f>
        <v/>
      </c>
      <c r="AQ9" s="56" t="str">
        <f aca="false">IF(OR(AQ$4="",$C9="",$D9="",N($E9)=0),"",$E9*MAX(0,MIN($D9+1,EDATE(AQ$4,1))-MAX($C9,AQ$4))/MAX(1,$D9+1-$C9))</f>
        <v/>
      </c>
      <c r="AR9" s="56" t="str">
        <f aca="false">IF(OR(AR$4="",$C9="",$D9="",N($E9)=0),"",$E9*MAX(0,MIN($D9+1,EDATE(AR$4,1))-MAX($C9,AR$4))/MAX(1,$D9+1-$C9))</f>
        <v/>
      </c>
      <c r="AS9" s="56" t="str">
        <f aca="false">IF(OR(AS$4="",$C9="",$D9="",N($E9)=0),"",$E9*MAX(0,MIN($D9+1,EDATE(AS$4,1))-MAX($C9,AS$4))/MAX(1,$D9+1-$C9))</f>
        <v/>
      </c>
      <c r="AT9" s="56" t="str">
        <f aca="false">IF(OR(AT$4="",$C9="",$D9="",N($E9)=0),"",$E9*MAX(0,MIN($D9+1,EDATE(AT$4,1))-MAX($C9,AT$4))/MAX(1,$D9+1-$C9))</f>
        <v/>
      </c>
      <c r="AU9" s="56" t="str">
        <f aca="false">IF(OR(AU$4="",$C9="",$D9="",N($E9)=0),"",$E9*MAX(0,MIN($D9+1,EDATE(AU$4,1))-MAX($C9,AU$4))/MAX(1,$D9+1-$C9))</f>
        <v/>
      </c>
      <c r="AV9" s="56" t="str">
        <f aca="false">IF(OR(AV$4="",$C9="",$D9="",N($E9)=0),"",$E9*MAX(0,MIN($D9+1,EDATE(AV$4,1))-MAX($C9,AV$4))/MAX(1,$D9+1-$C9))</f>
        <v/>
      </c>
      <c r="AW9" s="56" t="str">
        <f aca="false">IF(OR(AW$4="",$C9="",$D9="",N($E9)=0),"",$E9*MAX(0,MIN($D9+1,EDATE(AW$4,1))-MAX($C9,AW$4))/MAX(1,$D9+1-$C9))</f>
        <v/>
      </c>
      <c r="AX9" s="56" t="str">
        <f aca="false">IF(OR(AX$4="",$C9="",$D9="",N($E9)=0),"",$E9*MAX(0,MIN($D9+1,EDATE(AX$4,1))-MAX($C9,AX$4))/MAX(1,$D9+1-$C9))</f>
        <v/>
      </c>
      <c r="AY9" s="56" t="str">
        <f aca="false">IF(OR(AY$4="",$C9="",$D9="",N($E9)=0),"",$E9*MAX(0,MIN($D9+1,EDATE(AY$4,1))-MAX($C9,AY$4))/MAX(1,$D9+1-$C9))</f>
        <v/>
      </c>
      <c r="AZ9" s="56" t="str">
        <f aca="false">IF(OR(AZ$4="",$C9="",$D9="",N($E9)=0),"",$E9*MAX(0,MIN($D9+1,EDATE(AZ$4,1))-MAX($C9,AZ$4))/MAX(1,$D9+1-$C9))</f>
        <v/>
      </c>
      <c r="BA9" s="56" t="str">
        <f aca="false">IF(OR(BA$4="",$C9="",$D9="",N($E9)=0),"",$E9*MAX(0,MIN($D9+1,EDATE(BA$4,1))-MAX($C9,BA$4))/MAX(1,$D9+1-$C9))</f>
        <v/>
      </c>
      <c r="BB9" s="56" t="str">
        <f aca="false">IF(OR(BB$4="",$C9="",$D9="",N($E9)=0),"",$E9*MAX(0,MIN($D9+1,EDATE(BB$4,1))-MAX($C9,BB$4))/MAX(1,$D9+1-$C9))</f>
        <v/>
      </c>
      <c r="BC9" s="56" t="str">
        <f aca="false">IF(OR(BC$4="",$C9="",$D9="",N($E9)=0),"",$E9*MAX(0,MIN($D9+1,EDATE(BC$4,1))-MAX($C9,BC$4))/MAX(1,$D9+1-$C9))</f>
        <v/>
      </c>
      <c r="BD9" s="56" t="str">
        <f aca="false">IF(OR(BD$4="",$C9="",$D9="",N($E9)=0),"",$E9*MAX(0,MIN($D9+1,EDATE(BD$4,1))-MAX($C9,BD$4))/MAX(1,$D9+1-$C9))</f>
        <v/>
      </c>
      <c r="BE9" s="56" t="str">
        <f aca="false">IF(OR(BE$4="",$C9="",$D9="",N($E9)=0),"",$E9*MAX(0,MIN($D9+1,EDATE(BE$4,1))-MAX($C9,BE$4))/MAX(1,$D9+1-$C9))</f>
        <v/>
      </c>
      <c r="BF9" s="56" t="str">
        <f aca="false">IF(OR(BF$4="",$C9="",$D9="",N($E9)=0),"",$E9*MAX(0,MIN($D9+1,EDATE(BF$4,1))-MAX($C9,BF$4))/MAX(1,$D9+1-$C9))</f>
        <v/>
      </c>
      <c r="BG9" s="56" t="str">
        <f aca="false">IF(OR(BG$4="",$C9="",$D9="",N($E9)=0),"",$E9*MAX(0,MIN($D9+1,EDATE(BG$4,1))-MAX($C9,BG$4))/MAX(1,$D9+1-$C9))</f>
        <v/>
      </c>
      <c r="BH9" s="56" t="str">
        <f aca="false">IF(OR(BH$4="",$C9="",$D9="",N($E9)=0),"",$E9*MAX(0,MIN($D9+1,EDATE(BH$4,1))-MAX($C9,BH$4))/MAX(1,$D9+1-$C9))</f>
        <v/>
      </c>
      <c r="BI9" s="56" t="str">
        <f aca="false">IF(OR(BI$4="",$C9="",$D9="",N($E9)=0),"",$E9*MAX(0,MIN($D9+1,EDATE(BI$4,1))-MAX($C9,BI$4))/MAX(1,$D9+1-$C9))</f>
        <v/>
      </c>
      <c r="BJ9" s="56" t="str">
        <f aca="false">IF(OR(BJ$4="",$C9="",$D9="",N($E9)=0),"",$E9*MAX(0,MIN($D9+1,EDATE(BJ$4,1))-MAX($C9,BJ$4))/MAX(1,$D9+1-$C9))</f>
        <v/>
      </c>
      <c r="BK9" s="56" t="str">
        <f aca="false">IF(OR(BK$4="",$C9="",$D9="",N($E9)=0),"",$E9*MAX(0,MIN($D9+1,EDATE(BK$4,1))-MAX($C9,BK$4))/MAX(1,$D9+1-$C9))</f>
        <v/>
      </c>
      <c r="BL9" s="56" t="str">
        <f aca="false">IF(OR(BL$4="",$C9="",$D9="",N($E9)=0),"",$E9*MAX(0,MIN($D9+1,EDATE(BL$4,1))-MAX($C9,BL$4))/MAX(1,$D9+1-$C9))</f>
        <v/>
      </c>
      <c r="BM9" s="56" t="str">
        <f aca="false">IF(OR(BM$4="",$C9="",$D9="",N($E9)=0),"",$E9*MAX(0,MIN($D9+1,EDATE(BM$4,1))-MAX($C9,BM$4))/MAX(1,$D9+1-$C9))</f>
        <v/>
      </c>
      <c r="BN9" s="56" t="str">
        <f aca="false">IF(OR(BN$4="",$C9="",$D9="",N($E9)=0),"",$E9*MAX(0,MIN($D9+1,EDATE(BN$4,1))-MAX($C9,BN$4))/MAX(1,$D9+1-$C9))</f>
        <v/>
      </c>
      <c r="BO9" s="56" t="str">
        <f aca="false">IF(OR(BO$4="",$C9="",$D9="",N($E9)=0),"",$E9*MAX(0,MIN($D9+1,EDATE(BO$4,1))-MAX($C9,BO$4))/MAX(1,$D9+1-$C9))</f>
        <v/>
      </c>
      <c r="BP9" s="56" t="str">
        <f aca="false">IF(OR(BP$4="",$C9="",$D9="",N($E9)=0),"",$E9*MAX(0,MIN($D9+1,EDATE(BP$4,1))-MAX($C9,BP$4))/MAX(1,$D9+1-$C9))</f>
        <v/>
      </c>
      <c r="BQ9" s="56" t="str">
        <f aca="false">IF(OR(BQ$4="",$C9="",$D9="",N($E9)=0),"",$E9*MAX(0,MIN($D9+1,EDATE(BQ$4,1))-MAX($C9,BQ$4))/MAX(1,$D9+1-$C9))</f>
        <v/>
      </c>
      <c r="BR9" s="56" t="str">
        <f aca="false">IF(OR(BR$4="",$C9="",$D9="",N($E9)=0),"",$E9*MAX(0,MIN($D9+1,EDATE(BR$4,1))-MAX($C9,BR$4))/MAX(1,$D9+1-$C9))</f>
        <v/>
      </c>
      <c r="BS9" s="56" t="str">
        <f aca="false">IF(OR(BS$4="",$C9="",$D9="",N($E9)=0),"",$E9*MAX(0,MIN($D9+1,EDATE(BS$4,1))-MAX($C9,BS$4))/MAX(1,$D9+1-$C9))</f>
        <v/>
      </c>
      <c r="BT9" s="56" t="str">
        <f aca="false">IF(OR(BT$4="",$C9="",$D9="",N($E9)=0),"",$E9*MAX(0,MIN($D9+1,EDATE(BT$4,1))-MAX($C9,BT$4))/MAX(1,$D9+1-$C9))</f>
        <v/>
      </c>
      <c r="BU9" s="56" t="str">
        <f aca="false">IF(OR(BU$4="",$C9="",$D9="",N($E9)=0),"",$E9*MAX(0,MIN($D9+1,EDATE(BU$4,1))-MAX($C9,BU$4))/MAX(1,$D9+1-$C9))</f>
        <v/>
      </c>
      <c r="BV9" s="56" t="str">
        <f aca="false">IF(OR(BV$4="",$C9="",$D9="",N($E9)=0),"",$E9*MAX(0,MIN($D9+1,EDATE(BV$4,1))-MAX($C9,BV$4))/MAX(1,$D9+1-$C9))</f>
        <v/>
      </c>
      <c r="BW9" s="56" t="str">
        <f aca="false">IF(OR(BW$4="",$C9="",$D9="",N($E9)=0),"",$E9*MAX(0,MIN($D9+1,EDATE(BW$4,1))-MAX($C9,BW$4))/MAX(1,$D9+1-$C9))</f>
        <v/>
      </c>
      <c r="BX9" s="56" t="str">
        <f aca="false">IF(OR(BX$4="",$C9="",$D9="",N($E9)=0),"",$E9*MAX(0,MIN($D9+1,EDATE(BX$4,1))-MAX($C9,BX$4))/MAX(1,$D9+1-$C9))</f>
        <v/>
      </c>
      <c r="BY9" s="56" t="str">
        <f aca="false">IF(OR(BY$4="",$C9="",$D9="",N($E9)=0),"",$E9*MAX(0,MIN($D9+1,EDATE(BY$4,1))-MAX($C9,BY$4))/MAX(1,$D9+1-$C9))</f>
        <v/>
      </c>
    </row>
    <row r="10" customFormat="false" ht="15" hidden="false" customHeight="false" outlineLevel="0" collapsed="false">
      <c r="A10" s="53" t="str">
        <f aca="false">IF(BOE!$A11="","",BOE!$A11)</f>
        <v>106a</v>
      </c>
      <c r="B10" s="53" t="str">
        <f aca="false">IF(BOE!$A11="","",BOE!$C11)</f>
        <v>Hazard Tracking System — establish</v>
      </c>
      <c r="C10" s="54" t="n">
        <f aca="false">IF(BOE!$O11="","",BOE!$O11)</f>
        <v>46391</v>
      </c>
      <c r="D10" s="54" t="n">
        <f aca="false">IF(BOE!$P11="","",BOE!$P11)</f>
        <v>46481</v>
      </c>
      <c r="E10" s="55" t="n">
        <f aca="false">IF(Inputs!$B$7="P90",BOE!$T11,BOE!$R11)</f>
        <v>120</v>
      </c>
      <c r="F10" s="56" t="n">
        <f aca="false">IF(OR(F$4="",$C10="",$D10="",N($E10)=0),"",$E10*MAX(0,MIN($D10+1,EDATE(F$4,1))-MAX($C10,F$4))/MAX(1,$D10+1-$C10))</f>
        <v>40.8791208791209</v>
      </c>
      <c r="G10" s="56" t="n">
        <f aca="false">IF(OR(G$4="",$C10="",$D10="",N($E10)=0),"",$E10*MAX(0,MIN($D10+1,EDATE(G$4,1))-MAX($C10,G$4))/MAX(1,$D10+1-$C10))</f>
        <v>36.9230769230769</v>
      </c>
      <c r="H10" s="56" t="n">
        <f aca="false">IF(OR(H$4="",$C10="",$D10="",N($E10)=0),"",$E10*MAX(0,MIN($D10+1,EDATE(H$4,1))-MAX($C10,H$4))/MAX(1,$D10+1-$C10))</f>
        <v>40.8791208791209</v>
      </c>
      <c r="I10" s="56" t="n">
        <f aca="false">IF(OR(I$4="",$C10="",$D10="",N($E10)=0),"",$E10*MAX(0,MIN($D10+1,EDATE(I$4,1))-MAX($C10,I$4))/MAX(1,$D10+1-$C10))</f>
        <v>1.31868131868132</v>
      </c>
      <c r="J10" s="56" t="n">
        <f aca="false">IF(OR(J$4="",$C10="",$D10="",N($E10)=0),"",$E10*MAX(0,MIN($D10+1,EDATE(J$4,1))-MAX($C10,J$4))/MAX(1,$D10+1-$C10))</f>
        <v>0</v>
      </c>
      <c r="K10" s="56" t="n">
        <f aca="false">IF(OR(K$4="",$C10="",$D10="",N($E10)=0),"",$E10*MAX(0,MIN($D10+1,EDATE(K$4,1))-MAX($C10,K$4))/MAX(1,$D10+1-$C10))</f>
        <v>0</v>
      </c>
      <c r="L10" s="56" t="n">
        <f aca="false">IF(OR(L$4="",$C10="",$D10="",N($E10)=0),"",$E10*MAX(0,MIN($D10+1,EDATE(L$4,1))-MAX($C10,L$4))/MAX(1,$D10+1-$C10))</f>
        <v>0</v>
      </c>
      <c r="M10" s="56" t="n">
        <f aca="false">IF(OR(M$4="",$C10="",$D10="",N($E10)=0),"",$E10*MAX(0,MIN($D10+1,EDATE(M$4,1))-MAX($C10,M$4))/MAX(1,$D10+1-$C10))</f>
        <v>0</v>
      </c>
      <c r="N10" s="56" t="n">
        <f aca="false">IF(OR(N$4="",$C10="",$D10="",N($E10)=0),"",$E10*MAX(0,MIN($D10+1,EDATE(N$4,1))-MAX($C10,N$4))/MAX(1,$D10+1-$C10))</f>
        <v>0</v>
      </c>
      <c r="O10" s="56" t="n">
        <f aca="false">IF(OR(O$4="",$C10="",$D10="",N($E10)=0),"",$E10*MAX(0,MIN($D10+1,EDATE(O$4,1))-MAX($C10,O$4))/MAX(1,$D10+1-$C10))</f>
        <v>0</v>
      </c>
      <c r="P10" s="56" t="n">
        <f aca="false">IF(OR(P$4="",$C10="",$D10="",N($E10)=0),"",$E10*MAX(0,MIN($D10+1,EDATE(P$4,1))-MAX($C10,P$4))/MAX(1,$D10+1-$C10))</f>
        <v>0</v>
      </c>
      <c r="Q10" s="56" t="n">
        <f aca="false">IF(OR(Q$4="",$C10="",$D10="",N($E10)=0),"",$E10*MAX(0,MIN($D10+1,EDATE(Q$4,1))-MAX($C10,Q$4))/MAX(1,$D10+1-$C10))</f>
        <v>0</v>
      </c>
      <c r="R10" s="56" t="n">
        <f aca="false">IF(OR(R$4="",$C10="",$D10="",N($E10)=0),"",$E10*MAX(0,MIN($D10+1,EDATE(R$4,1))-MAX($C10,R$4))/MAX(1,$D10+1-$C10))</f>
        <v>0</v>
      </c>
      <c r="S10" s="56" t="n">
        <f aca="false">IF(OR(S$4="",$C10="",$D10="",N($E10)=0),"",$E10*MAX(0,MIN($D10+1,EDATE(S$4,1))-MAX($C10,S$4))/MAX(1,$D10+1-$C10))</f>
        <v>0</v>
      </c>
      <c r="T10" s="56" t="n">
        <f aca="false">IF(OR(T$4="",$C10="",$D10="",N($E10)=0),"",$E10*MAX(0,MIN($D10+1,EDATE(T$4,1))-MAX($C10,T$4))/MAX(1,$D10+1-$C10))</f>
        <v>0</v>
      </c>
      <c r="U10" s="56" t="n">
        <f aca="false">IF(OR(U$4="",$C10="",$D10="",N($E10)=0),"",$E10*MAX(0,MIN($D10+1,EDATE(U$4,1))-MAX($C10,U$4))/MAX(1,$D10+1-$C10))</f>
        <v>0</v>
      </c>
      <c r="V10" s="56" t="n">
        <f aca="false">IF(OR(V$4="",$C10="",$D10="",N($E10)=0),"",$E10*MAX(0,MIN($D10+1,EDATE(V$4,1))-MAX($C10,V$4))/MAX(1,$D10+1-$C10))</f>
        <v>0</v>
      </c>
      <c r="W10" s="56" t="n">
        <f aca="false">IF(OR(W$4="",$C10="",$D10="",N($E10)=0),"",$E10*MAX(0,MIN($D10+1,EDATE(W$4,1))-MAX($C10,W$4))/MAX(1,$D10+1-$C10))</f>
        <v>0</v>
      </c>
      <c r="X10" s="56" t="n">
        <f aca="false">IF(OR(X$4="",$C10="",$D10="",N($E10)=0),"",$E10*MAX(0,MIN($D10+1,EDATE(X$4,1))-MAX($C10,X$4))/MAX(1,$D10+1-$C10))</f>
        <v>0</v>
      </c>
      <c r="Y10" s="56" t="n">
        <f aca="false">IF(OR(Y$4="",$C10="",$D10="",N($E10)=0),"",$E10*MAX(0,MIN($D10+1,EDATE(Y$4,1))-MAX($C10,Y$4))/MAX(1,$D10+1-$C10))</f>
        <v>0</v>
      </c>
      <c r="Z10" s="56" t="n">
        <f aca="false">IF(OR(Z$4="",$C10="",$D10="",N($E10)=0),"",$E10*MAX(0,MIN($D10+1,EDATE(Z$4,1))-MAX($C10,Z$4))/MAX(1,$D10+1-$C10))</f>
        <v>0</v>
      </c>
      <c r="AA10" s="56" t="n">
        <f aca="false">IF(OR(AA$4="",$C10="",$D10="",N($E10)=0),"",$E10*MAX(0,MIN($D10+1,EDATE(AA$4,1))-MAX($C10,AA$4))/MAX(1,$D10+1-$C10))</f>
        <v>0</v>
      </c>
      <c r="AB10" s="56" t="n">
        <f aca="false">IF(OR(AB$4="",$C10="",$D10="",N($E10)=0),"",$E10*MAX(0,MIN($D10+1,EDATE(AB$4,1))-MAX($C10,AB$4))/MAX(1,$D10+1-$C10))</f>
        <v>0</v>
      </c>
      <c r="AC10" s="56" t="n">
        <f aca="false">IF(OR(AC$4="",$C10="",$D10="",N($E10)=0),"",$E10*MAX(0,MIN($D10+1,EDATE(AC$4,1))-MAX($C10,AC$4))/MAX(1,$D10+1-$C10))</f>
        <v>0</v>
      </c>
      <c r="AD10" s="56" t="n">
        <f aca="false">IF(OR(AD$4="",$C10="",$D10="",N($E10)=0),"",$E10*MAX(0,MIN($D10+1,EDATE(AD$4,1))-MAX($C10,AD$4))/MAX(1,$D10+1-$C10))</f>
        <v>0</v>
      </c>
      <c r="AE10" s="56" t="n">
        <f aca="false">IF(OR(AE$4="",$C10="",$D10="",N($E10)=0),"",$E10*MAX(0,MIN($D10+1,EDATE(AE$4,1))-MAX($C10,AE$4))/MAX(1,$D10+1-$C10))</f>
        <v>0</v>
      </c>
      <c r="AF10" s="56" t="n">
        <f aca="false">IF(OR(AF$4="",$C10="",$D10="",N($E10)=0),"",$E10*MAX(0,MIN($D10+1,EDATE(AF$4,1))-MAX($C10,AF$4))/MAX(1,$D10+1-$C10))</f>
        <v>0</v>
      </c>
      <c r="AG10" s="56" t="n">
        <f aca="false">IF(OR(AG$4="",$C10="",$D10="",N($E10)=0),"",$E10*MAX(0,MIN($D10+1,EDATE(AG$4,1))-MAX($C10,AG$4))/MAX(1,$D10+1-$C10))</f>
        <v>0</v>
      </c>
      <c r="AH10" s="56" t="n">
        <f aca="false">IF(OR(AH$4="",$C10="",$D10="",N($E10)=0),"",$E10*MAX(0,MIN($D10+1,EDATE(AH$4,1))-MAX($C10,AH$4))/MAX(1,$D10+1-$C10))</f>
        <v>0</v>
      </c>
      <c r="AI10" s="56" t="n">
        <f aca="false">IF(OR(AI$4="",$C10="",$D10="",N($E10)=0),"",$E10*MAX(0,MIN($D10+1,EDATE(AI$4,1))-MAX($C10,AI$4))/MAX(1,$D10+1-$C10))</f>
        <v>0</v>
      </c>
      <c r="AJ10" s="56" t="n">
        <f aca="false">IF(OR(AJ$4="",$C10="",$D10="",N($E10)=0),"",$E10*MAX(0,MIN($D10+1,EDATE(AJ$4,1))-MAX($C10,AJ$4))/MAX(1,$D10+1-$C10))</f>
        <v>0</v>
      </c>
      <c r="AK10" s="56" t="n">
        <f aca="false">IF(OR(AK$4="",$C10="",$D10="",N($E10)=0),"",$E10*MAX(0,MIN($D10+1,EDATE(AK$4,1))-MAX($C10,AK$4))/MAX(1,$D10+1-$C10))</f>
        <v>0</v>
      </c>
      <c r="AL10" s="56" t="n">
        <f aca="false">IF(OR(AL$4="",$C10="",$D10="",N($E10)=0),"",$E10*MAX(0,MIN($D10+1,EDATE(AL$4,1))-MAX($C10,AL$4))/MAX(1,$D10+1-$C10))</f>
        <v>0</v>
      </c>
      <c r="AM10" s="56" t="n">
        <f aca="false">IF(OR(AM$4="",$C10="",$D10="",N($E10)=0),"",$E10*MAX(0,MIN($D10+1,EDATE(AM$4,1))-MAX($C10,AM$4))/MAX(1,$D10+1-$C10))</f>
        <v>0</v>
      </c>
      <c r="AN10" s="56" t="n">
        <f aca="false">IF(OR(AN$4="",$C10="",$D10="",N($E10)=0),"",$E10*MAX(0,MIN($D10+1,EDATE(AN$4,1))-MAX($C10,AN$4))/MAX(1,$D10+1-$C10))</f>
        <v>0</v>
      </c>
      <c r="AO10" s="56" t="n">
        <f aca="false">IF(OR(AO$4="",$C10="",$D10="",N($E10)=0),"",$E10*MAX(0,MIN($D10+1,EDATE(AO$4,1))-MAX($C10,AO$4))/MAX(1,$D10+1-$C10))</f>
        <v>0</v>
      </c>
      <c r="AP10" s="56" t="str">
        <f aca="false">IF(OR(AP$4="",$C10="",$D10="",N($E10)=0),"",$E10*MAX(0,MIN($D10+1,EDATE(AP$4,1))-MAX($C10,AP$4))/MAX(1,$D10+1-$C10))</f>
        <v/>
      </c>
      <c r="AQ10" s="56" t="str">
        <f aca="false">IF(OR(AQ$4="",$C10="",$D10="",N($E10)=0),"",$E10*MAX(0,MIN($D10+1,EDATE(AQ$4,1))-MAX($C10,AQ$4))/MAX(1,$D10+1-$C10))</f>
        <v/>
      </c>
      <c r="AR10" s="56" t="str">
        <f aca="false">IF(OR(AR$4="",$C10="",$D10="",N($E10)=0),"",$E10*MAX(0,MIN($D10+1,EDATE(AR$4,1))-MAX($C10,AR$4))/MAX(1,$D10+1-$C10))</f>
        <v/>
      </c>
      <c r="AS10" s="56" t="str">
        <f aca="false">IF(OR(AS$4="",$C10="",$D10="",N($E10)=0),"",$E10*MAX(0,MIN($D10+1,EDATE(AS$4,1))-MAX($C10,AS$4))/MAX(1,$D10+1-$C10))</f>
        <v/>
      </c>
      <c r="AT10" s="56" t="str">
        <f aca="false">IF(OR(AT$4="",$C10="",$D10="",N($E10)=0),"",$E10*MAX(0,MIN($D10+1,EDATE(AT$4,1))-MAX($C10,AT$4))/MAX(1,$D10+1-$C10))</f>
        <v/>
      </c>
      <c r="AU10" s="56" t="str">
        <f aca="false">IF(OR(AU$4="",$C10="",$D10="",N($E10)=0),"",$E10*MAX(0,MIN($D10+1,EDATE(AU$4,1))-MAX($C10,AU$4))/MAX(1,$D10+1-$C10))</f>
        <v/>
      </c>
      <c r="AV10" s="56" t="str">
        <f aca="false">IF(OR(AV$4="",$C10="",$D10="",N($E10)=0),"",$E10*MAX(0,MIN($D10+1,EDATE(AV$4,1))-MAX($C10,AV$4))/MAX(1,$D10+1-$C10))</f>
        <v/>
      </c>
      <c r="AW10" s="56" t="str">
        <f aca="false">IF(OR(AW$4="",$C10="",$D10="",N($E10)=0),"",$E10*MAX(0,MIN($D10+1,EDATE(AW$4,1))-MAX($C10,AW$4))/MAX(1,$D10+1-$C10))</f>
        <v/>
      </c>
      <c r="AX10" s="56" t="str">
        <f aca="false">IF(OR(AX$4="",$C10="",$D10="",N($E10)=0),"",$E10*MAX(0,MIN($D10+1,EDATE(AX$4,1))-MAX($C10,AX$4))/MAX(1,$D10+1-$C10))</f>
        <v/>
      </c>
      <c r="AY10" s="56" t="str">
        <f aca="false">IF(OR(AY$4="",$C10="",$D10="",N($E10)=0),"",$E10*MAX(0,MIN($D10+1,EDATE(AY$4,1))-MAX($C10,AY$4))/MAX(1,$D10+1-$C10))</f>
        <v/>
      </c>
      <c r="AZ10" s="56" t="str">
        <f aca="false">IF(OR(AZ$4="",$C10="",$D10="",N($E10)=0),"",$E10*MAX(0,MIN($D10+1,EDATE(AZ$4,1))-MAX($C10,AZ$4))/MAX(1,$D10+1-$C10))</f>
        <v/>
      </c>
      <c r="BA10" s="56" t="str">
        <f aca="false">IF(OR(BA$4="",$C10="",$D10="",N($E10)=0),"",$E10*MAX(0,MIN($D10+1,EDATE(BA$4,1))-MAX($C10,BA$4))/MAX(1,$D10+1-$C10))</f>
        <v/>
      </c>
      <c r="BB10" s="56" t="str">
        <f aca="false">IF(OR(BB$4="",$C10="",$D10="",N($E10)=0),"",$E10*MAX(0,MIN($D10+1,EDATE(BB$4,1))-MAX($C10,BB$4))/MAX(1,$D10+1-$C10))</f>
        <v/>
      </c>
      <c r="BC10" s="56" t="str">
        <f aca="false">IF(OR(BC$4="",$C10="",$D10="",N($E10)=0),"",$E10*MAX(0,MIN($D10+1,EDATE(BC$4,1))-MAX($C10,BC$4))/MAX(1,$D10+1-$C10))</f>
        <v/>
      </c>
      <c r="BD10" s="56" t="str">
        <f aca="false">IF(OR(BD$4="",$C10="",$D10="",N($E10)=0),"",$E10*MAX(0,MIN($D10+1,EDATE(BD$4,1))-MAX($C10,BD$4))/MAX(1,$D10+1-$C10))</f>
        <v/>
      </c>
      <c r="BE10" s="56" t="str">
        <f aca="false">IF(OR(BE$4="",$C10="",$D10="",N($E10)=0),"",$E10*MAX(0,MIN($D10+1,EDATE(BE$4,1))-MAX($C10,BE$4))/MAX(1,$D10+1-$C10))</f>
        <v/>
      </c>
      <c r="BF10" s="56" t="str">
        <f aca="false">IF(OR(BF$4="",$C10="",$D10="",N($E10)=0),"",$E10*MAX(0,MIN($D10+1,EDATE(BF$4,1))-MAX($C10,BF$4))/MAX(1,$D10+1-$C10))</f>
        <v/>
      </c>
      <c r="BG10" s="56" t="str">
        <f aca="false">IF(OR(BG$4="",$C10="",$D10="",N($E10)=0),"",$E10*MAX(0,MIN($D10+1,EDATE(BG$4,1))-MAX($C10,BG$4))/MAX(1,$D10+1-$C10))</f>
        <v/>
      </c>
      <c r="BH10" s="56" t="str">
        <f aca="false">IF(OR(BH$4="",$C10="",$D10="",N($E10)=0),"",$E10*MAX(0,MIN($D10+1,EDATE(BH$4,1))-MAX($C10,BH$4))/MAX(1,$D10+1-$C10))</f>
        <v/>
      </c>
      <c r="BI10" s="56" t="str">
        <f aca="false">IF(OR(BI$4="",$C10="",$D10="",N($E10)=0),"",$E10*MAX(0,MIN($D10+1,EDATE(BI$4,1))-MAX($C10,BI$4))/MAX(1,$D10+1-$C10))</f>
        <v/>
      </c>
      <c r="BJ10" s="56" t="str">
        <f aca="false">IF(OR(BJ$4="",$C10="",$D10="",N($E10)=0),"",$E10*MAX(0,MIN($D10+1,EDATE(BJ$4,1))-MAX($C10,BJ$4))/MAX(1,$D10+1-$C10))</f>
        <v/>
      </c>
      <c r="BK10" s="56" t="str">
        <f aca="false">IF(OR(BK$4="",$C10="",$D10="",N($E10)=0),"",$E10*MAX(0,MIN($D10+1,EDATE(BK$4,1))-MAX($C10,BK$4))/MAX(1,$D10+1-$C10))</f>
        <v/>
      </c>
      <c r="BL10" s="56" t="str">
        <f aca="false">IF(OR(BL$4="",$C10="",$D10="",N($E10)=0),"",$E10*MAX(0,MIN($D10+1,EDATE(BL$4,1))-MAX($C10,BL$4))/MAX(1,$D10+1-$C10))</f>
        <v/>
      </c>
      <c r="BM10" s="56" t="str">
        <f aca="false">IF(OR(BM$4="",$C10="",$D10="",N($E10)=0),"",$E10*MAX(0,MIN($D10+1,EDATE(BM$4,1))-MAX($C10,BM$4))/MAX(1,$D10+1-$C10))</f>
        <v/>
      </c>
      <c r="BN10" s="56" t="str">
        <f aca="false">IF(OR(BN$4="",$C10="",$D10="",N($E10)=0),"",$E10*MAX(0,MIN($D10+1,EDATE(BN$4,1))-MAX($C10,BN$4))/MAX(1,$D10+1-$C10))</f>
        <v/>
      </c>
      <c r="BO10" s="56" t="str">
        <f aca="false">IF(OR(BO$4="",$C10="",$D10="",N($E10)=0),"",$E10*MAX(0,MIN($D10+1,EDATE(BO$4,1))-MAX($C10,BO$4))/MAX(1,$D10+1-$C10))</f>
        <v/>
      </c>
      <c r="BP10" s="56" t="str">
        <f aca="false">IF(OR(BP$4="",$C10="",$D10="",N($E10)=0),"",$E10*MAX(0,MIN($D10+1,EDATE(BP$4,1))-MAX($C10,BP$4))/MAX(1,$D10+1-$C10))</f>
        <v/>
      </c>
      <c r="BQ10" s="56" t="str">
        <f aca="false">IF(OR(BQ$4="",$C10="",$D10="",N($E10)=0),"",$E10*MAX(0,MIN($D10+1,EDATE(BQ$4,1))-MAX($C10,BQ$4))/MAX(1,$D10+1-$C10))</f>
        <v/>
      </c>
      <c r="BR10" s="56" t="str">
        <f aca="false">IF(OR(BR$4="",$C10="",$D10="",N($E10)=0),"",$E10*MAX(0,MIN($D10+1,EDATE(BR$4,1))-MAX($C10,BR$4))/MAX(1,$D10+1-$C10))</f>
        <v/>
      </c>
      <c r="BS10" s="56" t="str">
        <f aca="false">IF(OR(BS$4="",$C10="",$D10="",N($E10)=0),"",$E10*MAX(0,MIN($D10+1,EDATE(BS$4,1))-MAX($C10,BS$4))/MAX(1,$D10+1-$C10))</f>
        <v/>
      </c>
      <c r="BT10" s="56" t="str">
        <f aca="false">IF(OR(BT$4="",$C10="",$D10="",N($E10)=0),"",$E10*MAX(0,MIN($D10+1,EDATE(BT$4,1))-MAX($C10,BT$4))/MAX(1,$D10+1-$C10))</f>
        <v/>
      </c>
      <c r="BU10" s="56" t="str">
        <f aca="false">IF(OR(BU$4="",$C10="",$D10="",N($E10)=0),"",$E10*MAX(0,MIN($D10+1,EDATE(BU$4,1))-MAX($C10,BU$4))/MAX(1,$D10+1-$C10))</f>
        <v/>
      </c>
      <c r="BV10" s="56" t="str">
        <f aca="false">IF(OR(BV$4="",$C10="",$D10="",N($E10)=0),"",$E10*MAX(0,MIN($D10+1,EDATE(BV$4,1))-MAX($C10,BV$4))/MAX(1,$D10+1-$C10))</f>
        <v/>
      </c>
      <c r="BW10" s="56" t="str">
        <f aca="false">IF(OR(BW$4="",$C10="",$D10="",N($E10)=0),"",$E10*MAX(0,MIN($D10+1,EDATE(BW$4,1))-MAX($C10,BW$4))/MAX(1,$D10+1-$C10))</f>
        <v/>
      </c>
      <c r="BX10" s="56" t="str">
        <f aca="false">IF(OR(BX$4="",$C10="",$D10="",N($E10)=0),"",$E10*MAX(0,MIN($D10+1,EDATE(BX$4,1))-MAX($C10,BX$4))/MAX(1,$D10+1-$C10))</f>
        <v/>
      </c>
      <c r="BY10" s="56" t="str">
        <f aca="false">IF(OR(BY$4="",$C10="",$D10="",N($E10)=0),"",$E10*MAX(0,MIN($D10+1,EDATE(BY$4,1))-MAX($C10,BY$4))/MAX(1,$D10+1-$C10))</f>
        <v/>
      </c>
    </row>
    <row r="11" customFormat="false" ht="15" hidden="false" customHeight="false" outlineLevel="0" collapsed="false">
      <c r="A11" s="53" t="str">
        <f aca="false">IF(BOE!$A12="","",BOE!$A12)</f>
        <v>106b</v>
      </c>
      <c r="B11" s="53" t="str">
        <f aca="false">IF(BOE!$A12="","",BOE!$C12)</f>
        <v>Hazard Tracking System — maintain</v>
      </c>
      <c r="C11" s="54" t="n">
        <f aca="false">IF(BOE!$O12="","",BOE!$O12)</f>
        <v>46481</v>
      </c>
      <c r="D11" s="54" t="n">
        <f aca="false">IF(BOE!$P12="","",BOE!$P12)</f>
        <v>47483</v>
      </c>
      <c r="E11" s="55" t="n">
        <f aca="false">IF(Inputs!$B$7="P90",BOE!$T12,BOE!$R12)</f>
        <v>263.359342915811</v>
      </c>
      <c r="F11" s="56" t="n">
        <f aca="false">IF(OR(F$4="",$C11="",$D11="",N($E11)=0),"",$E11*MAX(0,MIN($D11+1,EDATE(F$4,1))-MAX($C11,F$4))/MAX(1,$D11+1-$C11))</f>
        <v>0</v>
      </c>
      <c r="G11" s="56" t="n">
        <f aca="false">IF(OR(G$4="",$C11="",$D11="",N($E11)=0),"",$E11*MAX(0,MIN($D11+1,EDATE(G$4,1))-MAX($C11,G$4))/MAX(1,$D11+1-$C11))</f>
        <v>0</v>
      </c>
      <c r="H11" s="56" t="n">
        <f aca="false">IF(OR(H$4="",$C11="",$D11="",N($E11)=0),"",$E11*MAX(0,MIN($D11+1,EDATE(H$4,1))-MAX($C11,H$4))/MAX(1,$D11+1-$C11))</f>
        <v>0</v>
      </c>
      <c r="I11" s="56" t="n">
        <f aca="false">IF(OR(I$4="",$C11="",$D11="",N($E11)=0),"",$E11*MAX(0,MIN($D11+1,EDATE(I$4,1))-MAX($C11,I$4))/MAX(1,$D11+1-$C11))</f>
        <v>7.87714884095148</v>
      </c>
      <c r="J11" s="56" t="n">
        <f aca="false">IF(OR(J$4="",$C11="",$D11="",N($E11)=0),"",$E11*MAX(0,MIN($D11+1,EDATE(J$4,1))-MAX($C11,J$4))/MAX(1,$D11+1-$C11))</f>
        <v>8.1397204689832</v>
      </c>
      <c r="K11" s="56" t="n">
        <f aca="false">IF(OR(K$4="",$C11="",$D11="",N($E11)=0),"",$E11*MAX(0,MIN($D11+1,EDATE(K$4,1))-MAX($C11,K$4))/MAX(1,$D11+1-$C11))</f>
        <v>7.87714884095148</v>
      </c>
      <c r="L11" s="56" t="n">
        <f aca="false">IF(OR(L$4="",$C11="",$D11="",N($E11)=0),"",$E11*MAX(0,MIN($D11+1,EDATE(L$4,1))-MAX($C11,L$4))/MAX(1,$D11+1-$C11))</f>
        <v>8.1397204689832</v>
      </c>
      <c r="M11" s="56" t="n">
        <f aca="false">IF(OR(M$4="",$C11="",$D11="",N($E11)=0),"",$E11*MAX(0,MIN($D11+1,EDATE(M$4,1))-MAX($C11,M$4))/MAX(1,$D11+1-$C11))</f>
        <v>8.1397204689832</v>
      </c>
      <c r="N11" s="56" t="n">
        <f aca="false">IF(OR(N$4="",$C11="",$D11="",N($E11)=0),"",$E11*MAX(0,MIN($D11+1,EDATE(N$4,1))-MAX($C11,N$4))/MAX(1,$D11+1-$C11))</f>
        <v>7.87714884095148</v>
      </c>
      <c r="O11" s="56" t="n">
        <f aca="false">IF(OR(O$4="",$C11="",$D11="",N($E11)=0),"",$E11*MAX(0,MIN($D11+1,EDATE(O$4,1))-MAX($C11,O$4))/MAX(1,$D11+1-$C11))</f>
        <v>8.1397204689832</v>
      </c>
      <c r="P11" s="56" t="n">
        <f aca="false">IF(OR(P$4="",$C11="",$D11="",N($E11)=0),"",$E11*MAX(0,MIN($D11+1,EDATE(P$4,1))-MAX($C11,P$4))/MAX(1,$D11+1-$C11))</f>
        <v>7.87714884095148</v>
      </c>
      <c r="Q11" s="56" t="n">
        <f aca="false">IF(OR(Q$4="",$C11="",$D11="",N($E11)=0),"",$E11*MAX(0,MIN($D11+1,EDATE(Q$4,1))-MAX($C11,Q$4))/MAX(1,$D11+1-$C11))</f>
        <v>8.1397204689832</v>
      </c>
      <c r="R11" s="56" t="n">
        <f aca="false">IF(OR(R$4="",$C11="",$D11="",N($E11)=0),"",$E11*MAX(0,MIN($D11+1,EDATE(R$4,1))-MAX($C11,R$4))/MAX(1,$D11+1-$C11))</f>
        <v>8.1397204689832</v>
      </c>
      <c r="S11" s="56" t="n">
        <f aca="false">IF(OR(S$4="",$C11="",$D11="",N($E11)=0),"",$E11*MAX(0,MIN($D11+1,EDATE(S$4,1))-MAX($C11,S$4))/MAX(1,$D11+1-$C11))</f>
        <v>7.61457721291976</v>
      </c>
      <c r="T11" s="56" t="n">
        <f aca="false">IF(OR(T$4="",$C11="",$D11="",N($E11)=0),"",$E11*MAX(0,MIN($D11+1,EDATE(T$4,1))-MAX($C11,T$4))/MAX(1,$D11+1-$C11))</f>
        <v>8.1397204689832</v>
      </c>
      <c r="U11" s="56" t="n">
        <f aca="false">IF(OR(U$4="",$C11="",$D11="",N($E11)=0),"",$E11*MAX(0,MIN($D11+1,EDATE(U$4,1))-MAX($C11,U$4))/MAX(1,$D11+1-$C11))</f>
        <v>7.87714884095148</v>
      </c>
      <c r="V11" s="56" t="n">
        <f aca="false">IF(OR(V$4="",$C11="",$D11="",N($E11)=0),"",$E11*MAX(0,MIN($D11+1,EDATE(V$4,1))-MAX($C11,V$4))/MAX(1,$D11+1-$C11))</f>
        <v>8.1397204689832</v>
      </c>
      <c r="W11" s="56" t="n">
        <f aca="false">IF(OR(W$4="",$C11="",$D11="",N($E11)=0),"",$E11*MAX(0,MIN($D11+1,EDATE(W$4,1))-MAX($C11,W$4))/MAX(1,$D11+1-$C11))</f>
        <v>7.87714884095148</v>
      </c>
      <c r="X11" s="56" t="n">
        <f aca="false">IF(OR(X$4="",$C11="",$D11="",N($E11)=0),"",$E11*MAX(0,MIN($D11+1,EDATE(X$4,1))-MAX($C11,X$4))/MAX(1,$D11+1-$C11))</f>
        <v>8.1397204689832</v>
      </c>
      <c r="Y11" s="56" t="n">
        <f aca="false">IF(OR(Y$4="",$C11="",$D11="",N($E11)=0),"",$E11*MAX(0,MIN($D11+1,EDATE(Y$4,1))-MAX($C11,Y$4))/MAX(1,$D11+1-$C11))</f>
        <v>8.1397204689832</v>
      </c>
      <c r="Z11" s="56" t="n">
        <f aca="false">IF(OR(Z$4="",$C11="",$D11="",N($E11)=0),"",$E11*MAX(0,MIN($D11+1,EDATE(Z$4,1))-MAX($C11,Z$4))/MAX(1,$D11+1-$C11))</f>
        <v>7.87714884095148</v>
      </c>
      <c r="AA11" s="56" t="n">
        <f aca="false">IF(OR(AA$4="",$C11="",$D11="",N($E11)=0),"",$E11*MAX(0,MIN($D11+1,EDATE(AA$4,1))-MAX($C11,AA$4))/MAX(1,$D11+1-$C11))</f>
        <v>8.1397204689832</v>
      </c>
      <c r="AB11" s="56" t="n">
        <f aca="false">IF(OR(AB$4="",$C11="",$D11="",N($E11)=0),"",$E11*MAX(0,MIN($D11+1,EDATE(AB$4,1))-MAX($C11,AB$4))/MAX(1,$D11+1-$C11))</f>
        <v>7.87714884095148</v>
      </c>
      <c r="AC11" s="56" t="n">
        <f aca="false">IF(OR(AC$4="",$C11="",$D11="",N($E11)=0),"",$E11*MAX(0,MIN($D11+1,EDATE(AC$4,1))-MAX($C11,AC$4))/MAX(1,$D11+1-$C11))</f>
        <v>8.1397204689832</v>
      </c>
      <c r="AD11" s="56" t="n">
        <f aca="false">IF(OR(AD$4="",$C11="",$D11="",N($E11)=0),"",$E11*MAX(0,MIN($D11+1,EDATE(AD$4,1))-MAX($C11,AD$4))/MAX(1,$D11+1-$C11))</f>
        <v>8.1397204689832</v>
      </c>
      <c r="AE11" s="56" t="n">
        <f aca="false">IF(OR(AE$4="",$C11="",$D11="",N($E11)=0),"",$E11*MAX(0,MIN($D11+1,EDATE(AE$4,1))-MAX($C11,AE$4))/MAX(1,$D11+1-$C11))</f>
        <v>7.35200558488805</v>
      </c>
      <c r="AF11" s="56" t="n">
        <f aca="false">IF(OR(AF$4="",$C11="",$D11="",N($E11)=0),"",$E11*MAX(0,MIN($D11+1,EDATE(AF$4,1))-MAX($C11,AF$4))/MAX(1,$D11+1-$C11))</f>
        <v>8.1397204689832</v>
      </c>
      <c r="AG11" s="56" t="n">
        <f aca="false">IF(OR(AG$4="",$C11="",$D11="",N($E11)=0),"",$E11*MAX(0,MIN($D11+1,EDATE(AG$4,1))-MAX($C11,AG$4))/MAX(1,$D11+1-$C11))</f>
        <v>7.87714884095148</v>
      </c>
      <c r="AH11" s="56" t="n">
        <f aca="false">IF(OR(AH$4="",$C11="",$D11="",N($E11)=0),"",$E11*MAX(0,MIN($D11+1,EDATE(AH$4,1))-MAX($C11,AH$4))/MAX(1,$D11+1-$C11))</f>
        <v>8.1397204689832</v>
      </c>
      <c r="AI11" s="56" t="n">
        <f aca="false">IF(OR(AI$4="",$C11="",$D11="",N($E11)=0),"",$E11*MAX(0,MIN($D11+1,EDATE(AI$4,1))-MAX($C11,AI$4))/MAX(1,$D11+1-$C11))</f>
        <v>7.87714884095148</v>
      </c>
      <c r="AJ11" s="56" t="n">
        <f aca="false">IF(OR(AJ$4="",$C11="",$D11="",N($E11)=0),"",$E11*MAX(0,MIN($D11+1,EDATE(AJ$4,1))-MAX($C11,AJ$4))/MAX(1,$D11+1-$C11))</f>
        <v>8.1397204689832</v>
      </c>
      <c r="AK11" s="56" t="n">
        <f aca="false">IF(OR(AK$4="",$C11="",$D11="",N($E11)=0),"",$E11*MAX(0,MIN($D11+1,EDATE(AK$4,1))-MAX($C11,AK$4))/MAX(1,$D11+1-$C11))</f>
        <v>8.1397204689832</v>
      </c>
      <c r="AL11" s="56" t="n">
        <f aca="false">IF(OR(AL$4="",$C11="",$D11="",N($E11)=0),"",$E11*MAX(0,MIN($D11+1,EDATE(AL$4,1))-MAX($C11,AL$4))/MAX(1,$D11+1-$C11))</f>
        <v>7.87714884095148</v>
      </c>
      <c r="AM11" s="56" t="n">
        <f aca="false">IF(OR(AM$4="",$C11="",$D11="",N($E11)=0),"",$E11*MAX(0,MIN($D11+1,EDATE(AM$4,1))-MAX($C11,AM$4))/MAX(1,$D11+1-$C11))</f>
        <v>8.1397204689832</v>
      </c>
      <c r="AN11" s="56" t="n">
        <f aca="false">IF(OR(AN$4="",$C11="",$D11="",N($E11)=0),"",$E11*MAX(0,MIN($D11+1,EDATE(AN$4,1))-MAX($C11,AN$4))/MAX(1,$D11+1-$C11))</f>
        <v>7.87714884095148</v>
      </c>
      <c r="AO11" s="56" t="n">
        <f aca="false">IF(OR(AO$4="",$C11="",$D11="",N($E11)=0),"",$E11*MAX(0,MIN($D11+1,EDATE(AO$4,1))-MAX($C11,AO$4))/MAX(1,$D11+1-$C11))</f>
        <v>7.35200558488805</v>
      </c>
      <c r="AP11" s="56" t="str">
        <f aca="false">IF(OR(AP$4="",$C11="",$D11="",N($E11)=0),"",$E11*MAX(0,MIN($D11+1,EDATE(AP$4,1))-MAX($C11,AP$4))/MAX(1,$D11+1-$C11))</f>
        <v/>
      </c>
      <c r="AQ11" s="56" t="str">
        <f aca="false">IF(OR(AQ$4="",$C11="",$D11="",N($E11)=0),"",$E11*MAX(0,MIN($D11+1,EDATE(AQ$4,1))-MAX($C11,AQ$4))/MAX(1,$D11+1-$C11))</f>
        <v/>
      </c>
      <c r="AR11" s="56" t="str">
        <f aca="false">IF(OR(AR$4="",$C11="",$D11="",N($E11)=0),"",$E11*MAX(0,MIN($D11+1,EDATE(AR$4,1))-MAX($C11,AR$4))/MAX(1,$D11+1-$C11))</f>
        <v/>
      </c>
      <c r="AS11" s="56" t="str">
        <f aca="false">IF(OR(AS$4="",$C11="",$D11="",N($E11)=0),"",$E11*MAX(0,MIN($D11+1,EDATE(AS$4,1))-MAX($C11,AS$4))/MAX(1,$D11+1-$C11))</f>
        <v/>
      </c>
      <c r="AT11" s="56" t="str">
        <f aca="false">IF(OR(AT$4="",$C11="",$D11="",N($E11)=0),"",$E11*MAX(0,MIN($D11+1,EDATE(AT$4,1))-MAX($C11,AT$4))/MAX(1,$D11+1-$C11))</f>
        <v/>
      </c>
      <c r="AU11" s="56" t="str">
        <f aca="false">IF(OR(AU$4="",$C11="",$D11="",N($E11)=0),"",$E11*MAX(0,MIN($D11+1,EDATE(AU$4,1))-MAX($C11,AU$4))/MAX(1,$D11+1-$C11))</f>
        <v/>
      </c>
      <c r="AV11" s="56" t="str">
        <f aca="false">IF(OR(AV$4="",$C11="",$D11="",N($E11)=0),"",$E11*MAX(0,MIN($D11+1,EDATE(AV$4,1))-MAX($C11,AV$4))/MAX(1,$D11+1-$C11))</f>
        <v/>
      </c>
      <c r="AW11" s="56" t="str">
        <f aca="false">IF(OR(AW$4="",$C11="",$D11="",N($E11)=0),"",$E11*MAX(0,MIN($D11+1,EDATE(AW$4,1))-MAX($C11,AW$4))/MAX(1,$D11+1-$C11))</f>
        <v/>
      </c>
      <c r="AX11" s="56" t="str">
        <f aca="false">IF(OR(AX$4="",$C11="",$D11="",N($E11)=0),"",$E11*MAX(0,MIN($D11+1,EDATE(AX$4,1))-MAX($C11,AX$4))/MAX(1,$D11+1-$C11))</f>
        <v/>
      </c>
      <c r="AY11" s="56" t="str">
        <f aca="false">IF(OR(AY$4="",$C11="",$D11="",N($E11)=0),"",$E11*MAX(0,MIN($D11+1,EDATE(AY$4,1))-MAX($C11,AY$4))/MAX(1,$D11+1-$C11))</f>
        <v/>
      </c>
      <c r="AZ11" s="56" t="str">
        <f aca="false">IF(OR(AZ$4="",$C11="",$D11="",N($E11)=0),"",$E11*MAX(0,MIN($D11+1,EDATE(AZ$4,1))-MAX($C11,AZ$4))/MAX(1,$D11+1-$C11))</f>
        <v/>
      </c>
      <c r="BA11" s="56" t="str">
        <f aca="false">IF(OR(BA$4="",$C11="",$D11="",N($E11)=0),"",$E11*MAX(0,MIN($D11+1,EDATE(BA$4,1))-MAX($C11,BA$4))/MAX(1,$D11+1-$C11))</f>
        <v/>
      </c>
      <c r="BB11" s="56" t="str">
        <f aca="false">IF(OR(BB$4="",$C11="",$D11="",N($E11)=0),"",$E11*MAX(0,MIN($D11+1,EDATE(BB$4,1))-MAX($C11,BB$4))/MAX(1,$D11+1-$C11))</f>
        <v/>
      </c>
      <c r="BC11" s="56" t="str">
        <f aca="false">IF(OR(BC$4="",$C11="",$D11="",N($E11)=0),"",$E11*MAX(0,MIN($D11+1,EDATE(BC$4,1))-MAX($C11,BC$4))/MAX(1,$D11+1-$C11))</f>
        <v/>
      </c>
      <c r="BD11" s="56" t="str">
        <f aca="false">IF(OR(BD$4="",$C11="",$D11="",N($E11)=0),"",$E11*MAX(0,MIN($D11+1,EDATE(BD$4,1))-MAX($C11,BD$4))/MAX(1,$D11+1-$C11))</f>
        <v/>
      </c>
      <c r="BE11" s="56" t="str">
        <f aca="false">IF(OR(BE$4="",$C11="",$D11="",N($E11)=0),"",$E11*MAX(0,MIN($D11+1,EDATE(BE$4,1))-MAX($C11,BE$4))/MAX(1,$D11+1-$C11))</f>
        <v/>
      </c>
      <c r="BF11" s="56" t="str">
        <f aca="false">IF(OR(BF$4="",$C11="",$D11="",N($E11)=0),"",$E11*MAX(0,MIN($D11+1,EDATE(BF$4,1))-MAX($C11,BF$4))/MAX(1,$D11+1-$C11))</f>
        <v/>
      </c>
      <c r="BG11" s="56" t="str">
        <f aca="false">IF(OR(BG$4="",$C11="",$D11="",N($E11)=0),"",$E11*MAX(0,MIN($D11+1,EDATE(BG$4,1))-MAX($C11,BG$4))/MAX(1,$D11+1-$C11))</f>
        <v/>
      </c>
      <c r="BH11" s="56" t="str">
        <f aca="false">IF(OR(BH$4="",$C11="",$D11="",N($E11)=0),"",$E11*MAX(0,MIN($D11+1,EDATE(BH$4,1))-MAX($C11,BH$4))/MAX(1,$D11+1-$C11))</f>
        <v/>
      </c>
      <c r="BI11" s="56" t="str">
        <f aca="false">IF(OR(BI$4="",$C11="",$D11="",N($E11)=0),"",$E11*MAX(0,MIN($D11+1,EDATE(BI$4,1))-MAX($C11,BI$4))/MAX(1,$D11+1-$C11))</f>
        <v/>
      </c>
      <c r="BJ11" s="56" t="str">
        <f aca="false">IF(OR(BJ$4="",$C11="",$D11="",N($E11)=0),"",$E11*MAX(0,MIN($D11+1,EDATE(BJ$4,1))-MAX($C11,BJ$4))/MAX(1,$D11+1-$C11))</f>
        <v/>
      </c>
      <c r="BK11" s="56" t="str">
        <f aca="false">IF(OR(BK$4="",$C11="",$D11="",N($E11)=0),"",$E11*MAX(0,MIN($D11+1,EDATE(BK$4,1))-MAX($C11,BK$4))/MAX(1,$D11+1-$C11))</f>
        <v/>
      </c>
      <c r="BL11" s="56" t="str">
        <f aca="false">IF(OR(BL$4="",$C11="",$D11="",N($E11)=0),"",$E11*MAX(0,MIN($D11+1,EDATE(BL$4,1))-MAX($C11,BL$4))/MAX(1,$D11+1-$C11))</f>
        <v/>
      </c>
      <c r="BM11" s="56" t="str">
        <f aca="false">IF(OR(BM$4="",$C11="",$D11="",N($E11)=0),"",$E11*MAX(0,MIN($D11+1,EDATE(BM$4,1))-MAX($C11,BM$4))/MAX(1,$D11+1-$C11))</f>
        <v/>
      </c>
      <c r="BN11" s="56" t="str">
        <f aca="false">IF(OR(BN$4="",$C11="",$D11="",N($E11)=0),"",$E11*MAX(0,MIN($D11+1,EDATE(BN$4,1))-MAX($C11,BN$4))/MAX(1,$D11+1-$C11))</f>
        <v/>
      </c>
      <c r="BO11" s="56" t="str">
        <f aca="false">IF(OR(BO$4="",$C11="",$D11="",N($E11)=0),"",$E11*MAX(0,MIN($D11+1,EDATE(BO$4,1))-MAX($C11,BO$4))/MAX(1,$D11+1-$C11))</f>
        <v/>
      </c>
      <c r="BP11" s="56" t="str">
        <f aca="false">IF(OR(BP$4="",$C11="",$D11="",N($E11)=0),"",$E11*MAX(0,MIN($D11+1,EDATE(BP$4,1))-MAX($C11,BP$4))/MAX(1,$D11+1-$C11))</f>
        <v/>
      </c>
      <c r="BQ11" s="56" t="str">
        <f aca="false">IF(OR(BQ$4="",$C11="",$D11="",N($E11)=0),"",$E11*MAX(0,MIN($D11+1,EDATE(BQ$4,1))-MAX($C11,BQ$4))/MAX(1,$D11+1-$C11))</f>
        <v/>
      </c>
      <c r="BR11" s="56" t="str">
        <f aca="false">IF(OR(BR$4="",$C11="",$D11="",N($E11)=0),"",$E11*MAX(0,MIN($D11+1,EDATE(BR$4,1))-MAX($C11,BR$4))/MAX(1,$D11+1-$C11))</f>
        <v/>
      </c>
      <c r="BS11" s="56" t="str">
        <f aca="false">IF(OR(BS$4="",$C11="",$D11="",N($E11)=0),"",$E11*MAX(0,MIN($D11+1,EDATE(BS$4,1))-MAX($C11,BS$4))/MAX(1,$D11+1-$C11))</f>
        <v/>
      </c>
      <c r="BT11" s="56" t="str">
        <f aca="false">IF(OR(BT$4="",$C11="",$D11="",N($E11)=0),"",$E11*MAX(0,MIN($D11+1,EDATE(BT$4,1))-MAX($C11,BT$4))/MAX(1,$D11+1-$C11))</f>
        <v/>
      </c>
      <c r="BU11" s="56" t="str">
        <f aca="false">IF(OR(BU$4="",$C11="",$D11="",N($E11)=0),"",$E11*MAX(0,MIN($D11+1,EDATE(BU$4,1))-MAX($C11,BU$4))/MAX(1,$D11+1-$C11))</f>
        <v/>
      </c>
      <c r="BV11" s="56" t="str">
        <f aca="false">IF(OR(BV$4="",$C11="",$D11="",N($E11)=0),"",$E11*MAX(0,MIN($D11+1,EDATE(BV$4,1))-MAX($C11,BV$4))/MAX(1,$D11+1-$C11))</f>
        <v/>
      </c>
      <c r="BW11" s="56" t="str">
        <f aca="false">IF(OR(BW$4="",$C11="",$D11="",N($E11)=0),"",$E11*MAX(0,MIN($D11+1,EDATE(BW$4,1))-MAX($C11,BW$4))/MAX(1,$D11+1-$C11))</f>
        <v/>
      </c>
      <c r="BX11" s="56" t="str">
        <f aca="false">IF(OR(BX$4="",$C11="",$D11="",N($E11)=0),"",$E11*MAX(0,MIN($D11+1,EDATE(BX$4,1))-MAX($C11,BX$4))/MAX(1,$D11+1-$C11))</f>
        <v/>
      </c>
      <c r="BY11" s="56" t="str">
        <f aca="false">IF(OR(BY$4="",$C11="",$D11="",N($E11)=0),"",$E11*MAX(0,MIN($D11+1,EDATE(BY$4,1))-MAX($C11,BY$4))/MAX(1,$D11+1-$C11))</f>
        <v/>
      </c>
    </row>
    <row r="12" customFormat="false" ht="15" hidden="false" customHeight="false" outlineLevel="0" collapsed="false">
      <c r="A12" s="53" t="str">
        <f aca="false">IF(BOE!$A13="","",BOE!$A13)</f>
        <v>107</v>
      </c>
      <c r="B12" s="53" t="str">
        <f aca="false">IF(BOE!$A13="","",BOE!$C13)</f>
        <v>Hazard Management Progress Report</v>
      </c>
      <c r="C12" s="54" t="n">
        <f aca="false">IF(BOE!$O13="","",BOE!$O13)</f>
        <v>46391</v>
      </c>
      <c r="D12" s="54" t="n">
        <f aca="false">IF(BOE!$P13="","",BOE!$P13)</f>
        <v>47483</v>
      </c>
      <c r="E12" s="55" t="n">
        <f aca="false">IF(Inputs!$B$7="P90",BOE!$T13,BOE!$R13)</f>
        <v>143.507186858316</v>
      </c>
      <c r="F12" s="56" t="n">
        <f aca="false">IF(OR(F$4="",$C12="",$D12="",N($E12)=0),"",$E12*MAX(0,MIN($D12+1,EDATE(F$4,1))-MAX($C12,F$4))/MAX(1,$D12+1-$C12))</f>
        <v>4.0701946867409</v>
      </c>
      <c r="G12" s="56" t="n">
        <f aca="false">IF(OR(G$4="",$C12="",$D12="",N($E12)=0),"",$E12*MAX(0,MIN($D12+1,EDATE(G$4,1))-MAX($C12,G$4))/MAX(1,$D12+1-$C12))</f>
        <v>3.67630487834662</v>
      </c>
      <c r="H12" s="56" t="n">
        <f aca="false">IF(OR(H$4="",$C12="",$D12="",N($E12)=0),"",$E12*MAX(0,MIN($D12+1,EDATE(H$4,1))-MAX($C12,H$4))/MAX(1,$D12+1-$C12))</f>
        <v>4.0701946867409</v>
      </c>
      <c r="I12" s="56" t="n">
        <f aca="false">IF(OR(I$4="",$C12="",$D12="",N($E12)=0),"",$E12*MAX(0,MIN($D12+1,EDATE(I$4,1))-MAX($C12,I$4))/MAX(1,$D12+1-$C12))</f>
        <v>3.93889808394281</v>
      </c>
      <c r="J12" s="56" t="n">
        <f aca="false">IF(OR(J$4="",$C12="",$D12="",N($E12)=0),"",$E12*MAX(0,MIN($D12+1,EDATE(J$4,1))-MAX($C12,J$4))/MAX(1,$D12+1-$C12))</f>
        <v>4.0701946867409</v>
      </c>
      <c r="K12" s="56" t="n">
        <f aca="false">IF(OR(K$4="",$C12="",$D12="",N($E12)=0),"",$E12*MAX(0,MIN($D12+1,EDATE(K$4,1))-MAX($C12,K$4))/MAX(1,$D12+1-$C12))</f>
        <v>3.93889808394281</v>
      </c>
      <c r="L12" s="56" t="n">
        <f aca="false">IF(OR(L$4="",$C12="",$D12="",N($E12)=0),"",$E12*MAX(0,MIN($D12+1,EDATE(L$4,1))-MAX($C12,L$4))/MAX(1,$D12+1-$C12))</f>
        <v>4.0701946867409</v>
      </c>
      <c r="M12" s="56" t="n">
        <f aca="false">IF(OR(M$4="",$C12="",$D12="",N($E12)=0),"",$E12*MAX(0,MIN($D12+1,EDATE(M$4,1))-MAX($C12,M$4))/MAX(1,$D12+1-$C12))</f>
        <v>4.0701946867409</v>
      </c>
      <c r="N12" s="56" t="n">
        <f aca="false">IF(OR(N$4="",$C12="",$D12="",N($E12)=0),"",$E12*MAX(0,MIN($D12+1,EDATE(N$4,1))-MAX($C12,N$4))/MAX(1,$D12+1-$C12))</f>
        <v>3.93889808394281</v>
      </c>
      <c r="O12" s="56" t="n">
        <f aca="false">IF(OR(O$4="",$C12="",$D12="",N($E12)=0),"",$E12*MAX(0,MIN($D12+1,EDATE(O$4,1))-MAX($C12,O$4))/MAX(1,$D12+1-$C12))</f>
        <v>4.0701946867409</v>
      </c>
      <c r="P12" s="56" t="n">
        <f aca="false">IF(OR(P$4="",$C12="",$D12="",N($E12)=0),"",$E12*MAX(0,MIN($D12+1,EDATE(P$4,1))-MAX($C12,P$4))/MAX(1,$D12+1-$C12))</f>
        <v>3.93889808394281</v>
      </c>
      <c r="Q12" s="56" t="n">
        <f aca="false">IF(OR(Q$4="",$C12="",$D12="",N($E12)=0),"",$E12*MAX(0,MIN($D12+1,EDATE(Q$4,1))-MAX($C12,Q$4))/MAX(1,$D12+1-$C12))</f>
        <v>4.0701946867409</v>
      </c>
      <c r="R12" s="56" t="n">
        <f aca="false">IF(OR(R$4="",$C12="",$D12="",N($E12)=0),"",$E12*MAX(0,MIN($D12+1,EDATE(R$4,1))-MAX($C12,R$4))/MAX(1,$D12+1-$C12))</f>
        <v>4.0701946867409</v>
      </c>
      <c r="S12" s="56" t="n">
        <f aca="false">IF(OR(S$4="",$C12="",$D12="",N($E12)=0),"",$E12*MAX(0,MIN($D12+1,EDATE(S$4,1))-MAX($C12,S$4))/MAX(1,$D12+1-$C12))</f>
        <v>3.80760148114471</v>
      </c>
      <c r="T12" s="56" t="n">
        <f aca="false">IF(OR(T$4="",$C12="",$D12="",N($E12)=0),"",$E12*MAX(0,MIN($D12+1,EDATE(T$4,1))-MAX($C12,T$4))/MAX(1,$D12+1-$C12))</f>
        <v>4.0701946867409</v>
      </c>
      <c r="U12" s="56" t="n">
        <f aca="false">IF(OR(U$4="",$C12="",$D12="",N($E12)=0),"",$E12*MAX(0,MIN($D12+1,EDATE(U$4,1))-MAX($C12,U$4))/MAX(1,$D12+1-$C12))</f>
        <v>3.93889808394281</v>
      </c>
      <c r="V12" s="56" t="n">
        <f aca="false">IF(OR(V$4="",$C12="",$D12="",N($E12)=0),"",$E12*MAX(0,MIN($D12+1,EDATE(V$4,1))-MAX($C12,V$4))/MAX(1,$D12+1-$C12))</f>
        <v>4.0701946867409</v>
      </c>
      <c r="W12" s="56" t="n">
        <f aca="false">IF(OR(W$4="",$C12="",$D12="",N($E12)=0),"",$E12*MAX(0,MIN($D12+1,EDATE(W$4,1))-MAX($C12,W$4))/MAX(1,$D12+1-$C12))</f>
        <v>3.93889808394281</v>
      </c>
      <c r="X12" s="56" t="n">
        <f aca="false">IF(OR(X$4="",$C12="",$D12="",N($E12)=0),"",$E12*MAX(0,MIN($D12+1,EDATE(X$4,1))-MAX($C12,X$4))/MAX(1,$D12+1-$C12))</f>
        <v>4.0701946867409</v>
      </c>
      <c r="Y12" s="56" t="n">
        <f aca="false">IF(OR(Y$4="",$C12="",$D12="",N($E12)=0),"",$E12*MAX(0,MIN($D12+1,EDATE(Y$4,1))-MAX($C12,Y$4))/MAX(1,$D12+1-$C12))</f>
        <v>4.0701946867409</v>
      </c>
      <c r="Z12" s="56" t="n">
        <f aca="false">IF(OR(Z$4="",$C12="",$D12="",N($E12)=0),"",$E12*MAX(0,MIN($D12+1,EDATE(Z$4,1))-MAX($C12,Z$4))/MAX(1,$D12+1-$C12))</f>
        <v>3.93889808394281</v>
      </c>
      <c r="AA12" s="56" t="n">
        <f aca="false">IF(OR(AA$4="",$C12="",$D12="",N($E12)=0),"",$E12*MAX(0,MIN($D12+1,EDATE(AA$4,1))-MAX($C12,AA$4))/MAX(1,$D12+1-$C12))</f>
        <v>4.0701946867409</v>
      </c>
      <c r="AB12" s="56" t="n">
        <f aca="false">IF(OR(AB$4="",$C12="",$D12="",N($E12)=0),"",$E12*MAX(0,MIN($D12+1,EDATE(AB$4,1))-MAX($C12,AB$4))/MAX(1,$D12+1-$C12))</f>
        <v>3.93889808394281</v>
      </c>
      <c r="AC12" s="56" t="n">
        <f aca="false">IF(OR(AC$4="",$C12="",$D12="",N($E12)=0),"",$E12*MAX(0,MIN($D12+1,EDATE(AC$4,1))-MAX($C12,AC$4))/MAX(1,$D12+1-$C12))</f>
        <v>4.0701946867409</v>
      </c>
      <c r="AD12" s="56" t="n">
        <f aca="false">IF(OR(AD$4="",$C12="",$D12="",N($E12)=0),"",$E12*MAX(0,MIN($D12+1,EDATE(AD$4,1))-MAX($C12,AD$4))/MAX(1,$D12+1-$C12))</f>
        <v>4.0701946867409</v>
      </c>
      <c r="AE12" s="56" t="n">
        <f aca="false">IF(OR(AE$4="",$C12="",$D12="",N($E12)=0),"",$E12*MAX(0,MIN($D12+1,EDATE(AE$4,1))-MAX($C12,AE$4))/MAX(1,$D12+1-$C12))</f>
        <v>3.67630487834662</v>
      </c>
      <c r="AF12" s="56" t="n">
        <f aca="false">IF(OR(AF$4="",$C12="",$D12="",N($E12)=0),"",$E12*MAX(0,MIN($D12+1,EDATE(AF$4,1))-MAX($C12,AF$4))/MAX(1,$D12+1-$C12))</f>
        <v>4.0701946867409</v>
      </c>
      <c r="AG12" s="56" t="n">
        <f aca="false">IF(OR(AG$4="",$C12="",$D12="",N($E12)=0),"",$E12*MAX(0,MIN($D12+1,EDATE(AG$4,1))-MAX($C12,AG$4))/MAX(1,$D12+1-$C12))</f>
        <v>3.93889808394281</v>
      </c>
      <c r="AH12" s="56" t="n">
        <f aca="false">IF(OR(AH$4="",$C12="",$D12="",N($E12)=0),"",$E12*MAX(0,MIN($D12+1,EDATE(AH$4,1))-MAX($C12,AH$4))/MAX(1,$D12+1-$C12))</f>
        <v>4.0701946867409</v>
      </c>
      <c r="AI12" s="56" t="n">
        <f aca="false">IF(OR(AI$4="",$C12="",$D12="",N($E12)=0),"",$E12*MAX(0,MIN($D12+1,EDATE(AI$4,1))-MAX($C12,AI$4))/MAX(1,$D12+1-$C12))</f>
        <v>3.93889808394281</v>
      </c>
      <c r="AJ12" s="56" t="n">
        <f aca="false">IF(OR(AJ$4="",$C12="",$D12="",N($E12)=0),"",$E12*MAX(0,MIN($D12+1,EDATE(AJ$4,1))-MAX($C12,AJ$4))/MAX(1,$D12+1-$C12))</f>
        <v>4.0701946867409</v>
      </c>
      <c r="AK12" s="56" t="n">
        <f aca="false">IF(OR(AK$4="",$C12="",$D12="",N($E12)=0),"",$E12*MAX(0,MIN($D12+1,EDATE(AK$4,1))-MAX($C12,AK$4))/MAX(1,$D12+1-$C12))</f>
        <v>4.0701946867409</v>
      </c>
      <c r="AL12" s="56" t="n">
        <f aca="false">IF(OR(AL$4="",$C12="",$D12="",N($E12)=0),"",$E12*MAX(0,MIN($D12+1,EDATE(AL$4,1))-MAX($C12,AL$4))/MAX(1,$D12+1-$C12))</f>
        <v>3.93889808394281</v>
      </c>
      <c r="AM12" s="56" t="n">
        <f aca="false">IF(OR(AM$4="",$C12="",$D12="",N($E12)=0),"",$E12*MAX(0,MIN($D12+1,EDATE(AM$4,1))-MAX($C12,AM$4))/MAX(1,$D12+1-$C12))</f>
        <v>4.0701946867409</v>
      </c>
      <c r="AN12" s="56" t="n">
        <f aca="false">IF(OR(AN$4="",$C12="",$D12="",N($E12)=0),"",$E12*MAX(0,MIN($D12+1,EDATE(AN$4,1))-MAX($C12,AN$4))/MAX(1,$D12+1-$C12))</f>
        <v>3.93889808394281</v>
      </c>
      <c r="AO12" s="56" t="n">
        <f aca="false">IF(OR(AO$4="",$C12="",$D12="",N($E12)=0),"",$E12*MAX(0,MIN($D12+1,EDATE(AO$4,1))-MAX($C12,AO$4))/MAX(1,$D12+1-$C12))</f>
        <v>3.67630487834662</v>
      </c>
      <c r="AP12" s="56" t="str">
        <f aca="false">IF(OR(AP$4="",$C12="",$D12="",N($E12)=0),"",$E12*MAX(0,MIN($D12+1,EDATE(AP$4,1))-MAX($C12,AP$4))/MAX(1,$D12+1-$C12))</f>
        <v/>
      </c>
      <c r="AQ12" s="56" t="str">
        <f aca="false">IF(OR(AQ$4="",$C12="",$D12="",N($E12)=0),"",$E12*MAX(0,MIN($D12+1,EDATE(AQ$4,1))-MAX($C12,AQ$4))/MAX(1,$D12+1-$C12))</f>
        <v/>
      </c>
      <c r="AR12" s="56" t="str">
        <f aca="false">IF(OR(AR$4="",$C12="",$D12="",N($E12)=0),"",$E12*MAX(0,MIN($D12+1,EDATE(AR$4,1))-MAX($C12,AR$4))/MAX(1,$D12+1-$C12))</f>
        <v/>
      </c>
      <c r="AS12" s="56" t="str">
        <f aca="false">IF(OR(AS$4="",$C12="",$D12="",N($E12)=0),"",$E12*MAX(0,MIN($D12+1,EDATE(AS$4,1))-MAX($C12,AS$4))/MAX(1,$D12+1-$C12))</f>
        <v/>
      </c>
      <c r="AT12" s="56" t="str">
        <f aca="false">IF(OR(AT$4="",$C12="",$D12="",N($E12)=0),"",$E12*MAX(0,MIN($D12+1,EDATE(AT$4,1))-MAX($C12,AT$4))/MAX(1,$D12+1-$C12))</f>
        <v/>
      </c>
      <c r="AU12" s="56" t="str">
        <f aca="false">IF(OR(AU$4="",$C12="",$D12="",N($E12)=0),"",$E12*MAX(0,MIN($D12+1,EDATE(AU$4,1))-MAX($C12,AU$4))/MAX(1,$D12+1-$C12))</f>
        <v/>
      </c>
      <c r="AV12" s="56" t="str">
        <f aca="false">IF(OR(AV$4="",$C12="",$D12="",N($E12)=0),"",$E12*MAX(0,MIN($D12+1,EDATE(AV$4,1))-MAX($C12,AV$4))/MAX(1,$D12+1-$C12))</f>
        <v/>
      </c>
      <c r="AW12" s="56" t="str">
        <f aca="false">IF(OR(AW$4="",$C12="",$D12="",N($E12)=0),"",$E12*MAX(0,MIN($D12+1,EDATE(AW$4,1))-MAX($C12,AW$4))/MAX(1,$D12+1-$C12))</f>
        <v/>
      </c>
      <c r="AX12" s="56" t="str">
        <f aca="false">IF(OR(AX$4="",$C12="",$D12="",N($E12)=0),"",$E12*MAX(0,MIN($D12+1,EDATE(AX$4,1))-MAX($C12,AX$4))/MAX(1,$D12+1-$C12))</f>
        <v/>
      </c>
      <c r="AY12" s="56" t="str">
        <f aca="false">IF(OR(AY$4="",$C12="",$D12="",N($E12)=0),"",$E12*MAX(0,MIN($D12+1,EDATE(AY$4,1))-MAX($C12,AY$4))/MAX(1,$D12+1-$C12))</f>
        <v/>
      </c>
      <c r="AZ12" s="56" t="str">
        <f aca="false">IF(OR(AZ$4="",$C12="",$D12="",N($E12)=0),"",$E12*MAX(0,MIN($D12+1,EDATE(AZ$4,1))-MAX($C12,AZ$4))/MAX(1,$D12+1-$C12))</f>
        <v/>
      </c>
      <c r="BA12" s="56" t="str">
        <f aca="false">IF(OR(BA$4="",$C12="",$D12="",N($E12)=0),"",$E12*MAX(0,MIN($D12+1,EDATE(BA$4,1))-MAX($C12,BA$4))/MAX(1,$D12+1-$C12))</f>
        <v/>
      </c>
      <c r="BB12" s="56" t="str">
        <f aca="false">IF(OR(BB$4="",$C12="",$D12="",N($E12)=0),"",$E12*MAX(0,MIN($D12+1,EDATE(BB$4,1))-MAX($C12,BB$4))/MAX(1,$D12+1-$C12))</f>
        <v/>
      </c>
      <c r="BC12" s="56" t="str">
        <f aca="false">IF(OR(BC$4="",$C12="",$D12="",N($E12)=0),"",$E12*MAX(0,MIN($D12+1,EDATE(BC$4,1))-MAX($C12,BC$4))/MAX(1,$D12+1-$C12))</f>
        <v/>
      </c>
      <c r="BD12" s="56" t="str">
        <f aca="false">IF(OR(BD$4="",$C12="",$D12="",N($E12)=0),"",$E12*MAX(0,MIN($D12+1,EDATE(BD$4,1))-MAX($C12,BD$4))/MAX(1,$D12+1-$C12))</f>
        <v/>
      </c>
      <c r="BE12" s="56" t="str">
        <f aca="false">IF(OR(BE$4="",$C12="",$D12="",N($E12)=0),"",$E12*MAX(0,MIN($D12+1,EDATE(BE$4,1))-MAX($C12,BE$4))/MAX(1,$D12+1-$C12))</f>
        <v/>
      </c>
      <c r="BF12" s="56" t="str">
        <f aca="false">IF(OR(BF$4="",$C12="",$D12="",N($E12)=0),"",$E12*MAX(0,MIN($D12+1,EDATE(BF$4,1))-MAX($C12,BF$4))/MAX(1,$D12+1-$C12))</f>
        <v/>
      </c>
      <c r="BG12" s="56" t="str">
        <f aca="false">IF(OR(BG$4="",$C12="",$D12="",N($E12)=0),"",$E12*MAX(0,MIN($D12+1,EDATE(BG$4,1))-MAX($C12,BG$4))/MAX(1,$D12+1-$C12))</f>
        <v/>
      </c>
      <c r="BH12" s="56" t="str">
        <f aca="false">IF(OR(BH$4="",$C12="",$D12="",N($E12)=0),"",$E12*MAX(0,MIN($D12+1,EDATE(BH$4,1))-MAX($C12,BH$4))/MAX(1,$D12+1-$C12))</f>
        <v/>
      </c>
      <c r="BI12" s="56" t="str">
        <f aca="false">IF(OR(BI$4="",$C12="",$D12="",N($E12)=0),"",$E12*MAX(0,MIN($D12+1,EDATE(BI$4,1))-MAX($C12,BI$4))/MAX(1,$D12+1-$C12))</f>
        <v/>
      </c>
      <c r="BJ12" s="56" t="str">
        <f aca="false">IF(OR(BJ$4="",$C12="",$D12="",N($E12)=0),"",$E12*MAX(0,MIN($D12+1,EDATE(BJ$4,1))-MAX($C12,BJ$4))/MAX(1,$D12+1-$C12))</f>
        <v/>
      </c>
      <c r="BK12" s="56" t="str">
        <f aca="false">IF(OR(BK$4="",$C12="",$D12="",N($E12)=0),"",$E12*MAX(0,MIN($D12+1,EDATE(BK$4,1))-MAX($C12,BK$4))/MAX(1,$D12+1-$C12))</f>
        <v/>
      </c>
      <c r="BL12" s="56" t="str">
        <f aca="false">IF(OR(BL$4="",$C12="",$D12="",N($E12)=0),"",$E12*MAX(0,MIN($D12+1,EDATE(BL$4,1))-MAX($C12,BL$4))/MAX(1,$D12+1-$C12))</f>
        <v/>
      </c>
      <c r="BM12" s="56" t="str">
        <f aca="false">IF(OR(BM$4="",$C12="",$D12="",N($E12)=0),"",$E12*MAX(0,MIN($D12+1,EDATE(BM$4,1))-MAX($C12,BM$4))/MAX(1,$D12+1-$C12))</f>
        <v/>
      </c>
      <c r="BN12" s="56" t="str">
        <f aca="false">IF(OR(BN$4="",$C12="",$D12="",N($E12)=0),"",$E12*MAX(0,MIN($D12+1,EDATE(BN$4,1))-MAX($C12,BN$4))/MAX(1,$D12+1-$C12))</f>
        <v/>
      </c>
      <c r="BO12" s="56" t="str">
        <f aca="false">IF(OR(BO$4="",$C12="",$D12="",N($E12)=0),"",$E12*MAX(0,MIN($D12+1,EDATE(BO$4,1))-MAX($C12,BO$4))/MAX(1,$D12+1-$C12))</f>
        <v/>
      </c>
      <c r="BP12" s="56" t="str">
        <f aca="false">IF(OR(BP$4="",$C12="",$D12="",N($E12)=0),"",$E12*MAX(0,MIN($D12+1,EDATE(BP$4,1))-MAX($C12,BP$4))/MAX(1,$D12+1-$C12))</f>
        <v/>
      </c>
      <c r="BQ12" s="56" t="str">
        <f aca="false">IF(OR(BQ$4="",$C12="",$D12="",N($E12)=0),"",$E12*MAX(0,MIN($D12+1,EDATE(BQ$4,1))-MAX($C12,BQ$4))/MAX(1,$D12+1-$C12))</f>
        <v/>
      </c>
      <c r="BR12" s="56" t="str">
        <f aca="false">IF(OR(BR$4="",$C12="",$D12="",N($E12)=0),"",$E12*MAX(0,MIN($D12+1,EDATE(BR$4,1))-MAX($C12,BR$4))/MAX(1,$D12+1-$C12))</f>
        <v/>
      </c>
      <c r="BS12" s="56" t="str">
        <f aca="false">IF(OR(BS$4="",$C12="",$D12="",N($E12)=0),"",$E12*MAX(0,MIN($D12+1,EDATE(BS$4,1))-MAX($C12,BS$4))/MAX(1,$D12+1-$C12))</f>
        <v/>
      </c>
      <c r="BT12" s="56" t="str">
        <f aca="false">IF(OR(BT$4="",$C12="",$D12="",N($E12)=0),"",$E12*MAX(0,MIN($D12+1,EDATE(BT$4,1))-MAX($C12,BT$4))/MAX(1,$D12+1-$C12))</f>
        <v/>
      </c>
      <c r="BU12" s="56" t="str">
        <f aca="false">IF(OR(BU$4="",$C12="",$D12="",N($E12)=0),"",$E12*MAX(0,MIN($D12+1,EDATE(BU$4,1))-MAX($C12,BU$4))/MAX(1,$D12+1-$C12))</f>
        <v/>
      </c>
      <c r="BV12" s="56" t="str">
        <f aca="false">IF(OR(BV$4="",$C12="",$D12="",N($E12)=0),"",$E12*MAX(0,MIN($D12+1,EDATE(BV$4,1))-MAX($C12,BV$4))/MAX(1,$D12+1-$C12))</f>
        <v/>
      </c>
      <c r="BW12" s="56" t="str">
        <f aca="false">IF(OR(BW$4="",$C12="",$D12="",N($E12)=0),"",$E12*MAX(0,MIN($D12+1,EDATE(BW$4,1))-MAX($C12,BW$4))/MAX(1,$D12+1-$C12))</f>
        <v/>
      </c>
      <c r="BX12" s="56" t="str">
        <f aca="false">IF(OR(BX$4="",$C12="",$D12="",N($E12)=0),"",$E12*MAX(0,MIN($D12+1,EDATE(BX$4,1))-MAX($C12,BX$4))/MAX(1,$D12+1-$C12))</f>
        <v/>
      </c>
      <c r="BY12" s="56" t="str">
        <f aca="false">IF(OR(BY$4="",$C12="",$D12="",N($E12)=0),"",$E12*MAX(0,MIN($D12+1,EDATE(BY$4,1))-MAX($C12,BY$4))/MAX(1,$D12+1-$C12))</f>
        <v/>
      </c>
    </row>
    <row r="13" customFormat="false" ht="15" hidden="false" customHeight="false" outlineLevel="0" collapsed="false">
      <c r="A13" s="53" t="str">
        <f aca="false">IF(BOE!$A14="","",BOE!$A14)</f>
        <v>108</v>
      </c>
      <c r="B13" s="53" t="str">
        <f aca="false">IF(BOE!$A14="","",BOE!$C14)</f>
        <v>Hazardous Materials Management Plan (HMMP)</v>
      </c>
      <c r="C13" s="54" t="n">
        <f aca="false">IF(BOE!$O14="","",BOE!$O14)</f>
        <v>46391</v>
      </c>
      <c r="D13" s="54" t="n">
        <f aca="false">IF(BOE!$P14="","",BOE!$P14)</f>
        <v>46695</v>
      </c>
      <c r="E13" s="55" t="n">
        <f aca="false">IF(Inputs!$B$7="P90",BOE!$T14,BOE!$R14)</f>
        <v>200</v>
      </c>
      <c r="F13" s="56" t="n">
        <f aca="false">IF(OR(F$4="",$C13="",$D13="",N($E13)=0),"",$E13*MAX(0,MIN($D13+1,EDATE(F$4,1))-MAX($C13,F$4))/MAX(1,$D13+1-$C13))</f>
        <v>20.327868852459</v>
      </c>
      <c r="G13" s="56" t="n">
        <f aca="false">IF(OR(G$4="",$C13="",$D13="",N($E13)=0),"",$E13*MAX(0,MIN($D13+1,EDATE(G$4,1))-MAX($C13,G$4))/MAX(1,$D13+1-$C13))</f>
        <v>18.3606557377049</v>
      </c>
      <c r="H13" s="56" t="n">
        <f aca="false">IF(OR(H$4="",$C13="",$D13="",N($E13)=0),"",$E13*MAX(0,MIN($D13+1,EDATE(H$4,1))-MAX($C13,H$4))/MAX(1,$D13+1-$C13))</f>
        <v>20.327868852459</v>
      </c>
      <c r="I13" s="56" t="n">
        <f aca="false">IF(OR(I$4="",$C13="",$D13="",N($E13)=0),"",$E13*MAX(0,MIN($D13+1,EDATE(I$4,1))-MAX($C13,I$4))/MAX(1,$D13+1-$C13))</f>
        <v>19.672131147541</v>
      </c>
      <c r="J13" s="56" t="n">
        <f aca="false">IF(OR(J$4="",$C13="",$D13="",N($E13)=0),"",$E13*MAX(0,MIN($D13+1,EDATE(J$4,1))-MAX($C13,J$4))/MAX(1,$D13+1-$C13))</f>
        <v>20.327868852459</v>
      </c>
      <c r="K13" s="56" t="n">
        <f aca="false">IF(OR(K$4="",$C13="",$D13="",N($E13)=0),"",$E13*MAX(0,MIN($D13+1,EDATE(K$4,1))-MAX($C13,K$4))/MAX(1,$D13+1-$C13))</f>
        <v>19.672131147541</v>
      </c>
      <c r="L13" s="56" t="n">
        <f aca="false">IF(OR(L$4="",$C13="",$D13="",N($E13)=0),"",$E13*MAX(0,MIN($D13+1,EDATE(L$4,1))-MAX($C13,L$4))/MAX(1,$D13+1-$C13))</f>
        <v>20.327868852459</v>
      </c>
      <c r="M13" s="56" t="n">
        <f aca="false">IF(OR(M$4="",$C13="",$D13="",N($E13)=0),"",$E13*MAX(0,MIN($D13+1,EDATE(M$4,1))-MAX($C13,M$4))/MAX(1,$D13+1-$C13))</f>
        <v>20.327868852459</v>
      </c>
      <c r="N13" s="56" t="n">
        <f aca="false">IF(OR(N$4="",$C13="",$D13="",N($E13)=0),"",$E13*MAX(0,MIN($D13+1,EDATE(N$4,1))-MAX($C13,N$4))/MAX(1,$D13+1-$C13))</f>
        <v>19.672131147541</v>
      </c>
      <c r="O13" s="56" t="n">
        <f aca="false">IF(OR(O$4="",$C13="",$D13="",N($E13)=0),"",$E13*MAX(0,MIN($D13+1,EDATE(O$4,1))-MAX($C13,O$4))/MAX(1,$D13+1-$C13))</f>
        <v>20.327868852459</v>
      </c>
      <c r="P13" s="56" t="n">
        <f aca="false">IF(OR(P$4="",$C13="",$D13="",N($E13)=0),"",$E13*MAX(0,MIN($D13+1,EDATE(P$4,1))-MAX($C13,P$4))/MAX(1,$D13+1-$C13))</f>
        <v>0.655737704918033</v>
      </c>
      <c r="Q13" s="56" t="n">
        <f aca="false">IF(OR(Q$4="",$C13="",$D13="",N($E13)=0),"",$E13*MAX(0,MIN($D13+1,EDATE(Q$4,1))-MAX($C13,Q$4))/MAX(1,$D13+1-$C13))</f>
        <v>0</v>
      </c>
      <c r="R13" s="56" t="n">
        <f aca="false">IF(OR(R$4="",$C13="",$D13="",N($E13)=0),"",$E13*MAX(0,MIN($D13+1,EDATE(R$4,1))-MAX($C13,R$4))/MAX(1,$D13+1-$C13))</f>
        <v>0</v>
      </c>
      <c r="S13" s="56" t="n">
        <f aca="false">IF(OR(S$4="",$C13="",$D13="",N($E13)=0),"",$E13*MAX(0,MIN($D13+1,EDATE(S$4,1))-MAX($C13,S$4))/MAX(1,$D13+1-$C13))</f>
        <v>0</v>
      </c>
      <c r="T13" s="56" t="n">
        <f aca="false">IF(OR(T$4="",$C13="",$D13="",N($E13)=0),"",$E13*MAX(0,MIN($D13+1,EDATE(T$4,1))-MAX($C13,T$4))/MAX(1,$D13+1-$C13))</f>
        <v>0</v>
      </c>
      <c r="U13" s="56" t="n">
        <f aca="false">IF(OR(U$4="",$C13="",$D13="",N($E13)=0),"",$E13*MAX(0,MIN($D13+1,EDATE(U$4,1))-MAX($C13,U$4))/MAX(1,$D13+1-$C13))</f>
        <v>0</v>
      </c>
      <c r="V13" s="56" t="n">
        <f aca="false">IF(OR(V$4="",$C13="",$D13="",N($E13)=0),"",$E13*MAX(0,MIN($D13+1,EDATE(V$4,1))-MAX($C13,V$4))/MAX(1,$D13+1-$C13))</f>
        <v>0</v>
      </c>
      <c r="W13" s="56" t="n">
        <f aca="false">IF(OR(W$4="",$C13="",$D13="",N($E13)=0),"",$E13*MAX(0,MIN($D13+1,EDATE(W$4,1))-MAX($C13,W$4))/MAX(1,$D13+1-$C13))</f>
        <v>0</v>
      </c>
      <c r="X13" s="56" t="n">
        <f aca="false">IF(OR(X$4="",$C13="",$D13="",N($E13)=0),"",$E13*MAX(0,MIN($D13+1,EDATE(X$4,1))-MAX($C13,X$4))/MAX(1,$D13+1-$C13))</f>
        <v>0</v>
      </c>
      <c r="Y13" s="56" t="n">
        <f aca="false">IF(OR(Y$4="",$C13="",$D13="",N($E13)=0),"",$E13*MAX(0,MIN($D13+1,EDATE(Y$4,1))-MAX($C13,Y$4))/MAX(1,$D13+1-$C13))</f>
        <v>0</v>
      </c>
      <c r="Z13" s="56" t="n">
        <f aca="false">IF(OR(Z$4="",$C13="",$D13="",N($E13)=0),"",$E13*MAX(0,MIN($D13+1,EDATE(Z$4,1))-MAX($C13,Z$4))/MAX(1,$D13+1-$C13))</f>
        <v>0</v>
      </c>
      <c r="AA13" s="56" t="n">
        <f aca="false">IF(OR(AA$4="",$C13="",$D13="",N($E13)=0),"",$E13*MAX(0,MIN($D13+1,EDATE(AA$4,1))-MAX($C13,AA$4))/MAX(1,$D13+1-$C13))</f>
        <v>0</v>
      </c>
      <c r="AB13" s="56" t="n">
        <f aca="false">IF(OR(AB$4="",$C13="",$D13="",N($E13)=0),"",$E13*MAX(0,MIN($D13+1,EDATE(AB$4,1))-MAX($C13,AB$4))/MAX(1,$D13+1-$C13))</f>
        <v>0</v>
      </c>
      <c r="AC13" s="56" t="n">
        <f aca="false">IF(OR(AC$4="",$C13="",$D13="",N($E13)=0),"",$E13*MAX(0,MIN($D13+1,EDATE(AC$4,1))-MAX($C13,AC$4))/MAX(1,$D13+1-$C13))</f>
        <v>0</v>
      </c>
      <c r="AD13" s="56" t="n">
        <f aca="false">IF(OR(AD$4="",$C13="",$D13="",N($E13)=0),"",$E13*MAX(0,MIN($D13+1,EDATE(AD$4,1))-MAX($C13,AD$4))/MAX(1,$D13+1-$C13))</f>
        <v>0</v>
      </c>
      <c r="AE13" s="56" t="n">
        <f aca="false">IF(OR(AE$4="",$C13="",$D13="",N($E13)=0),"",$E13*MAX(0,MIN($D13+1,EDATE(AE$4,1))-MAX($C13,AE$4))/MAX(1,$D13+1-$C13))</f>
        <v>0</v>
      </c>
      <c r="AF13" s="56" t="n">
        <f aca="false">IF(OR(AF$4="",$C13="",$D13="",N($E13)=0),"",$E13*MAX(0,MIN($D13+1,EDATE(AF$4,1))-MAX($C13,AF$4))/MAX(1,$D13+1-$C13))</f>
        <v>0</v>
      </c>
      <c r="AG13" s="56" t="n">
        <f aca="false">IF(OR(AG$4="",$C13="",$D13="",N($E13)=0),"",$E13*MAX(0,MIN($D13+1,EDATE(AG$4,1))-MAX($C13,AG$4))/MAX(1,$D13+1-$C13))</f>
        <v>0</v>
      </c>
      <c r="AH13" s="56" t="n">
        <f aca="false">IF(OR(AH$4="",$C13="",$D13="",N($E13)=0),"",$E13*MAX(0,MIN($D13+1,EDATE(AH$4,1))-MAX($C13,AH$4))/MAX(1,$D13+1-$C13))</f>
        <v>0</v>
      </c>
      <c r="AI13" s="56" t="n">
        <f aca="false">IF(OR(AI$4="",$C13="",$D13="",N($E13)=0),"",$E13*MAX(0,MIN($D13+1,EDATE(AI$4,1))-MAX($C13,AI$4))/MAX(1,$D13+1-$C13))</f>
        <v>0</v>
      </c>
      <c r="AJ13" s="56" t="n">
        <f aca="false">IF(OR(AJ$4="",$C13="",$D13="",N($E13)=0),"",$E13*MAX(0,MIN($D13+1,EDATE(AJ$4,1))-MAX($C13,AJ$4))/MAX(1,$D13+1-$C13))</f>
        <v>0</v>
      </c>
      <c r="AK13" s="56" t="n">
        <f aca="false">IF(OR(AK$4="",$C13="",$D13="",N($E13)=0),"",$E13*MAX(0,MIN($D13+1,EDATE(AK$4,1))-MAX($C13,AK$4))/MAX(1,$D13+1-$C13))</f>
        <v>0</v>
      </c>
      <c r="AL13" s="56" t="n">
        <f aca="false">IF(OR(AL$4="",$C13="",$D13="",N($E13)=0),"",$E13*MAX(0,MIN($D13+1,EDATE(AL$4,1))-MAX($C13,AL$4))/MAX(1,$D13+1-$C13))</f>
        <v>0</v>
      </c>
      <c r="AM13" s="56" t="n">
        <f aca="false">IF(OR(AM$4="",$C13="",$D13="",N($E13)=0),"",$E13*MAX(0,MIN($D13+1,EDATE(AM$4,1))-MAX($C13,AM$4))/MAX(1,$D13+1-$C13))</f>
        <v>0</v>
      </c>
      <c r="AN13" s="56" t="n">
        <f aca="false">IF(OR(AN$4="",$C13="",$D13="",N($E13)=0),"",$E13*MAX(0,MIN($D13+1,EDATE(AN$4,1))-MAX($C13,AN$4))/MAX(1,$D13+1-$C13))</f>
        <v>0</v>
      </c>
      <c r="AO13" s="56" t="n">
        <f aca="false">IF(OR(AO$4="",$C13="",$D13="",N($E13)=0),"",$E13*MAX(0,MIN($D13+1,EDATE(AO$4,1))-MAX($C13,AO$4))/MAX(1,$D13+1-$C13))</f>
        <v>0</v>
      </c>
      <c r="AP13" s="56" t="str">
        <f aca="false">IF(OR(AP$4="",$C13="",$D13="",N($E13)=0),"",$E13*MAX(0,MIN($D13+1,EDATE(AP$4,1))-MAX($C13,AP$4))/MAX(1,$D13+1-$C13))</f>
        <v/>
      </c>
      <c r="AQ13" s="56" t="str">
        <f aca="false">IF(OR(AQ$4="",$C13="",$D13="",N($E13)=0),"",$E13*MAX(0,MIN($D13+1,EDATE(AQ$4,1))-MAX($C13,AQ$4))/MAX(1,$D13+1-$C13))</f>
        <v/>
      </c>
      <c r="AR13" s="56" t="str">
        <f aca="false">IF(OR(AR$4="",$C13="",$D13="",N($E13)=0),"",$E13*MAX(0,MIN($D13+1,EDATE(AR$4,1))-MAX($C13,AR$4))/MAX(1,$D13+1-$C13))</f>
        <v/>
      </c>
      <c r="AS13" s="56" t="str">
        <f aca="false">IF(OR(AS$4="",$C13="",$D13="",N($E13)=0),"",$E13*MAX(0,MIN($D13+1,EDATE(AS$4,1))-MAX($C13,AS$4))/MAX(1,$D13+1-$C13))</f>
        <v/>
      </c>
      <c r="AT13" s="56" t="str">
        <f aca="false">IF(OR(AT$4="",$C13="",$D13="",N($E13)=0),"",$E13*MAX(0,MIN($D13+1,EDATE(AT$4,1))-MAX($C13,AT$4))/MAX(1,$D13+1-$C13))</f>
        <v/>
      </c>
      <c r="AU13" s="56" t="str">
        <f aca="false">IF(OR(AU$4="",$C13="",$D13="",N($E13)=0),"",$E13*MAX(0,MIN($D13+1,EDATE(AU$4,1))-MAX($C13,AU$4))/MAX(1,$D13+1-$C13))</f>
        <v/>
      </c>
      <c r="AV13" s="56" t="str">
        <f aca="false">IF(OR(AV$4="",$C13="",$D13="",N($E13)=0),"",$E13*MAX(0,MIN($D13+1,EDATE(AV$4,1))-MAX($C13,AV$4))/MAX(1,$D13+1-$C13))</f>
        <v/>
      </c>
      <c r="AW13" s="56" t="str">
        <f aca="false">IF(OR(AW$4="",$C13="",$D13="",N($E13)=0),"",$E13*MAX(0,MIN($D13+1,EDATE(AW$4,1))-MAX($C13,AW$4))/MAX(1,$D13+1-$C13))</f>
        <v/>
      </c>
      <c r="AX13" s="56" t="str">
        <f aca="false">IF(OR(AX$4="",$C13="",$D13="",N($E13)=0),"",$E13*MAX(0,MIN($D13+1,EDATE(AX$4,1))-MAX($C13,AX$4))/MAX(1,$D13+1-$C13))</f>
        <v/>
      </c>
      <c r="AY13" s="56" t="str">
        <f aca="false">IF(OR(AY$4="",$C13="",$D13="",N($E13)=0),"",$E13*MAX(0,MIN($D13+1,EDATE(AY$4,1))-MAX($C13,AY$4))/MAX(1,$D13+1-$C13))</f>
        <v/>
      </c>
      <c r="AZ13" s="56" t="str">
        <f aca="false">IF(OR(AZ$4="",$C13="",$D13="",N($E13)=0),"",$E13*MAX(0,MIN($D13+1,EDATE(AZ$4,1))-MAX($C13,AZ$4))/MAX(1,$D13+1-$C13))</f>
        <v/>
      </c>
      <c r="BA13" s="56" t="str">
        <f aca="false">IF(OR(BA$4="",$C13="",$D13="",N($E13)=0),"",$E13*MAX(0,MIN($D13+1,EDATE(BA$4,1))-MAX($C13,BA$4))/MAX(1,$D13+1-$C13))</f>
        <v/>
      </c>
      <c r="BB13" s="56" t="str">
        <f aca="false">IF(OR(BB$4="",$C13="",$D13="",N($E13)=0),"",$E13*MAX(0,MIN($D13+1,EDATE(BB$4,1))-MAX($C13,BB$4))/MAX(1,$D13+1-$C13))</f>
        <v/>
      </c>
      <c r="BC13" s="56" t="str">
        <f aca="false">IF(OR(BC$4="",$C13="",$D13="",N($E13)=0),"",$E13*MAX(0,MIN($D13+1,EDATE(BC$4,1))-MAX($C13,BC$4))/MAX(1,$D13+1-$C13))</f>
        <v/>
      </c>
      <c r="BD13" s="56" t="str">
        <f aca="false">IF(OR(BD$4="",$C13="",$D13="",N($E13)=0),"",$E13*MAX(0,MIN($D13+1,EDATE(BD$4,1))-MAX($C13,BD$4))/MAX(1,$D13+1-$C13))</f>
        <v/>
      </c>
      <c r="BE13" s="56" t="str">
        <f aca="false">IF(OR(BE$4="",$C13="",$D13="",N($E13)=0),"",$E13*MAX(0,MIN($D13+1,EDATE(BE$4,1))-MAX($C13,BE$4))/MAX(1,$D13+1-$C13))</f>
        <v/>
      </c>
      <c r="BF13" s="56" t="str">
        <f aca="false">IF(OR(BF$4="",$C13="",$D13="",N($E13)=0),"",$E13*MAX(0,MIN($D13+1,EDATE(BF$4,1))-MAX($C13,BF$4))/MAX(1,$D13+1-$C13))</f>
        <v/>
      </c>
      <c r="BG13" s="56" t="str">
        <f aca="false">IF(OR(BG$4="",$C13="",$D13="",N($E13)=0),"",$E13*MAX(0,MIN($D13+1,EDATE(BG$4,1))-MAX($C13,BG$4))/MAX(1,$D13+1-$C13))</f>
        <v/>
      </c>
      <c r="BH13" s="56" t="str">
        <f aca="false">IF(OR(BH$4="",$C13="",$D13="",N($E13)=0),"",$E13*MAX(0,MIN($D13+1,EDATE(BH$4,1))-MAX($C13,BH$4))/MAX(1,$D13+1-$C13))</f>
        <v/>
      </c>
      <c r="BI13" s="56" t="str">
        <f aca="false">IF(OR(BI$4="",$C13="",$D13="",N($E13)=0),"",$E13*MAX(0,MIN($D13+1,EDATE(BI$4,1))-MAX($C13,BI$4))/MAX(1,$D13+1-$C13))</f>
        <v/>
      </c>
      <c r="BJ13" s="56" t="str">
        <f aca="false">IF(OR(BJ$4="",$C13="",$D13="",N($E13)=0),"",$E13*MAX(0,MIN($D13+1,EDATE(BJ$4,1))-MAX($C13,BJ$4))/MAX(1,$D13+1-$C13))</f>
        <v/>
      </c>
      <c r="BK13" s="56" t="str">
        <f aca="false">IF(OR(BK$4="",$C13="",$D13="",N($E13)=0),"",$E13*MAX(0,MIN($D13+1,EDATE(BK$4,1))-MAX($C13,BK$4))/MAX(1,$D13+1-$C13))</f>
        <v/>
      </c>
      <c r="BL13" s="56" t="str">
        <f aca="false">IF(OR(BL$4="",$C13="",$D13="",N($E13)=0),"",$E13*MAX(0,MIN($D13+1,EDATE(BL$4,1))-MAX($C13,BL$4))/MAX(1,$D13+1-$C13))</f>
        <v/>
      </c>
      <c r="BM13" s="56" t="str">
        <f aca="false">IF(OR(BM$4="",$C13="",$D13="",N($E13)=0),"",$E13*MAX(0,MIN($D13+1,EDATE(BM$4,1))-MAX($C13,BM$4))/MAX(1,$D13+1-$C13))</f>
        <v/>
      </c>
      <c r="BN13" s="56" t="str">
        <f aca="false">IF(OR(BN$4="",$C13="",$D13="",N($E13)=0),"",$E13*MAX(0,MIN($D13+1,EDATE(BN$4,1))-MAX($C13,BN$4))/MAX(1,$D13+1-$C13))</f>
        <v/>
      </c>
      <c r="BO13" s="56" t="str">
        <f aca="false">IF(OR(BO$4="",$C13="",$D13="",N($E13)=0),"",$E13*MAX(0,MIN($D13+1,EDATE(BO$4,1))-MAX($C13,BO$4))/MAX(1,$D13+1-$C13))</f>
        <v/>
      </c>
      <c r="BP13" s="56" t="str">
        <f aca="false">IF(OR(BP$4="",$C13="",$D13="",N($E13)=0),"",$E13*MAX(0,MIN($D13+1,EDATE(BP$4,1))-MAX($C13,BP$4))/MAX(1,$D13+1-$C13))</f>
        <v/>
      </c>
      <c r="BQ13" s="56" t="str">
        <f aca="false">IF(OR(BQ$4="",$C13="",$D13="",N($E13)=0),"",$E13*MAX(0,MIN($D13+1,EDATE(BQ$4,1))-MAX($C13,BQ$4))/MAX(1,$D13+1-$C13))</f>
        <v/>
      </c>
      <c r="BR13" s="56" t="str">
        <f aca="false">IF(OR(BR$4="",$C13="",$D13="",N($E13)=0),"",$E13*MAX(0,MIN($D13+1,EDATE(BR$4,1))-MAX($C13,BR$4))/MAX(1,$D13+1-$C13))</f>
        <v/>
      </c>
      <c r="BS13" s="56" t="str">
        <f aca="false">IF(OR(BS$4="",$C13="",$D13="",N($E13)=0),"",$E13*MAX(0,MIN($D13+1,EDATE(BS$4,1))-MAX($C13,BS$4))/MAX(1,$D13+1-$C13))</f>
        <v/>
      </c>
      <c r="BT13" s="56" t="str">
        <f aca="false">IF(OR(BT$4="",$C13="",$D13="",N($E13)=0),"",$E13*MAX(0,MIN($D13+1,EDATE(BT$4,1))-MAX($C13,BT$4))/MAX(1,$D13+1-$C13))</f>
        <v/>
      </c>
      <c r="BU13" s="56" t="str">
        <f aca="false">IF(OR(BU$4="",$C13="",$D13="",N($E13)=0),"",$E13*MAX(0,MIN($D13+1,EDATE(BU$4,1))-MAX($C13,BU$4))/MAX(1,$D13+1-$C13))</f>
        <v/>
      </c>
      <c r="BV13" s="56" t="str">
        <f aca="false">IF(OR(BV$4="",$C13="",$D13="",N($E13)=0),"",$E13*MAX(0,MIN($D13+1,EDATE(BV$4,1))-MAX($C13,BV$4))/MAX(1,$D13+1-$C13))</f>
        <v/>
      </c>
      <c r="BW13" s="56" t="str">
        <f aca="false">IF(OR(BW$4="",$C13="",$D13="",N($E13)=0),"",$E13*MAX(0,MIN($D13+1,EDATE(BW$4,1))-MAX($C13,BW$4))/MAX(1,$D13+1-$C13))</f>
        <v/>
      </c>
      <c r="BX13" s="56" t="str">
        <f aca="false">IF(OR(BX$4="",$C13="",$D13="",N($E13)=0),"",$E13*MAX(0,MIN($D13+1,EDATE(BX$4,1))-MAX($C13,BX$4))/MAX(1,$D13+1-$C13))</f>
        <v/>
      </c>
      <c r="BY13" s="56" t="str">
        <f aca="false">IF(OR(BY$4="",$C13="",$D13="",N($E13)=0),"",$E13*MAX(0,MIN($D13+1,EDATE(BY$4,1))-MAX($C13,BY$4))/MAX(1,$D13+1-$C13))</f>
        <v/>
      </c>
    </row>
    <row r="14" customFormat="false" ht="15" hidden="false" customHeight="false" outlineLevel="0" collapsed="false">
      <c r="A14" s="53" t="str">
        <f aca="false">IF(BOE!$A15="","",BOE!$A15)</f>
        <v>201</v>
      </c>
      <c r="B14" s="53" t="str">
        <f aca="false">IF(BOE!$A15="","",BOE!$C15)</f>
        <v>Preliminary Hazard List (PHL)</v>
      </c>
      <c r="C14" s="54" t="n">
        <f aca="false">IF(BOE!$O15="","",BOE!$O15)</f>
        <v>46391</v>
      </c>
      <c r="D14" s="54" t="n">
        <f aca="false">IF(BOE!$P15="","",BOE!$P15)</f>
        <v>46481</v>
      </c>
      <c r="E14" s="55" t="n">
        <f aca="false">IF(Inputs!$B$7="P90",BOE!$T15,BOE!$R15)</f>
        <v>160</v>
      </c>
      <c r="F14" s="56" t="n">
        <f aca="false">IF(OR(F$4="",$C14="",$D14="",N($E14)=0),"",$E14*MAX(0,MIN($D14+1,EDATE(F$4,1))-MAX($C14,F$4))/MAX(1,$D14+1-$C14))</f>
        <v>54.5054945054945</v>
      </c>
      <c r="G14" s="56" t="n">
        <f aca="false">IF(OR(G$4="",$C14="",$D14="",N($E14)=0),"",$E14*MAX(0,MIN($D14+1,EDATE(G$4,1))-MAX($C14,G$4))/MAX(1,$D14+1-$C14))</f>
        <v>49.2307692307692</v>
      </c>
      <c r="H14" s="56" t="n">
        <f aca="false">IF(OR(H$4="",$C14="",$D14="",N($E14)=0),"",$E14*MAX(0,MIN($D14+1,EDATE(H$4,1))-MAX($C14,H$4))/MAX(1,$D14+1-$C14))</f>
        <v>54.5054945054945</v>
      </c>
      <c r="I14" s="56" t="n">
        <f aca="false">IF(OR(I$4="",$C14="",$D14="",N($E14)=0),"",$E14*MAX(0,MIN($D14+1,EDATE(I$4,1))-MAX($C14,I$4))/MAX(1,$D14+1-$C14))</f>
        <v>1.75824175824176</v>
      </c>
      <c r="J14" s="56" t="n">
        <f aca="false">IF(OR(J$4="",$C14="",$D14="",N($E14)=0),"",$E14*MAX(0,MIN($D14+1,EDATE(J$4,1))-MAX($C14,J$4))/MAX(1,$D14+1-$C14))</f>
        <v>0</v>
      </c>
      <c r="K14" s="56" t="n">
        <f aca="false">IF(OR(K$4="",$C14="",$D14="",N($E14)=0),"",$E14*MAX(0,MIN($D14+1,EDATE(K$4,1))-MAX($C14,K$4))/MAX(1,$D14+1-$C14))</f>
        <v>0</v>
      </c>
      <c r="L14" s="56" t="n">
        <f aca="false">IF(OR(L$4="",$C14="",$D14="",N($E14)=0),"",$E14*MAX(0,MIN($D14+1,EDATE(L$4,1))-MAX($C14,L$4))/MAX(1,$D14+1-$C14))</f>
        <v>0</v>
      </c>
      <c r="M14" s="56" t="n">
        <f aca="false">IF(OR(M$4="",$C14="",$D14="",N($E14)=0),"",$E14*MAX(0,MIN($D14+1,EDATE(M$4,1))-MAX($C14,M$4))/MAX(1,$D14+1-$C14))</f>
        <v>0</v>
      </c>
      <c r="N14" s="56" t="n">
        <f aca="false">IF(OR(N$4="",$C14="",$D14="",N($E14)=0),"",$E14*MAX(0,MIN($D14+1,EDATE(N$4,1))-MAX($C14,N$4))/MAX(1,$D14+1-$C14))</f>
        <v>0</v>
      </c>
      <c r="O14" s="56" t="n">
        <f aca="false">IF(OR(O$4="",$C14="",$D14="",N($E14)=0),"",$E14*MAX(0,MIN($D14+1,EDATE(O$4,1))-MAX($C14,O$4))/MAX(1,$D14+1-$C14))</f>
        <v>0</v>
      </c>
      <c r="P14" s="56" t="n">
        <f aca="false">IF(OR(P$4="",$C14="",$D14="",N($E14)=0),"",$E14*MAX(0,MIN($D14+1,EDATE(P$4,1))-MAX($C14,P$4))/MAX(1,$D14+1-$C14))</f>
        <v>0</v>
      </c>
      <c r="Q14" s="56" t="n">
        <f aca="false">IF(OR(Q$4="",$C14="",$D14="",N($E14)=0),"",$E14*MAX(0,MIN($D14+1,EDATE(Q$4,1))-MAX($C14,Q$4))/MAX(1,$D14+1-$C14))</f>
        <v>0</v>
      </c>
      <c r="R14" s="56" t="n">
        <f aca="false">IF(OR(R$4="",$C14="",$D14="",N($E14)=0),"",$E14*MAX(0,MIN($D14+1,EDATE(R$4,1))-MAX($C14,R$4))/MAX(1,$D14+1-$C14))</f>
        <v>0</v>
      </c>
      <c r="S14" s="56" t="n">
        <f aca="false">IF(OR(S$4="",$C14="",$D14="",N($E14)=0),"",$E14*MAX(0,MIN($D14+1,EDATE(S$4,1))-MAX($C14,S$4))/MAX(1,$D14+1-$C14))</f>
        <v>0</v>
      </c>
      <c r="T14" s="56" t="n">
        <f aca="false">IF(OR(T$4="",$C14="",$D14="",N($E14)=0),"",$E14*MAX(0,MIN($D14+1,EDATE(T$4,1))-MAX($C14,T$4))/MAX(1,$D14+1-$C14))</f>
        <v>0</v>
      </c>
      <c r="U14" s="56" t="n">
        <f aca="false">IF(OR(U$4="",$C14="",$D14="",N($E14)=0),"",$E14*MAX(0,MIN($D14+1,EDATE(U$4,1))-MAX($C14,U$4))/MAX(1,$D14+1-$C14))</f>
        <v>0</v>
      </c>
      <c r="V14" s="56" t="n">
        <f aca="false">IF(OR(V$4="",$C14="",$D14="",N($E14)=0),"",$E14*MAX(0,MIN($D14+1,EDATE(V$4,1))-MAX($C14,V$4))/MAX(1,$D14+1-$C14))</f>
        <v>0</v>
      </c>
      <c r="W14" s="56" t="n">
        <f aca="false">IF(OR(W$4="",$C14="",$D14="",N($E14)=0),"",$E14*MAX(0,MIN($D14+1,EDATE(W$4,1))-MAX($C14,W$4))/MAX(1,$D14+1-$C14))</f>
        <v>0</v>
      </c>
      <c r="X14" s="56" t="n">
        <f aca="false">IF(OR(X$4="",$C14="",$D14="",N($E14)=0),"",$E14*MAX(0,MIN($D14+1,EDATE(X$4,1))-MAX($C14,X$4))/MAX(1,$D14+1-$C14))</f>
        <v>0</v>
      </c>
      <c r="Y14" s="56" t="n">
        <f aca="false">IF(OR(Y$4="",$C14="",$D14="",N($E14)=0),"",$E14*MAX(0,MIN($D14+1,EDATE(Y$4,1))-MAX($C14,Y$4))/MAX(1,$D14+1-$C14))</f>
        <v>0</v>
      </c>
      <c r="Z14" s="56" t="n">
        <f aca="false">IF(OR(Z$4="",$C14="",$D14="",N($E14)=0),"",$E14*MAX(0,MIN($D14+1,EDATE(Z$4,1))-MAX($C14,Z$4))/MAX(1,$D14+1-$C14))</f>
        <v>0</v>
      </c>
      <c r="AA14" s="56" t="n">
        <f aca="false">IF(OR(AA$4="",$C14="",$D14="",N($E14)=0),"",$E14*MAX(0,MIN($D14+1,EDATE(AA$4,1))-MAX($C14,AA$4))/MAX(1,$D14+1-$C14))</f>
        <v>0</v>
      </c>
      <c r="AB14" s="56" t="n">
        <f aca="false">IF(OR(AB$4="",$C14="",$D14="",N($E14)=0),"",$E14*MAX(0,MIN($D14+1,EDATE(AB$4,1))-MAX($C14,AB$4))/MAX(1,$D14+1-$C14))</f>
        <v>0</v>
      </c>
      <c r="AC14" s="56" t="n">
        <f aca="false">IF(OR(AC$4="",$C14="",$D14="",N($E14)=0),"",$E14*MAX(0,MIN($D14+1,EDATE(AC$4,1))-MAX($C14,AC$4))/MAX(1,$D14+1-$C14))</f>
        <v>0</v>
      </c>
      <c r="AD14" s="56" t="n">
        <f aca="false">IF(OR(AD$4="",$C14="",$D14="",N($E14)=0),"",$E14*MAX(0,MIN($D14+1,EDATE(AD$4,1))-MAX($C14,AD$4))/MAX(1,$D14+1-$C14))</f>
        <v>0</v>
      </c>
      <c r="AE14" s="56" t="n">
        <f aca="false">IF(OR(AE$4="",$C14="",$D14="",N($E14)=0),"",$E14*MAX(0,MIN($D14+1,EDATE(AE$4,1))-MAX($C14,AE$4))/MAX(1,$D14+1-$C14))</f>
        <v>0</v>
      </c>
      <c r="AF14" s="56" t="n">
        <f aca="false">IF(OR(AF$4="",$C14="",$D14="",N($E14)=0),"",$E14*MAX(0,MIN($D14+1,EDATE(AF$4,1))-MAX($C14,AF$4))/MAX(1,$D14+1-$C14))</f>
        <v>0</v>
      </c>
      <c r="AG14" s="56" t="n">
        <f aca="false">IF(OR(AG$4="",$C14="",$D14="",N($E14)=0),"",$E14*MAX(0,MIN($D14+1,EDATE(AG$4,1))-MAX($C14,AG$4))/MAX(1,$D14+1-$C14))</f>
        <v>0</v>
      </c>
      <c r="AH14" s="56" t="n">
        <f aca="false">IF(OR(AH$4="",$C14="",$D14="",N($E14)=0),"",$E14*MAX(0,MIN($D14+1,EDATE(AH$4,1))-MAX($C14,AH$4))/MAX(1,$D14+1-$C14))</f>
        <v>0</v>
      </c>
      <c r="AI14" s="56" t="n">
        <f aca="false">IF(OR(AI$4="",$C14="",$D14="",N($E14)=0),"",$E14*MAX(0,MIN($D14+1,EDATE(AI$4,1))-MAX($C14,AI$4))/MAX(1,$D14+1-$C14))</f>
        <v>0</v>
      </c>
      <c r="AJ14" s="56" t="n">
        <f aca="false">IF(OR(AJ$4="",$C14="",$D14="",N($E14)=0),"",$E14*MAX(0,MIN($D14+1,EDATE(AJ$4,1))-MAX($C14,AJ$4))/MAX(1,$D14+1-$C14))</f>
        <v>0</v>
      </c>
      <c r="AK14" s="56" t="n">
        <f aca="false">IF(OR(AK$4="",$C14="",$D14="",N($E14)=0),"",$E14*MAX(0,MIN($D14+1,EDATE(AK$4,1))-MAX($C14,AK$4))/MAX(1,$D14+1-$C14))</f>
        <v>0</v>
      </c>
      <c r="AL14" s="56" t="n">
        <f aca="false">IF(OR(AL$4="",$C14="",$D14="",N($E14)=0),"",$E14*MAX(0,MIN($D14+1,EDATE(AL$4,1))-MAX($C14,AL$4))/MAX(1,$D14+1-$C14))</f>
        <v>0</v>
      </c>
      <c r="AM14" s="56" t="n">
        <f aca="false">IF(OR(AM$4="",$C14="",$D14="",N($E14)=0),"",$E14*MAX(0,MIN($D14+1,EDATE(AM$4,1))-MAX($C14,AM$4))/MAX(1,$D14+1-$C14))</f>
        <v>0</v>
      </c>
      <c r="AN14" s="56" t="n">
        <f aca="false">IF(OR(AN$4="",$C14="",$D14="",N($E14)=0),"",$E14*MAX(0,MIN($D14+1,EDATE(AN$4,1))-MAX($C14,AN$4))/MAX(1,$D14+1-$C14))</f>
        <v>0</v>
      </c>
      <c r="AO14" s="56" t="n">
        <f aca="false">IF(OR(AO$4="",$C14="",$D14="",N($E14)=0),"",$E14*MAX(0,MIN($D14+1,EDATE(AO$4,1))-MAX($C14,AO$4))/MAX(1,$D14+1-$C14))</f>
        <v>0</v>
      </c>
      <c r="AP14" s="56" t="str">
        <f aca="false">IF(OR(AP$4="",$C14="",$D14="",N($E14)=0),"",$E14*MAX(0,MIN($D14+1,EDATE(AP$4,1))-MAX($C14,AP$4))/MAX(1,$D14+1-$C14))</f>
        <v/>
      </c>
      <c r="AQ14" s="56" t="str">
        <f aca="false">IF(OR(AQ$4="",$C14="",$D14="",N($E14)=0),"",$E14*MAX(0,MIN($D14+1,EDATE(AQ$4,1))-MAX($C14,AQ$4))/MAX(1,$D14+1-$C14))</f>
        <v/>
      </c>
      <c r="AR14" s="56" t="str">
        <f aca="false">IF(OR(AR$4="",$C14="",$D14="",N($E14)=0),"",$E14*MAX(0,MIN($D14+1,EDATE(AR$4,1))-MAX($C14,AR$4))/MAX(1,$D14+1-$C14))</f>
        <v/>
      </c>
      <c r="AS14" s="56" t="str">
        <f aca="false">IF(OR(AS$4="",$C14="",$D14="",N($E14)=0),"",$E14*MAX(0,MIN($D14+1,EDATE(AS$4,1))-MAX($C14,AS$4))/MAX(1,$D14+1-$C14))</f>
        <v/>
      </c>
      <c r="AT14" s="56" t="str">
        <f aca="false">IF(OR(AT$4="",$C14="",$D14="",N($E14)=0),"",$E14*MAX(0,MIN($D14+1,EDATE(AT$4,1))-MAX($C14,AT$4))/MAX(1,$D14+1-$C14))</f>
        <v/>
      </c>
      <c r="AU14" s="56" t="str">
        <f aca="false">IF(OR(AU$4="",$C14="",$D14="",N($E14)=0),"",$E14*MAX(0,MIN($D14+1,EDATE(AU$4,1))-MAX($C14,AU$4))/MAX(1,$D14+1-$C14))</f>
        <v/>
      </c>
      <c r="AV14" s="56" t="str">
        <f aca="false">IF(OR(AV$4="",$C14="",$D14="",N($E14)=0),"",$E14*MAX(0,MIN($D14+1,EDATE(AV$4,1))-MAX($C14,AV$4))/MAX(1,$D14+1-$C14))</f>
        <v/>
      </c>
      <c r="AW14" s="56" t="str">
        <f aca="false">IF(OR(AW$4="",$C14="",$D14="",N($E14)=0),"",$E14*MAX(0,MIN($D14+1,EDATE(AW$4,1))-MAX($C14,AW$4))/MAX(1,$D14+1-$C14))</f>
        <v/>
      </c>
      <c r="AX14" s="56" t="str">
        <f aca="false">IF(OR(AX$4="",$C14="",$D14="",N($E14)=0),"",$E14*MAX(0,MIN($D14+1,EDATE(AX$4,1))-MAX($C14,AX$4))/MAX(1,$D14+1-$C14))</f>
        <v/>
      </c>
      <c r="AY14" s="56" t="str">
        <f aca="false">IF(OR(AY$4="",$C14="",$D14="",N($E14)=0),"",$E14*MAX(0,MIN($D14+1,EDATE(AY$4,1))-MAX($C14,AY$4))/MAX(1,$D14+1-$C14))</f>
        <v/>
      </c>
      <c r="AZ14" s="56" t="str">
        <f aca="false">IF(OR(AZ$4="",$C14="",$D14="",N($E14)=0),"",$E14*MAX(0,MIN($D14+1,EDATE(AZ$4,1))-MAX($C14,AZ$4))/MAX(1,$D14+1-$C14))</f>
        <v/>
      </c>
      <c r="BA14" s="56" t="str">
        <f aca="false">IF(OR(BA$4="",$C14="",$D14="",N($E14)=0),"",$E14*MAX(0,MIN($D14+1,EDATE(BA$4,1))-MAX($C14,BA$4))/MAX(1,$D14+1-$C14))</f>
        <v/>
      </c>
      <c r="BB14" s="56" t="str">
        <f aca="false">IF(OR(BB$4="",$C14="",$D14="",N($E14)=0),"",$E14*MAX(0,MIN($D14+1,EDATE(BB$4,1))-MAX($C14,BB$4))/MAX(1,$D14+1-$C14))</f>
        <v/>
      </c>
      <c r="BC14" s="56" t="str">
        <f aca="false">IF(OR(BC$4="",$C14="",$D14="",N($E14)=0),"",$E14*MAX(0,MIN($D14+1,EDATE(BC$4,1))-MAX($C14,BC$4))/MAX(1,$D14+1-$C14))</f>
        <v/>
      </c>
      <c r="BD14" s="56" t="str">
        <f aca="false">IF(OR(BD$4="",$C14="",$D14="",N($E14)=0),"",$E14*MAX(0,MIN($D14+1,EDATE(BD$4,1))-MAX($C14,BD$4))/MAX(1,$D14+1-$C14))</f>
        <v/>
      </c>
      <c r="BE14" s="56" t="str">
        <f aca="false">IF(OR(BE$4="",$C14="",$D14="",N($E14)=0),"",$E14*MAX(0,MIN($D14+1,EDATE(BE$4,1))-MAX($C14,BE$4))/MAX(1,$D14+1-$C14))</f>
        <v/>
      </c>
      <c r="BF14" s="56" t="str">
        <f aca="false">IF(OR(BF$4="",$C14="",$D14="",N($E14)=0),"",$E14*MAX(0,MIN($D14+1,EDATE(BF$4,1))-MAX($C14,BF$4))/MAX(1,$D14+1-$C14))</f>
        <v/>
      </c>
      <c r="BG14" s="56" t="str">
        <f aca="false">IF(OR(BG$4="",$C14="",$D14="",N($E14)=0),"",$E14*MAX(0,MIN($D14+1,EDATE(BG$4,1))-MAX($C14,BG$4))/MAX(1,$D14+1-$C14))</f>
        <v/>
      </c>
      <c r="BH14" s="56" t="str">
        <f aca="false">IF(OR(BH$4="",$C14="",$D14="",N($E14)=0),"",$E14*MAX(0,MIN($D14+1,EDATE(BH$4,1))-MAX($C14,BH$4))/MAX(1,$D14+1-$C14))</f>
        <v/>
      </c>
      <c r="BI14" s="56" t="str">
        <f aca="false">IF(OR(BI$4="",$C14="",$D14="",N($E14)=0),"",$E14*MAX(0,MIN($D14+1,EDATE(BI$4,1))-MAX($C14,BI$4))/MAX(1,$D14+1-$C14))</f>
        <v/>
      </c>
      <c r="BJ14" s="56" t="str">
        <f aca="false">IF(OR(BJ$4="",$C14="",$D14="",N($E14)=0),"",$E14*MAX(0,MIN($D14+1,EDATE(BJ$4,1))-MAX($C14,BJ$4))/MAX(1,$D14+1-$C14))</f>
        <v/>
      </c>
      <c r="BK14" s="56" t="str">
        <f aca="false">IF(OR(BK$4="",$C14="",$D14="",N($E14)=0),"",$E14*MAX(0,MIN($D14+1,EDATE(BK$4,1))-MAX($C14,BK$4))/MAX(1,$D14+1-$C14))</f>
        <v/>
      </c>
      <c r="BL14" s="56" t="str">
        <f aca="false">IF(OR(BL$4="",$C14="",$D14="",N($E14)=0),"",$E14*MAX(0,MIN($D14+1,EDATE(BL$4,1))-MAX($C14,BL$4))/MAX(1,$D14+1-$C14))</f>
        <v/>
      </c>
      <c r="BM14" s="56" t="str">
        <f aca="false">IF(OR(BM$4="",$C14="",$D14="",N($E14)=0),"",$E14*MAX(0,MIN($D14+1,EDATE(BM$4,1))-MAX($C14,BM$4))/MAX(1,$D14+1-$C14))</f>
        <v/>
      </c>
      <c r="BN14" s="56" t="str">
        <f aca="false">IF(OR(BN$4="",$C14="",$D14="",N($E14)=0),"",$E14*MAX(0,MIN($D14+1,EDATE(BN$4,1))-MAX($C14,BN$4))/MAX(1,$D14+1-$C14))</f>
        <v/>
      </c>
      <c r="BO14" s="56" t="str">
        <f aca="false">IF(OR(BO$4="",$C14="",$D14="",N($E14)=0),"",$E14*MAX(0,MIN($D14+1,EDATE(BO$4,1))-MAX($C14,BO$4))/MAX(1,$D14+1-$C14))</f>
        <v/>
      </c>
      <c r="BP14" s="56" t="str">
        <f aca="false">IF(OR(BP$4="",$C14="",$D14="",N($E14)=0),"",$E14*MAX(0,MIN($D14+1,EDATE(BP$4,1))-MAX($C14,BP$4))/MAX(1,$D14+1-$C14))</f>
        <v/>
      </c>
      <c r="BQ14" s="56" t="str">
        <f aca="false">IF(OR(BQ$4="",$C14="",$D14="",N($E14)=0),"",$E14*MAX(0,MIN($D14+1,EDATE(BQ$4,1))-MAX($C14,BQ$4))/MAX(1,$D14+1-$C14))</f>
        <v/>
      </c>
      <c r="BR14" s="56" t="str">
        <f aca="false">IF(OR(BR$4="",$C14="",$D14="",N($E14)=0),"",$E14*MAX(0,MIN($D14+1,EDATE(BR$4,1))-MAX($C14,BR$4))/MAX(1,$D14+1-$C14))</f>
        <v/>
      </c>
      <c r="BS14" s="56" t="str">
        <f aca="false">IF(OR(BS$4="",$C14="",$D14="",N($E14)=0),"",$E14*MAX(0,MIN($D14+1,EDATE(BS$4,1))-MAX($C14,BS$4))/MAX(1,$D14+1-$C14))</f>
        <v/>
      </c>
      <c r="BT14" s="56" t="str">
        <f aca="false">IF(OR(BT$4="",$C14="",$D14="",N($E14)=0),"",$E14*MAX(0,MIN($D14+1,EDATE(BT$4,1))-MAX($C14,BT$4))/MAX(1,$D14+1-$C14))</f>
        <v/>
      </c>
      <c r="BU14" s="56" t="str">
        <f aca="false">IF(OR(BU$4="",$C14="",$D14="",N($E14)=0),"",$E14*MAX(0,MIN($D14+1,EDATE(BU$4,1))-MAX($C14,BU$4))/MAX(1,$D14+1-$C14))</f>
        <v/>
      </c>
      <c r="BV14" s="56" t="str">
        <f aca="false">IF(OR(BV$4="",$C14="",$D14="",N($E14)=0),"",$E14*MAX(0,MIN($D14+1,EDATE(BV$4,1))-MAX($C14,BV$4))/MAX(1,$D14+1-$C14))</f>
        <v/>
      </c>
      <c r="BW14" s="56" t="str">
        <f aca="false">IF(OR(BW$4="",$C14="",$D14="",N($E14)=0),"",$E14*MAX(0,MIN($D14+1,EDATE(BW$4,1))-MAX($C14,BW$4))/MAX(1,$D14+1-$C14))</f>
        <v/>
      </c>
      <c r="BX14" s="56" t="str">
        <f aca="false">IF(OR(BX$4="",$C14="",$D14="",N($E14)=0),"",$E14*MAX(0,MIN($D14+1,EDATE(BX$4,1))-MAX($C14,BX$4))/MAX(1,$D14+1-$C14))</f>
        <v/>
      </c>
      <c r="BY14" s="56" t="str">
        <f aca="false">IF(OR(BY$4="",$C14="",$D14="",N($E14)=0),"",$E14*MAX(0,MIN($D14+1,EDATE(BY$4,1))-MAX($C14,BY$4))/MAX(1,$D14+1-$C14))</f>
        <v/>
      </c>
    </row>
    <row r="15" customFormat="false" ht="15" hidden="false" customHeight="false" outlineLevel="0" collapsed="false">
      <c r="A15" s="53" t="str">
        <f aca="false">IF(BOE!$A16="","",BOE!$A16)</f>
        <v>202</v>
      </c>
      <c r="B15" s="53" t="str">
        <f aca="false">IF(BOE!$A16="","",BOE!$C16)</f>
        <v>Preliminary Hazard Analysis (PHA)</v>
      </c>
      <c r="C15" s="54" t="n">
        <f aca="false">IF(BOE!$O16="","",BOE!$O16)</f>
        <v>46481</v>
      </c>
      <c r="D15" s="54" t="n">
        <f aca="false">IF(BOE!$P16="","",BOE!$P16)</f>
        <v>46600</v>
      </c>
      <c r="E15" s="55" t="n">
        <f aca="false">IF(Inputs!$B$7="P90",BOE!$T16,BOE!$R16)</f>
        <v>480</v>
      </c>
      <c r="F15" s="56" t="n">
        <f aca="false">IF(OR(F$4="",$C15="",$D15="",N($E15)=0),"",$E15*MAX(0,MIN($D15+1,EDATE(F$4,1))-MAX($C15,F$4))/MAX(1,$D15+1-$C15))</f>
        <v>0</v>
      </c>
      <c r="G15" s="56" t="n">
        <f aca="false">IF(OR(G$4="",$C15="",$D15="",N($E15)=0),"",$E15*MAX(0,MIN($D15+1,EDATE(G$4,1))-MAX($C15,G$4))/MAX(1,$D15+1-$C15))</f>
        <v>0</v>
      </c>
      <c r="H15" s="56" t="n">
        <f aca="false">IF(OR(H$4="",$C15="",$D15="",N($E15)=0),"",$E15*MAX(0,MIN($D15+1,EDATE(H$4,1))-MAX($C15,H$4))/MAX(1,$D15+1-$C15))</f>
        <v>0</v>
      </c>
      <c r="I15" s="56" t="n">
        <f aca="false">IF(OR(I$4="",$C15="",$D15="",N($E15)=0),"",$E15*MAX(0,MIN($D15+1,EDATE(I$4,1))-MAX($C15,I$4))/MAX(1,$D15+1-$C15))</f>
        <v>120</v>
      </c>
      <c r="J15" s="56" t="n">
        <f aca="false">IF(OR(J$4="",$C15="",$D15="",N($E15)=0),"",$E15*MAX(0,MIN($D15+1,EDATE(J$4,1))-MAX($C15,J$4))/MAX(1,$D15+1-$C15))</f>
        <v>124</v>
      </c>
      <c r="K15" s="56" t="n">
        <f aca="false">IF(OR(K$4="",$C15="",$D15="",N($E15)=0),"",$E15*MAX(0,MIN($D15+1,EDATE(K$4,1))-MAX($C15,K$4))/MAX(1,$D15+1-$C15))</f>
        <v>120</v>
      </c>
      <c r="L15" s="56" t="n">
        <f aca="false">IF(OR(L$4="",$C15="",$D15="",N($E15)=0),"",$E15*MAX(0,MIN($D15+1,EDATE(L$4,1))-MAX($C15,L$4))/MAX(1,$D15+1-$C15))</f>
        <v>116</v>
      </c>
      <c r="M15" s="56" t="n">
        <f aca="false">IF(OR(M$4="",$C15="",$D15="",N($E15)=0),"",$E15*MAX(0,MIN($D15+1,EDATE(M$4,1))-MAX($C15,M$4))/MAX(1,$D15+1-$C15))</f>
        <v>0</v>
      </c>
      <c r="N15" s="56" t="n">
        <f aca="false">IF(OR(N$4="",$C15="",$D15="",N($E15)=0),"",$E15*MAX(0,MIN($D15+1,EDATE(N$4,1))-MAX($C15,N$4))/MAX(1,$D15+1-$C15))</f>
        <v>0</v>
      </c>
      <c r="O15" s="56" t="n">
        <f aca="false">IF(OR(O$4="",$C15="",$D15="",N($E15)=0),"",$E15*MAX(0,MIN($D15+1,EDATE(O$4,1))-MAX($C15,O$4))/MAX(1,$D15+1-$C15))</f>
        <v>0</v>
      </c>
      <c r="P15" s="56" t="n">
        <f aca="false">IF(OR(P$4="",$C15="",$D15="",N($E15)=0),"",$E15*MAX(0,MIN($D15+1,EDATE(P$4,1))-MAX($C15,P$4))/MAX(1,$D15+1-$C15))</f>
        <v>0</v>
      </c>
      <c r="Q15" s="56" t="n">
        <f aca="false">IF(OR(Q$4="",$C15="",$D15="",N($E15)=0),"",$E15*MAX(0,MIN($D15+1,EDATE(Q$4,1))-MAX($C15,Q$4))/MAX(1,$D15+1-$C15))</f>
        <v>0</v>
      </c>
      <c r="R15" s="56" t="n">
        <f aca="false">IF(OR(R$4="",$C15="",$D15="",N($E15)=0),"",$E15*MAX(0,MIN($D15+1,EDATE(R$4,1))-MAX($C15,R$4))/MAX(1,$D15+1-$C15))</f>
        <v>0</v>
      </c>
      <c r="S15" s="56" t="n">
        <f aca="false">IF(OR(S$4="",$C15="",$D15="",N($E15)=0),"",$E15*MAX(0,MIN($D15+1,EDATE(S$4,1))-MAX($C15,S$4))/MAX(1,$D15+1-$C15))</f>
        <v>0</v>
      </c>
      <c r="T15" s="56" t="n">
        <f aca="false">IF(OR(T$4="",$C15="",$D15="",N($E15)=0),"",$E15*MAX(0,MIN($D15+1,EDATE(T$4,1))-MAX($C15,T$4))/MAX(1,$D15+1-$C15))</f>
        <v>0</v>
      </c>
      <c r="U15" s="56" t="n">
        <f aca="false">IF(OR(U$4="",$C15="",$D15="",N($E15)=0),"",$E15*MAX(0,MIN($D15+1,EDATE(U$4,1))-MAX($C15,U$4))/MAX(1,$D15+1-$C15))</f>
        <v>0</v>
      </c>
      <c r="V15" s="56" t="n">
        <f aca="false">IF(OR(V$4="",$C15="",$D15="",N($E15)=0),"",$E15*MAX(0,MIN($D15+1,EDATE(V$4,1))-MAX($C15,V$4))/MAX(1,$D15+1-$C15))</f>
        <v>0</v>
      </c>
      <c r="W15" s="56" t="n">
        <f aca="false">IF(OR(W$4="",$C15="",$D15="",N($E15)=0),"",$E15*MAX(0,MIN($D15+1,EDATE(W$4,1))-MAX($C15,W$4))/MAX(1,$D15+1-$C15))</f>
        <v>0</v>
      </c>
      <c r="X15" s="56" t="n">
        <f aca="false">IF(OR(X$4="",$C15="",$D15="",N($E15)=0),"",$E15*MAX(0,MIN($D15+1,EDATE(X$4,1))-MAX($C15,X$4))/MAX(1,$D15+1-$C15))</f>
        <v>0</v>
      </c>
      <c r="Y15" s="56" t="n">
        <f aca="false">IF(OR(Y$4="",$C15="",$D15="",N($E15)=0),"",$E15*MAX(0,MIN($D15+1,EDATE(Y$4,1))-MAX($C15,Y$4))/MAX(1,$D15+1-$C15))</f>
        <v>0</v>
      </c>
      <c r="Z15" s="56" t="n">
        <f aca="false">IF(OR(Z$4="",$C15="",$D15="",N($E15)=0),"",$E15*MAX(0,MIN($D15+1,EDATE(Z$4,1))-MAX($C15,Z$4))/MAX(1,$D15+1-$C15))</f>
        <v>0</v>
      </c>
      <c r="AA15" s="56" t="n">
        <f aca="false">IF(OR(AA$4="",$C15="",$D15="",N($E15)=0),"",$E15*MAX(0,MIN($D15+1,EDATE(AA$4,1))-MAX($C15,AA$4))/MAX(1,$D15+1-$C15))</f>
        <v>0</v>
      </c>
      <c r="AB15" s="56" t="n">
        <f aca="false">IF(OR(AB$4="",$C15="",$D15="",N($E15)=0),"",$E15*MAX(0,MIN($D15+1,EDATE(AB$4,1))-MAX($C15,AB$4))/MAX(1,$D15+1-$C15))</f>
        <v>0</v>
      </c>
      <c r="AC15" s="56" t="n">
        <f aca="false">IF(OR(AC$4="",$C15="",$D15="",N($E15)=0),"",$E15*MAX(0,MIN($D15+1,EDATE(AC$4,1))-MAX($C15,AC$4))/MAX(1,$D15+1-$C15))</f>
        <v>0</v>
      </c>
      <c r="AD15" s="56" t="n">
        <f aca="false">IF(OR(AD$4="",$C15="",$D15="",N($E15)=0),"",$E15*MAX(0,MIN($D15+1,EDATE(AD$4,1))-MAX($C15,AD$4))/MAX(1,$D15+1-$C15))</f>
        <v>0</v>
      </c>
      <c r="AE15" s="56" t="n">
        <f aca="false">IF(OR(AE$4="",$C15="",$D15="",N($E15)=0),"",$E15*MAX(0,MIN($D15+1,EDATE(AE$4,1))-MAX($C15,AE$4))/MAX(1,$D15+1-$C15))</f>
        <v>0</v>
      </c>
      <c r="AF15" s="56" t="n">
        <f aca="false">IF(OR(AF$4="",$C15="",$D15="",N($E15)=0),"",$E15*MAX(0,MIN($D15+1,EDATE(AF$4,1))-MAX($C15,AF$4))/MAX(1,$D15+1-$C15))</f>
        <v>0</v>
      </c>
      <c r="AG15" s="56" t="n">
        <f aca="false">IF(OR(AG$4="",$C15="",$D15="",N($E15)=0),"",$E15*MAX(0,MIN($D15+1,EDATE(AG$4,1))-MAX($C15,AG$4))/MAX(1,$D15+1-$C15))</f>
        <v>0</v>
      </c>
      <c r="AH15" s="56" t="n">
        <f aca="false">IF(OR(AH$4="",$C15="",$D15="",N($E15)=0),"",$E15*MAX(0,MIN($D15+1,EDATE(AH$4,1))-MAX($C15,AH$4))/MAX(1,$D15+1-$C15))</f>
        <v>0</v>
      </c>
      <c r="AI15" s="56" t="n">
        <f aca="false">IF(OR(AI$4="",$C15="",$D15="",N($E15)=0),"",$E15*MAX(0,MIN($D15+1,EDATE(AI$4,1))-MAX($C15,AI$4))/MAX(1,$D15+1-$C15))</f>
        <v>0</v>
      </c>
      <c r="AJ15" s="56" t="n">
        <f aca="false">IF(OR(AJ$4="",$C15="",$D15="",N($E15)=0),"",$E15*MAX(0,MIN($D15+1,EDATE(AJ$4,1))-MAX($C15,AJ$4))/MAX(1,$D15+1-$C15))</f>
        <v>0</v>
      </c>
      <c r="AK15" s="56" t="n">
        <f aca="false">IF(OR(AK$4="",$C15="",$D15="",N($E15)=0),"",$E15*MAX(0,MIN($D15+1,EDATE(AK$4,1))-MAX($C15,AK$4))/MAX(1,$D15+1-$C15))</f>
        <v>0</v>
      </c>
      <c r="AL15" s="56" t="n">
        <f aca="false">IF(OR(AL$4="",$C15="",$D15="",N($E15)=0),"",$E15*MAX(0,MIN($D15+1,EDATE(AL$4,1))-MAX($C15,AL$4))/MAX(1,$D15+1-$C15))</f>
        <v>0</v>
      </c>
      <c r="AM15" s="56" t="n">
        <f aca="false">IF(OR(AM$4="",$C15="",$D15="",N($E15)=0),"",$E15*MAX(0,MIN($D15+1,EDATE(AM$4,1))-MAX($C15,AM$4))/MAX(1,$D15+1-$C15))</f>
        <v>0</v>
      </c>
      <c r="AN15" s="56" t="n">
        <f aca="false">IF(OR(AN$4="",$C15="",$D15="",N($E15)=0),"",$E15*MAX(0,MIN($D15+1,EDATE(AN$4,1))-MAX($C15,AN$4))/MAX(1,$D15+1-$C15))</f>
        <v>0</v>
      </c>
      <c r="AO15" s="56" t="n">
        <f aca="false">IF(OR(AO$4="",$C15="",$D15="",N($E15)=0),"",$E15*MAX(0,MIN($D15+1,EDATE(AO$4,1))-MAX($C15,AO$4))/MAX(1,$D15+1-$C15))</f>
        <v>0</v>
      </c>
      <c r="AP15" s="56" t="str">
        <f aca="false">IF(OR(AP$4="",$C15="",$D15="",N($E15)=0),"",$E15*MAX(0,MIN($D15+1,EDATE(AP$4,1))-MAX($C15,AP$4))/MAX(1,$D15+1-$C15))</f>
        <v/>
      </c>
      <c r="AQ15" s="56" t="str">
        <f aca="false">IF(OR(AQ$4="",$C15="",$D15="",N($E15)=0),"",$E15*MAX(0,MIN($D15+1,EDATE(AQ$4,1))-MAX($C15,AQ$4))/MAX(1,$D15+1-$C15))</f>
        <v/>
      </c>
      <c r="AR15" s="56" t="str">
        <f aca="false">IF(OR(AR$4="",$C15="",$D15="",N($E15)=0),"",$E15*MAX(0,MIN($D15+1,EDATE(AR$4,1))-MAX($C15,AR$4))/MAX(1,$D15+1-$C15))</f>
        <v/>
      </c>
      <c r="AS15" s="56" t="str">
        <f aca="false">IF(OR(AS$4="",$C15="",$D15="",N($E15)=0),"",$E15*MAX(0,MIN($D15+1,EDATE(AS$4,1))-MAX($C15,AS$4))/MAX(1,$D15+1-$C15))</f>
        <v/>
      </c>
      <c r="AT15" s="56" t="str">
        <f aca="false">IF(OR(AT$4="",$C15="",$D15="",N($E15)=0),"",$E15*MAX(0,MIN($D15+1,EDATE(AT$4,1))-MAX($C15,AT$4))/MAX(1,$D15+1-$C15))</f>
        <v/>
      </c>
      <c r="AU15" s="56" t="str">
        <f aca="false">IF(OR(AU$4="",$C15="",$D15="",N($E15)=0),"",$E15*MAX(0,MIN($D15+1,EDATE(AU$4,1))-MAX($C15,AU$4))/MAX(1,$D15+1-$C15))</f>
        <v/>
      </c>
      <c r="AV15" s="56" t="str">
        <f aca="false">IF(OR(AV$4="",$C15="",$D15="",N($E15)=0),"",$E15*MAX(0,MIN($D15+1,EDATE(AV$4,1))-MAX($C15,AV$4))/MAX(1,$D15+1-$C15))</f>
        <v/>
      </c>
      <c r="AW15" s="56" t="str">
        <f aca="false">IF(OR(AW$4="",$C15="",$D15="",N($E15)=0),"",$E15*MAX(0,MIN($D15+1,EDATE(AW$4,1))-MAX($C15,AW$4))/MAX(1,$D15+1-$C15))</f>
        <v/>
      </c>
      <c r="AX15" s="56" t="str">
        <f aca="false">IF(OR(AX$4="",$C15="",$D15="",N($E15)=0),"",$E15*MAX(0,MIN($D15+1,EDATE(AX$4,1))-MAX($C15,AX$4))/MAX(1,$D15+1-$C15))</f>
        <v/>
      </c>
      <c r="AY15" s="56" t="str">
        <f aca="false">IF(OR(AY$4="",$C15="",$D15="",N($E15)=0),"",$E15*MAX(0,MIN($D15+1,EDATE(AY$4,1))-MAX($C15,AY$4))/MAX(1,$D15+1-$C15))</f>
        <v/>
      </c>
      <c r="AZ15" s="56" t="str">
        <f aca="false">IF(OR(AZ$4="",$C15="",$D15="",N($E15)=0),"",$E15*MAX(0,MIN($D15+1,EDATE(AZ$4,1))-MAX($C15,AZ$4))/MAX(1,$D15+1-$C15))</f>
        <v/>
      </c>
      <c r="BA15" s="56" t="str">
        <f aca="false">IF(OR(BA$4="",$C15="",$D15="",N($E15)=0),"",$E15*MAX(0,MIN($D15+1,EDATE(BA$4,1))-MAX($C15,BA$4))/MAX(1,$D15+1-$C15))</f>
        <v/>
      </c>
      <c r="BB15" s="56" t="str">
        <f aca="false">IF(OR(BB$4="",$C15="",$D15="",N($E15)=0),"",$E15*MAX(0,MIN($D15+1,EDATE(BB$4,1))-MAX($C15,BB$4))/MAX(1,$D15+1-$C15))</f>
        <v/>
      </c>
      <c r="BC15" s="56" t="str">
        <f aca="false">IF(OR(BC$4="",$C15="",$D15="",N($E15)=0),"",$E15*MAX(0,MIN($D15+1,EDATE(BC$4,1))-MAX($C15,BC$4))/MAX(1,$D15+1-$C15))</f>
        <v/>
      </c>
      <c r="BD15" s="56" t="str">
        <f aca="false">IF(OR(BD$4="",$C15="",$D15="",N($E15)=0),"",$E15*MAX(0,MIN($D15+1,EDATE(BD$4,1))-MAX($C15,BD$4))/MAX(1,$D15+1-$C15))</f>
        <v/>
      </c>
      <c r="BE15" s="56" t="str">
        <f aca="false">IF(OR(BE$4="",$C15="",$D15="",N($E15)=0),"",$E15*MAX(0,MIN($D15+1,EDATE(BE$4,1))-MAX($C15,BE$4))/MAX(1,$D15+1-$C15))</f>
        <v/>
      </c>
      <c r="BF15" s="56" t="str">
        <f aca="false">IF(OR(BF$4="",$C15="",$D15="",N($E15)=0),"",$E15*MAX(0,MIN($D15+1,EDATE(BF$4,1))-MAX($C15,BF$4))/MAX(1,$D15+1-$C15))</f>
        <v/>
      </c>
      <c r="BG15" s="56" t="str">
        <f aca="false">IF(OR(BG$4="",$C15="",$D15="",N($E15)=0),"",$E15*MAX(0,MIN($D15+1,EDATE(BG$4,1))-MAX($C15,BG$4))/MAX(1,$D15+1-$C15))</f>
        <v/>
      </c>
      <c r="BH15" s="56" t="str">
        <f aca="false">IF(OR(BH$4="",$C15="",$D15="",N($E15)=0),"",$E15*MAX(0,MIN($D15+1,EDATE(BH$4,1))-MAX($C15,BH$4))/MAX(1,$D15+1-$C15))</f>
        <v/>
      </c>
      <c r="BI15" s="56" t="str">
        <f aca="false">IF(OR(BI$4="",$C15="",$D15="",N($E15)=0),"",$E15*MAX(0,MIN($D15+1,EDATE(BI$4,1))-MAX($C15,BI$4))/MAX(1,$D15+1-$C15))</f>
        <v/>
      </c>
      <c r="BJ15" s="56" t="str">
        <f aca="false">IF(OR(BJ$4="",$C15="",$D15="",N($E15)=0),"",$E15*MAX(0,MIN($D15+1,EDATE(BJ$4,1))-MAX($C15,BJ$4))/MAX(1,$D15+1-$C15))</f>
        <v/>
      </c>
      <c r="BK15" s="56" t="str">
        <f aca="false">IF(OR(BK$4="",$C15="",$D15="",N($E15)=0),"",$E15*MAX(0,MIN($D15+1,EDATE(BK$4,1))-MAX($C15,BK$4))/MAX(1,$D15+1-$C15))</f>
        <v/>
      </c>
      <c r="BL15" s="56" t="str">
        <f aca="false">IF(OR(BL$4="",$C15="",$D15="",N($E15)=0),"",$E15*MAX(0,MIN($D15+1,EDATE(BL$4,1))-MAX($C15,BL$4))/MAX(1,$D15+1-$C15))</f>
        <v/>
      </c>
      <c r="BM15" s="56" t="str">
        <f aca="false">IF(OR(BM$4="",$C15="",$D15="",N($E15)=0),"",$E15*MAX(0,MIN($D15+1,EDATE(BM$4,1))-MAX($C15,BM$4))/MAX(1,$D15+1-$C15))</f>
        <v/>
      </c>
      <c r="BN15" s="56" t="str">
        <f aca="false">IF(OR(BN$4="",$C15="",$D15="",N($E15)=0),"",$E15*MAX(0,MIN($D15+1,EDATE(BN$4,1))-MAX($C15,BN$4))/MAX(1,$D15+1-$C15))</f>
        <v/>
      </c>
      <c r="BO15" s="56" t="str">
        <f aca="false">IF(OR(BO$4="",$C15="",$D15="",N($E15)=0),"",$E15*MAX(0,MIN($D15+1,EDATE(BO$4,1))-MAX($C15,BO$4))/MAX(1,$D15+1-$C15))</f>
        <v/>
      </c>
      <c r="BP15" s="56" t="str">
        <f aca="false">IF(OR(BP$4="",$C15="",$D15="",N($E15)=0),"",$E15*MAX(0,MIN($D15+1,EDATE(BP$4,1))-MAX($C15,BP$4))/MAX(1,$D15+1-$C15))</f>
        <v/>
      </c>
      <c r="BQ15" s="56" t="str">
        <f aca="false">IF(OR(BQ$4="",$C15="",$D15="",N($E15)=0),"",$E15*MAX(0,MIN($D15+1,EDATE(BQ$4,1))-MAX($C15,BQ$4))/MAX(1,$D15+1-$C15))</f>
        <v/>
      </c>
      <c r="BR15" s="56" t="str">
        <f aca="false">IF(OR(BR$4="",$C15="",$D15="",N($E15)=0),"",$E15*MAX(0,MIN($D15+1,EDATE(BR$4,1))-MAX($C15,BR$4))/MAX(1,$D15+1-$C15))</f>
        <v/>
      </c>
      <c r="BS15" s="56" t="str">
        <f aca="false">IF(OR(BS$4="",$C15="",$D15="",N($E15)=0),"",$E15*MAX(0,MIN($D15+1,EDATE(BS$4,1))-MAX($C15,BS$4))/MAX(1,$D15+1-$C15))</f>
        <v/>
      </c>
      <c r="BT15" s="56" t="str">
        <f aca="false">IF(OR(BT$4="",$C15="",$D15="",N($E15)=0),"",$E15*MAX(0,MIN($D15+1,EDATE(BT$4,1))-MAX($C15,BT$4))/MAX(1,$D15+1-$C15))</f>
        <v/>
      </c>
      <c r="BU15" s="56" t="str">
        <f aca="false">IF(OR(BU$4="",$C15="",$D15="",N($E15)=0),"",$E15*MAX(0,MIN($D15+1,EDATE(BU$4,1))-MAX($C15,BU$4))/MAX(1,$D15+1-$C15))</f>
        <v/>
      </c>
      <c r="BV15" s="56" t="str">
        <f aca="false">IF(OR(BV$4="",$C15="",$D15="",N($E15)=0),"",$E15*MAX(0,MIN($D15+1,EDATE(BV$4,1))-MAX($C15,BV$4))/MAX(1,$D15+1-$C15))</f>
        <v/>
      </c>
      <c r="BW15" s="56" t="str">
        <f aca="false">IF(OR(BW$4="",$C15="",$D15="",N($E15)=0),"",$E15*MAX(0,MIN($D15+1,EDATE(BW$4,1))-MAX($C15,BW$4))/MAX(1,$D15+1-$C15))</f>
        <v/>
      </c>
      <c r="BX15" s="56" t="str">
        <f aca="false">IF(OR(BX$4="",$C15="",$D15="",N($E15)=0),"",$E15*MAX(0,MIN($D15+1,EDATE(BX$4,1))-MAX($C15,BX$4))/MAX(1,$D15+1-$C15))</f>
        <v/>
      </c>
      <c r="BY15" s="56" t="str">
        <f aca="false">IF(OR(BY$4="",$C15="",$D15="",N($E15)=0),"",$E15*MAX(0,MIN($D15+1,EDATE(BY$4,1))-MAX($C15,BY$4))/MAX(1,$D15+1-$C15))</f>
        <v/>
      </c>
    </row>
    <row r="16" customFormat="false" ht="15" hidden="false" customHeight="false" outlineLevel="0" collapsed="false">
      <c r="A16" s="53" t="str">
        <f aca="false">IF(BOE!$A17="","",BOE!$A17)</f>
        <v>203</v>
      </c>
      <c r="B16" s="53" t="str">
        <f aca="false">IF(BOE!$A17="","",BOE!$C17)</f>
        <v>System Requirements Hazard Analysis (SRHA)</v>
      </c>
      <c r="C16" s="54" t="n">
        <f aca="false">IF(BOE!$O17="","",BOE!$O17)</f>
        <v>46481</v>
      </c>
      <c r="D16" s="54" t="n">
        <f aca="false">IF(BOE!$P17="","",BOE!$P17)</f>
        <v>46877</v>
      </c>
      <c r="E16" s="55" t="n">
        <f aca="false">IF(Inputs!$B$7="P90",BOE!$T17,BOE!$R17)</f>
        <v>520</v>
      </c>
      <c r="F16" s="56" t="n">
        <f aca="false">IF(OR(F$4="",$C16="",$D16="",N($E16)=0),"",$E16*MAX(0,MIN($D16+1,EDATE(F$4,1))-MAX($C16,F$4))/MAX(1,$D16+1-$C16))</f>
        <v>0</v>
      </c>
      <c r="G16" s="56" t="n">
        <f aca="false">IF(OR(G$4="",$C16="",$D16="",N($E16)=0),"",$E16*MAX(0,MIN($D16+1,EDATE(G$4,1))-MAX($C16,G$4))/MAX(1,$D16+1-$C16))</f>
        <v>0</v>
      </c>
      <c r="H16" s="56" t="n">
        <f aca="false">IF(OR(H$4="",$C16="",$D16="",N($E16)=0),"",$E16*MAX(0,MIN($D16+1,EDATE(H$4,1))-MAX($C16,H$4))/MAX(1,$D16+1-$C16))</f>
        <v>0</v>
      </c>
      <c r="I16" s="56" t="n">
        <f aca="false">IF(OR(I$4="",$C16="",$D16="",N($E16)=0),"",$E16*MAX(0,MIN($D16+1,EDATE(I$4,1))-MAX($C16,I$4))/MAX(1,$D16+1-$C16))</f>
        <v>39.2947103274559</v>
      </c>
      <c r="J16" s="56" t="n">
        <f aca="false">IF(OR(J$4="",$C16="",$D16="",N($E16)=0),"",$E16*MAX(0,MIN($D16+1,EDATE(J$4,1))-MAX($C16,J$4))/MAX(1,$D16+1-$C16))</f>
        <v>40.6045340050378</v>
      </c>
      <c r="K16" s="56" t="n">
        <f aca="false">IF(OR(K$4="",$C16="",$D16="",N($E16)=0),"",$E16*MAX(0,MIN($D16+1,EDATE(K$4,1))-MAX($C16,K$4))/MAX(1,$D16+1-$C16))</f>
        <v>39.2947103274559</v>
      </c>
      <c r="L16" s="56" t="n">
        <f aca="false">IF(OR(L$4="",$C16="",$D16="",N($E16)=0),"",$E16*MAX(0,MIN($D16+1,EDATE(L$4,1))-MAX($C16,L$4))/MAX(1,$D16+1-$C16))</f>
        <v>40.6045340050378</v>
      </c>
      <c r="M16" s="56" t="n">
        <f aca="false">IF(OR(M$4="",$C16="",$D16="",N($E16)=0),"",$E16*MAX(0,MIN($D16+1,EDATE(M$4,1))-MAX($C16,M$4))/MAX(1,$D16+1-$C16))</f>
        <v>40.6045340050378</v>
      </c>
      <c r="N16" s="56" t="n">
        <f aca="false">IF(OR(N$4="",$C16="",$D16="",N($E16)=0),"",$E16*MAX(0,MIN($D16+1,EDATE(N$4,1))-MAX($C16,N$4))/MAX(1,$D16+1-$C16))</f>
        <v>39.2947103274559</v>
      </c>
      <c r="O16" s="56" t="n">
        <f aca="false">IF(OR(O$4="",$C16="",$D16="",N($E16)=0),"",$E16*MAX(0,MIN($D16+1,EDATE(O$4,1))-MAX($C16,O$4))/MAX(1,$D16+1-$C16))</f>
        <v>40.6045340050378</v>
      </c>
      <c r="P16" s="56" t="n">
        <f aca="false">IF(OR(P$4="",$C16="",$D16="",N($E16)=0),"",$E16*MAX(0,MIN($D16+1,EDATE(P$4,1))-MAX($C16,P$4))/MAX(1,$D16+1-$C16))</f>
        <v>39.2947103274559</v>
      </c>
      <c r="Q16" s="56" t="n">
        <f aca="false">IF(OR(Q$4="",$C16="",$D16="",N($E16)=0),"",$E16*MAX(0,MIN($D16+1,EDATE(Q$4,1))-MAX($C16,Q$4))/MAX(1,$D16+1-$C16))</f>
        <v>40.6045340050378</v>
      </c>
      <c r="R16" s="56" t="n">
        <f aca="false">IF(OR(R$4="",$C16="",$D16="",N($E16)=0),"",$E16*MAX(0,MIN($D16+1,EDATE(R$4,1))-MAX($C16,R$4))/MAX(1,$D16+1-$C16))</f>
        <v>40.6045340050378</v>
      </c>
      <c r="S16" s="56" t="n">
        <f aca="false">IF(OR(S$4="",$C16="",$D16="",N($E16)=0),"",$E16*MAX(0,MIN($D16+1,EDATE(S$4,1))-MAX($C16,S$4))/MAX(1,$D16+1-$C16))</f>
        <v>37.9848866498741</v>
      </c>
      <c r="T16" s="56" t="n">
        <f aca="false">IF(OR(T$4="",$C16="",$D16="",N($E16)=0),"",$E16*MAX(0,MIN($D16+1,EDATE(T$4,1))-MAX($C16,T$4))/MAX(1,$D16+1-$C16))</f>
        <v>40.6045340050378</v>
      </c>
      <c r="U16" s="56" t="n">
        <f aca="false">IF(OR(U$4="",$C16="",$D16="",N($E16)=0),"",$E16*MAX(0,MIN($D16+1,EDATE(U$4,1))-MAX($C16,U$4))/MAX(1,$D16+1-$C16))</f>
        <v>39.2947103274559</v>
      </c>
      <c r="V16" s="56" t="n">
        <f aca="false">IF(OR(V$4="",$C16="",$D16="",N($E16)=0),"",$E16*MAX(0,MIN($D16+1,EDATE(V$4,1))-MAX($C16,V$4))/MAX(1,$D16+1-$C16))</f>
        <v>1.30982367758186</v>
      </c>
      <c r="W16" s="56" t="n">
        <f aca="false">IF(OR(W$4="",$C16="",$D16="",N($E16)=0),"",$E16*MAX(0,MIN($D16+1,EDATE(W$4,1))-MAX($C16,W$4))/MAX(1,$D16+1-$C16))</f>
        <v>0</v>
      </c>
      <c r="X16" s="56" t="n">
        <f aca="false">IF(OR(X$4="",$C16="",$D16="",N($E16)=0),"",$E16*MAX(0,MIN($D16+1,EDATE(X$4,1))-MAX($C16,X$4))/MAX(1,$D16+1-$C16))</f>
        <v>0</v>
      </c>
      <c r="Y16" s="56" t="n">
        <f aca="false">IF(OR(Y$4="",$C16="",$D16="",N($E16)=0),"",$E16*MAX(0,MIN($D16+1,EDATE(Y$4,1))-MAX($C16,Y$4))/MAX(1,$D16+1-$C16))</f>
        <v>0</v>
      </c>
      <c r="Z16" s="56" t="n">
        <f aca="false">IF(OR(Z$4="",$C16="",$D16="",N($E16)=0),"",$E16*MAX(0,MIN($D16+1,EDATE(Z$4,1))-MAX($C16,Z$4))/MAX(1,$D16+1-$C16))</f>
        <v>0</v>
      </c>
      <c r="AA16" s="56" t="n">
        <f aca="false">IF(OR(AA$4="",$C16="",$D16="",N($E16)=0),"",$E16*MAX(0,MIN($D16+1,EDATE(AA$4,1))-MAX($C16,AA$4))/MAX(1,$D16+1-$C16))</f>
        <v>0</v>
      </c>
      <c r="AB16" s="56" t="n">
        <f aca="false">IF(OR(AB$4="",$C16="",$D16="",N($E16)=0),"",$E16*MAX(0,MIN($D16+1,EDATE(AB$4,1))-MAX($C16,AB$4))/MAX(1,$D16+1-$C16))</f>
        <v>0</v>
      </c>
      <c r="AC16" s="56" t="n">
        <f aca="false">IF(OR(AC$4="",$C16="",$D16="",N($E16)=0),"",$E16*MAX(0,MIN($D16+1,EDATE(AC$4,1))-MAX($C16,AC$4))/MAX(1,$D16+1-$C16))</f>
        <v>0</v>
      </c>
      <c r="AD16" s="56" t="n">
        <f aca="false">IF(OR(AD$4="",$C16="",$D16="",N($E16)=0),"",$E16*MAX(0,MIN($D16+1,EDATE(AD$4,1))-MAX($C16,AD$4))/MAX(1,$D16+1-$C16))</f>
        <v>0</v>
      </c>
      <c r="AE16" s="56" t="n">
        <f aca="false">IF(OR(AE$4="",$C16="",$D16="",N($E16)=0),"",$E16*MAX(0,MIN($D16+1,EDATE(AE$4,1))-MAX($C16,AE$4))/MAX(1,$D16+1-$C16))</f>
        <v>0</v>
      </c>
      <c r="AF16" s="56" t="n">
        <f aca="false">IF(OR(AF$4="",$C16="",$D16="",N($E16)=0),"",$E16*MAX(0,MIN($D16+1,EDATE(AF$4,1))-MAX($C16,AF$4))/MAX(1,$D16+1-$C16))</f>
        <v>0</v>
      </c>
      <c r="AG16" s="56" t="n">
        <f aca="false">IF(OR(AG$4="",$C16="",$D16="",N($E16)=0),"",$E16*MAX(0,MIN($D16+1,EDATE(AG$4,1))-MAX($C16,AG$4))/MAX(1,$D16+1-$C16))</f>
        <v>0</v>
      </c>
      <c r="AH16" s="56" t="n">
        <f aca="false">IF(OR(AH$4="",$C16="",$D16="",N($E16)=0),"",$E16*MAX(0,MIN($D16+1,EDATE(AH$4,1))-MAX($C16,AH$4))/MAX(1,$D16+1-$C16))</f>
        <v>0</v>
      </c>
      <c r="AI16" s="56" t="n">
        <f aca="false">IF(OR(AI$4="",$C16="",$D16="",N($E16)=0),"",$E16*MAX(0,MIN($D16+1,EDATE(AI$4,1))-MAX($C16,AI$4))/MAX(1,$D16+1-$C16))</f>
        <v>0</v>
      </c>
      <c r="AJ16" s="56" t="n">
        <f aca="false">IF(OR(AJ$4="",$C16="",$D16="",N($E16)=0),"",$E16*MAX(0,MIN($D16+1,EDATE(AJ$4,1))-MAX($C16,AJ$4))/MAX(1,$D16+1-$C16))</f>
        <v>0</v>
      </c>
      <c r="AK16" s="56" t="n">
        <f aca="false">IF(OR(AK$4="",$C16="",$D16="",N($E16)=0),"",$E16*MAX(0,MIN($D16+1,EDATE(AK$4,1))-MAX($C16,AK$4))/MAX(1,$D16+1-$C16))</f>
        <v>0</v>
      </c>
      <c r="AL16" s="56" t="n">
        <f aca="false">IF(OR(AL$4="",$C16="",$D16="",N($E16)=0),"",$E16*MAX(0,MIN($D16+1,EDATE(AL$4,1))-MAX($C16,AL$4))/MAX(1,$D16+1-$C16))</f>
        <v>0</v>
      </c>
      <c r="AM16" s="56" t="n">
        <f aca="false">IF(OR(AM$4="",$C16="",$D16="",N($E16)=0),"",$E16*MAX(0,MIN($D16+1,EDATE(AM$4,1))-MAX($C16,AM$4))/MAX(1,$D16+1-$C16))</f>
        <v>0</v>
      </c>
      <c r="AN16" s="56" t="n">
        <f aca="false">IF(OR(AN$4="",$C16="",$D16="",N($E16)=0),"",$E16*MAX(0,MIN($D16+1,EDATE(AN$4,1))-MAX($C16,AN$4))/MAX(1,$D16+1-$C16))</f>
        <v>0</v>
      </c>
      <c r="AO16" s="56" t="n">
        <f aca="false">IF(OR(AO$4="",$C16="",$D16="",N($E16)=0),"",$E16*MAX(0,MIN($D16+1,EDATE(AO$4,1))-MAX($C16,AO$4))/MAX(1,$D16+1-$C16))</f>
        <v>0</v>
      </c>
      <c r="AP16" s="56" t="str">
        <f aca="false">IF(OR(AP$4="",$C16="",$D16="",N($E16)=0),"",$E16*MAX(0,MIN($D16+1,EDATE(AP$4,1))-MAX($C16,AP$4))/MAX(1,$D16+1-$C16))</f>
        <v/>
      </c>
      <c r="AQ16" s="56" t="str">
        <f aca="false">IF(OR(AQ$4="",$C16="",$D16="",N($E16)=0),"",$E16*MAX(0,MIN($D16+1,EDATE(AQ$4,1))-MAX($C16,AQ$4))/MAX(1,$D16+1-$C16))</f>
        <v/>
      </c>
      <c r="AR16" s="56" t="str">
        <f aca="false">IF(OR(AR$4="",$C16="",$D16="",N($E16)=0),"",$E16*MAX(0,MIN($D16+1,EDATE(AR$4,1))-MAX($C16,AR$4))/MAX(1,$D16+1-$C16))</f>
        <v/>
      </c>
      <c r="AS16" s="56" t="str">
        <f aca="false">IF(OR(AS$4="",$C16="",$D16="",N($E16)=0),"",$E16*MAX(0,MIN($D16+1,EDATE(AS$4,1))-MAX($C16,AS$4))/MAX(1,$D16+1-$C16))</f>
        <v/>
      </c>
      <c r="AT16" s="56" t="str">
        <f aca="false">IF(OR(AT$4="",$C16="",$D16="",N($E16)=0),"",$E16*MAX(0,MIN($D16+1,EDATE(AT$4,1))-MAX($C16,AT$4))/MAX(1,$D16+1-$C16))</f>
        <v/>
      </c>
      <c r="AU16" s="56" t="str">
        <f aca="false">IF(OR(AU$4="",$C16="",$D16="",N($E16)=0),"",$E16*MAX(0,MIN($D16+1,EDATE(AU$4,1))-MAX($C16,AU$4))/MAX(1,$D16+1-$C16))</f>
        <v/>
      </c>
      <c r="AV16" s="56" t="str">
        <f aca="false">IF(OR(AV$4="",$C16="",$D16="",N($E16)=0),"",$E16*MAX(0,MIN($D16+1,EDATE(AV$4,1))-MAX($C16,AV$4))/MAX(1,$D16+1-$C16))</f>
        <v/>
      </c>
      <c r="AW16" s="56" t="str">
        <f aca="false">IF(OR(AW$4="",$C16="",$D16="",N($E16)=0),"",$E16*MAX(0,MIN($D16+1,EDATE(AW$4,1))-MAX($C16,AW$4))/MAX(1,$D16+1-$C16))</f>
        <v/>
      </c>
      <c r="AX16" s="56" t="str">
        <f aca="false">IF(OR(AX$4="",$C16="",$D16="",N($E16)=0),"",$E16*MAX(0,MIN($D16+1,EDATE(AX$4,1))-MAX($C16,AX$4))/MAX(1,$D16+1-$C16))</f>
        <v/>
      </c>
      <c r="AY16" s="56" t="str">
        <f aca="false">IF(OR(AY$4="",$C16="",$D16="",N($E16)=0),"",$E16*MAX(0,MIN($D16+1,EDATE(AY$4,1))-MAX($C16,AY$4))/MAX(1,$D16+1-$C16))</f>
        <v/>
      </c>
      <c r="AZ16" s="56" t="str">
        <f aca="false">IF(OR(AZ$4="",$C16="",$D16="",N($E16)=0),"",$E16*MAX(0,MIN($D16+1,EDATE(AZ$4,1))-MAX($C16,AZ$4))/MAX(1,$D16+1-$C16))</f>
        <v/>
      </c>
      <c r="BA16" s="56" t="str">
        <f aca="false">IF(OR(BA$4="",$C16="",$D16="",N($E16)=0),"",$E16*MAX(0,MIN($D16+1,EDATE(BA$4,1))-MAX($C16,BA$4))/MAX(1,$D16+1-$C16))</f>
        <v/>
      </c>
      <c r="BB16" s="56" t="str">
        <f aca="false">IF(OR(BB$4="",$C16="",$D16="",N($E16)=0),"",$E16*MAX(0,MIN($D16+1,EDATE(BB$4,1))-MAX($C16,BB$4))/MAX(1,$D16+1-$C16))</f>
        <v/>
      </c>
      <c r="BC16" s="56" t="str">
        <f aca="false">IF(OR(BC$4="",$C16="",$D16="",N($E16)=0),"",$E16*MAX(0,MIN($D16+1,EDATE(BC$4,1))-MAX($C16,BC$4))/MAX(1,$D16+1-$C16))</f>
        <v/>
      </c>
      <c r="BD16" s="56" t="str">
        <f aca="false">IF(OR(BD$4="",$C16="",$D16="",N($E16)=0),"",$E16*MAX(0,MIN($D16+1,EDATE(BD$4,1))-MAX($C16,BD$4))/MAX(1,$D16+1-$C16))</f>
        <v/>
      </c>
      <c r="BE16" s="56" t="str">
        <f aca="false">IF(OR(BE$4="",$C16="",$D16="",N($E16)=0),"",$E16*MAX(0,MIN($D16+1,EDATE(BE$4,1))-MAX($C16,BE$4))/MAX(1,$D16+1-$C16))</f>
        <v/>
      </c>
      <c r="BF16" s="56" t="str">
        <f aca="false">IF(OR(BF$4="",$C16="",$D16="",N($E16)=0),"",$E16*MAX(0,MIN($D16+1,EDATE(BF$4,1))-MAX($C16,BF$4))/MAX(1,$D16+1-$C16))</f>
        <v/>
      </c>
      <c r="BG16" s="56" t="str">
        <f aca="false">IF(OR(BG$4="",$C16="",$D16="",N($E16)=0),"",$E16*MAX(0,MIN($D16+1,EDATE(BG$4,1))-MAX($C16,BG$4))/MAX(1,$D16+1-$C16))</f>
        <v/>
      </c>
      <c r="BH16" s="56" t="str">
        <f aca="false">IF(OR(BH$4="",$C16="",$D16="",N($E16)=0),"",$E16*MAX(0,MIN($D16+1,EDATE(BH$4,1))-MAX($C16,BH$4))/MAX(1,$D16+1-$C16))</f>
        <v/>
      </c>
      <c r="BI16" s="56" t="str">
        <f aca="false">IF(OR(BI$4="",$C16="",$D16="",N($E16)=0),"",$E16*MAX(0,MIN($D16+1,EDATE(BI$4,1))-MAX($C16,BI$4))/MAX(1,$D16+1-$C16))</f>
        <v/>
      </c>
      <c r="BJ16" s="56" t="str">
        <f aca="false">IF(OR(BJ$4="",$C16="",$D16="",N($E16)=0),"",$E16*MAX(0,MIN($D16+1,EDATE(BJ$4,1))-MAX($C16,BJ$4))/MAX(1,$D16+1-$C16))</f>
        <v/>
      </c>
      <c r="BK16" s="56" t="str">
        <f aca="false">IF(OR(BK$4="",$C16="",$D16="",N($E16)=0),"",$E16*MAX(0,MIN($D16+1,EDATE(BK$4,1))-MAX($C16,BK$4))/MAX(1,$D16+1-$C16))</f>
        <v/>
      </c>
      <c r="BL16" s="56" t="str">
        <f aca="false">IF(OR(BL$4="",$C16="",$D16="",N($E16)=0),"",$E16*MAX(0,MIN($D16+1,EDATE(BL$4,1))-MAX($C16,BL$4))/MAX(1,$D16+1-$C16))</f>
        <v/>
      </c>
      <c r="BM16" s="56" t="str">
        <f aca="false">IF(OR(BM$4="",$C16="",$D16="",N($E16)=0),"",$E16*MAX(0,MIN($D16+1,EDATE(BM$4,1))-MAX($C16,BM$4))/MAX(1,$D16+1-$C16))</f>
        <v/>
      </c>
      <c r="BN16" s="56" t="str">
        <f aca="false">IF(OR(BN$4="",$C16="",$D16="",N($E16)=0),"",$E16*MAX(0,MIN($D16+1,EDATE(BN$4,1))-MAX($C16,BN$4))/MAX(1,$D16+1-$C16))</f>
        <v/>
      </c>
      <c r="BO16" s="56" t="str">
        <f aca="false">IF(OR(BO$4="",$C16="",$D16="",N($E16)=0),"",$E16*MAX(0,MIN($D16+1,EDATE(BO$4,1))-MAX($C16,BO$4))/MAX(1,$D16+1-$C16))</f>
        <v/>
      </c>
      <c r="BP16" s="56" t="str">
        <f aca="false">IF(OR(BP$4="",$C16="",$D16="",N($E16)=0),"",$E16*MAX(0,MIN($D16+1,EDATE(BP$4,1))-MAX($C16,BP$4))/MAX(1,$D16+1-$C16))</f>
        <v/>
      </c>
      <c r="BQ16" s="56" t="str">
        <f aca="false">IF(OR(BQ$4="",$C16="",$D16="",N($E16)=0),"",$E16*MAX(0,MIN($D16+1,EDATE(BQ$4,1))-MAX($C16,BQ$4))/MAX(1,$D16+1-$C16))</f>
        <v/>
      </c>
      <c r="BR16" s="56" t="str">
        <f aca="false">IF(OR(BR$4="",$C16="",$D16="",N($E16)=0),"",$E16*MAX(0,MIN($D16+1,EDATE(BR$4,1))-MAX($C16,BR$4))/MAX(1,$D16+1-$C16))</f>
        <v/>
      </c>
      <c r="BS16" s="56" t="str">
        <f aca="false">IF(OR(BS$4="",$C16="",$D16="",N($E16)=0),"",$E16*MAX(0,MIN($D16+1,EDATE(BS$4,1))-MAX($C16,BS$4))/MAX(1,$D16+1-$C16))</f>
        <v/>
      </c>
      <c r="BT16" s="56" t="str">
        <f aca="false">IF(OR(BT$4="",$C16="",$D16="",N($E16)=0),"",$E16*MAX(0,MIN($D16+1,EDATE(BT$4,1))-MAX($C16,BT$4))/MAX(1,$D16+1-$C16))</f>
        <v/>
      </c>
      <c r="BU16" s="56" t="str">
        <f aca="false">IF(OR(BU$4="",$C16="",$D16="",N($E16)=0),"",$E16*MAX(0,MIN($D16+1,EDATE(BU$4,1))-MAX($C16,BU$4))/MAX(1,$D16+1-$C16))</f>
        <v/>
      </c>
      <c r="BV16" s="56" t="str">
        <f aca="false">IF(OR(BV$4="",$C16="",$D16="",N($E16)=0),"",$E16*MAX(0,MIN($D16+1,EDATE(BV$4,1))-MAX($C16,BV$4))/MAX(1,$D16+1-$C16))</f>
        <v/>
      </c>
      <c r="BW16" s="56" t="str">
        <f aca="false">IF(OR(BW$4="",$C16="",$D16="",N($E16)=0),"",$E16*MAX(0,MIN($D16+1,EDATE(BW$4,1))-MAX($C16,BW$4))/MAX(1,$D16+1-$C16))</f>
        <v/>
      </c>
      <c r="BX16" s="56" t="str">
        <f aca="false">IF(OR(BX$4="",$C16="",$D16="",N($E16)=0),"",$E16*MAX(0,MIN($D16+1,EDATE(BX$4,1))-MAX($C16,BX$4))/MAX(1,$D16+1-$C16))</f>
        <v/>
      </c>
      <c r="BY16" s="56" t="str">
        <f aca="false">IF(OR(BY$4="",$C16="",$D16="",N($E16)=0),"",$E16*MAX(0,MIN($D16+1,EDATE(BY$4,1))-MAX($C16,BY$4))/MAX(1,$D16+1-$C16))</f>
        <v/>
      </c>
    </row>
    <row r="17" customFormat="false" ht="15" hidden="false" customHeight="false" outlineLevel="0" collapsed="false">
      <c r="A17" s="53" t="str">
        <f aca="false">IF(BOE!$A18="","",BOE!$A18)</f>
        <v>204</v>
      </c>
      <c r="B17" s="53" t="str">
        <f aca="false">IF(BOE!$A18="","",BOE!$C18)</f>
        <v>Subsystem Hazard Analysis (SSHA)</v>
      </c>
      <c r="C17" s="54" t="n">
        <f aca="false">IF(BOE!$O18="","",BOE!$O18)</f>
        <v>46695</v>
      </c>
      <c r="D17" s="54" t="n">
        <f aca="false">IF(BOE!$P18="","",BOE!$P18)</f>
        <v>46905</v>
      </c>
      <c r="E17" s="55" t="n">
        <f aca="false">IF(Inputs!$B$7="P90",BOE!$T18,BOE!$R18)</f>
        <v>1872</v>
      </c>
      <c r="F17" s="56" t="n">
        <f aca="false">IF(OR(F$4="",$C17="",$D17="",N($E17)=0),"",$E17*MAX(0,MIN($D17+1,EDATE(F$4,1))-MAX($C17,F$4))/MAX(1,$D17+1-$C17))</f>
        <v>0</v>
      </c>
      <c r="G17" s="56" t="n">
        <f aca="false">IF(OR(G$4="",$C17="",$D17="",N($E17)=0),"",$E17*MAX(0,MIN($D17+1,EDATE(G$4,1))-MAX($C17,G$4))/MAX(1,$D17+1-$C17))</f>
        <v>0</v>
      </c>
      <c r="H17" s="56" t="n">
        <f aca="false">IF(OR(H$4="",$C17="",$D17="",N($E17)=0),"",$E17*MAX(0,MIN($D17+1,EDATE(H$4,1))-MAX($C17,H$4))/MAX(1,$D17+1-$C17))</f>
        <v>0</v>
      </c>
      <c r="I17" s="56" t="n">
        <f aca="false">IF(OR(I$4="",$C17="",$D17="",N($E17)=0),"",$E17*MAX(0,MIN($D17+1,EDATE(I$4,1))-MAX($C17,I$4))/MAX(1,$D17+1-$C17))</f>
        <v>0</v>
      </c>
      <c r="J17" s="56" t="n">
        <f aca="false">IF(OR(J$4="",$C17="",$D17="",N($E17)=0),"",$E17*MAX(0,MIN($D17+1,EDATE(J$4,1))-MAX($C17,J$4))/MAX(1,$D17+1-$C17))</f>
        <v>0</v>
      </c>
      <c r="K17" s="56" t="n">
        <f aca="false">IF(OR(K$4="",$C17="",$D17="",N($E17)=0),"",$E17*MAX(0,MIN($D17+1,EDATE(K$4,1))-MAX($C17,K$4))/MAX(1,$D17+1-$C17))</f>
        <v>0</v>
      </c>
      <c r="L17" s="56" t="n">
        <f aca="false">IF(OR(L$4="",$C17="",$D17="",N($E17)=0),"",$E17*MAX(0,MIN($D17+1,EDATE(L$4,1))-MAX($C17,L$4))/MAX(1,$D17+1-$C17))</f>
        <v>0</v>
      </c>
      <c r="M17" s="56" t="n">
        <f aca="false">IF(OR(M$4="",$C17="",$D17="",N($E17)=0),"",$E17*MAX(0,MIN($D17+1,EDATE(M$4,1))-MAX($C17,M$4))/MAX(1,$D17+1-$C17))</f>
        <v>0</v>
      </c>
      <c r="N17" s="56" t="n">
        <f aca="false">IF(OR(N$4="",$C17="",$D17="",N($E17)=0),"",$E17*MAX(0,MIN($D17+1,EDATE(N$4,1))-MAX($C17,N$4))/MAX(1,$D17+1-$C17))</f>
        <v>0</v>
      </c>
      <c r="O17" s="56" t="n">
        <f aca="false">IF(OR(O$4="",$C17="",$D17="",N($E17)=0),"",$E17*MAX(0,MIN($D17+1,EDATE(O$4,1))-MAX($C17,O$4))/MAX(1,$D17+1-$C17))</f>
        <v>0</v>
      </c>
      <c r="P17" s="56" t="n">
        <f aca="false">IF(OR(P$4="",$C17="",$D17="",N($E17)=0),"",$E17*MAX(0,MIN($D17+1,EDATE(P$4,1))-MAX($C17,P$4))/MAX(1,$D17+1-$C17))</f>
        <v>266.161137440758</v>
      </c>
      <c r="Q17" s="56" t="n">
        <f aca="false">IF(OR(Q$4="",$C17="",$D17="",N($E17)=0),"",$E17*MAX(0,MIN($D17+1,EDATE(Q$4,1))-MAX($C17,Q$4))/MAX(1,$D17+1-$C17))</f>
        <v>275.03317535545</v>
      </c>
      <c r="R17" s="56" t="n">
        <f aca="false">IF(OR(R$4="",$C17="",$D17="",N($E17)=0),"",$E17*MAX(0,MIN($D17+1,EDATE(R$4,1))-MAX($C17,R$4))/MAX(1,$D17+1-$C17))</f>
        <v>275.03317535545</v>
      </c>
      <c r="S17" s="56" t="n">
        <f aca="false">IF(OR(S$4="",$C17="",$D17="",N($E17)=0),"",$E17*MAX(0,MIN($D17+1,EDATE(S$4,1))-MAX($C17,S$4))/MAX(1,$D17+1-$C17))</f>
        <v>257.289099526066</v>
      </c>
      <c r="T17" s="56" t="n">
        <f aca="false">IF(OR(T$4="",$C17="",$D17="",N($E17)=0),"",$E17*MAX(0,MIN($D17+1,EDATE(T$4,1))-MAX($C17,T$4))/MAX(1,$D17+1-$C17))</f>
        <v>275.03317535545</v>
      </c>
      <c r="U17" s="56" t="n">
        <f aca="false">IF(OR(U$4="",$C17="",$D17="",N($E17)=0),"",$E17*MAX(0,MIN($D17+1,EDATE(U$4,1))-MAX($C17,U$4))/MAX(1,$D17+1-$C17))</f>
        <v>266.161137440758</v>
      </c>
      <c r="V17" s="56" t="n">
        <f aca="false">IF(OR(V$4="",$C17="",$D17="",N($E17)=0),"",$E17*MAX(0,MIN($D17+1,EDATE(V$4,1))-MAX($C17,V$4))/MAX(1,$D17+1-$C17))</f>
        <v>257.289099526066</v>
      </c>
      <c r="W17" s="56" t="n">
        <f aca="false">IF(OR(W$4="",$C17="",$D17="",N($E17)=0),"",$E17*MAX(0,MIN($D17+1,EDATE(W$4,1))-MAX($C17,W$4))/MAX(1,$D17+1-$C17))</f>
        <v>0</v>
      </c>
      <c r="X17" s="56" t="n">
        <f aca="false">IF(OR(X$4="",$C17="",$D17="",N($E17)=0),"",$E17*MAX(0,MIN($D17+1,EDATE(X$4,1))-MAX($C17,X$4))/MAX(1,$D17+1-$C17))</f>
        <v>0</v>
      </c>
      <c r="Y17" s="56" t="n">
        <f aca="false">IF(OR(Y$4="",$C17="",$D17="",N($E17)=0),"",$E17*MAX(0,MIN($D17+1,EDATE(Y$4,1))-MAX($C17,Y$4))/MAX(1,$D17+1-$C17))</f>
        <v>0</v>
      </c>
      <c r="Z17" s="56" t="n">
        <f aca="false">IF(OR(Z$4="",$C17="",$D17="",N($E17)=0),"",$E17*MAX(0,MIN($D17+1,EDATE(Z$4,1))-MAX($C17,Z$4))/MAX(1,$D17+1-$C17))</f>
        <v>0</v>
      </c>
      <c r="AA17" s="56" t="n">
        <f aca="false">IF(OR(AA$4="",$C17="",$D17="",N($E17)=0),"",$E17*MAX(0,MIN($D17+1,EDATE(AA$4,1))-MAX($C17,AA$4))/MAX(1,$D17+1-$C17))</f>
        <v>0</v>
      </c>
      <c r="AB17" s="56" t="n">
        <f aca="false">IF(OR(AB$4="",$C17="",$D17="",N($E17)=0),"",$E17*MAX(0,MIN($D17+1,EDATE(AB$4,1))-MAX($C17,AB$4))/MAX(1,$D17+1-$C17))</f>
        <v>0</v>
      </c>
      <c r="AC17" s="56" t="n">
        <f aca="false">IF(OR(AC$4="",$C17="",$D17="",N($E17)=0),"",$E17*MAX(0,MIN($D17+1,EDATE(AC$4,1))-MAX($C17,AC$4))/MAX(1,$D17+1-$C17))</f>
        <v>0</v>
      </c>
      <c r="AD17" s="56" t="n">
        <f aca="false">IF(OR(AD$4="",$C17="",$D17="",N($E17)=0),"",$E17*MAX(0,MIN($D17+1,EDATE(AD$4,1))-MAX($C17,AD$4))/MAX(1,$D17+1-$C17))</f>
        <v>0</v>
      </c>
      <c r="AE17" s="56" t="n">
        <f aca="false">IF(OR(AE$4="",$C17="",$D17="",N($E17)=0),"",$E17*MAX(0,MIN($D17+1,EDATE(AE$4,1))-MAX($C17,AE$4))/MAX(1,$D17+1-$C17))</f>
        <v>0</v>
      </c>
      <c r="AF17" s="56" t="n">
        <f aca="false">IF(OR(AF$4="",$C17="",$D17="",N($E17)=0),"",$E17*MAX(0,MIN($D17+1,EDATE(AF$4,1))-MAX($C17,AF$4))/MAX(1,$D17+1-$C17))</f>
        <v>0</v>
      </c>
      <c r="AG17" s="56" t="n">
        <f aca="false">IF(OR(AG$4="",$C17="",$D17="",N($E17)=0),"",$E17*MAX(0,MIN($D17+1,EDATE(AG$4,1))-MAX($C17,AG$4))/MAX(1,$D17+1-$C17))</f>
        <v>0</v>
      </c>
      <c r="AH17" s="56" t="n">
        <f aca="false">IF(OR(AH$4="",$C17="",$D17="",N($E17)=0),"",$E17*MAX(0,MIN($D17+1,EDATE(AH$4,1))-MAX($C17,AH$4))/MAX(1,$D17+1-$C17))</f>
        <v>0</v>
      </c>
      <c r="AI17" s="56" t="n">
        <f aca="false">IF(OR(AI$4="",$C17="",$D17="",N($E17)=0),"",$E17*MAX(0,MIN($D17+1,EDATE(AI$4,1))-MAX($C17,AI$4))/MAX(1,$D17+1-$C17))</f>
        <v>0</v>
      </c>
      <c r="AJ17" s="56" t="n">
        <f aca="false">IF(OR(AJ$4="",$C17="",$D17="",N($E17)=0),"",$E17*MAX(0,MIN($D17+1,EDATE(AJ$4,1))-MAX($C17,AJ$4))/MAX(1,$D17+1-$C17))</f>
        <v>0</v>
      </c>
      <c r="AK17" s="56" t="n">
        <f aca="false">IF(OR(AK$4="",$C17="",$D17="",N($E17)=0),"",$E17*MAX(0,MIN($D17+1,EDATE(AK$4,1))-MAX($C17,AK$4))/MAX(1,$D17+1-$C17))</f>
        <v>0</v>
      </c>
      <c r="AL17" s="56" t="n">
        <f aca="false">IF(OR(AL$4="",$C17="",$D17="",N($E17)=0),"",$E17*MAX(0,MIN($D17+1,EDATE(AL$4,1))-MAX($C17,AL$4))/MAX(1,$D17+1-$C17))</f>
        <v>0</v>
      </c>
      <c r="AM17" s="56" t="n">
        <f aca="false">IF(OR(AM$4="",$C17="",$D17="",N($E17)=0),"",$E17*MAX(0,MIN($D17+1,EDATE(AM$4,1))-MAX($C17,AM$4))/MAX(1,$D17+1-$C17))</f>
        <v>0</v>
      </c>
      <c r="AN17" s="56" t="n">
        <f aca="false">IF(OR(AN$4="",$C17="",$D17="",N($E17)=0),"",$E17*MAX(0,MIN($D17+1,EDATE(AN$4,1))-MAX($C17,AN$4))/MAX(1,$D17+1-$C17))</f>
        <v>0</v>
      </c>
      <c r="AO17" s="56" t="n">
        <f aca="false">IF(OR(AO$4="",$C17="",$D17="",N($E17)=0),"",$E17*MAX(0,MIN($D17+1,EDATE(AO$4,1))-MAX($C17,AO$4))/MAX(1,$D17+1-$C17))</f>
        <v>0</v>
      </c>
      <c r="AP17" s="56" t="str">
        <f aca="false">IF(OR(AP$4="",$C17="",$D17="",N($E17)=0),"",$E17*MAX(0,MIN($D17+1,EDATE(AP$4,1))-MAX($C17,AP$4))/MAX(1,$D17+1-$C17))</f>
        <v/>
      </c>
      <c r="AQ17" s="56" t="str">
        <f aca="false">IF(OR(AQ$4="",$C17="",$D17="",N($E17)=0),"",$E17*MAX(0,MIN($D17+1,EDATE(AQ$4,1))-MAX($C17,AQ$4))/MAX(1,$D17+1-$C17))</f>
        <v/>
      </c>
      <c r="AR17" s="56" t="str">
        <f aca="false">IF(OR(AR$4="",$C17="",$D17="",N($E17)=0),"",$E17*MAX(0,MIN($D17+1,EDATE(AR$4,1))-MAX($C17,AR$4))/MAX(1,$D17+1-$C17))</f>
        <v/>
      </c>
      <c r="AS17" s="56" t="str">
        <f aca="false">IF(OR(AS$4="",$C17="",$D17="",N($E17)=0),"",$E17*MAX(0,MIN($D17+1,EDATE(AS$4,1))-MAX($C17,AS$4))/MAX(1,$D17+1-$C17))</f>
        <v/>
      </c>
      <c r="AT17" s="56" t="str">
        <f aca="false">IF(OR(AT$4="",$C17="",$D17="",N($E17)=0),"",$E17*MAX(0,MIN($D17+1,EDATE(AT$4,1))-MAX($C17,AT$4))/MAX(1,$D17+1-$C17))</f>
        <v/>
      </c>
      <c r="AU17" s="56" t="str">
        <f aca="false">IF(OR(AU$4="",$C17="",$D17="",N($E17)=0),"",$E17*MAX(0,MIN($D17+1,EDATE(AU$4,1))-MAX($C17,AU$4))/MAX(1,$D17+1-$C17))</f>
        <v/>
      </c>
      <c r="AV17" s="56" t="str">
        <f aca="false">IF(OR(AV$4="",$C17="",$D17="",N($E17)=0),"",$E17*MAX(0,MIN($D17+1,EDATE(AV$4,1))-MAX($C17,AV$4))/MAX(1,$D17+1-$C17))</f>
        <v/>
      </c>
      <c r="AW17" s="56" t="str">
        <f aca="false">IF(OR(AW$4="",$C17="",$D17="",N($E17)=0),"",$E17*MAX(0,MIN($D17+1,EDATE(AW$4,1))-MAX($C17,AW$4))/MAX(1,$D17+1-$C17))</f>
        <v/>
      </c>
      <c r="AX17" s="56" t="str">
        <f aca="false">IF(OR(AX$4="",$C17="",$D17="",N($E17)=0),"",$E17*MAX(0,MIN($D17+1,EDATE(AX$4,1))-MAX($C17,AX$4))/MAX(1,$D17+1-$C17))</f>
        <v/>
      </c>
      <c r="AY17" s="56" t="str">
        <f aca="false">IF(OR(AY$4="",$C17="",$D17="",N($E17)=0),"",$E17*MAX(0,MIN($D17+1,EDATE(AY$4,1))-MAX($C17,AY$4))/MAX(1,$D17+1-$C17))</f>
        <v/>
      </c>
      <c r="AZ17" s="56" t="str">
        <f aca="false">IF(OR(AZ$4="",$C17="",$D17="",N($E17)=0),"",$E17*MAX(0,MIN($D17+1,EDATE(AZ$4,1))-MAX($C17,AZ$4))/MAX(1,$D17+1-$C17))</f>
        <v/>
      </c>
      <c r="BA17" s="56" t="str">
        <f aca="false">IF(OR(BA$4="",$C17="",$D17="",N($E17)=0),"",$E17*MAX(0,MIN($D17+1,EDATE(BA$4,1))-MAX($C17,BA$4))/MAX(1,$D17+1-$C17))</f>
        <v/>
      </c>
      <c r="BB17" s="56" t="str">
        <f aca="false">IF(OR(BB$4="",$C17="",$D17="",N($E17)=0),"",$E17*MAX(0,MIN($D17+1,EDATE(BB$4,1))-MAX($C17,BB$4))/MAX(1,$D17+1-$C17))</f>
        <v/>
      </c>
      <c r="BC17" s="56" t="str">
        <f aca="false">IF(OR(BC$4="",$C17="",$D17="",N($E17)=0),"",$E17*MAX(0,MIN($D17+1,EDATE(BC$4,1))-MAX($C17,BC$4))/MAX(1,$D17+1-$C17))</f>
        <v/>
      </c>
      <c r="BD17" s="56" t="str">
        <f aca="false">IF(OR(BD$4="",$C17="",$D17="",N($E17)=0),"",$E17*MAX(0,MIN($D17+1,EDATE(BD$4,1))-MAX($C17,BD$4))/MAX(1,$D17+1-$C17))</f>
        <v/>
      </c>
      <c r="BE17" s="56" t="str">
        <f aca="false">IF(OR(BE$4="",$C17="",$D17="",N($E17)=0),"",$E17*MAX(0,MIN($D17+1,EDATE(BE$4,1))-MAX($C17,BE$4))/MAX(1,$D17+1-$C17))</f>
        <v/>
      </c>
      <c r="BF17" s="56" t="str">
        <f aca="false">IF(OR(BF$4="",$C17="",$D17="",N($E17)=0),"",$E17*MAX(0,MIN($D17+1,EDATE(BF$4,1))-MAX($C17,BF$4))/MAX(1,$D17+1-$C17))</f>
        <v/>
      </c>
      <c r="BG17" s="56" t="str">
        <f aca="false">IF(OR(BG$4="",$C17="",$D17="",N($E17)=0),"",$E17*MAX(0,MIN($D17+1,EDATE(BG$4,1))-MAX($C17,BG$4))/MAX(1,$D17+1-$C17))</f>
        <v/>
      </c>
      <c r="BH17" s="56" t="str">
        <f aca="false">IF(OR(BH$4="",$C17="",$D17="",N($E17)=0),"",$E17*MAX(0,MIN($D17+1,EDATE(BH$4,1))-MAX($C17,BH$4))/MAX(1,$D17+1-$C17))</f>
        <v/>
      </c>
      <c r="BI17" s="56" t="str">
        <f aca="false">IF(OR(BI$4="",$C17="",$D17="",N($E17)=0),"",$E17*MAX(0,MIN($D17+1,EDATE(BI$4,1))-MAX($C17,BI$4))/MAX(1,$D17+1-$C17))</f>
        <v/>
      </c>
      <c r="BJ17" s="56" t="str">
        <f aca="false">IF(OR(BJ$4="",$C17="",$D17="",N($E17)=0),"",$E17*MAX(0,MIN($D17+1,EDATE(BJ$4,1))-MAX($C17,BJ$4))/MAX(1,$D17+1-$C17))</f>
        <v/>
      </c>
      <c r="BK17" s="56" t="str">
        <f aca="false">IF(OR(BK$4="",$C17="",$D17="",N($E17)=0),"",$E17*MAX(0,MIN($D17+1,EDATE(BK$4,1))-MAX($C17,BK$4))/MAX(1,$D17+1-$C17))</f>
        <v/>
      </c>
      <c r="BL17" s="56" t="str">
        <f aca="false">IF(OR(BL$4="",$C17="",$D17="",N($E17)=0),"",$E17*MAX(0,MIN($D17+1,EDATE(BL$4,1))-MAX($C17,BL$4))/MAX(1,$D17+1-$C17))</f>
        <v/>
      </c>
      <c r="BM17" s="56" t="str">
        <f aca="false">IF(OR(BM$4="",$C17="",$D17="",N($E17)=0),"",$E17*MAX(0,MIN($D17+1,EDATE(BM$4,1))-MAX($C17,BM$4))/MAX(1,$D17+1-$C17))</f>
        <v/>
      </c>
      <c r="BN17" s="56" t="str">
        <f aca="false">IF(OR(BN$4="",$C17="",$D17="",N($E17)=0),"",$E17*MAX(0,MIN($D17+1,EDATE(BN$4,1))-MAX($C17,BN$4))/MAX(1,$D17+1-$C17))</f>
        <v/>
      </c>
      <c r="BO17" s="56" t="str">
        <f aca="false">IF(OR(BO$4="",$C17="",$D17="",N($E17)=0),"",$E17*MAX(0,MIN($D17+1,EDATE(BO$4,1))-MAX($C17,BO$4))/MAX(1,$D17+1-$C17))</f>
        <v/>
      </c>
      <c r="BP17" s="56" t="str">
        <f aca="false">IF(OR(BP$4="",$C17="",$D17="",N($E17)=0),"",$E17*MAX(0,MIN($D17+1,EDATE(BP$4,1))-MAX($C17,BP$4))/MAX(1,$D17+1-$C17))</f>
        <v/>
      </c>
      <c r="BQ17" s="56" t="str">
        <f aca="false">IF(OR(BQ$4="",$C17="",$D17="",N($E17)=0),"",$E17*MAX(0,MIN($D17+1,EDATE(BQ$4,1))-MAX($C17,BQ$4))/MAX(1,$D17+1-$C17))</f>
        <v/>
      </c>
      <c r="BR17" s="56" t="str">
        <f aca="false">IF(OR(BR$4="",$C17="",$D17="",N($E17)=0),"",$E17*MAX(0,MIN($D17+1,EDATE(BR$4,1))-MAX($C17,BR$4))/MAX(1,$D17+1-$C17))</f>
        <v/>
      </c>
      <c r="BS17" s="56" t="str">
        <f aca="false">IF(OR(BS$4="",$C17="",$D17="",N($E17)=0),"",$E17*MAX(0,MIN($D17+1,EDATE(BS$4,1))-MAX($C17,BS$4))/MAX(1,$D17+1-$C17))</f>
        <v/>
      </c>
      <c r="BT17" s="56" t="str">
        <f aca="false">IF(OR(BT$4="",$C17="",$D17="",N($E17)=0),"",$E17*MAX(0,MIN($D17+1,EDATE(BT$4,1))-MAX($C17,BT$4))/MAX(1,$D17+1-$C17))</f>
        <v/>
      </c>
      <c r="BU17" s="56" t="str">
        <f aca="false">IF(OR(BU$4="",$C17="",$D17="",N($E17)=0),"",$E17*MAX(0,MIN($D17+1,EDATE(BU$4,1))-MAX($C17,BU$4))/MAX(1,$D17+1-$C17))</f>
        <v/>
      </c>
      <c r="BV17" s="56" t="str">
        <f aca="false">IF(OR(BV$4="",$C17="",$D17="",N($E17)=0),"",$E17*MAX(0,MIN($D17+1,EDATE(BV$4,1))-MAX($C17,BV$4))/MAX(1,$D17+1-$C17))</f>
        <v/>
      </c>
      <c r="BW17" s="56" t="str">
        <f aca="false">IF(OR(BW$4="",$C17="",$D17="",N($E17)=0),"",$E17*MAX(0,MIN($D17+1,EDATE(BW$4,1))-MAX($C17,BW$4))/MAX(1,$D17+1-$C17))</f>
        <v/>
      </c>
      <c r="BX17" s="56" t="str">
        <f aca="false">IF(OR(BX$4="",$C17="",$D17="",N($E17)=0),"",$E17*MAX(0,MIN($D17+1,EDATE(BX$4,1))-MAX($C17,BX$4))/MAX(1,$D17+1-$C17))</f>
        <v/>
      </c>
      <c r="BY17" s="56" t="str">
        <f aca="false">IF(OR(BY$4="",$C17="",$D17="",N($E17)=0),"",$E17*MAX(0,MIN($D17+1,EDATE(BY$4,1))-MAX($C17,BY$4))/MAX(1,$D17+1-$C17))</f>
        <v/>
      </c>
    </row>
    <row r="18" customFormat="false" ht="15" hidden="false" customHeight="false" outlineLevel="0" collapsed="false">
      <c r="A18" s="53" t="str">
        <f aca="false">IF(BOE!$A19="","",BOE!$A19)</f>
        <v>205</v>
      </c>
      <c r="B18" s="53" t="str">
        <f aca="false">IF(BOE!$A19="","",BOE!$C19)</f>
        <v>System Hazard Analysis (SHA)</v>
      </c>
      <c r="C18" s="54" t="n">
        <f aca="false">IF(BOE!$O19="","",BOE!$O19)</f>
        <v>46695</v>
      </c>
      <c r="D18" s="54" t="n">
        <f aca="false">IF(BOE!$P19="","",BOE!$P19)</f>
        <v>46933</v>
      </c>
      <c r="E18" s="55" t="n">
        <f aca="false">IF(Inputs!$B$7="P90",BOE!$T19,BOE!$R19)</f>
        <v>832</v>
      </c>
      <c r="F18" s="56" t="n">
        <f aca="false">IF(OR(F$4="",$C18="",$D18="",N($E18)=0),"",$E18*MAX(0,MIN($D18+1,EDATE(F$4,1))-MAX($C18,F$4))/MAX(1,$D18+1-$C18))</f>
        <v>0</v>
      </c>
      <c r="G18" s="56" t="n">
        <f aca="false">IF(OR(G$4="",$C18="",$D18="",N($E18)=0),"",$E18*MAX(0,MIN($D18+1,EDATE(G$4,1))-MAX($C18,G$4))/MAX(1,$D18+1-$C18))</f>
        <v>0</v>
      </c>
      <c r="H18" s="56" t="n">
        <f aca="false">IF(OR(H$4="",$C18="",$D18="",N($E18)=0),"",$E18*MAX(0,MIN($D18+1,EDATE(H$4,1))-MAX($C18,H$4))/MAX(1,$D18+1-$C18))</f>
        <v>0</v>
      </c>
      <c r="I18" s="56" t="n">
        <f aca="false">IF(OR(I$4="",$C18="",$D18="",N($E18)=0),"",$E18*MAX(0,MIN($D18+1,EDATE(I$4,1))-MAX($C18,I$4))/MAX(1,$D18+1-$C18))</f>
        <v>0</v>
      </c>
      <c r="J18" s="56" t="n">
        <f aca="false">IF(OR(J$4="",$C18="",$D18="",N($E18)=0),"",$E18*MAX(0,MIN($D18+1,EDATE(J$4,1))-MAX($C18,J$4))/MAX(1,$D18+1-$C18))</f>
        <v>0</v>
      </c>
      <c r="K18" s="56" t="n">
        <f aca="false">IF(OR(K$4="",$C18="",$D18="",N($E18)=0),"",$E18*MAX(0,MIN($D18+1,EDATE(K$4,1))-MAX($C18,K$4))/MAX(1,$D18+1-$C18))</f>
        <v>0</v>
      </c>
      <c r="L18" s="56" t="n">
        <f aca="false">IF(OR(L$4="",$C18="",$D18="",N($E18)=0),"",$E18*MAX(0,MIN($D18+1,EDATE(L$4,1))-MAX($C18,L$4))/MAX(1,$D18+1-$C18))</f>
        <v>0</v>
      </c>
      <c r="M18" s="56" t="n">
        <f aca="false">IF(OR(M$4="",$C18="",$D18="",N($E18)=0),"",$E18*MAX(0,MIN($D18+1,EDATE(M$4,1))-MAX($C18,M$4))/MAX(1,$D18+1-$C18))</f>
        <v>0</v>
      </c>
      <c r="N18" s="56" t="n">
        <f aca="false">IF(OR(N$4="",$C18="",$D18="",N($E18)=0),"",$E18*MAX(0,MIN($D18+1,EDATE(N$4,1))-MAX($C18,N$4))/MAX(1,$D18+1-$C18))</f>
        <v>0</v>
      </c>
      <c r="O18" s="56" t="n">
        <f aca="false">IF(OR(O$4="",$C18="",$D18="",N($E18)=0),"",$E18*MAX(0,MIN($D18+1,EDATE(O$4,1))-MAX($C18,O$4))/MAX(1,$D18+1-$C18))</f>
        <v>0</v>
      </c>
      <c r="P18" s="56" t="n">
        <f aca="false">IF(OR(P$4="",$C18="",$D18="",N($E18)=0),"",$E18*MAX(0,MIN($D18+1,EDATE(P$4,1))-MAX($C18,P$4))/MAX(1,$D18+1-$C18))</f>
        <v>104.435146443515</v>
      </c>
      <c r="Q18" s="56" t="n">
        <f aca="false">IF(OR(Q$4="",$C18="",$D18="",N($E18)=0),"",$E18*MAX(0,MIN($D18+1,EDATE(Q$4,1))-MAX($C18,Q$4))/MAX(1,$D18+1-$C18))</f>
        <v>107.916317991632</v>
      </c>
      <c r="R18" s="56" t="n">
        <f aca="false">IF(OR(R$4="",$C18="",$D18="",N($E18)=0),"",$E18*MAX(0,MIN($D18+1,EDATE(R$4,1))-MAX($C18,R$4))/MAX(1,$D18+1-$C18))</f>
        <v>107.916317991632</v>
      </c>
      <c r="S18" s="56" t="n">
        <f aca="false">IF(OR(S$4="",$C18="",$D18="",N($E18)=0),"",$E18*MAX(0,MIN($D18+1,EDATE(S$4,1))-MAX($C18,S$4))/MAX(1,$D18+1-$C18))</f>
        <v>100.953974895398</v>
      </c>
      <c r="T18" s="56" t="n">
        <f aca="false">IF(OR(T$4="",$C18="",$D18="",N($E18)=0),"",$E18*MAX(0,MIN($D18+1,EDATE(T$4,1))-MAX($C18,T$4))/MAX(1,$D18+1-$C18))</f>
        <v>107.916317991632</v>
      </c>
      <c r="U18" s="56" t="n">
        <f aca="false">IF(OR(U$4="",$C18="",$D18="",N($E18)=0),"",$E18*MAX(0,MIN($D18+1,EDATE(U$4,1))-MAX($C18,U$4))/MAX(1,$D18+1-$C18))</f>
        <v>104.435146443515</v>
      </c>
      <c r="V18" s="56" t="n">
        <f aca="false">IF(OR(V$4="",$C18="",$D18="",N($E18)=0),"",$E18*MAX(0,MIN($D18+1,EDATE(V$4,1))-MAX($C18,V$4))/MAX(1,$D18+1-$C18))</f>
        <v>107.916317991632</v>
      </c>
      <c r="W18" s="56" t="n">
        <f aca="false">IF(OR(W$4="",$C18="",$D18="",N($E18)=0),"",$E18*MAX(0,MIN($D18+1,EDATE(W$4,1))-MAX($C18,W$4))/MAX(1,$D18+1-$C18))</f>
        <v>90.510460251046</v>
      </c>
      <c r="X18" s="56" t="n">
        <f aca="false">IF(OR(X$4="",$C18="",$D18="",N($E18)=0),"",$E18*MAX(0,MIN($D18+1,EDATE(X$4,1))-MAX($C18,X$4))/MAX(1,$D18+1-$C18))</f>
        <v>0</v>
      </c>
      <c r="Y18" s="56" t="n">
        <f aca="false">IF(OR(Y$4="",$C18="",$D18="",N($E18)=0),"",$E18*MAX(0,MIN($D18+1,EDATE(Y$4,1))-MAX($C18,Y$4))/MAX(1,$D18+1-$C18))</f>
        <v>0</v>
      </c>
      <c r="Z18" s="56" t="n">
        <f aca="false">IF(OR(Z$4="",$C18="",$D18="",N($E18)=0),"",$E18*MAX(0,MIN($D18+1,EDATE(Z$4,1))-MAX($C18,Z$4))/MAX(1,$D18+1-$C18))</f>
        <v>0</v>
      </c>
      <c r="AA18" s="56" t="n">
        <f aca="false">IF(OR(AA$4="",$C18="",$D18="",N($E18)=0),"",$E18*MAX(0,MIN($D18+1,EDATE(AA$4,1))-MAX($C18,AA$4))/MAX(1,$D18+1-$C18))</f>
        <v>0</v>
      </c>
      <c r="AB18" s="56" t="n">
        <f aca="false">IF(OR(AB$4="",$C18="",$D18="",N($E18)=0),"",$E18*MAX(0,MIN($D18+1,EDATE(AB$4,1))-MAX($C18,AB$4))/MAX(1,$D18+1-$C18))</f>
        <v>0</v>
      </c>
      <c r="AC18" s="56" t="n">
        <f aca="false">IF(OR(AC$4="",$C18="",$D18="",N($E18)=0),"",$E18*MAX(0,MIN($D18+1,EDATE(AC$4,1))-MAX($C18,AC$4))/MAX(1,$D18+1-$C18))</f>
        <v>0</v>
      </c>
      <c r="AD18" s="56" t="n">
        <f aca="false">IF(OR(AD$4="",$C18="",$D18="",N($E18)=0),"",$E18*MAX(0,MIN($D18+1,EDATE(AD$4,1))-MAX($C18,AD$4))/MAX(1,$D18+1-$C18))</f>
        <v>0</v>
      </c>
      <c r="AE18" s="56" t="n">
        <f aca="false">IF(OR(AE$4="",$C18="",$D18="",N($E18)=0),"",$E18*MAX(0,MIN($D18+1,EDATE(AE$4,1))-MAX($C18,AE$4))/MAX(1,$D18+1-$C18))</f>
        <v>0</v>
      </c>
      <c r="AF18" s="56" t="n">
        <f aca="false">IF(OR(AF$4="",$C18="",$D18="",N($E18)=0),"",$E18*MAX(0,MIN($D18+1,EDATE(AF$4,1))-MAX($C18,AF$4))/MAX(1,$D18+1-$C18))</f>
        <v>0</v>
      </c>
      <c r="AG18" s="56" t="n">
        <f aca="false">IF(OR(AG$4="",$C18="",$D18="",N($E18)=0),"",$E18*MAX(0,MIN($D18+1,EDATE(AG$4,1))-MAX($C18,AG$4))/MAX(1,$D18+1-$C18))</f>
        <v>0</v>
      </c>
      <c r="AH18" s="56" t="n">
        <f aca="false">IF(OR(AH$4="",$C18="",$D18="",N($E18)=0),"",$E18*MAX(0,MIN($D18+1,EDATE(AH$4,1))-MAX($C18,AH$4))/MAX(1,$D18+1-$C18))</f>
        <v>0</v>
      </c>
      <c r="AI18" s="56" t="n">
        <f aca="false">IF(OR(AI$4="",$C18="",$D18="",N($E18)=0),"",$E18*MAX(0,MIN($D18+1,EDATE(AI$4,1))-MAX($C18,AI$4))/MAX(1,$D18+1-$C18))</f>
        <v>0</v>
      </c>
      <c r="AJ18" s="56" t="n">
        <f aca="false">IF(OR(AJ$4="",$C18="",$D18="",N($E18)=0),"",$E18*MAX(0,MIN($D18+1,EDATE(AJ$4,1))-MAX($C18,AJ$4))/MAX(1,$D18+1-$C18))</f>
        <v>0</v>
      </c>
      <c r="AK18" s="56" t="n">
        <f aca="false">IF(OR(AK$4="",$C18="",$D18="",N($E18)=0),"",$E18*MAX(0,MIN($D18+1,EDATE(AK$4,1))-MAX($C18,AK$4))/MAX(1,$D18+1-$C18))</f>
        <v>0</v>
      </c>
      <c r="AL18" s="56" t="n">
        <f aca="false">IF(OR(AL$4="",$C18="",$D18="",N($E18)=0),"",$E18*MAX(0,MIN($D18+1,EDATE(AL$4,1))-MAX($C18,AL$4))/MAX(1,$D18+1-$C18))</f>
        <v>0</v>
      </c>
      <c r="AM18" s="56" t="n">
        <f aca="false">IF(OR(AM$4="",$C18="",$D18="",N($E18)=0),"",$E18*MAX(0,MIN($D18+1,EDATE(AM$4,1))-MAX($C18,AM$4))/MAX(1,$D18+1-$C18))</f>
        <v>0</v>
      </c>
      <c r="AN18" s="56" t="n">
        <f aca="false">IF(OR(AN$4="",$C18="",$D18="",N($E18)=0),"",$E18*MAX(0,MIN($D18+1,EDATE(AN$4,1))-MAX($C18,AN$4))/MAX(1,$D18+1-$C18))</f>
        <v>0</v>
      </c>
      <c r="AO18" s="56" t="n">
        <f aca="false">IF(OR(AO$4="",$C18="",$D18="",N($E18)=0),"",$E18*MAX(0,MIN($D18+1,EDATE(AO$4,1))-MAX($C18,AO$4))/MAX(1,$D18+1-$C18))</f>
        <v>0</v>
      </c>
      <c r="AP18" s="56" t="str">
        <f aca="false">IF(OR(AP$4="",$C18="",$D18="",N($E18)=0),"",$E18*MAX(0,MIN($D18+1,EDATE(AP$4,1))-MAX($C18,AP$4))/MAX(1,$D18+1-$C18))</f>
        <v/>
      </c>
      <c r="AQ18" s="56" t="str">
        <f aca="false">IF(OR(AQ$4="",$C18="",$D18="",N($E18)=0),"",$E18*MAX(0,MIN($D18+1,EDATE(AQ$4,1))-MAX($C18,AQ$4))/MAX(1,$D18+1-$C18))</f>
        <v/>
      </c>
      <c r="AR18" s="56" t="str">
        <f aca="false">IF(OR(AR$4="",$C18="",$D18="",N($E18)=0),"",$E18*MAX(0,MIN($D18+1,EDATE(AR$4,1))-MAX($C18,AR$4))/MAX(1,$D18+1-$C18))</f>
        <v/>
      </c>
      <c r="AS18" s="56" t="str">
        <f aca="false">IF(OR(AS$4="",$C18="",$D18="",N($E18)=0),"",$E18*MAX(0,MIN($D18+1,EDATE(AS$4,1))-MAX($C18,AS$4))/MAX(1,$D18+1-$C18))</f>
        <v/>
      </c>
      <c r="AT18" s="56" t="str">
        <f aca="false">IF(OR(AT$4="",$C18="",$D18="",N($E18)=0),"",$E18*MAX(0,MIN($D18+1,EDATE(AT$4,1))-MAX($C18,AT$4))/MAX(1,$D18+1-$C18))</f>
        <v/>
      </c>
      <c r="AU18" s="56" t="str">
        <f aca="false">IF(OR(AU$4="",$C18="",$D18="",N($E18)=0),"",$E18*MAX(0,MIN($D18+1,EDATE(AU$4,1))-MAX($C18,AU$4))/MAX(1,$D18+1-$C18))</f>
        <v/>
      </c>
      <c r="AV18" s="56" t="str">
        <f aca="false">IF(OR(AV$4="",$C18="",$D18="",N($E18)=0),"",$E18*MAX(0,MIN($D18+1,EDATE(AV$4,1))-MAX($C18,AV$4))/MAX(1,$D18+1-$C18))</f>
        <v/>
      </c>
      <c r="AW18" s="56" t="str">
        <f aca="false">IF(OR(AW$4="",$C18="",$D18="",N($E18)=0),"",$E18*MAX(0,MIN($D18+1,EDATE(AW$4,1))-MAX($C18,AW$4))/MAX(1,$D18+1-$C18))</f>
        <v/>
      </c>
      <c r="AX18" s="56" t="str">
        <f aca="false">IF(OR(AX$4="",$C18="",$D18="",N($E18)=0),"",$E18*MAX(0,MIN($D18+1,EDATE(AX$4,1))-MAX($C18,AX$4))/MAX(1,$D18+1-$C18))</f>
        <v/>
      </c>
      <c r="AY18" s="56" t="str">
        <f aca="false">IF(OR(AY$4="",$C18="",$D18="",N($E18)=0),"",$E18*MAX(0,MIN($D18+1,EDATE(AY$4,1))-MAX($C18,AY$4))/MAX(1,$D18+1-$C18))</f>
        <v/>
      </c>
      <c r="AZ18" s="56" t="str">
        <f aca="false">IF(OR(AZ$4="",$C18="",$D18="",N($E18)=0),"",$E18*MAX(0,MIN($D18+1,EDATE(AZ$4,1))-MAX($C18,AZ$4))/MAX(1,$D18+1-$C18))</f>
        <v/>
      </c>
      <c r="BA18" s="56" t="str">
        <f aca="false">IF(OR(BA$4="",$C18="",$D18="",N($E18)=0),"",$E18*MAX(0,MIN($D18+1,EDATE(BA$4,1))-MAX($C18,BA$4))/MAX(1,$D18+1-$C18))</f>
        <v/>
      </c>
      <c r="BB18" s="56" t="str">
        <f aca="false">IF(OR(BB$4="",$C18="",$D18="",N($E18)=0),"",$E18*MAX(0,MIN($D18+1,EDATE(BB$4,1))-MAX($C18,BB$4))/MAX(1,$D18+1-$C18))</f>
        <v/>
      </c>
      <c r="BC18" s="56" t="str">
        <f aca="false">IF(OR(BC$4="",$C18="",$D18="",N($E18)=0),"",$E18*MAX(0,MIN($D18+1,EDATE(BC$4,1))-MAX($C18,BC$4))/MAX(1,$D18+1-$C18))</f>
        <v/>
      </c>
      <c r="BD18" s="56" t="str">
        <f aca="false">IF(OR(BD$4="",$C18="",$D18="",N($E18)=0),"",$E18*MAX(0,MIN($D18+1,EDATE(BD$4,1))-MAX($C18,BD$4))/MAX(1,$D18+1-$C18))</f>
        <v/>
      </c>
      <c r="BE18" s="56" t="str">
        <f aca="false">IF(OR(BE$4="",$C18="",$D18="",N($E18)=0),"",$E18*MAX(0,MIN($D18+1,EDATE(BE$4,1))-MAX($C18,BE$4))/MAX(1,$D18+1-$C18))</f>
        <v/>
      </c>
      <c r="BF18" s="56" t="str">
        <f aca="false">IF(OR(BF$4="",$C18="",$D18="",N($E18)=0),"",$E18*MAX(0,MIN($D18+1,EDATE(BF$4,1))-MAX($C18,BF$4))/MAX(1,$D18+1-$C18))</f>
        <v/>
      </c>
      <c r="BG18" s="56" t="str">
        <f aca="false">IF(OR(BG$4="",$C18="",$D18="",N($E18)=0),"",$E18*MAX(0,MIN($D18+1,EDATE(BG$4,1))-MAX($C18,BG$4))/MAX(1,$D18+1-$C18))</f>
        <v/>
      </c>
      <c r="BH18" s="56" t="str">
        <f aca="false">IF(OR(BH$4="",$C18="",$D18="",N($E18)=0),"",$E18*MAX(0,MIN($D18+1,EDATE(BH$4,1))-MAX($C18,BH$4))/MAX(1,$D18+1-$C18))</f>
        <v/>
      </c>
      <c r="BI18" s="56" t="str">
        <f aca="false">IF(OR(BI$4="",$C18="",$D18="",N($E18)=0),"",$E18*MAX(0,MIN($D18+1,EDATE(BI$4,1))-MAX($C18,BI$4))/MAX(1,$D18+1-$C18))</f>
        <v/>
      </c>
      <c r="BJ18" s="56" t="str">
        <f aca="false">IF(OR(BJ$4="",$C18="",$D18="",N($E18)=0),"",$E18*MAX(0,MIN($D18+1,EDATE(BJ$4,1))-MAX($C18,BJ$4))/MAX(1,$D18+1-$C18))</f>
        <v/>
      </c>
      <c r="BK18" s="56" t="str">
        <f aca="false">IF(OR(BK$4="",$C18="",$D18="",N($E18)=0),"",$E18*MAX(0,MIN($D18+1,EDATE(BK$4,1))-MAX($C18,BK$4))/MAX(1,$D18+1-$C18))</f>
        <v/>
      </c>
      <c r="BL18" s="56" t="str">
        <f aca="false">IF(OR(BL$4="",$C18="",$D18="",N($E18)=0),"",$E18*MAX(0,MIN($D18+1,EDATE(BL$4,1))-MAX($C18,BL$4))/MAX(1,$D18+1-$C18))</f>
        <v/>
      </c>
      <c r="BM18" s="56" t="str">
        <f aca="false">IF(OR(BM$4="",$C18="",$D18="",N($E18)=0),"",$E18*MAX(0,MIN($D18+1,EDATE(BM$4,1))-MAX($C18,BM$4))/MAX(1,$D18+1-$C18))</f>
        <v/>
      </c>
      <c r="BN18" s="56" t="str">
        <f aca="false">IF(OR(BN$4="",$C18="",$D18="",N($E18)=0),"",$E18*MAX(0,MIN($D18+1,EDATE(BN$4,1))-MAX($C18,BN$4))/MAX(1,$D18+1-$C18))</f>
        <v/>
      </c>
      <c r="BO18" s="56" t="str">
        <f aca="false">IF(OR(BO$4="",$C18="",$D18="",N($E18)=0),"",$E18*MAX(0,MIN($D18+1,EDATE(BO$4,1))-MAX($C18,BO$4))/MAX(1,$D18+1-$C18))</f>
        <v/>
      </c>
      <c r="BP18" s="56" t="str">
        <f aca="false">IF(OR(BP$4="",$C18="",$D18="",N($E18)=0),"",$E18*MAX(0,MIN($D18+1,EDATE(BP$4,1))-MAX($C18,BP$4))/MAX(1,$D18+1-$C18))</f>
        <v/>
      </c>
      <c r="BQ18" s="56" t="str">
        <f aca="false">IF(OR(BQ$4="",$C18="",$D18="",N($E18)=0),"",$E18*MAX(0,MIN($D18+1,EDATE(BQ$4,1))-MAX($C18,BQ$4))/MAX(1,$D18+1-$C18))</f>
        <v/>
      </c>
      <c r="BR18" s="56" t="str">
        <f aca="false">IF(OR(BR$4="",$C18="",$D18="",N($E18)=0),"",$E18*MAX(0,MIN($D18+1,EDATE(BR$4,1))-MAX($C18,BR$4))/MAX(1,$D18+1-$C18))</f>
        <v/>
      </c>
      <c r="BS18" s="56" t="str">
        <f aca="false">IF(OR(BS$4="",$C18="",$D18="",N($E18)=0),"",$E18*MAX(0,MIN($D18+1,EDATE(BS$4,1))-MAX($C18,BS$4))/MAX(1,$D18+1-$C18))</f>
        <v/>
      </c>
      <c r="BT18" s="56" t="str">
        <f aca="false">IF(OR(BT$4="",$C18="",$D18="",N($E18)=0),"",$E18*MAX(0,MIN($D18+1,EDATE(BT$4,1))-MAX($C18,BT$4))/MAX(1,$D18+1-$C18))</f>
        <v/>
      </c>
      <c r="BU18" s="56" t="str">
        <f aca="false">IF(OR(BU$4="",$C18="",$D18="",N($E18)=0),"",$E18*MAX(0,MIN($D18+1,EDATE(BU$4,1))-MAX($C18,BU$4))/MAX(1,$D18+1-$C18))</f>
        <v/>
      </c>
      <c r="BV18" s="56" t="str">
        <f aca="false">IF(OR(BV$4="",$C18="",$D18="",N($E18)=0),"",$E18*MAX(0,MIN($D18+1,EDATE(BV$4,1))-MAX($C18,BV$4))/MAX(1,$D18+1-$C18))</f>
        <v/>
      </c>
      <c r="BW18" s="56" t="str">
        <f aca="false">IF(OR(BW$4="",$C18="",$D18="",N($E18)=0),"",$E18*MAX(0,MIN($D18+1,EDATE(BW$4,1))-MAX($C18,BW$4))/MAX(1,$D18+1-$C18))</f>
        <v/>
      </c>
      <c r="BX18" s="56" t="str">
        <f aca="false">IF(OR(BX$4="",$C18="",$D18="",N($E18)=0),"",$E18*MAX(0,MIN($D18+1,EDATE(BX$4,1))-MAX($C18,BX$4))/MAX(1,$D18+1-$C18))</f>
        <v/>
      </c>
      <c r="BY18" s="56" t="str">
        <f aca="false">IF(OR(BY$4="",$C18="",$D18="",N($E18)=0),"",$E18*MAX(0,MIN($D18+1,EDATE(BY$4,1))-MAX($C18,BY$4))/MAX(1,$D18+1-$C18))</f>
        <v/>
      </c>
    </row>
    <row r="19" customFormat="false" ht="15" hidden="false" customHeight="false" outlineLevel="0" collapsed="false">
      <c r="A19" s="53" t="str">
        <f aca="false">IF(BOE!$A20="","",BOE!$A20)</f>
        <v>206</v>
      </c>
      <c r="B19" s="53" t="str">
        <f aca="false">IF(BOE!$A20="","",BOE!$C20)</f>
        <v>Operating &amp; Support Hazard Analysis (O&amp;SHA)</v>
      </c>
      <c r="C19" s="54" t="n">
        <f aca="false">IF(BOE!$O20="","",BOE!$O20)</f>
        <v>46877</v>
      </c>
      <c r="D19" s="54" t="n">
        <f aca="false">IF(BOE!$P20="","",BOE!$P20)</f>
        <v>47122</v>
      </c>
      <c r="E19" s="55" t="n">
        <f aca="false">IF(Inputs!$B$7="P90",BOE!$T20,BOE!$R20)</f>
        <v>480</v>
      </c>
      <c r="F19" s="56" t="n">
        <f aca="false">IF(OR(F$4="",$C19="",$D19="",N($E19)=0),"",$E19*MAX(0,MIN($D19+1,EDATE(F$4,1))-MAX($C19,F$4))/MAX(1,$D19+1-$C19))</f>
        <v>0</v>
      </c>
      <c r="G19" s="56" t="n">
        <f aca="false">IF(OR(G$4="",$C19="",$D19="",N($E19)=0),"",$E19*MAX(0,MIN($D19+1,EDATE(G$4,1))-MAX($C19,G$4))/MAX(1,$D19+1-$C19))</f>
        <v>0</v>
      </c>
      <c r="H19" s="56" t="n">
        <f aca="false">IF(OR(H$4="",$C19="",$D19="",N($E19)=0),"",$E19*MAX(0,MIN($D19+1,EDATE(H$4,1))-MAX($C19,H$4))/MAX(1,$D19+1-$C19))</f>
        <v>0</v>
      </c>
      <c r="I19" s="56" t="n">
        <f aca="false">IF(OR(I$4="",$C19="",$D19="",N($E19)=0),"",$E19*MAX(0,MIN($D19+1,EDATE(I$4,1))-MAX($C19,I$4))/MAX(1,$D19+1-$C19))</f>
        <v>0</v>
      </c>
      <c r="J19" s="56" t="n">
        <f aca="false">IF(OR(J$4="",$C19="",$D19="",N($E19)=0),"",$E19*MAX(0,MIN($D19+1,EDATE(J$4,1))-MAX($C19,J$4))/MAX(1,$D19+1-$C19))</f>
        <v>0</v>
      </c>
      <c r="K19" s="56" t="n">
        <f aca="false">IF(OR(K$4="",$C19="",$D19="",N($E19)=0),"",$E19*MAX(0,MIN($D19+1,EDATE(K$4,1))-MAX($C19,K$4))/MAX(1,$D19+1-$C19))</f>
        <v>0</v>
      </c>
      <c r="L19" s="56" t="n">
        <f aca="false">IF(OR(L$4="",$C19="",$D19="",N($E19)=0),"",$E19*MAX(0,MIN($D19+1,EDATE(L$4,1))-MAX($C19,L$4))/MAX(1,$D19+1-$C19))</f>
        <v>0</v>
      </c>
      <c r="M19" s="56" t="n">
        <f aca="false">IF(OR(M$4="",$C19="",$D19="",N($E19)=0),"",$E19*MAX(0,MIN($D19+1,EDATE(M$4,1))-MAX($C19,M$4))/MAX(1,$D19+1-$C19))</f>
        <v>0</v>
      </c>
      <c r="N19" s="56" t="n">
        <f aca="false">IF(OR(N$4="",$C19="",$D19="",N($E19)=0),"",$E19*MAX(0,MIN($D19+1,EDATE(N$4,1))-MAX($C19,N$4))/MAX(1,$D19+1-$C19))</f>
        <v>0</v>
      </c>
      <c r="O19" s="56" t="n">
        <f aca="false">IF(OR(O$4="",$C19="",$D19="",N($E19)=0),"",$E19*MAX(0,MIN($D19+1,EDATE(O$4,1))-MAX($C19,O$4))/MAX(1,$D19+1-$C19))</f>
        <v>0</v>
      </c>
      <c r="P19" s="56" t="n">
        <f aca="false">IF(OR(P$4="",$C19="",$D19="",N($E19)=0),"",$E19*MAX(0,MIN($D19+1,EDATE(P$4,1))-MAX($C19,P$4))/MAX(1,$D19+1-$C19))</f>
        <v>0</v>
      </c>
      <c r="Q19" s="56" t="n">
        <f aca="false">IF(OR(Q$4="",$C19="",$D19="",N($E19)=0),"",$E19*MAX(0,MIN($D19+1,EDATE(Q$4,1))-MAX($C19,Q$4))/MAX(1,$D19+1-$C19))</f>
        <v>0</v>
      </c>
      <c r="R19" s="56" t="n">
        <f aca="false">IF(OR(R$4="",$C19="",$D19="",N($E19)=0),"",$E19*MAX(0,MIN($D19+1,EDATE(R$4,1))-MAX($C19,R$4))/MAX(1,$D19+1-$C19))</f>
        <v>0</v>
      </c>
      <c r="S19" s="56" t="n">
        <f aca="false">IF(OR(S$4="",$C19="",$D19="",N($E19)=0),"",$E19*MAX(0,MIN($D19+1,EDATE(S$4,1))-MAX($C19,S$4))/MAX(1,$D19+1-$C19))</f>
        <v>0</v>
      </c>
      <c r="T19" s="56" t="n">
        <f aca="false">IF(OR(T$4="",$C19="",$D19="",N($E19)=0),"",$E19*MAX(0,MIN($D19+1,EDATE(T$4,1))-MAX($C19,T$4))/MAX(1,$D19+1-$C19))</f>
        <v>0</v>
      </c>
      <c r="U19" s="56" t="n">
        <f aca="false">IF(OR(U$4="",$C19="",$D19="",N($E19)=0),"",$E19*MAX(0,MIN($D19+1,EDATE(U$4,1))-MAX($C19,U$4))/MAX(1,$D19+1-$C19))</f>
        <v>0</v>
      </c>
      <c r="V19" s="56" t="n">
        <f aca="false">IF(OR(V$4="",$C19="",$D19="",N($E19)=0),"",$E19*MAX(0,MIN($D19+1,EDATE(V$4,1))-MAX($C19,V$4))/MAX(1,$D19+1-$C19))</f>
        <v>60.4878048780488</v>
      </c>
      <c r="W19" s="56" t="n">
        <f aca="false">IF(OR(W$4="",$C19="",$D19="",N($E19)=0),"",$E19*MAX(0,MIN($D19+1,EDATE(W$4,1))-MAX($C19,W$4))/MAX(1,$D19+1-$C19))</f>
        <v>58.5365853658537</v>
      </c>
      <c r="X19" s="56" t="n">
        <f aca="false">IF(OR(X$4="",$C19="",$D19="",N($E19)=0),"",$E19*MAX(0,MIN($D19+1,EDATE(X$4,1))-MAX($C19,X$4))/MAX(1,$D19+1-$C19))</f>
        <v>60.4878048780488</v>
      </c>
      <c r="Y19" s="56" t="n">
        <f aca="false">IF(OR(Y$4="",$C19="",$D19="",N($E19)=0),"",$E19*MAX(0,MIN($D19+1,EDATE(Y$4,1))-MAX($C19,Y$4))/MAX(1,$D19+1-$C19))</f>
        <v>60.4878048780488</v>
      </c>
      <c r="Z19" s="56" t="n">
        <f aca="false">IF(OR(Z$4="",$C19="",$D19="",N($E19)=0),"",$E19*MAX(0,MIN($D19+1,EDATE(Z$4,1))-MAX($C19,Z$4))/MAX(1,$D19+1-$C19))</f>
        <v>58.5365853658537</v>
      </c>
      <c r="AA19" s="56" t="n">
        <f aca="false">IF(OR(AA$4="",$C19="",$D19="",N($E19)=0),"",$E19*MAX(0,MIN($D19+1,EDATE(AA$4,1))-MAX($C19,AA$4))/MAX(1,$D19+1-$C19))</f>
        <v>60.4878048780488</v>
      </c>
      <c r="AB19" s="56" t="n">
        <f aca="false">IF(OR(AB$4="",$C19="",$D19="",N($E19)=0),"",$E19*MAX(0,MIN($D19+1,EDATE(AB$4,1))-MAX($C19,AB$4))/MAX(1,$D19+1-$C19))</f>
        <v>58.5365853658537</v>
      </c>
      <c r="AC19" s="56" t="n">
        <f aca="false">IF(OR(AC$4="",$C19="",$D19="",N($E19)=0),"",$E19*MAX(0,MIN($D19+1,EDATE(AC$4,1))-MAX($C19,AC$4))/MAX(1,$D19+1-$C19))</f>
        <v>60.4878048780488</v>
      </c>
      <c r="AD19" s="56" t="n">
        <f aca="false">IF(OR(AD$4="",$C19="",$D19="",N($E19)=0),"",$E19*MAX(0,MIN($D19+1,EDATE(AD$4,1))-MAX($C19,AD$4))/MAX(1,$D19+1-$C19))</f>
        <v>1.95121951219512</v>
      </c>
      <c r="AE19" s="56" t="n">
        <f aca="false">IF(OR(AE$4="",$C19="",$D19="",N($E19)=0),"",$E19*MAX(0,MIN($D19+1,EDATE(AE$4,1))-MAX($C19,AE$4))/MAX(1,$D19+1-$C19))</f>
        <v>0</v>
      </c>
      <c r="AF19" s="56" t="n">
        <f aca="false">IF(OR(AF$4="",$C19="",$D19="",N($E19)=0),"",$E19*MAX(0,MIN($D19+1,EDATE(AF$4,1))-MAX($C19,AF$4))/MAX(1,$D19+1-$C19))</f>
        <v>0</v>
      </c>
      <c r="AG19" s="56" t="n">
        <f aca="false">IF(OR(AG$4="",$C19="",$D19="",N($E19)=0),"",$E19*MAX(0,MIN($D19+1,EDATE(AG$4,1))-MAX($C19,AG$4))/MAX(1,$D19+1-$C19))</f>
        <v>0</v>
      </c>
      <c r="AH19" s="56" t="n">
        <f aca="false">IF(OR(AH$4="",$C19="",$D19="",N($E19)=0),"",$E19*MAX(0,MIN($D19+1,EDATE(AH$4,1))-MAX($C19,AH$4))/MAX(1,$D19+1-$C19))</f>
        <v>0</v>
      </c>
      <c r="AI19" s="56" t="n">
        <f aca="false">IF(OR(AI$4="",$C19="",$D19="",N($E19)=0),"",$E19*MAX(0,MIN($D19+1,EDATE(AI$4,1))-MAX($C19,AI$4))/MAX(1,$D19+1-$C19))</f>
        <v>0</v>
      </c>
      <c r="AJ19" s="56" t="n">
        <f aca="false">IF(OR(AJ$4="",$C19="",$D19="",N($E19)=0),"",$E19*MAX(0,MIN($D19+1,EDATE(AJ$4,1))-MAX($C19,AJ$4))/MAX(1,$D19+1-$C19))</f>
        <v>0</v>
      </c>
      <c r="AK19" s="56" t="n">
        <f aca="false">IF(OR(AK$4="",$C19="",$D19="",N($E19)=0),"",$E19*MAX(0,MIN($D19+1,EDATE(AK$4,1))-MAX($C19,AK$4))/MAX(1,$D19+1-$C19))</f>
        <v>0</v>
      </c>
      <c r="AL19" s="56" t="n">
        <f aca="false">IF(OR(AL$4="",$C19="",$D19="",N($E19)=0),"",$E19*MAX(0,MIN($D19+1,EDATE(AL$4,1))-MAX($C19,AL$4))/MAX(1,$D19+1-$C19))</f>
        <v>0</v>
      </c>
      <c r="AM19" s="56" t="n">
        <f aca="false">IF(OR(AM$4="",$C19="",$D19="",N($E19)=0),"",$E19*MAX(0,MIN($D19+1,EDATE(AM$4,1))-MAX($C19,AM$4))/MAX(1,$D19+1-$C19))</f>
        <v>0</v>
      </c>
      <c r="AN19" s="56" t="n">
        <f aca="false">IF(OR(AN$4="",$C19="",$D19="",N($E19)=0),"",$E19*MAX(0,MIN($D19+1,EDATE(AN$4,1))-MAX($C19,AN$4))/MAX(1,$D19+1-$C19))</f>
        <v>0</v>
      </c>
      <c r="AO19" s="56" t="n">
        <f aca="false">IF(OR(AO$4="",$C19="",$D19="",N($E19)=0),"",$E19*MAX(0,MIN($D19+1,EDATE(AO$4,1))-MAX($C19,AO$4))/MAX(1,$D19+1-$C19))</f>
        <v>0</v>
      </c>
      <c r="AP19" s="56" t="str">
        <f aca="false">IF(OR(AP$4="",$C19="",$D19="",N($E19)=0),"",$E19*MAX(0,MIN($D19+1,EDATE(AP$4,1))-MAX($C19,AP$4))/MAX(1,$D19+1-$C19))</f>
        <v/>
      </c>
      <c r="AQ19" s="56" t="str">
        <f aca="false">IF(OR(AQ$4="",$C19="",$D19="",N($E19)=0),"",$E19*MAX(0,MIN($D19+1,EDATE(AQ$4,1))-MAX($C19,AQ$4))/MAX(1,$D19+1-$C19))</f>
        <v/>
      </c>
      <c r="AR19" s="56" t="str">
        <f aca="false">IF(OR(AR$4="",$C19="",$D19="",N($E19)=0),"",$E19*MAX(0,MIN($D19+1,EDATE(AR$4,1))-MAX($C19,AR$4))/MAX(1,$D19+1-$C19))</f>
        <v/>
      </c>
      <c r="AS19" s="56" t="str">
        <f aca="false">IF(OR(AS$4="",$C19="",$D19="",N($E19)=0),"",$E19*MAX(0,MIN($D19+1,EDATE(AS$4,1))-MAX($C19,AS$4))/MAX(1,$D19+1-$C19))</f>
        <v/>
      </c>
      <c r="AT19" s="56" t="str">
        <f aca="false">IF(OR(AT$4="",$C19="",$D19="",N($E19)=0),"",$E19*MAX(0,MIN($D19+1,EDATE(AT$4,1))-MAX($C19,AT$4))/MAX(1,$D19+1-$C19))</f>
        <v/>
      </c>
      <c r="AU19" s="56" t="str">
        <f aca="false">IF(OR(AU$4="",$C19="",$D19="",N($E19)=0),"",$E19*MAX(0,MIN($D19+1,EDATE(AU$4,1))-MAX($C19,AU$4))/MAX(1,$D19+1-$C19))</f>
        <v/>
      </c>
      <c r="AV19" s="56" t="str">
        <f aca="false">IF(OR(AV$4="",$C19="",$D19="",N($E19)=0),"",$E19*MAX(0,MIN($D19+1,EDATE(AV$4,1))-MAX($C19,AV$4))/MAX(1,$D19+1-$C19))</f>
        <v/>
      </c>
      <c r="AW19" s="56" t="str">
        <f aca="false">IF(OR(AW$4="",$C19="",$D19="",N($E19)=0),"",$E19*MAX(0,MIN($D19+1,EDATE(AW$4,1))-MAX($C19,AW$4))/MAX(1,$D19+1-$C19))</f>
        <v/>
      </c>
      <c r="AX19" s="56" t="str">
        <f aca="false">IF(OR(AX$4="",$C19="",$D19="",N($E19)=0),"",$E19*MAX(0,MIN($D19+1,EDATE(AX$4,1))-MAX($C19,AX$4))/MAX(1,$D19+1-$C19))</f>
        <v/>
      </c>
      <c r="AY19" s="56" t="str">
        <f aca="false">IF(OR(AY$4="",$C19="",$D19="",N($E19)=0),"",$E19*MAX(0,MIN($D19+1,EDATE(AY$4,1))-MAX($C19,AY$4))/MAX(1,$D19+1-$C19))</f>
        <v/>
      </c>
      <c r="AZ19" s="56" t="str">
        <f aca="false">IF(OR(AZ$4="",$C19="",$D19="",N($E19)=0),"",$E19*MAX(0,MIN($D19+1,EDATE(AZ$4,1))-MAX($C19,AZ$4))/MAX(1,$D19+1-$C19))</f>
        <v/>
      </c>
      <c r="BA19" s="56" t="str">
        <f aca="false">IF(OR(BA$4="",$C19="",$D19="",N($E19)=0),"",$E19*MAX(0,MIN($D19+1,EDATE(BA$4,1))-MAX($C19,BA$4))/MAX(1,$D19+1-$C19))</f>
        <v/>
      </c>
      <c r="BB19" s="56" t="str">
        <f aca="false">IF(OR(BB$4="",$C19="",$D19="",N($E19)=0),"",$E19*MAX(0,MIN($D19+1,EDATE(BB$4,1))-MAX($C19,BB$4))/MAX(1,$D19+1-$C19))</f>
        <v/>
      </c>
      <c r="BC19" s="56" t="str">
        <f aca="false">IF(OR(BC$4="",$C19="",$D19="",N($E19)=0),"",$E19*MAX(0,MIN($D19+1,EDATE(BC$4,1))-MAX($C19,BC$4))/MAX(1,$D19+1-$C19))</f>
        <v/>
      </c>
      <c r="BD19" s="56" t="str">
        <f aca="false">IF(OR(BD$4="",$C19="",$D19="",N($E19)=0),"",$E19*MAX(0,MIN($D19+1,EDATE(BD$4,1))-MAX($C19,BD$4))/MAX(1,$D19+1-$C19))</f>
        <v/>
      </c>
      <c r="BE19" s="56" t="str">
        <f aca="false">IF(OR(BE$4="",$C19="",$D19="",N($E19)=0),"",$E19*MAX(0,MIN($D19+1,EDATE(BE$4,1))-MAX($C19,BE$4))/MAX(1,$D19+1-$C19))</f>
        <v/>
      </c>
      <c r="BF19" s="56" t="str">
        <f aca="false">IF(OR(BF$4="",$C19="",$D19="",N($E19)=0),"",$E19*MAX(0,MIN($D19+1,EDATE(BF$4,1))-MAX($C19,BF$4))/MAX(1,$D19+1-$C19))</f>
        <v/>
      </c>
      <c r="BG19" s="56" t="str">
        <f aca="false">IF(OR(BG$4="",$C19="",$D19="",N($E19)=0),"",$E19*MAX(0,MIN($D19+1,EDATE(BG$4,1))-MAX($C19,BG$4))/MAX(1,$D19+1-$C19))</f>
        <v/>
      </c>
      <c r="BH19" s="56" t="str">
        <f aca="false">IF(OR(BH$4="",$C19="",$D19="",N($E19)=0),"",$E19*MAX(0,MIN($D19+1,EDATE(BH$4,1))-MAX($C19,BH$4))/MAX(1,$D19+1-$C19))</f>
        <v/>
      </c>
      <c r="BI19" s="56" t="str">
        <f aca="false">IF(OR(BI$4="",$C19="",$D19="",N($E19)=0),"",$E19*MAX(0,MIN($D19+1,EDATE(BI$4,1))-MAX($C19,BI$4))/MAX(1,$D19+1-$C19))</f>
        <v/>
      </c>
      <c r="BJ19" s="56" t="str">
        <f aca="false">IF(OR(BJ$4="",$C19="",$D19="",N($E19)=0),"",$E19*MAX(0,MIN($D19+1,EDATE(BJ$4,1))-MAX($C19,BJ$4))/MAX(1,$D19+1-$C19))</f>
        <v/>
      </c>
      <c r="BK19" s="56" t="str">
        <f aca="false">IF(OR(BK$4="",$C19="",$D19="",N($E19)=0),"",$E19*MAX(0,MIN($D19+1,EDATE(BK$4,1))-MAX($C19,BK$4))/MAX(1,$D19+1-$C19))</f>
        <v/>
      </c>
      <c r="BL19" s="56" t="str">
        <f aca="false">IF(OR(BL$4="",$C19="",$D19="",N($E19)=0),"",$E19*MAX(0,MIN($D19+1,EDATE(BL$4,1))-MAX($C19,BL$4))/MAX(1,$D19+1-$C19))</f>
        <v/>
      </c>
      <c r="BM19" s="56" t="str">
        <f aca="false">IF(OR(BM$4="",$C19="",$D19="",N($E19)=0),"",$E19*MAX(0,MIN($D19+1,EDATE(BM$4,1))-MAX($C19,BM$4))/MAX(1,$D19+1-$C19))</f>
        <v/>
      </c>
      <c r="BN19" s="56" t="str">
        <f aca="false">IF(OR(BN$4="",$C19="",$D19="",N($E19)=0),"",$E19*MAX(0,MIN($D19+1,EDATE(BN$4,1))-MAX($C19,BN$4))/MAX(1,$D19+1-$C19))</f>
        <v/>
      </c>
      <c r="BO19" s="56" t="str">
        <f aca="false">IF(OR(BO$4="",$C19="",$D19="",N($E19)=0),"",$E19*MAX(0,MIN($D19+1,EDATE(BO$4,1))-MAX($C19,BO$4))/MAX(1,$D19+1-$C19))</f>
        <v/>
      </c>
      <c r="BP19" s="56" t="str">
        <f aca="false">IF(OR(BP$4="",$C19="",$D19="",N($E19)=0),"",$E19*MAX(0,MIN($D19+1,EDATE(BP$4,1))-MAX($C19,BP$4))/MAX(1,$D19+1-$C19))</f>
        <v/>
      </c>
      <c r="BQ19" s="56" t="str">
        <f aca="false">IF(OR(BQ$4="",$C19="",$D19="",N($E19)=0),"",$E19*MAX(0,MIN($D19+1,EDATE(BQ$4,1))-MAX($C19,BQ$4))/MAX(1,$D19+1-$C19))</f>
        <v/>
      </c>
      <c r="BR19" s="56" t="str">
        <f aca="false">IF(OR(BR$4="",$C19="",$D19="",N($E19)=0),"",$E19*MAX(0,MIN($D19+1,EDATE(BR$4,1))-MAX($C19,BR$4))/MAX(1,$D19+1-$C19))</f>
        <v/>
      </c>
      <c r="BS19" s="56" t="str">
        <f aca="false">IF(OR(BS$4="",$C19="",$D19="",N($E19)=0),"",$E19*MAX(0,MIN($D19+1,EDATE(BS$4,1))-MAX($C19,BS$4))/MAX(1,$D19+1-$C19))</f>
        <v/>
      </c>
      <c r="BT19" s="56" t="str">
        <f aca="false">IF(OR(BT$4="",$C19="",$D19="",N($E19)=0),"",$E19*MAX(0,MIN($D19+1,EDATE(BT$4,1))-MAX($C19,BT$4))/MAX(1,$D19+1-$C19))</f>
        <v/>
      </c>
      <c r="BU19" s="56" t="str">
        <f aca="false">IF(OR(BU$4="",$C19="",$D19="",N($E19)=0),"",$E19*MAX(0,MIN($D19+1,EDATE(BU$4,1))-MAX($C19,BU$4))/MAX(1,$D19+1-$C19))</f>
        <v/>
      </c>
      <c r="BV19" s="56" t="str">
        <f aca="false">IF(OR(BV$4="",$C19="",$D19="",N($E19)=0),"",$E19*MAX(0,MIN($D19+1,EDATE(BV$4,1))-MAX($C19,BV$4))/MAX(1,$D19+1-$C19))</f>
        <v/>
      </c>
      <c r="BW19" s="56" t="str">
        <f aca="false">IF(OR(BW$4="",$C19="",$D19="",N($E19)=0),"",$E19*MAX(0,MIN($D19+1,EDATE(BW$4,1))-MAX($C19,BW$4))/MAX(1,$D19+1-$C19))</f>
        <v/>
      </c>
      <c r="BX19" s="56" t="str">
        <f aca="false">IF(OR(BX$4="",$C19="",$D19="",N($E19)=0),"",$E19*MAX(0,MIN($D19+1,EDATE(BX$4,1))-MAX($C19,BX$4))/MAX(1,$D19+1-$C19))</f>
        <v/>
      </c>
      <c r="BY19" s="56" t="str">
        <f aca="false">IF(OR(BY$4="",$C19="",$D19="",N($E19)=0),"",$E19*MAX(0,MIN($D19+1,EDATE(BY$4,1))-MAX($C19,BY$4))/MAX(1,$D19+1-$C19))</f>
        <v/>
      </c>
    </row>
    <row r="20" customFormat="false" ht="15" hidden="false" customHeight="false" outlineLevel="0" collapsed="false">
      <c r="A20" s="53" t="str">
        <f aca="false">IF(BOE!$A21="","",BOE!$A21)</f>
        <v>207</v>
      </c>
      <c r="B20" s="53" t="str">
        <f aca="false">IF(BOE!$A21="","",BOE!$C21)</f>
        <v>Health Hazard Analysis (HHA)</v>
      </c>
      <c r="C20" s="54" t="n">
        <f aca="false">IF(BOE!$O21="","",BOE!$O21)</f>
        <v>46695</v>
      </c>
      <c r="D20" s="54" t="n">
        <f aca="false">IF(BOE!$P21="","",BOE!$P21)</f>
        <v>46877</v>
      </c>
      <c r="E20" s="55" t="n">
        <f aca="false">IF(Inputs!$B$7="P90",BOE!$T21,BOE!$R21)</f>
        <v>280</v>
      </c>
      <c r="F20" s="56" t="n">
        <f aca="false">IF(OR(F$4="",$C20="",$D20="",N($E20)=0),"",$E20*MAX(0,MIN($D20+1,EDATE(F$4,1))-MAX($C20,F$4))/MAX(1,$D20+1-$C20))</f>
        <v>0</v>
      </c>
      <c r="G20" s="56" t="n">
        <f aca="false">IF(OR(G$4="",$C20="",$D20="",N($E20)=0),"",$E20*MAX(0,MIN($D20+1,EDATE(G$4,1))-MAX($C20,G$4))/MAX(1,$D20+1-$C20))</f>
        <v>0</v>
      </c>
      <c r="H20" s="56" t="n">
        <f aca="false">IF(OR(H$4="",$C20="",$D20="",N($E20)=0),"",$E20*MAX(0,MIN($D20+1,EDATE(H$4,1))-MAX($C20,H$4))/MAX(1,$D20+1-$C20))</f>
        <v>0</v>
      </c>
      <c r="I20" s="56" t="n">
        <f aca="false">IF(OR(I$4="",$C20="",$D20="",N($E20)=0),"",$E20*MAX(0,MIN($D20+1,EDATE(I$4,1))-MAX($C20,I$4))/MAX(1,$D20+1-$C20))</f>
        <v>0</v>
      </c>
      <c r="J20" s="56" t="n">
        <f aca="false">IF(OR(J$4="",$C20="",$D20="",N($E20)=0),"",$E20*MAX(0,MIN($D20+1,EDATE(J$4,1))-MAX($C20,J$4))/MAX(1,$D20+1-$C20))</f>
        <v>0</v>
      </c>
      <c r="K20" s="56" t="n">
        <f aca="false">IF(OR(K$4="",$C20="",$D20="",N($E20)=0),"",$E20*MAX(0,MIN($D20+1,EDATE(K$4,1))-MAX($C20,K$4))/MAX(1,$D20+1-$C20))</f>
        <v>0</v>
      </c>
      <c r="L20" s="56" t="n">
        <f aca="false">IF(OR(L$4="",$C20="",$D20="",N($E20)=0),"",$E20*MAX(0,MIN($D20+1,EDATE(L$4,1))-MAX($C20,L$4))/MAX(1,$D20+1-$C20))</f>
        <v>0</v>
      </c>
      <c r="M20" s="56" t="n">
        <f aca="false">IF(OR(M$4="",$C20="",$D20="",N($E20)=0),"",$E20*MAX(0,MIN($D20+1,EDATE(M$4,1))-MAX($C20,M$4))/MAX(1,$D20+1-$C20))</f>
        <v>0</v>
      </c>
      <c r="N20" s="56" t="n">
        <f aca="false">IF(OR(N$4="",$C20="",$D20="",N($E20)=0),"",$E20*MAX(0,MIN($D20+1,EDATE(N$4,1))-MAX($C20,N$4))/MAX(1,$D20+1-$C20))</f>
        <v>0</v>
      </c>
      <c r="O20" s="56" t="n">
        <f aca="false">IF(OR(O$4="",$C20="",$D20="",N($E20)=0),"",$E20*MAX(0,MIN($D20+1,EDATE(O$4,1))-MAX($C20,O$4))/MAX(1,$D20+1-$C20))</f>
        <v>0</v>
      </c>
      <c r="P20" s="56" t="n">
        <f aca="false">IF(OR(P$4="",$C20="",$D20="",N($E20)=0),"",$E20*MAX(0,MIN($D20+1,EDATE(P$4,1))-MAX($C20,P$4))/MAX(1,$D20+1-$C20))</f>
        <v>45.9016393442623</v>
      </c>
      <c r="Q20" s="56" t="n">
        <f aca="false">IF(OR(Q$4="",$C20="",$D20="",N($E20)=0),"",$E20*MAX(0,MIN($D20+1,EDATE(Q$4,1))-MAX($C20,Q$4))/MAX(1,$D20+1-$C20))</f>
        <v>47.431693989071</v>
      </c>
      <c r="R20" s="56" t="n">
        <f aca="false">IF(OR(R$4="",$C20="",$D20="",N($E20)=0),"",$E20*MAX(0,MIN($D20+1,EDATE(R$4,1))-MAX($C20,R$4))/MAX(1,$D20+1-$C20))</f>
        <v>47.431693989071</v>
      </c>
      <c r="S20" s="56" t="n">
        <f aca="false">IF(OR(S$4="",$C20="",$D20="",N($E20)=0),"",$E20*MAX(0,MIN($D20+1,EDATE(S$4,1))-MAX($C20,S$4))/MAX(1,$D20+1-$C20))</f>
        <v>44.3715846994536</v>
      </c>
      <c r="T20" s="56" t="n">
        <f aca="false">IF(OR(T$4="",$C20="",$D20="",N($E20)=0),"",$E20*MAX(0,MIN($D20+1,EDATE(T$4,1))-MAX($C20,T$4))/MAX(1,$D20+1-$C20))</f>
        <v>47.431693989071</v>
      </c>
      <c r="U20" s="56" t="n">
        <f aca="false">IF(OR(U$4="",$C20="",$D20="",N($E20)=0),"",$E20*MAX(0,MIN($D20+1,EDATE(U$4,1))-MAX($C20,U$4))/MAX(1,$D20+1-$C20))</f>
        <v>45.9016393442623</v>
      </c>
      <c r="V20" s="56" t="n">
        <f aca="false">IF(OR(V$4="",$C20="",$D20="",N($E20)=0),"",$E20*MAX(0,MIN($D20+1,EDATE(V$4,1))-MAX($C20,V$4))/MAX(1,$D20+1-$C20))</f>
        <v>1.53005464480874</v>
      </c>
      <c r="W20" s="56" t="n">
        <f aca="false">IF(OR(W$4="",$C20="",$D20="",N($E20)=0),"",$E20*MAX(0,MIN($D20+1,EDATE(W$4,1))-MAX($C20,W$4))/MAX(1,$D20+1-$C20))</f>
        <v>0</v>
      </c>
      <c r="X20" s="56" t="n">
        <f aca="false">IF(OR(X$4="",$C20="",$D20="",N($E20)=0),"",$E20*MAX(0,MIN($D20+1,EDATE(X$4,1))-MAX($C20,X$4))/MAX(1,$D20+1-$C20))</f>
        <v>0</v>
      </c>
      <c r="Y20" s="56" t="n">
        <f aca="false">IF(OR(Y$4="",$C20="",$D20="",N($E20)=0),"",$E20*MAX(0,MIN($D20+1,EDATE(Y$4,1))-MAX($C20,Y$4))/MAX(1,$D20+1-$C20))</f>
        <v>0</v>
      </c>
      <c r="Z20" s="56" t="n">
        <f aca="false">IF(OR(Z$4="",$C20="",$D20="",N($E20)=0),"",$E20*MAX(0,MIN($D20+1,EDATE(Z$4,1))-MAX($C20,Z$4))/MAX(1,$D20+1-$C20))</f>
        <v>0</v>
      </c>
      <c r="AA20" s="56" t="n">
        <f aca="false">IF(OR(AA$4="",$C20="",$D20="",N($E20)=0),"",$E20*MAX(0,MIN($D20+1,EDATE(AA$4,1))-MAX($C20,AA$4))/MAX(1,$D20+1-$C20))</f>
        <v>0</v>
      </c>
      <c r="AB20" s="56" t="n">
        <f aca="false">IF(OR(AB$4="",$C20="",$D20="",N($E20)=0),"",$E20*MAX(0,MIN($D20+1,EDATE(AB$4,1))-MAX($C20,AB$4))/MAX(1,$D20+1-$C20))</f>
        <v>0</v>
      </c>
      <c r="AC20" s="56" t="n">
        <f aca="false">IF(OR(AC$4="",$C20="",$D20="",N($E20)=0),"",$E20*MAX(0,MIN($D20+1,EDATE(AC$4,1))-MAX($C20,AC$4))/MAX(1,$D20+1-$C20))</f>
        <v>0</v>
      </c>
      <c r="AD20" s="56" t="n">
        <f aca="false">IF(OR(AD$4="",$C20="",$D20="",N($E20)=0),"",$E20*MAX(0,MIN($D20+1,EDATE(AD$4,1))-MAX($C20,AD$4))/MAX(1,$D20+1-$C20))</f>
        <v>0</v>
      </c>
      <c r="AE20" s="56" t="n">
        <f aca="false">IF(OR(AE$4="",$C20="",$D20="",N($E20)=0),"",$E20*MAX(0,MIN($D20+1,EDATE(AE$4,1))-MAX($C20,AE$4))/MAX(1,$D20+1-$C20))</f>
        <v>0</v>
      </c>
      <c r="AF20" s="56" t="n">
        <f aca="false">IF(OR(AF$4="",$C20="",$D20="",N($E20)=0),"",$E20*MAX(0,MIN($D20+1,EDATE(AF$4,1))-MAX($C20,AF$4))/MAX(1,$D20+1-$C20))</f>
        <v>0</v>
      </c>
      <c r="AG20" s="56" t="n">
        <f aca="false">IF(OR(AG$4="",$C20="",$D20="",N($E20)=0),"",$E20*MAX(0,MIN($D20+1,EDATE(AG$4,1))-MAX($C20,AG$4))/MAX(1,$D20+1-$C20))</f>
        <v>0</v>
      </c>
      <c r="AH20" s="56" t="n">
        <f aca="false">IF(OR(AH$4="",$C20="",$D20="",N($E20)=0),"",$E20*MAX(0,MIN($D20+1,EDATE(AH$4,1))-MAX($C20,AH$4))/MAX(1,$D20+1-$C20))</f>
        <v>0</v>
      </c>
      <c r="AI20" s="56" t="n">
        <f aca="false">IF(OR(AI$4="",$C20="",$D20="",N($E20)=0),"",$E20*MAX(0,MIN($D20+1,EDATE(AI$4,1))-MAX($C20,AI$4))/MAX(1,$D20+1-$C20))</f>
        <v>0</v>
      </c>
      <c r="AJ20" s="56" t="n">
        <f aca="false">IF(OR(AJ$4="",$C20="",$D20="",N($E20)=0),"",$E20*MAX(0,MIN($D20+1,EDATE(AJ$4,1))-MAX($C20,AJ$4))/MAX(1,$D20+1-$C20))</f>
        <v>0</v>
      </c>
      <c r="AK20" s="56" t="n">
        <f aca="false">IF(OR(AK$4="",$C20="",$D20="",N($E20)=0),"",$E20*MAX(0,MIN($D20+1,EDATE(AK$4,1))-MAX($C20,AK$4))/MAX(1,$D20+1-$C20))</f>
        <v>0</v>
      </c>
      <c r="AL20" s="56" t="n">
        <f aca="false">IF(OR(AL$4="",$C20="",$D20="",N($E20)=0),"",$E20*MAX(0,MIN($D20+1,EDATE(AL$4,1))-MAX($C20,AL$4))/MAX(1,$D20+1-$C20))</f>
        <v>0</v>
      </c>
      <c r="AM20" s="56" t="n">
        <f aca="false">IF(OR(AM$4="",$C20="",$D20="",N($E20)=0),"",$E20*MAX(0,MIN($D20+1,EDATE(AM$4,1))-MAX($C20,AM$4))/MAX(1,$D20+1-$C20))</f>
        <v>0</v>
      </c>
      <c r="AN20" s="56" t="n">
        <f aca="false">IF(OR(AN$4="",$C20="",$D20="",N($E20)=0),"",$E20*MAX(0,MIN($D20+1,EDATE(AN$4,1))-MAX($C20,AN$4))/MAX(1,$D20+1-$C20))</f>
        <v>0</v>
      </c>
      <c r="AO20" s="56" t="n">
        <f aca="false">IF(OR(AO$4="",$C20="",$D20="",N($E20)=0),"",$E20*MAX(0,MIN($D20+1,EDATE(AO$4,1))-MAX($C20,AO$4))/MAX(1,$D20+1-$C20))</f>
        <v>0</v>
      </c>
      <c r="AP20" s="56" t="str">
        <f aca="false">IF(OR(AP$4="",$C20="",$D20="",N($E20)=0),"",$E20*MAX(0,MIN($D20+1,EDATE(AP$4,1))-MAX($C20,AP$4))/MAX(1,$D20+1-$C20))</f>
        <v/>
      </c>
      <c r="AQ20" s="56" t="str">
        <f aca="false">IF(OR(AQ$4="",$C20="",$D20="",N($E20)=0),"",$E20*MAX(0,MIN($D20+1,EDATE(AQ$4,1))-MAX($C20,AQ$4))/MAX(1,$D20+1-$C20))</f>
        <v/>
      </c>
      <c r="AR20" s="56" t="str">
        <f aca="false">IF(OR(AR$4="",$C20="",$D20="",N($E20)=0),"",$E20*MAX(0,MIN($D20+1,EDATE(AR$4,1))-MAX($C20,AR$4))/MAX(1,$D20+1-$C20))</f>
        <v/>
      </c>
      <c r="AS20" s="56" t="str">
        <f aca="false">IF(OR(AS$4="",$C20="",$D20="",N($E20)=0),"",$E20*MAX(0,MIN($D20+1,EDATE(AS$4,1))-MAX($C20,AS$4))/MAX(1,$D20+1-$C20))</f>
        <v/>
      </c>
      <c r="AT20" s="56" t="str">
        <f aca="false">IF(OR(AT$4="",$C20="",$D20="",N($E20)=0),"",$E20*MAX(0,MIN($D20+1,EDATE(AT$4,1))-MAX($C20,AT$4))/MAX(1,$D20+1-$C20))</f>
        <v/>
      </c>
      <c r="AU20" s="56" t="str">
        <f aca="false">IF(OR(AU$4="",$C20="",$D20="",N($E20)=0),"",$E20*MAX(0,MIN($D20+1,EDATE(AU$4,1))-MAX($C20,AU$4))/MAX(1,$D20+1-$C20))</f>
        <v/>
      </c>
      <c r="AV20" s="56" t="str">
        <f aca="false">IF(OR(AV$4="",$C20="",$D20="",N($E20)=0),"",$E20*MAX(0,MIN($D20+1,EDATE(AV$4,1))-MAX($C20,AV$4))/MAX(1,$D20+1-$C20))</f>
        <v/>
      </c>
      <c r="AW20" s="56" t="str">
        <f aca="false">IF(OR(AW$4="",$C20="",$D20="",N($E20)=0),"",$E20*MAX(0,MIN($D20+1,EDATE(AW$4,1))-MAX($C20,AW$4))/MAX(1,$D20+1-$C20))</f>
        <v/>
      </c>
      <c r="AX20" s="56" t="str">
        <f aca="false">IF(OR(AX$4="",$C20="",$D20="",N($E20)=0),"",$E20*MAX(0,MIN($D20+1,EDATE(AX$4,1))-MAX($C20,AX$4))/MAX(1,$D20+1-$C20))</f>
        <v/>
      </c>
      <c r="AY20" s="56" t="str">
        <f aca="false">IF(OR(AY$4="",$C20="",$D20="",N($E20)=0),"",$E20*MAX(0,MIN($D20+1,EDATE(AY$4,1))-MAX($C20,AY$4))/MAX(1,$D20+1-$C20))</f>
        <v/>
      </c>
      <c r="AZ20" s="56" t="str">
        <f aca="false">IF(OR(AZ$4="",$C20="",$D20="",N($E20)=0),"",$E20*MAX(0,MIN($D20+1,EDATE(AZ$4,1))-MAX($C20,AZ$4))/MAX(1,$D20+1-$C20))</f>
        <v/>
      </c>
      <c r="BA20" s="56" t="str">
        <f aca="false">IF(OR(BA$4="",$C20="",$D20="",N($E20)=0),"",$E20*MAX(0,MIN($D20+1,EDATE(BA$4,1))-MAX($C20,BA$4))/MAX(1,$D20+1-$C20))</f>
        <v/>
      </c>
      <c r="BB20" s="56" t="str">
        <f aca="false">IF(OR(BB$4="",$C20="",$D20="",N($E20)=0),"",$E20*MAX(0,MIN($D20+1,EDATE(BB$4,1))-MAX($C20,BB$4))/MAX(1,$D20+1-$C20))</f>
        <v/>
      </c>
      <c r="BC20" s="56" t="str">
        <f aca="false">IF(OR(BC$4="",$C20="",$D20="",N($E20)=0),"",$E20*MAX(0,MIN($D20+1,EDATE(BC$4,1))-MAX($C20,BC$4))/MAX(1,$D20+1-$C20))</f>
        <v/>
      </c>
      <c r="BD20" s="56" t="str">
        <f aca="false">IF(OR(BD$4="",$C20="",$D20="",N($E20)=0),"",$E20*MAX(0,MIN($D20+1,EDATE(BD$4,1))-MAX($C20,BD$4))/MAX(1,$D20+1-$C20))</f>
        <v/>
      </c>
      <c r="BE20" s="56" t="str">
        <f aca="false">IF(OR(BE$4="",$C20="",$D20="",N($E20)=0),"",$E20*MAX(0,MIN($D20+1,EDATE(BE$4,1))-MAX($C20,BE$4))/MAX(1,$D20+1-$C20))</f>
        <v/>
      </c>
      <c r="BF20" s="56" t="str">
        <f aca="false">IF(OR(BF$4="",$C20="",$D20="",N($E20)=0),"",$E20*MAX(0,MIN($D20+1,EDATE(BF$4,1))-MAX($C20,BF$4))/MAX(1,$D20+1-$C20))</f>
        <v/>
      </c>
      <c r="BG20" s="56" t="str">
        <f aca="false">IF(OR(BG$4="",$C20="",$D20="",N($E20)=0),"",$E20*MAX(0,MIN($D20+1,EDATE(BG$4,1))-MAX($C20,BG$4))/MAX(1,$D20+1-$C20))</f>
        <v/>
      </c>
      <c r="BH20" s="56" t="str">
        <f aca="false">IF(OR(BH$4="",$C20="",$D20="",N($E20)=0),"",$E20*MAX(0,MIN($D20+1,EDATE(BH$4,1))-MAX($C20,BH$4))/MAX(1,$D20+1-$C20))</f>
        <v/>
      </c>
      <c r="BI20" s="56" t="str">
        <f aca="false">IF(OR(BI$4="",$C20="",$D20="",N($E20)=0),"",$E20*MAX(0,MIN($D20+1,EDATE(BI$4,1))-MAX($C20,BI$4))/MAX(1,$D20+1-$C20))</f>
        <v/>
      </c>
      <c r="BJ20" s="56" t="str">
        <f aca="false">IF(OR(BJ$4="",$C20="",$D20="",N($E20)=0),"",$E20*MAX(0,MIN($D20+1,EDATE(BJ$4,1))-MAX($C20,BJ$4))/MAX(1,$D20+1-$C20))</f>
        <v/>
      </c>
      <c r="BK20" s="56" t="str">
        <f aca="false">IF(OR(BK$4="",$C20="",$D20="",N($E20)=0),"",$E20*MAX(0,MIN($D20+1,EDATE(BK$4,1))-MAX($C20,BK$4))/MAX(1,$D20+1-$C20))</f>
        <v/>
      </c>
      <c r="BL20" s="56" t="str">
        <f aca="false">IF(OR(BL$4="",$C20="",$D20="",N($E20)=0),"",$E20*MAX(0,MIN($D20+1,EDATE(BL$4,1))-MAX($C20,BL$4))/MAX(1,$D20+1-$C20))</f>
        <v/>
      </c>
      <c r="BM20" s="56" t="str">
        <f aca="false">IF(OR(BM$4="",$C20="",$D20="",N($E20)=0),"",$E20*MAX(0,MIN($D20+1,EDATE(BM$4,1))-MAX($C20,BM$4))/MAX(1,$D20+1-$C20))</f>
        <v/>
      </c>
      <c r="BN20" s="56" t="str">
        <f aca="false">IF(OR(BN$4="",$C20="",$D20="",N($E20)=0),"",$E20*MAX(0,MIN($D20+1,EDATE(BN$4,1))-MAX($C20,BN$4))/MAX(1,$D20+1-$C20))</f>
        <v/>
      </c>
      <c r="BO20" s="56" t="str">
        <f aca="false">IF(OR(BO$4="",$C20="",$D20="",N($E20)=0),"",$E20*MAX(0,MIN($D20+1,EDATE(BO$4,1))-MAX($C20,BO$4))/MAX(1,$D20+1-$C20))</f>
        <v/>
      </c>
      <c r="BP20" s="56" t="str">
        <f aca="false">IF(OR(BP$4="",$C20="",$D20="",N($E20)=0),"",$E20*MAX(0,MIN($D20+1,EDATE(BP$4,1))-MAX($C20,BP$4))/MAX(1,$D20+1-$C20))</f>
        <v/>
      </c>
      <c r="BQ20" s="56" t="str">
        <f aca="false">IF(OR(BQ$4="",$C20="",$D20="",N($E20)=0),"",$E20*MAX(0,MIN($D20+1,EDATE(BQ$4,1))-MAX($C20,BQ$4))/MAX(1,$D20+1-$C20))</f>
        <v/>
      </c>
      <c r="BR20" s="56" t="str">
        <f aca="false">IF(OR(BR$4="",$C20="",$D20="",N($E20)=0),"",$E20*MAX(0,MIN($D20+1,EDATE(BR$4,1))-MAX($C20,BR$4))/MAX(1,$D20+1-$C20))</f>
        <v/>
      </c>
      <c r="BS20" s="56" t="str">
        <f aca="false">IF(OR(BS$4="",$C20="",$D20="",N($E20)=0),"",$E20*MAX(0,MIN($D20+1,EDATE(BS$4,1))-MAX($C20,BS$4))/MAX(1,$D20+1-$C20))</f>
        <v/>
      </c>
      <c r="BT20" s="56" t="str">
        <f aca="false">IF(OR(BT$4="",$C20="",$D20="",N($E20)=0),"",$E20*MAX(0,MIN($D20+1,EDATE(BT$4,1))-MAX($C20,BT$4))/MAX(1,$D20+1-$C20))</f>
        <v/>
      </c>
      <c r="BU20" s="56" t="str">
        <f aca="false">IF(OR(BU$4="",$C20="",$D20="",N($E20)=0),"",$E20*MAX(0,MIN($D20+1,EDATE(BU$4,1))-MAX($C20,BU$4))/MAX(1,$D20+1-$C20))</f>
        <v/>
      </c>
      <c r="BV20" s="56" t="str">
        <f aca="false">IF(OR(BV$4="",$C20="",$D20="",N($E20)=0),"",$E20*MAX(0,MIN($D20+1,EDATE(BV$4,1))-MAX($C20,BV$4))/MAX(1,$D20+1-$C20))</f>
        <v/>
      </c>
      <c r="BW20" s="56" t="str">
        <f aca="false">IF(OR(BW$4="",$C20="",$D20="",N($E20)=0),"",$E20*MAX(0,MIN($D20+1,EDATE(BW$4,1))-MAX($C20,BW$4))/MAX(1,$D20+1-$C20))</f>
        <v/>
      </c>
      <c r="BX20" s="56" t="str">
        <f aca="false">IF(OR(BX$4="",$C20="",$D20="",N($E20)=0),"",$E20*MAX(0,MIN($D20+1,EDATE(BX$4,1))-MAX($C20,BX$4))/MAX(1,$D20+1-$C20))</f>
        <v/>
      </c>
      <c r="BY20" s="56" t="str">
        <f aca="false">IF(OR(BY$4="",$C20="",$D20="",N($E20)=0),"",$E20*MAX(0,MIN($D20+1,EDATE(BY$4,1))-MAX($C20,BY$4))/MAX(1,$D20+1-$C20))</f>
        <v/>
      </c>
    </row>
    <row r="21" customFormat="false" ht="15" hidden="false" customHeight="false" outlineLevel="0" collapsed="false">
      <c r="A21" s="53" t="str">
        <f aca="false">IF(BOE!$A22="","",BOE!$A22)</f>
        <v>208</v>
      </c>
      <c r="B21" s="53" t="str">
        <f aca="false">IF(BOE!$A22="","",BOE!$C22)</f>
        <v>Functional Hazard Analysis (FHA)</v>
      </c>
      <c r="C21" s="54" t="n">
        <f aca="false">IF(BOE!$O22="","",BOE!$O22)</f>
        <v>46481</v>
      </c>
      <c r="D21" s="54" t="n">
        <f aca="false">IF(BOE!$P22="","",BOE!$P22)</f>
        <v>46695</v>
      </c>
      <c r="E21" s="55" t="n">
        <f aca="false">IF(Inputs!$B$7="P90",BOE!$T22,BOE!$R22)</f>
        <v>520</v>
      </c>
      <c r="F21" s="56" t="n">
        <f aca="false">IF(OR(F$4="",$C21="",$D21="",N($E21)=0),"",$E21*MAX(0,MIN($D21+1,EDATE(F$4,1))-MAX($C21,F$4))/MAX(1,$D21+1-$C21))</f>
        <v>0</v>
      </c>
      <c r="G21" s="56" t="n">
        <f aca="false">IF(OR(G$4="",$C21="",$D21="",N($E21)=0),"",$E21*MAX(0,MIN($D21+1,EDATE(G$4,1))-MAX($C21,G$4))/MAX(1,$D21+1-$C21))</f>
        <v>0</v>
      </c>
      <c r="H21" s="56" t="n">
        <f aca="false">IF(OR(H$4="",$C21="",$D21="",N($E21)=0),"",$E21*MAX(0,MIN($D21+1,EDATE(H$4,1))-MAX($C21,H$4))/MAX(1,$D21+1-$C21))</f>
        <v>0</v>
      </c>
      <c r="I21" s="56" t="n">
        <f aca="false">IF(OR(I$4="",$C21="",$D21="",N($E21)=0),"",$E21*MAX(0,MIN($D21+1,EDATE(I$4,1))-MAX($C21,I$4))/MAX(1,$D21+1-$C21))</f>
        <v>72.5581395348837</v>
      </c>
      <c r="J21" s="56" t="n">
        <f aca="false">IF(OR(J$4="",$C21="",$D21="",N($E21)=0),"",$E21*MAX(0,MIN($D21+1,EDATE(J$4,1))-MAX($C21,J$4))/MAX(1,$D21+1-$C21))</f>
        <v>74.9767441860465</v>
      </c>
      <c r="K21" s="56" t="n">
        <f aca="false">IF(OR(K$4="",$C21="",$D21="",N($E21)=0),"",$E21*MAX(0,MIN($D21+1,EDATE(K$4,1))-MAX($C21,K$4))/MAX(1,$D21+1-$C21))</f>
        <v>72.5581395348837</v>
      </c>
      <c r="L21" s="56" t="n">
        <f aca="false">IF(OR(L$4="",$C21="",$D21="",N($E21)=0),"",$E21*MAX(0,MIN($D21+1,EDATE(L$4,1))-MAX($C21,L$4))/MAX(1,$D21+1-$C21))</f>
        <v>74.9767441860465</v>
      </c>
      <c r="M21" s="56" t="n">
        <f aca="false">IF(OR(M$4="",$C21="",$D21="",N($E21)=0),"",$E21*MAX(0,MIN($D21+1,EDATE(M$4,1))-MAX($C21,M$4))/MAX(1,$D21+1-$C21))</f>
        <v>74.9767441860465</v>
      </c>
      <c r="N21" s="56" t="n">
        <f aca="false">IF(OR(N$4="",$C21="",$D21="",N($E21)=0),"",$E21*MAX(0,MIN($D21+1,EDATE(N$4,1))-MAX($C21,N$4))/MAX(1,$D21+1-$C21))</f>
        <v>72.5581395348837</v>
      </c>
      <c r="O21" s="56" t="n">
        <f aca="false">IF(OR(O$4="",$C21="",$D21="",N($E21)=0),"",$E21*MAX(0,MIN($D21+1,EDATE(O$4,1))-MAX($C21,O$4))/MAX(1,$D21+1-$C21))</f>
        <v>74.9767441860465</v>
      </c>
      <c r="P21" s="56" t="n">
        <f aca="false">IF(OR(P$4="",$C21="",$D21="",N($E21)=0),"",$E21*MAX(0,MIN($D21+1,EDATE(P$4,1))-MAX($C21,P$4))/MAX(1,$D21+1-$C21))</f>
        <v>2.41860465116279</v>
      </c>
      <c r="Q21" s="56" t="n">
        <f aca="false">IF(OR(Q$4="",$C21="",$D21="",N($E21)=0),"",$E21*MAX(0,MIN($D21+1,EDATE(Q$4,1))-MAX($C21,Q$4))/MAX(1,$D21+1-$C21))</f>
        <v>0</v>
      </c>
      <c r="R21" s="56" t="n">
        <f aca="false">IF(OR(R$4="",$C21="",$D21="",N($E21)=0),"",$E21*MAX(0,MIN($D21+1,EDATE(R$4,1))-MAX($C21,R$4))/MAX(1,$D21+1-$C21))</f>
        <v>0</v>
      </c>
      <c r="S21" s="56" t="n">
        <f aca="false">IF(OR(S$4="",$C21="",$D21="",N($E21)=0),"",$E21*MAX(0,MIN($D21+1,EDATE(S$4,1))-MAX($C21,S$4))/MAX(1,$D21+1-$C21))</f>
        <v>0</v>
      </c>
      <c r="T21" s="56" t="n">
        <f aca="false">IF(OR(T$4="",$C21="",$D21="",N($E21)=0),"",$E21*MAX(0,MIN($D21+1,EDATE(T$4,1))-MAX($C21,T$4))/MAX(1,$D21+1-$C21))</f>
        <v>0</v>
      </c>
      <c r="U21" s="56" t="n">
        <f aca="false">IF(OR(U$4="",$C21="",$D21="",N($E21)=0),"",$E21*MAX(0,MIN($D21+1,EDATE(U$4,1))-MAX($C21,U$4))/MAX(1,$D21+1-$C21))</f>
        <v>0</v>
      </c>
      <c r="V21" s="56" t="n">
        <f aca="false">IF(OR(V$4="",$C21="",$D21="",N($E21)=0),"",$E21*MAX(0,MIN($D21+1,EDATE(V$4,1))-MAX($C21,V$4))/MAX(1,$D21+1-$C21))</f>
        <v>0</v>
      </c>
      <c r="W21" s="56" t="n">
        <f aca="false">IF(OR(W$4="",$C21="",$D21="",N($E21)=0),"",$E21*MAX(0,MIN($D21+1,EDATE(W$4,1))-MAX($C21,W$4))/MAX(1,$D21+1-$C21))</f>
        <v>0</v>
      </c>
      <c r="X21" s="56" t="n">
        <f aca="false">IF(OR(X$4="",$C21="",$D21="",N($E21)=0),"",$E21*MAX(0,MIN($D21+1,EDATE(X$4,1))-MAX($C21,X$4))/MAX(1,$D21+1-$C21))</f>
        <v>0</v>
      </c>
      <c r="Y21" s="56" t="n">
        <f aca="false">IF(OR(Y$4="",$C21="",$D21="",N($E21)=0),"",$E21*MAX(0,MIN($D21+1,EDATE(Y$4,1))-MAX($C21,Y$4))/MAX(1,$D21+1-$C21))</f>
        <v>0</v>
      </c>
      <c r="Z21" s="56" t="n">
        <f aca="false">IF(OR(Z$4="",$C21="",$D21="",N($E21)=0),"",$E21*MAX(0,MIN($D21+1,EDATE(Z$4,1))-MAX($C21,Z$4))/MAX(1,$D21+1-$C21))</f>
        <v>0</v>
      </c>
      <c r="AA21" s="56" t="n">
        <f aca="false">IF(OR(AA$4="",$C21="",$D21="",N($E21)=0),"",$E21*MAX(0,MIN($D21+1,EDATE(AA$4,1))-MAX($C21,AA$4))/MAX(1,$D21+1-$C21))</f>
        <v>0</v>
      </c>
      <c r="AB21" s="56" t="n">
        <f aca="false">IF(OR(AB$4="",$C21="",$D21="",N($E21)=0),"",$E21*MAX(0,MIN($D21+1,EDATE(AB$4,1))-MAX($C21,AB$4))/MAX(1,$D21+1-$C21))</f>
        <v>0</v>
      </c>
      <c r="AC21" s="56" t="n">
        <f aca="false">IF(OR(AC$4="",$C21="",$D21="",N($E21)=0),"",$E21*MAX(0,MIN($D21+1,EDATE(AC$4,1))-MAX($C21,AC$4))/MAX(1,$D21+1-$C21))</f>
        <v>0</v>
      </c>
      <c r="AD21" s="56" t="n">
        <f aca="false">IF(OR(AD$4="",$C21="",$D21="",N($E21)=0),"",$E21*MAX(0,MIN($D21+1,EDATE(AD$4,1))-MAX($C21,AD$4))/MAX(1,$D21+1-$C21))</f>
        <v>0</v>
      </c>
      <c r="AE21" s="56" t="n">
        <f aca="false">IF(OR(AE$4="",$C21="",$D21="",N($E21)=0),"",$E21*MAX(0,MIN($D21+1,EDATE(AE$4,1))-MAX($C21,AE$4))/MAX(1,$D21+1-$C21))</f>
        <v>0</v>
      </c>
      <c r="AF21" s="56" t="n">
        <f aca="false">IF(OR(AF$4="",$C21="",$D21="",N($E21)=0),"",$E21*MAX(0,MIN($D21+1,EDATE(AF$4,1))-MAX($C21,AF$4))/MAX(1,$D21+1-$C21))</f>
        <v>0</v>
      </c>
      <c r="AG21" s="56" t="n">
        <f aca="false">IF(OR(AG$4="",$C21="",$D21="",N($E21)=0),"",$E21*MAX(0,MIN($D21+1,EDATE(AG$4,1))-MAX($C21,AG$4))/MAX(1,$D21+1-$C21))</f>
        <v>0</v>
      </c>
      <c r="AH21" s="56" t="n">
        <f aca="false">IF(OR(AH$4="",$C21="",$D21="",N($E21)=0),"",$E21*MAX(0,MIN($D21+1,EDATE(AH$4,1))-MAX($C21,AH$4))/MAX(1,$D21+1-$C21))</f>
        <v>0</v>
      </c>
      <c r="AI21" s="56" t="n">
        <f aca="false">IF(OR(AI$4="",$C21="",$D21="",N($E21)=0),"",$E21*MAX(0,MIN($D21+1,EDATE(AI$4,1))-MAX($C21,AI$4))/MAX(1,$D21+1-$C21))</f>
        <v>0</v>
      </c>
      <c r="AJ21" s="56" t="n">
        <f aca="false">IF(OR(AJ$4="",$C21="",$D21="",N($E21)=0),"",$E21*MAX(0,MIN($D21+1,EDATE(AJ$4,1))-MAX($C21,AJ$4))/MAX(1,$D21+1-$C21))</f>
        <v>0</v>
      </c>
      <c r="AK21" s="56" t="n">
        <f aca="false">IF(OR(AK$4="",$C21="",$D21="",N($E21)=0),"",$E21*MAX(0,MIN($D21+1,EDATE(AK$4,1))-MAX($C21,AK$4))/MAX(1,$D21+1-$C21))</f>
        <v>0</v>
      </c>
      <c r="AL21" s="56" t="n">
        <f aca="false">IF(OR(AL$4="",$C21="",$D21="",N($E21)=0),"",$E21*MAX(0,MIN($D21+1,EDATE(AL$4,1))-MAX($C21,AL$4))/MAX(1,$D21+1-$C21))</f>
        <v>0</v>
      </c>
      <c r="AM21" s="56" t="n">
        <f aca="false">IF(OR(AM$4="",$C21="",$D21="",N($E21)=0),"",$E21*MAX(0,MIN($D21+1,EDATE(AM$4,1))-MAX($C21,AM$4))/MAX(1,$D21+1-$C21))</f>
        <v>0</v>
      </c>
      <c r="AN21" s="56" t="n">
        <f aca="false">IF(OR(AN$4="",$C21="",$D21="",N($E21)=0),"",$E21*MAX(0,MIN($D21+1,EDATE(AN$4,1))-MAX($C21,AN$4))/MAX(1,$D21+1-$C21))</f>
        <v>0</v>
      </c>
      <c r="AO21" s="56" t="n">
        <f aca="false">IF(OR(AO$4="",$C21="",$D21="",N($E21)=0),"",$E21*MAX(0,MIN($D21+1,EDATE(AO$4,1))-MAX($C21,AO$4))/MAX(1,$D21+1-$C21))</f>
        <v>0</v>
      </c>
      <c r="AP21" s="56" t="str">
        <f aca="false">IF(OR(AP$4="",$C21="",$D21="",N($E21)=0),"",$E21*MAX(0,MIN($D21+1,EDATE(AP$4,1))-MAX($C21,AP$4))/MAX(1,$D21+1-$C21))</f>
        <v/>
      </c>
      <c r="AQ21" s="56" t="str">
        <f aca="false">IF(OR(AQ$4="",$C21="",$D21="",N($E21)=0),"",$E21*MAX(0,MIN($D21+1,EDATE(AQ$4,1))-MAX($C21,AQ$4))/MAX(1,$D21+1-$C21))</f>
        <v/>
      </c>
      <c r="AR21" s="56" t="str">
        <f aca="false">IF(OR(AR$4="",$C21="",$D21="",N($E21)=0),"",$E21*MAX(0,MIN($D21+1,EDATE(AR$4,1))-MAX($C21,AR$4))/MAX(1,$D21+1-$C21))</f>
        <v/>
      </c>
      <c r="AS21" s="56" t="str">
        <f aca="false">IF(OR(AS$4="",$C21="",$D21="",N($E21)=0),"",$E21*MAX(0,MIN($D21+1,EDATE(AS$4,1))-MAX($C21,AS$4))/MAX(1,$D21+1-$C21))</f>
        <v/>
      </c>
      <c r="AT21" s="56" t="str">
        <f aca="false">IF(OR(AT$4="",$C21="",$D21="",N($E21)=0),"",$E21*MAX(0,MIN($D21+1,EDATE(AT$4,1))-MAX($C21,AT$4))/MAX(1,$D21+1-$C21))</f>
        <v/>
      </c>
      <c r="AU21" s="56" t="str">
        <f aca="false">IF(OR(AU$4="",$C21="",$D21="",N($E21)=0),"",$E21*MAX(0,MIN($D21+1,EDATE(AU$4,1))-MAX($C21,AU$4))/MAX(1,$D21+1-$C21))</f>
        <v/>
      </c>
      <c r="AV21" s="56" t="str">
        <f aca="false">IF(OR(AV$4="",$C21="",$D21="",N($E21)=0),"",$E21*MAX(0,MIN($D21+1,EDATE(AV$4,1))-MAX($C21,AV$4))/MAX(1,$D21+1-$C21))</f>
        <v/>
      </c>
      <c r="AW21" s="56" t="str">
        <f aca="false">IF(OR(AW$4="",$C21="",$D21="",N($E21)=0),"",$E21*MAX(0,MIN($D21+1,EDATE(AW$4,1))-MAX($C21,AW$4))/MAX(1,$D21+1-$C21))</f>
        <v/>
      </c>
      <c r="AX21" s="56" t="str">
        <f aca="false">IF(OR(AX$4="",$C21="",$D21="",N($E21)=0),"",$E21*MAX(0,MIN($D21+1,EDATE(AX$4,1))-MAX($C21,AX$4))/MAX(1,$D21+1-$C21))</f>
        <v/>
      </c>
      <c r="AY21" s="56" t="str">
        <f aca="false">IF(OR(AY$4="",$C21="",$D21="",N($E21)=0),"",$E21*MAX(0,MIN($D21+1,EDATE(AY$4,1))-MAX($C21,AY$4))/MAX(1,$D21+1-$C21))</f>
        <v/>
      </c>
      <c r="AZ21" s="56" t="str">
        <f aca="false">IF(OR(AZ$4="",$C21="",$D21="",N($E21)=0),"",$E21*MAX(0,MIN($D21+1,EDATE(AZ$4,1))-MAX($C21,AZ$4))/MAX(1,$D21+1-$C21))</f>
        <v/>
      </c>
      <c r="BA21" s="56" t="str">
        <f aca="false">IF(OR(BA$4="",$C21="",$D21="",N($E21)=0),"",$E21*MAX(0,MIN($D21+1,EDATE(BA$4,1))-MAX($C21,BA$4))/MAX(1,$D21+1-$C21))</f>
        <v/>
      </c>
      <c r="BB21" s="56" t="str">
        <f aca="false">IF(OR(BB$4="",$C21="",$D21="",N($E21)=0),"",$E21*MAX(0,MIN($D21+1,EDATE(BB$4,1))-MAX($C21,BB$4))/MAX(1,$D21+1-$C21))</f>
        <v/>
      </c>
      <c r="BC21" s="56" t="str">
        <f aca="false">IF(OR(BC$4="",$C21="",$D21="",N($E21)=0),"",$E21*MAX(0,MIN($D21+1,EDATE(BC$4,1))-MAX($C21,BC$4))/MAX(1,$D21+1-$C21))</f>
        <v/>
      </c>
      <c r="BD21" s="56" t="str">
        <f aca="false">IF(OR(BD$4="",$C21="",$D21="",N($E21)=0),"",$E21*MAX(0,MIN($D21+1,EDATE(BD$4,1))-MAX($C21,BD$4))/MAX(1,$D21+1-$C21))</f>
        <v/>
      </c>
      <c r="BE21" s="56" t="str">
        <f aca="false">IF(OR(BE$4="",$C21="",$D21="",N($E21)=0),"",$E21*MAX(0,MIN($D21+1,EDATE(BE$4,1))-MAX($C21,BE$4))/MAX(1,$D21+1-$C21))</f>
        <v/>
      </c>
      <c r="BF21" s="56" t="str">
        <f aca="false">IF(OR(BF$4="",$C21="",$D21="",N($E21)=0),"",$E21*MAX(0,MIN($D21+1,EDATE(BF$4,1))-MAX($C21,BF$4))/MAX(1,$D21+1-$C21))</f>
        <v/>
      </c>
      <c r="BG21" s="56" t="str">
        <f aca="false">IF(OR(BG$4="",$C21="",$D21="",N($E21)=0),"",$E21*MAX(0,MIN($D21+1,EDATE(BG$4,1))-MAX($C21,BG$4))/MAX(1,$D21+1-$C21))</f>
        <v/>
      </c>
      <c r="BH21" s="56" t="str">
        <f aca="false">IF(OR(BH$4="",$C21="",$D21="",N($E21)=0),"",$E21*MAX(0,MIN($D21+1,EDATE(BH$4,1))-MAX($C21,BH$4))/MAX(1,$D21+1-$C21))</f>
        <v/>
      </c>
      <c r="BI21" s="56" t="str">
        <f aca="false">IF(OR(BI$4="",$C21="",$D21="",N($E21)=0),"",$E21*MAX(0,MIN($D21+1,EDATE(BI$4,1))-MAX($C21,BI$4))/MAX(1,$D21+1-$C21))</f>
        <v/>
      </c>
      <c r="BJ21" s="56" t="str">
        <f aca="false">IF(OR(BJ$4="",$C21="",$D21="",N($E21)=0),"",$E21*MAX(0,MIN($D21+1,EDATE(BJ$4,1))-MAX($C21,BJ$4))/MAX(1,$D21+1-$C21))</f>
        <v/>
      </c>
      <c r="BK21" s="56" t="str">
        <f aca="false">IF(OR(BK$4="",$C21="",$D21="",N($E21)=0),"",$E21*MAX(0,MIN($D21+1,EDATE(BK$4,1))-MAX($C21,BK$4))/MAX(1,$D21+1-$C21))</f>
        <v/>
      </c>
      <c r="BL21" s="56" t="str">
        <f aca="false">IF(OR(BL$4="",$C21="",$D21="",N($E21)=0),"",$E21*MAX(0,MIN($D21+1,EDATE(BL$4,1))-MAX($C21,BL$4))/MAX(1,$D21+1-$C21))</f>
        <v/>
      </c>
      <c r="BM21" s="56" t="str">
        <f aca="false">IF(OR(BM$4="",$C21="",$D21="",N($E21)=0),"",$E21*MAX(0,MIN($D21+1,EDATE(BM$4,1))-MAX($C21,BM$4))/MAX(1,$D21+1-$C21))</f>
        <v/>
      </c>
      <c r="BN21" s="56" t="str">
        <f aca="false">IF(OR(BN$4="",$C21="",$D21="",N($E21)=0),"",$E21*MAX(0,MIN($D21+1,EDATE(BN$4,1))-MAX($C21,BN$4))/MAX(1,$D21+1-$C21))</f>
        <v/>
      </c>
      <c r="BO21" s="56" t="str">
        <f aca="false">IF(OR(BO$4="",$C21="",$D21="",N($E21)=0),"",$E21*MAX(0,MIN($D21+1,EDATE(BO$4,1))-MAX($C21,BO$4))/MAX(1,$D21+1-$C21))</f>
        <v/>
      </c>
      <c r="BP21" s="56" t="str">
        <f aca="false">IF(OR(BP$4="",$C21="",$D21="",N($E21)=0),"",$E21*MAX(0,MIN($D21+1,EDATE(BP$4,1))-MAX($C21,BP$4))/MAX(1,$D21+1-$C21))</f>
        <v/>
      </c>
      <c r="BQ21" s="56" t="str">
        <f aca="false">IF(OR(BQ$4="",$C21="",$D21="",N($E21)=0),"",$E21*MAX(0,MIN($D21+1,EDATE(BQ$4,1))-MAX($C21,BQ$4))/MAX(1,$D21+1-$C21))</f>
        <v/>
      </c>
      <c r="BR21" s="56" t="str">
        <f aca="false">IF(OR(BR$4="",$C21="",$D21="",N($E21)=0),"",$E21*MAX(0,MIN($D21+1,EDATE(BR$4,1))-MAX($C21,BR$4))/MAX(1,$D21+1-$C21))</f>
        <v/>
      </c>
      <c r="BS21" s="56" t="str">
        <f aca="false">IF(OR(BS$4="",$C21="",$D21="",N($E21)=0),"",$E21*MAX(0,MIN($D21+1,EDATE(BS$4,1))-MAX($C21,BS$4))/MAX(1,$D21+1-$C21))</f>
        <v/>
      </c>
      <c r="BT21" s="56" t="str">
        <f aca="false">IF(OR(BT$4="",$C21="",$D21="",N($E21)=0),"",$E21*MAX(0,MIN($D21+1,EDATE(BT$4,1))-MAX($C21,BT$4))/MAX(1,$D21+1-$C21))</f>
        <v/>
      </c>
      <c r="BU21" s="56" t="str">
        <f aca="false">IF(OR(BU$4="",$C21="",$D21="",N($E21)=0),"",$E21*MAX(0,MIN($D21+1,EDATE(BU$4,1))-MAX($C21,BU$4))/MAX(1,$D21+1-$C21))</f>
        <v/>
      </c>
      <c r="BV21" s="56" t="str">
        <f aca="false">IF(OR(BV$4="",$C21="",$D21="",N($E21)=0),"",$E21*MAX(0,MIN($D21+1,EDATE(BV$4,1))-MAX($C21,BV$4))/MAX(1,$D21+1-$C21))</f>
        <v/>
      </c>
      <c r="BW21" s="56" t="str">
        <f aca="false">IF(OR(BW$4="",$C21="",$D21="",N($E21)=0),"",$E21*MAX(0,MIN($D21+1,EDATE(BW$4,1))-MAX($C21,BW$4))/MAX(1,$D21+1-$C21))</f>
        <v/>
      </c>
      <c r="BX21" s="56" t="str">
        <f aca="false">IF(OR(BX$4="",$C21="",$D21="",N($E21)=0),"",$E21*MAX(0,MIN($D21+1,EDATE(BX$4,1))-MAX($C21,BX$4))/MAX(1,$D21+1-$C21))</f>
        <v/>
      </c>
      <c r="BY21" s="56" t="str">
        <f aca="false">IF(OR(BY$4="",$C21="",$D21="",N($E21)=0),"",$E21*MAX(0,MIN($D21+1,EDATE(BY$4,1))-MAX($C21,BY$4))/MAX(1,$D21+1-$C21))</f>
        <v/>
      </c>
    </row>
    <row r="22" customFormat="false" ht="15" hidden="false" customHeight="false" outlineLevel="0" collapsed="false">
      <c r="A22" s="53" t="str">
        <f aca="false">IF(BOE!$A23="","",BOE!$A23)</f>
        <v>209</v>
      </c>
      <c r="B22" s="53" t="str">
        <f aca="false">IF(BOE!$A23="","",BOE!$C23)</f>
        <v>System-of-Systems Hazard Analysis</v>
      </c>
      <c r="C22" s="54" t="n">
        <f aca="false">IF(BOE!$O23="","",BOE!$O23)</f>
        <v>46695</v>
      </c>
      <c r="D22" s="54" t="n">
        <f aca="false">IF(BOE!$P23="","",BOE!$P23)</f>
        <v>46877</v>
      </c>
      <c r="E22" s="55" t="n">
        <f aca="false">IF(Inputs!$B$7="P90",BOE!$T23,BOE!$R23)</f>
        <v>0</v>
      </c>
      <c r="F22" s="56" t="str">
        <f aca="false">IF(OR(F$4="",$C22="",$D22="",N($E22)=0),"",$E22*MAX(0,MIN($D22+1,EDATE(F$4,1))-MAX($C22,F$4))/MAX(1,$D22+1-$C22))</f>
        <v/>
      </c>
      <c r="G22" s="56" t="str">
        <f aca="false">IF(OR(G$4="",$C22="",$D22="",N($E22)=0),"",$E22*MAX(0,MIN($D22+1,EDATE(G$4,1))-MAX($C22,G$4))/MAX(1,$D22+1-$C22))</f>
        <v/>
      </c>
      <c r="H22" s="56" t="str">
        <f aca="false">IF(OR(H$4="",$C22="",$D22="",N($E22)=0),"",$E22*MAX(0,MIN($D22+1,EDATE(H$4,1))-MAX($C22,H$4))/MAX(1,$D22+1-$C22))</f>
        <v/>
      </c>
      <c r="I22" s="56" t="str">
        <f aca="false">IF(OR(I$4="",$C22="",$D22="",N($E22)=0),"",$E22*MAX(0,MIN($D22+1,EDATE(I$4,1))-MAX($C22,I$4))/MAX(1,$D22+1-$C22))</f>
        <v/>
      </c>
      <c r="J22" s="56" t="str">
        <f aca="false">IF(OR(J$4="",$C22="",$D22="",N($E22)=0),"",$E22*MAX(0,MIN($D22+1,EDATE(J$4,1))-MAX($C22,J$4))/MAX(1,$D22+1-$C22))</f>
        <v/>
      </c>
      <c r="K22" s="56" t="str">
        <f aca="false">IF(OR(K$4="",$C22="",$D22="",N($E22)=0),"",$E22*MAX(0,MIN($D22+1,EDATE(K$4,1))-MAX($C22,K$4))/MAX(1,$D22+1-$C22))</f>
        <v/>
      </c>
      <c r="L22" s="56" t="str">
        <f aca="false">IF(OR(L$4="",$C22="",$D22="",N($E22)=0),"",$E22*MAX(0,MIN($D22+1,EDATE(L$4,1))-MAX($C22,L$4))/MAX(1,$D22+1-$C22))</f>
        <v/>
      </c>
      <c r="M22" s="56" t="str">
        <f aca="false">IF(OR(M$4="",$C22="",$D22="",N($E22)=0),"",$E22*MAX(0,MIN($D22+1,EDATE(M$4,1))-MAX($C22,M$4))/MAX(1,$D22+1-$C22))</f>
        <v/>
      </c>
      <c r="N22" s="56" t="str">
        <f aca="false">IF(OR(N$4="",$C22="",$D22="",N($E22)=0),"",$E22*MAX(0,MIN($D22+1,EDATE(N$4,1))-MAX($C22,N$4))/MAX(1,$D22+1-$C22))</f>
        <v/>
      </c>
      <c r="O22" s="56" t="str">
        <f aca="false">IF(OR(O$4="",$C22="",$D22="",N($E22)=0),"",$E22*MAX(0,MIN($D22+1,EDATE(O$4,1))-MAX($C22,O$4))/MAX(1,$D22+1-$C22))</f>
        <v/>
      </c>
      <c r="P22" s="56" t="str">
        <f aca="false">IF(OR(P$4="",$C22="",$D22="",N($E22)=0),"",$E22*MAX(0,MIN($D22+1,EDATE(P$4,1))-MAX($C22,P$4))/MAX(1,$D22+1-$C22))</f>
        <v/>
      </c>
      <c r="Q22" s="56" t="str">
        <f aca="false">IF(OR(Q$4="",$C22="",$D22="",N($E22)=0),"",$E22*MAX(0,MIN($D22+1,EDATE(Q$4,1))-MAX($C22,Q$4))/MAX(1,$D22+1-$C22))</f>
        <v/>
      </c>
      <c r="R22" s="56" t="str">
        <f aca="false">IF(OR(R$4="",$C22="",$D22="",N($E22)=0),"",$E22*MAX(0,MIN($D22+1,EDATE(R$4,1))-MAX($C22,R$4))/MAX(1,$D22+1-$C22))</f>
        <v/>
      </c>
      <c r="S22" s="56" t="str">
        <f aca="false">IF(OR(S$4="",$C22="",$D22="",N($E22)=0),"",$E22*MAX(0,MIN($D22+1,EDATE(S$4,1))-MAX($C22,S$4))/MAX(1,$D22+1-$C22))</f>
        <v/>
      </c>
      <c r="T22" s="56" t="str">
        <f aca="false">IF(OR(T$4="",$C22="",$D22="",N($E22)=0),"",$E22*MAX(0,MIN($D22+1,EDATE(T$4,1))-MAX($C22,T$4))/MAX(1,$D22+1-$C22))</f>
        <v/>
      </c>
      <c r="U22" s="56" t="str">
        <f aca="false">IF(OR(U$4="",$C22="",$D22="",N($E22)=0),"",$E22*MAX(0,MIN($D22+1,EDATE(U$4,1))-MAX($C22,U$4))/MAX(1,$D22+1-$C22))</f>
        <v/>
      </c>
      <c r="V22" s="56" t="str">
        <f aca="false">IF(OR(V$4="",$C22="",$D22="",N($E22)=0),"",$E22*MAX(0,MIN($D22+1,EDATE(V$4,1))-MAX($C22,V$4))/MAX(1,$D22+1-$C22))</f>
        <v/>
      </c>
      <c r="W22" s="56" t="str">
        <f aca="false">IF(OR(W$4="",$C22="",$D22="",N($E22)=0),"",$E22*MAX(0,MIN($D22+1,EDATE(W$4,1))-MAX($C22,W$4))/MAX(1,$D22+1-$C22))</f>
        <v/>
      </c>
      <c r="X22" s="56" t="str">
        <f aca="false">IF(OR(X$4="",$C22="",$D22="",N($E22)=0),"",$E22*MAX(0,MIN($D22+1,EDATE(X$4,1))-MAX($C22,X$4))/MAX(1,$D22+1-$C22))</f>
        <v/>
      </c>
      <c r="Y22" s="56" t="str">
        <f aca="false">IF(OR(Y$4="",$C22="",$D22="",N($E22)=0),"",$E22*MAX(0,MIN($D22+1,EDATE(Y$4,1))-MAX($C22,Y$4))/MAX(1,$D22+1-$C22))</f>
        <v/>
      </c>
      <c r="Z22" s="56" t="str">
        <f aca="false">IF(OR(Z$4="",$C22="",$D22="",N($E22)=0),"",$E22*MAX(0,MIN($D22+1,EDATE(Z$4,1))-MAX($C22,Z$4))/MAX(1,$D22+1-$C22))</f>
        <v/>
      </c>
      <c r="AA22" s="56" t="str">
        <f aca="false">IF(OR(AA$4="",$C22="",$D22="",N($E22)=0),"",$E22*MAX(0,MIN($D22+1,EDATE(AA$4,1))-MAX($C22,AA$4))/MAX(1,$D22+1-$C22))</f>
        <v/>
      </c>
      <c r="AB22" s="56" t="str">
        <f aca="false">IF(OR(AB$4="",$C22="",$D22="",N($E22)=0),"",$E22*MAX(0,MIN($D22+1,EDATE(AB$4,1))-MAX($C22,AB$4))/MAX(1,$D22+1-$C22))</f>
        <v/>
      </c>
      <c r="AC22" s="56" t="str">
        <f aca="false">IF(OR(AC$4="",$C22="",$D22="",N($E22)=0),"",$E22*MAX(0,MIN($D22+1,EDATE(AC$4,1))-MAX($C22,AC$4))/MAX(1,$D22+1-$C22))</f>
        <v/>
      </c>
      <c r="AD22" s="56" t="str">
        <f aca="false">IF(OR(AD$4="",$C22="",$D22="",N($E22)=0),"",$E22*MAX(0,MIN($D22+1,EDATE(AD$4,1))-MAX($C22,AD$4))/MAX(1,$D22+1-$C22))</f>
        <v/>
      </c>
      <c r="AE22" s="56" t="str">
        <f aca="false">IF(OR(AE$4="",$C22="",$D22="",N($E22)=0),"",$E22*MAX(0,MIN($D22+1,EDATE(AE$4,1))-MAX($C22,AE$4))/MAX(1,$D22+1-$C22))</f>
        <v/>
      </c>
      <c r="AF22" s="56" t="str">
        <f aca="false">IF(OR(AF$4="",$C22="",$D22="",N($E22)=0),"",$E22*MAX(0,MIN($D22+1,EDATE(AF$4,1))-MAX($C22,AF$4))/MAX(1,$D22+1-$C22))</f>
        <v/>
      </c>
      <c r="AG22" s="56" t="str">
        <f aca="false">IF(OR(AG$4="",$C22="",$D22="",N($E22)=0),"",$E22*MAX(0,MIN($D22+1,EDATE(AG$4,1))-MAX($C22,AG$4))/MAX(1,$D22+1-$C22))</f>
        <v/>
      </c>
      <c r="AH22" s="56" t="str">
        <f aca="false">IF(OR(AH$4="",$C22="",$D22="",N($E22)=0),"",$E22*MAX(0,MIN($D22+1,EDATE(AH$4,1))-MAX($C22,AH$4))/MAX(1,$D22+1-$C22))</f>
        <v/>
      </c>
      <c r="AI22" s="56" t="str">
        <f aca="false">IF(OR(AI$4="",$C22="",$D22="",N($E22)=0),"",$E22*MAX(0,MIN($D22+1,EDATE(AI$4,1))-MAX($C22,AI$4))/MAX(1,$D22+1-$C22))</f>
        <v/>
      </c>
      <c r="AJ22" s="56" t="str">
        <f aca="false">IF(OR(AJ$4="",$C22="",$D22="",N($E22)=0),"",$E22*MAX(0,MIN($D22+1,EDATE(AJ$4,1))-MAX($C22,AJ$4))/MAX(1,$D22+1-$C22))</f>
        <v/>
      </c>
      <c r="AK22" s="56" t="str">
        <f aca="false">IF(OR(AK$4="",$C22="",$D22="",N($E22)=0),"",$E22*MAX(0,MIN($D22+1,EDATE(AK$4,1))-MAX($C22,AK$4))/MAX(1,$D22+1-$C22))</f>
        <v/>
      </c>
      <c r="AL22" s="56" t="str">
        <f aca="false">IF(OR(AL$4="",$C22="",$D22="",N($E22)=0),"",$E22*MAX(0,MIN($D22+1,EDATE(AL$4,1))-MAX($C22,AL$4))/MAX(1,$D22+1-$C22))</f>
        <v/>
      </c>
      <c r="AM22" s="56" t="str">
        <f aca="false">IF(OR(AM$4="",$C22="",$D22="",N($E22)=0),"",$E22*MAX(0,MIN($D22+1,EDATE(AM$4,1))-MAX($C22,AM$4))/MAX(1,$D22+1-$C22))</f>
        <v/>
      </c>
      <c r="AN22" s="56" t="str">
        <f aca="false">IF(OR(AN$4="",$C22="",$D22="",N($E22)=0),"",$E22*MAX(0,MIN($D22+1,EDATE(AN$4,1))-MAX($C22,AN$4))/MAX(1,$D22+1-$C22))</f>
        <v/>
      </c>
      <c r="AO22" s="56" t="str">
        <f aca="false">IF(OR(AO$4="",$C22="",$D22="",N($E22)=0),"",$E22*MAX(0,MIN($D22+1,EDATE(AO$4,1))-MAX($C22,AO$4))/MAX(1,$D22+1-$C22))</f>
        <v/>
      </c>
      <c r="AP22" s="56" t="str">
        <f aca="false">IF(OR(AP$4="",$C22="",$D22="",N($E22)=0),"",$E22*MAX(0,MIN($D22+1,EDATE(AP$4,1))-MAX($C22,AP$4))/MAX(1,$D22+1-$C22))</f>
        <v/>
      </c>
      <c r="AQ22" s="56" t="str">
        <f aca="false">IF(OR(AQ$4="",$C22="",$D22="",N($E22)=0),"",$E22*MAX(0,MIN($D22+1,EDATE(AQ$4,1))-MAX($C22,AQ$4))/MAX(1,$D22+1-$C22))</f>
        <v/>
      </c>
      <c r="AR22" s="56" t="str">
        <f aca="false">IF(OR(AR$4="",$C22="",$D22="",N($E22)=0),"",$E22*MAX(0,MIN($D22+1,EDATE(AR$4,1))-MAX($C22,AR$4))/MAX(1,$D22+1-$C22))</f>
        <v/>
      </c>
      <c r="AS22" s="56" t="str">
        <f aca="false">IF(OR(AS$4="",$C22="",$D22="",N($E22)=0),"",$E22*MAX(0,MIN($D22+1,EDATE(AS$4,1))-MAX($C22,AS$4))/MAX(1,$D22+1-$C22))</f>
        <v/>
      </c>
      <c r="AT22" s="56" t="str">
        <f aca="false">IF(OR(AT$4="",$C22="",$D22="",N($E22)=0),"",$E22*MAX(0,MIN($D22+1,EDATE(AT$4,1))-MAX($C22,AT$4))/MAX(1,$D22+1-$C22))</f>
        <v/>
      </c>
      <c r="AU22" s="56" t="str">
        <f aca="false">IF(OR(AU$4="",$C22="",$D22="",N($E22)=0),"",$E22*MAX(0,MIN($D22+1,EDATE(AU$4,1))-MAX($C22,AU$4))/MAX(1,$D22+1-$C22))</f>
        <v/>
      </c>
      <c r="AV22" s="56" t="str">
        <f aca="false">IF(OR(AV$4="",$C22="",$D22="",N($E22)=0),"",$E22*MAX(0,MIN($D22+1,EDATE(AV$4,1))-MAX($C22,AV$4))/MAX(1,$D22+1-$C22))</f>
        <v/>
      </c>
      <c r="AW22" s="56" t="str">
        <f aca="false">IF(OR(AW$4="",$C22="",$D22="",N($E22)=0),"",$E22*MAX(0,MIN($D22+1,EDATE(AW$4,1))-MAX($C22,AW$4))/MAX(1,$D22+1-$C22))</f>
        <v/>
      </c>
      <c r="AX22" s="56" t="str">
        <f aca="false">IF(OR(AX$4="",$C22="",$D22="",N($E22)=0),"",$E22*MAX(0,MIN($D22+1,EDATE(AX$4,1))-MAX($C22,AX$4))/MAX(1,$D22+1-$C22))</f>
        <v/>
      </c>
      <c r="AY22" s="56" t="str">
        <f aca="false">IF(OR(AY$4="",$C22="",$D22="",N($E22)=0),"",$E22*MAX(0,MIN($D22+1,EDATE(AY$4,1))-MAX($C22,AY$4))/MAX(1,$D22+1-$C22))</f>
        <v/>
      </c>
      <c r="AZ22" s="56" t="str">
        <f aca="false">IF(OR(AZ$4="",$C22="",$D22="",N($E22)=0),"",$E22*MAX(0,MIN($D22+1,EDATE(AZ$4,1))-MAX($C22,AZ$4))/MAX(1,$D22+1-$C22))</f>
        <v/>
      </c>
      <c r="BA22" s="56" t="str">
        <f aca="false">IF(OR(BA$4="",$C22="",$D22="",N($E22)=0),"",$E22*MAX(0,MIN($D22+1,EDATE(BA$4,1))-MAX($C22,BA$4))/MAX(1,$D22+1-$C22))</f>
        <v/>
      </c>
      <c r="BB22" s="56" t="str">
        <f aca="false">IF(OR(BB$4="",$C22="",$D22="",N($E22)=0),"",$E22*MAX(0,MIN($D22+1,EDATE(BB$4,1))-MAX($C22,BB$4))/MAX(1,$D22+1-$C22))</f>
        <v/>
      </c>
      <c r="BC22" s="56" t="str">
        <f aca="false">IF(OR(BC$4="",$C22="",$D22="",N($E22)=0),"",$E22*MAX(0,MIN($D22+1,EDATE(BC$4,1))-MAX($C22,BC$4))/MAX(1,$D22+1-$C22))</f>
        <v/>
      </c>
      <c r="BD22" s="56" t="str">
        <f aca="false">IF(OR(BD$4="",$C22="",$D22="",N($E22)=0),"",$E22*MAX(0,MIN($D22+1,EDATE(BD$4,1))-MAX($C22,BD$4))/MAX(1,$D22+1-$C22))</f>
        <v/>
      </c>
      <c r="BE22" s="56" t="str">
        <f aca="false">IF(OR(BE$4="",$C22="",$D22="",N($E22)=0),"",$E22*MAX(0,MIN($D22+1,EDATE(BE$4,1))-MAX($C22,BE$4))/MAX(1,$D22+1-$C22))</f>
        <v/>
      </c>
      <c r="BF22" s="56" t="str">
        <f aca="false">IF(OR(BF$4="",$C22="",$D22="",N($E22)=0),"",$E22*MAX(0,MIN($D22+1,EDATE(BF$4,1))-MAX($C22,BF$4))/MAX(1,$D22+1-$C22))</f>
        <v/>
      </c>
      <c r="BG22" s="56" t="str">
        <f aca="false">IF(OR(BG$4="",$C22="",$D22="",N($E22)=0),"",$E22*MAX(0,MIN($D22+1,EDATE(BG$4,1))-MAX($C22,BG$4))/MAX(1,$D22+1-$C22))</f>
        <v/>
      </c>
      <c r="BH22" s="56" t="str">
        <f aca="false">IF(OR(BH$4="",$C22="",$D22="",N($E22)=0),"",$E22*MAX(0,MIN($D22+1,EDATE(BH$4,1))-MAX($C22,BH$4))/MAX(1,$D22+1-$C22))</f>
        <v/>
      </c>
      <c r="BI22" s="56" t="str">
        <f aca="false">IF(OR(BI$4="",$C22="",$D22="",N($E22)=0),"",$E22*MAX(0,MIN($D22+1,EDATE(BI$4,1))-MAX($C22,BI$4))/MAX(1,$D22+1-$C22))</f>
        <v/>
      </c>
      <c r="BJ22" s="56" t="str">
        <f aca="false">IF(OR(BJ$4="",$C22="",$D22="",N($E22)=0),"",$E22*MAX(0,MIN($D22+1,EDATE(BJ$4,1))-MAX($C22,BJ$4))/MAX(1,$D22+1-$C22))</f>
        <v/>
      </c>
      <c r="BK22" s="56" t="str">
        <f aca="false">IF(OR(BK$4="",$C22="",$D22="",N($E22)=0),"",$E22*MAX(0,MIN($D22+1,EDATE(BK$4,1))-MAX($C22,BK$4))/MAX(1,$D22+1-$C22))</f>
        <v/>
      </c>
      <c r="BL22" s="56" t="str">
        <f aca="false">IF(OR(BL$4="",$C22="",$D22="",N($E22)=0),"",$E22*MAX(0,MIN($D22+1,EDATE(BL$4,1))-MAX($C22,BL$4))/MAX(1,$D22+1-$C22))</f>
        <v/>
      </c>
      <c r="BM22" s="56" t="str">
        <f aca="false">IF(OR(BM$4="",$C22="",$D22="",N($E22)=0),"",$E22*MAX(0,MIN($D22+1,EDATE(BM$4,1))-MAX($C22,BM$4))/MAX(1,$D22+1-$C22))</f>
        <v/>
      </c>
      <c r="BN22" s="56" t="str">
        <f aca="false">IF(OR(BN$4="",$C22="",$D22="",N($E22)=0),"",$E22*MAX(0,MIN($D22+1,EDATE(BN$4,1))-MAX($C22,BN$4))/MAX(1,$D22+1-$C22))</f>
        <v/>
      </c>
      <c r="BO22" s="56" t="str">
        <f aca="false">IF(OR(BO$4="",$C22="",$D22="",N($E22)=0),"",$E22*MAX(0,MIN($D22+1,EDATE(BO$4,1))-MAX($C22,BO$4))/MAX(1,$D22+1-$C22))</f>
        <v/>
      </c>
      <c r="BP22" s="56" t="str">
        <f aca="false">IF(OR(BP$4="",$C22="",$D22="",N($E22)=0),"",$E22*MAX(0,MIN($D22+1,EDATE(BP$4,1))-MAX($C22,BP$4))/MAX(1,$D22+1-$C22))</f>
        <v/>
      </c>
      <c r="BQ22" s="56" t="str">
        <f aca="false">IF(OR(BQ$4="",$C22="",$D22="",N($E22)=0),"",$E22*MAX(0,MIN($D22+1,EDATE(BQ$4,1))-MAX($C22,BQ$4))/MAX(1,$D22+1-$C22))</f>
        <v/>
      </c>
      <c r="BR22" s="56" t="str">
        <f aca="false">IF(OR(BR$4="",$C22="",$D22="",N($E22)=0),"",$E22*MAX(0,MIN($D22+1,EDATE(BR$4,1))-MAX($C22,BR$4))/MAX(1,$D22+1-$C22))</f>
        <v/>
      </c>
      <c r="BS22" s="56" t="str">
        <f aca="false">IF(OR(BS$4="",$C22="",$D22="",N($E22)=0),"",$E22*MAX(0,MIN($D22+1,EDATE(BS$4,1))-MAX($C22,BS$4))/MAX(1,$D22+1-$C22))</f>
        <v/>
      </c>
      <c r="BT22" s="56" t="str">
        <f aca="false">IF(OR(BT$4="",$C22="",$D22="",N($E22)=0),"",$E22*MAX(0,MIN($D22+1,EDATE(BT$4,1))-MAX($C22,BT$4))/MAX(1,$D22+1-$C22))</f>
        <v/>
      </c>
      <c r="BU22" s="56" t="str">
        <f aca="false">IF(OR(BU$4="",$C22="",$D22="",N($E22)=0),"",$E22*MAX(0,MIN($D22+1,EDATE(BU$4,1))-MAX($C22,BU$4))/MAX(1,$D22+1-$C22))</f>
        <v/>
      </c>
      <c r="BV22" s="56" t="str">
        <f aca="false">IF(OR(BV$4="",$C22="",$D22="",N($E22)=0),"",$E22*MAX(0,MIN($D22+1,EDATE(BV$4,1))-MAX($C22,BV$4))/MAX(1,$D22+1-$C22))</f>
        <v/>
      </c>
      <c r="BW22" s="56" t="str">
        <f aca="false">IF(OR(BW$4="",$C22="",$D22="",N($E22)=0),"",$E22*MAX(0,MIN($D22+1,EDATE(BW$4,1))-MAX($C22,BW$4))/MAX(1,$D22+1-$C22))</f>
        <v/>
      </c>
      <c r="BX22" s="56" t="str">
        <f aca="false">IF(OR(BX$4="",$C22="",$D22="",N($E22)=0),"",$E22*MAX(0,MIN($D22+1,EDATE(BX$4,1))-MAX($C22,BX$4))/MAX(1,$D22+1-$C22))</f>
        <v/>
      </c>
      <c r="BY22" s="56" t="str">
        <f aca="false">IF(OR(BY$4="",$C22="",$D22="",N($E22)=0),"",$E22*MAX(0,MIN($D22+1,EDATE(BY$4,1))-MAX($C22,BY$4))/MAX(1,$D22+1-$C22))</f>
        <v/>
      </c>
    </row>
    <row r="23" customFormat="false" ht="15" hidden="false" customHeight="false" outlineLevel="0" collapsed="false">
      <c r="A23" s="53" t="str">
        <f aca="false">IF(BOE!$A24="","",BOE!$A24)</f>
        <v>210</v>
      </c>
      <c r="B23" s="53" t="str">
        <f aca="false">IF(BOE!$A24="","",BOE!$C24)</f>
        <v>Environmental Hazard Analysis (EHA)</v>
      </c>
      <c r="C23" s="54" t="n">
        <f aca="false">IF(BOE!$O24="","",BOE!$O24)</f>
        <v>46695</v>
      </c>
      <c r="D23" s="54" t="n">
        <f aca="false">IF(BOE!$P24="","",BOE!$P24)</f>
        <v>46877</v>
      </c>
      <c r="E23" s="55" t="n">
        <f aca="false">IF(Inputs!$B$7="P90",BOE!$T24,BOE!$R24)</f>
        <v>280</v>
      </c>
      <c r="F23" s="56" t="n">
        <f aca="false">IF(OR(F$4="",$C23="",$D23="",N($E23)=0),"",$E23*MAX(0,MIN($D23+1,EDATE(F$4,1))-MAX($C23,F$4))/MAX(1,$D23+1-$C23))</f>
        <v>0</v>
      </c>
      <c r="G23" s="56" t="n">
        <f aca="false">IF(OR(G$4="",$C23="",$D23="",N($E23)=0),"",$E23*MAX(0,MIN($D23+1,EDATE(G$4,1))-MAX($C23,G$4))/MAX(1,$D23+1-$C23))</f>
        <v>0</v>
      </c>
      <c r="H23" s="56" t="n">
        <f aca="false">IF(OR(H$4="",$C23="",$D23="",N($E23)=0),"",$E23*MAX(0,MIN($D23+1,EDATE(H$4,1))-MAX($C23,H$4))/MAX(1,$D23+1-$C23))</f>
        <v>0</v>
      </c>
      <c r="I23" s="56" t="n">
        <f aca="false">IF(OR(I$4="",$C23="",$D23="",N($E23)=0),"",$E23*MAX(0,MIN($D23+1,EDATE(I$4,1))-MAX($C23,I$4))/MAX(1,$D23+1-$C23))</f>
        <v>0</v>
      </c>
      <c r="J23" s="56" t="n">
        <f aca="false">IF(OR(J$4="",$C23="",$D23="",N($E23)=0),"",$E23*MAX(0,MIN($D23+1,EDATE(J$4,1))-MAX($C23,J$4))/MAX(1,$D23+1-$C23))</f>
        <v>0</v>
      </c>
      <c r="K23" s="56" t="n">
        <f aca="false">IF(OR(K$4="",$C23="",$D23="",N($E23)=0),"",$E23*MAX(0,MIN($D23+1,EDATE(K$4,1))-MAX($C23,K$4))/MAX(1,$D23+1-$C23))</f>
        <v>0</v>
      </c>
      <c r="L23" s="56" t="n">
        <f aca="false">IF(OR(L$4="",$C23="",$D23="",N($E23)=0),"",$E23*MAX(0,MIN($D23+1,EDATE(L$4,1))-MAX($C23,L$4))/MAX(1,$D23+1-$C23))</f>
        <v>0</v>
      </c>
      <c r="M23" s="56" t="n">
        <f aca="false">IF(OR(M$4="",$C23="",$D23="",N($E23)=0),"",$E23*MAX(0,MIN($D23+1,EDATE(M$4,1))-MAX($C23,M$4))/MAX(1,$D23+1-$C23))</f>
        <v>0</v>
      </c>
      <c r="N23" s="56" t="n">
        <f aca="false">IF(OR(N$4="",$C23="",$D23="",N($E23)=0),"",$E23*MAX(0,MIN($D23+1,EDATE(N$4,1))-MAX($C23,N$4))/MAX(1,$D23+1-$C23))</f>
        <v>0</v>
      </c>
      <c r="O23" s="56" t="n">
        <f aca="false">IF(OR(O$4="",$C23="",$D23="",N($E23)=0),"",$E23*MAX(0,MIN($D23+1,EDATE(O$4,1))-MAX($C23,O$4))/MAX(1,$D23+1-$C23))</f>
        <v>0</v>
      </c>
      <c r="P23" s="56" t="n">
        <f aca="false">IF(OR(P$4="",$C23="",$D23="",N($E23)=0),"",$E23*MAX(0,MIN($D23+1,EDATE(P$4,1))-MAX($C23,P$4))/MAX(1,$D23+1-$C23))</f>
        <v>45.9016393442623</v>
      </c>
      <c r="Q23" s="56" t="n">
        <f aca="false">IF(OR(Q$4="",$C23="",$D23="",N($E23)=0),"",$E23*MAX(0,MIN($D23+1,EDATE(Q$4,1))-MAX($C23,Q$4))/MAX(1,$D23+1-$C23))</f>
        <v>47.431693989071</v>
      </c>
      <c r="R23" s="56" t="n">
        <f aca="false">IF(OR(R$4="",$C23="",$D23="",N($E23)=0),"",$E23*MAX(0,MIN($D23+1,EDATE(R$4,1))-MAX($C23,R$4))/MAX(1,$D23+1-$C23))</f>
        <v>47.431693989071</v>
      </c>
      <c r="S23" s="56" t="n">
        <f aca="false">IF(OR(S$4="",$C23="",$D23="",N($E23)=0),"",$E23*MAX(0,MIN($D23+1,EDATE(S$4,1))-MAX($C23,S$4))/MAX(1,$D23+1-$C23))</f>
        <v>44.3715846994536</v>
      </c>
      <c r="T23" s="56" t="n">
        <f aca="false">IF(OR(T$4="",$C23="",$D23="",N($E23)=0),"",$E23*MAX(0,MIN($D23+1,EDATE(T$4,1))-MAX($C23,T$4))/MAX(1,$D23+1-$C23))</f>
        <v>47.431693989071</v>
      </c>
      <c r="U23" s="56" t="n">
        <f aca="false">IF(OR(U$4="",$C23="",$D23="",N($E23)=0),"",$E23*MAX(0,MIN($D23+1,EDATE(U$4,1))-MAX($C23,U$4))/MAX(1,$D23+1-$C23))</f>
        <v>45.9016393442623</v>
      </c>
      <c r="V23" s="56" t="n">
        <f aca="false">IF(OR(V$4="",$C23="",$D23="",N($E23)=0),"",$E23*MAX(0,MIN($D23+1,EDATE(V$4,1))-MAX($C23,V$4))/MAX(1,$D23+1-$C23))</f>
        <v>1.53005464480874</v>
      </c>
      <c r="W23" s="56" t="n">
        <f aca="false">IF(OR(W$4="",$C23="",$D23="",N($E23)=0),"",$E23*MAX(0,MIN($D23+1,EDATE(W$4,1))-MAX($C23,W$4))/MAX(1,$D23+1-$C23))</f>
        <v>0</v>
      </c>
      <c r="X23" s="56" t="n">
        <f aca="false">IF(OR(X$4="",$C23="",$D23="",N($E23)=0),"",$E23*MAX(0,MIN($D23+1,EDATE(X$4,1))-MAX($C23,X$4))/MAX(1,$D23+1-$C23))</f>
        <v>0</v>
      </c>
      <c r="Y23" s="56" t="n">
        <f aca="false">IF(OR(Y$4="",$C23="",$D23="",N($E23)=0),"",$E23*MAX(0,MIN($D23+1,EDATE(Y$4,1))-MAX($C23,Y$4))/MAX(1,$D23+1-$C23))</f>
        <v>0</v>
      </c>
      <c r="Z23" s="56" t="n">
        <f aca="false">IF(OR(Z$4="",$C23="",$D23="",N($E23)=0),"",$E23*MAX(0,MIN($D23+1,EDATE(Z$4,1))-MAX($C23,Z$4))/MAX(1,$D23+1-$C23))</f>
        <v>0</v>
      </c>
      <c r="AA23" s="56" t="n">
        <f aca="false">IF(OR(AA$4="",$C23="",$D23="",N($E23)=0),"",$E23*MAX(0,MIN($D23+1,EDATE(AA$4,1))-MAX($C23,AA$4))/MAX(1,$D23+1-$C23))</f>
        <v>0</v>
      </c>
      <c r="AB23" s="56" t="n">
        <f aca="false">IF(OR(AB$4="",$C23="",$D23="",N($E23)=0),"",$E23*MAX(0,MIN($D23+1,EDATE(AB$4,1))-MAX($C23,AB$4))/MAX(1,$D23+1-$C23))</f>
        <v>0</v>
      </c>
      <c r="AC23" s="56" t="n">
        <f aca="false">IF(OR(AC$4="",$C23="",$D23="",N($E23)=0),"",$E23*MAX(0,MIN($D23+1,EDATE(AC$4,1))-MAX($C23,AC$4))/MAX(1,$D23+1-$C23))</f>
        <v>0</v>
      </c>
      <c r="AD23" s="56" t="n">
        <f aca="false">IF(OR(AD$4="",$C23="",$D23="",N($E23)=0),"",$E23*MAX(0,MIN($D23+1,EDATE(AD$4,1))-MAX($C23,AD$4))/MAX(1,$D23+1-$C23))</f>
        <v>0</v>
      </c>
      <c r="AE23" s="56" t="n">
        <f aca="false">IF(OR(AE$4="",$C23="",$D23="",N($E23)=0),"",$E23*MAX(0,MIN($D23+1,EDATE(AE$4,1))-MAX($C23,AE$4))/MAX(1,$D23+1-$C23))</f>
        <v>0</v>
      </c>
      <c r="AF23" s="56" t="n">
        <f aca="false">IF(OR(AF$4="",$C23="",$D23="",N($E23)=0),"",$E23*MAX(0,MIN($D23+1,EDATE(AF$4,1))-MAX($C23,AF$4))/MAX(1,$D23+1-$C23))</f>
        <v>0</v>
      </c>
      <c r="AG23" s="56" t="n">
        <f aca="false">IF(OR(AG$4="",$C23="",$D23="",N($E23)=0),"",$E23*MAX(0,MIN($D23+1,EDATE(AG$4,1))-MAX($C23,AG$4))/MAX(1,$D23+1-$C23))</f>
        <v>0</v>
      </c>
      <c r="AH23" s="56" t="n">
        <f aca="false">IF(OR(AH$4="",$C23="",$D23="",N($E23)=0),"",$E23*MAX(0,MIN($D23+1,EDATE(AH$4,1))-MAX($C23,AH$4))/MAX(1,$D23+1-$C23))</f>
        <v>0</v>
      </c>
      <c r="AI23" s="56" t="n">
        <f aca="false">IF(OR(AI$4="",$C23="",$D23="",N($E23)=0),"",$E23*MAX(0,MIN($D23+1,EDATE(AI$4,1))-MAX($C23,AI$4))/MAX(1,$D23+1-$C23))</f>
        <v>0</v>
      </c>
      <c r="AJ23" s="56" t="n">
        <f aca="false">IF(OR(AJ$4="",$C23="",$D23="",N($E23)=0),"",$E23*MAX(0,MIN($D23+1,EDATE(AJ$4,1))-MAX($C23,AJ$4))/MAX(1,$D23+1-$C23))</f>
        <v>0</v>
      </c>
      <c r="AK23" s="56" t="n">
        <f aca="false">IF(OR(AK$4="",$C23="",$D23="",N($E23)=0),"",$E23*MAX(0,MIN($D23+1,EDATE(AK$4,1))-MAX($C23,AK$4))/MAX(1,$D23+1-$C23))</f>
        <v>0</v>
      </c>
      <c r="AL23" s="56" t="n">
        <f aca="false">IF(OR(AL$4="",$C23="",$D23="",N($E23)=0),"",$E23*MAX(0,MIN($D23+1,EDATE(AL$4,1))-MAX($C23,AL$4))/MAX(1,$D23+1-$C23))</f>
        <v>0</v>
      </c>
      <c r="AM23" s="56" t="n">
        <f aca="false">IF(OR(AM$4="",$C23="",$D23="",N($E23)=0),"",$E23*MAX(0,MIN($D23+1,EDATE(AM$4,1))-MAX($C23,AM$4))/MAX(1,$D23+1-$C23))</f>
        <v>0</v>
      </c>
      <c r="AN23" s="56" t="n">
        <f aca="false">IF(OR(AN$4="",$C23="",$D23="",N($E23)=0),"",$E23*MAX(0,MIN($D23+1,EDATE(AN$4,1))-MAX($C23,AN$4))/MAX(1,$D23+1-$C23))</f>
        <v>0</v>
      </c>
      <c r="AO23" s="56" t="n">
        <f aca="false">IF(OR(AO$4="",$C23="",$D23="",N($E23)=0),"",$E23*MAX(0,MIN($D23+1,EDATE(AO$4,1))-MAX($C23,AO$4))/MAX(1,$D23+1-$C23))</f>
        <v>0</v>
      </c>
      <c r="AP23" s="56" t="str">
        <f aca="false">IF(OR(AP$4="",$C23="",$D23="",N($E23)=0),"",$E23*MAX(0,MIN($D23+1,EDATE(AP$4,1))-MAX($C23,AP$4))/MAX(1,$D23+1-$C23))</f>
        <v/>
      </c>
      <c r="AQ23" s="56" t="str">
        <f aca="false">IF(OR(AQ$4="",$C23="",$D23="",N($E23)=0),"",$E23*MAX(0,MIN($D23+1,EDATE(AQ$4,1))-MAX($C23,AQ$4))/MAX(1,$D23+1-$C23))</f>
        <v/>
      </c>
      <c r="AR23" s="56" t="str">
        <f aca="false">IF(OR(AR$4="",$C23="",$D23="",N($E23)=0),"",$E23*MAX(0,MIN($D23+1,EDATE(AR$4,1))-MAX($C23,AR$4))/MAX(1,$D23+1-$C23))</f>
        <v/>
      </c>
      <c r="AS23" s="56" t="str">
        <f aca="false">IF(OR(AS$4="",$C23="",$D23="",N($E23)=0),"",$E23*MAX(0,MIN($D23+1,EDATE(AS$4,1))-MAX($C23,AS$4))/MAX(1,$D23+1-$C23))</f>
        <v/>
      </c>
      <c r="AT23" s="56" t="str">
        <f aca="false">IF(OR(AT$4="",$C23="",$D23="",N($E23)=0),"",$E23*MAX(0,MIN($D23+1,EDATE(AT$4,1))-MAX($C23,AT$4))/MAX(1,$D23+1-$C23))</f>
        <v/>
      </c>
      <c r="AU23" s="56" t="str">
        <f aca="false">IF(OR(AU$4="",$C23="",$D23="",N($E23)=0),"",$E23*MAX(0,MIN($D23+1,EDATE(AU$4,1))-MAX($C23,AU$4))/MAX(1,$D23+1-$C23))</f>
        <v/>
      </c>
      <c r="AV23" s="56" t="str">
        <f aca="false">IF(OR(AV$4="",$C23="",$D23="",N($E23)=0),"",$E23*MAX(0,MIN($D23+1,EDATE(AV$4,1))-MAX($C23,AV$4))/MAX(1,$D23+1-$C23))</f>
        <v/>
      </c>
      <c r="AW23" s="56" t="str">
        <f aca="false">IF(OR(AW$4="",$C23="",$D23="",N($E23)=0),"",$E23*MAX(0,MIN($D23+1,EDATE(AW$4,1))-MAX($C23,AW$4))/MAX(1,$D23+1-$C23))</f>
        <v/>
      </c>
      <c r="AX23" s="56" t="str">
        <f aca="false">IF(OR(AX$4="",$C23="",$D23="",N($E23)=0),"",$E23*MAX(0,MIN($D23+1,EDATE(AX$4,1))-MAX($C23,AX$4))/MAX(1,$D23+1-$C23))</f>
        <v/>
      </c>
      <c r="AY23" s="56" t="str">
        <f aca="false">IF(OR(AY$4="",$C23="",$D23="",N($E23)=0),"",$E23*MAX(0,MIN($D23+1,EDATE(AY$4,1))-MAX($C23,AY$4))/MAX(1,$D23+1-$C23))</f>
        <v/>
      </c>
      <c r="AZ23" s="56" t="str">
        <f aca="false">IF(OR(AZ$4="",$C23="",$D23="",N($E23)=0),"",$E23*MAX(0,MIN($D23+1,EDATE(AZ$4,1))-MAX($C23,AZ$4))/MAX(1,$D23+1-$C23))</f>
        <v/>
      </c>
      <c r="BA23" s="56" t="str">
        <f aca="false">IF(OR(BA$4="",$C23="",$D23="",N($E23)=0),"",$E23*MAX(0,MIN($D23+1,EDATE(BA$4,1))-MAX($C23,BA$4))/MAX(1,$D23+1-$C23))</f>
        <v/>
      </c>
      <c r="BB23" s="56" t="str">
        <f aca="false">IF(OR(BB$4="",$C23="",$D23="",N($E23)=0),"",$E23*MAX(0,MIN($D23+1,EDATE(BB$4,1))-MAX($C23,BB$4))/MAX(1,$D23+1-$C23))</f>
        <v/>
      </c>
      <c r="BC23" s="56" t="str">
        <f aca="false">IF(OR(BC$4="",$C23="",$D23="",N($E23)=0),"",$E23*MAX(0,MIN($D23+1,EDATE(BC$4,1))-MAX($C23,BC$4))/MAX(1,$D23+1-$C23))</f>
        <v/>
      </c>
      <c r="BD23" s="56" t="str">
        <f aca="false">IF(OR(BD$4="",$C23="",$D23="",N($E23)=0),"",$E23*MAX(0,MIN($D23+1,EDATE(BD$4,1))-MAX($C23,BD$4))/MAX(1,$D23+1-$C23))</f>
        <v/>
      </c>
      <c r="BE23" s="56" t="str">
        <f aca="false">IF(OR(BE$4="",$C23="",$D23="",N($E23)=0),"",$E23*MAX(0,MIN($D23+1,EDATE(BE$4,1))-MAX($C23,BE$4))/MAX(1,$D23+1-$C23))</f>
        <v/>
      </c>
      <c r="BF23" s="56" t="str">
        <f aca="false">IF(OR(BF$4="",$C23="",$D23="",N($E23)=0),"",$E23*MAX(0,MIN($D23+1,EDATE(BF$4,1))-MAX($C23,BF$4))/MAX(1,$D23+1-$C23))</f>
        <v/>
      </c>
      <c r="BG23" s="56" t="str">
        <f aca="false">IF(OR(BG$4="",$C23="",$D23="",N($E23)=0),"",$E23*MAX(0,MIN($D23+1,EDATE(BG$4,1))-MAX($C23,BG$4))/MAX(1,$D23+1-$C23))</f>
        <v/>
      </c>
      <c r="BH23" s="56" t="str">
        <f aca="false">IF(OR(BH$4="",$C23="",$D23="",N($E23)=0),"",$E23*MAX(0,MIN($D23+1,EDATE(BH$4,1))-MAX($C23,BH$4))/MAX(1,$D23+1-$C23))</f>
        <v/>
      </c>
      <c r="BI23" s="56" t="str">
        <f aca="false">IF(OR(BI$4="",$C23="",$D23="",N($E23)=0),"",$E23*MAX(0,MIN($D23+1,EDATE(BI$4,1))-MAX($C23,BI$4))/MAX(1,$D23+1-$C23))</f>
        <v/>
      </c>
      <c r="BJ23" s="56" t="str">
        <f aca="false">IF(OR(BJ$4="",$C23="",$D23="",N($E23)=0),"",$E23*MAX(0,MIN($D23+1,EDATE(BJ$4,1))-MAX($C23,BJ$4))/MAX(1,$D23+1-$C23))</f>
        <v/>
      </c>
      <c r="BK23" s="56" t="str">
        <f aca="false">IF(OR(BK$4="",$C23="",$D23="",N($E23)=0),"",$E23*MAX(0,MIN($D23+1,EDATE(BK$4,1))-MAX($C23,BK$4))/MAX(1,$D23+1-$C23))</f>
        <v/>
      </c>
      <c r="BL23" s="56" t="str">
        <f aca="false">IF(OR(BL$4="",$C23="",$D23="",N($E23)=0),"",$E23*MAX(0,MIN($D23+1,EDATE(BL$4,1))-MAX($C23,BL$4))/MAX(1,$D23+1-$C23))</f>
        <v/>
      </c>
      <c r="BM23" s="56" t="str">
        <f aca="false">IF(OR(BM$4="",$C23="",$D23="",N($E23)=0),"",$E23*MAX(0,MIN($D23+1,EDATE(BM$4,1))-MAX($C23,BM$4))/MAX(1,$D23+1-$C23))</f>
        <v/>
      </c>
      <c r="BN23" s="56" t="str">
        <f aca="false">IF(OR(BN$4="",$C23="",$D23="",N($E23)=0),"",$E23*MAX(0,MIN($D23+1,EDATE(BN$4,1))-MAX($C23,BN$4))/MAX(1,$D23+1-$C23))</f>
        <v/>
      </c>
      <c r="BO23" s="56" t="str">
        <f aca="false">IF(OR(BO$4="",$C23="",$D23="",N($E23)=0),"",$E23*MAX(0,MIN($D23+1,EDATE(BO$4,1))-MAX($C23,BO$4))/MAX(1,$D23+1-$C23))</f>
        <v/>
      </c>
      <c r="BP23" s="56" t="str">
        <f aca="false">IF(OR(BP$4="",$C23="",$D23="",N($E23)=0),"",$E23*MAX(0,MIN($D23+1,EDATE(BP$4,1))-MAX($C23,BP$4))/MAX(1,$D23+1-$C23))</f>
        <v/>
      </c>
      <c r="BQ23" s="56" t="str">
        <f aca="false">IF(OR(BQ$4="",$C23="",$D23="",N($E23)=0),"",$E23*MAX(0,MIN($D23+1,EDATE(BQ$4,1))-MAX($C23,BQ$4))/MAX(1,$D23+1-$C23))</f>
        <v/>
      </c>
      <c r="BR23" s="56" t="str">
        <f aca="false">IF(OR(BR$4="",$C23="",$D23="",N($E23)=0),"",$E23*MAX(0,MIN($D23+1,EDATE(BR$4,1))-MAX($C23,BR$4))/MAX(1,$D23+1-$C23))</f>
        <v/>
      </c>
      <c r="BS23" s="56" t="str">
        <f aca="false">IF(OR(BS$4="",$C23="",$D23="",N($E23)=0),"",$E23*MAX(0,MIN($D23+1,EDATE(BS$4,1))-MAX($C23,BS$4))/MAX(1,$D23+1-$C23))</f>
        <v/>
      </c>
      <c r="BT23" s="56" t="str">
        <f aca="false">IF(OR(BT$4="",$C23="",$D23="",N($E23)=0),"",$E23*MAX(0,MIN($D23+1,EDATE(BT$4,1))-MAX($C23,BT$4))/MAX(1,$D23+1-$C23))</f>
        <v/>
      </c>
      <c r="BU23" s="56" t="str">
        <f aca="false">IF(OR(BU$4="",$C23="",$D23="",N($E23)=0),"",$E23*MAX(0,MIN($D23+1,EDATE(BU$4,1))-MAX($C23,BU$4))/MAX(1,$D23+1-$C23))</f>
        <v/>
      </c>
      <c r="BV23" s="56" t="str">
        <f aca="false">IF(OR(BV$4="",$C23="",$D23="",N($E23)=0),"",$E23*MAX(0,MIN($D23+1,EDATE(BV$4,1))-MAX($C23,BV$4))/MAX(1,$D23+1-$C23))</f>
        <v/>
      </c>
      <c r="BW23" s="56" t="str">
        <f aca="false">IF(OR(BW$4="",$C23="",$D23="",N($E23)=0),"",$E23*MAX(0,MIN($D23+1,EDATE(BW$4,1))-MAX($C23,BW$4))/MAX(1,$D23+1-$C23))</f>
        <v/>
      </c>
      <c r="BX23" s="56" t="str">
        <f aca="false">IF(OR(BX$4="",$C23="",$D23="",N($E23)=0),"",$E23*MAX(0,MIN($D23+1,EDATE(BX$4,1))-MAX($C23,BX$4))/MAX(1,$D23+1-$C23))</f>
        <v/>
      </c>
      <c r="BY23" s="56" t="str">
        <f aca="false">IF(OR(BY$4="",$C23="",$D23="",N($E23)=0),"",$E23*MAX(0,MIN($D23+1,EDATE(BY$4,1))-MAX($C23,BY$4))/MAX(1,$D23+1-$C23))</f>
        <v/>
      </c>
    </row>
    <row r="24" customFormat="false" ht="15" hidden="false" customHeight="false" outlineLevel="0" collapsed="false">
      <c r="A24" s="53" t="str">
        <f aca="false">IF(BOE!$A25="","",BOE!$A25)</f>
        <v>301</v>
      </c>
      <c r="B24" s="53" t="str">
        <f aca="false">IF(BOE!$A25="","",BOE!$C25)</f>
        <v>Safety Assessment Report (SAR)  — ANCHOR</v>
      </c>
      <c r="C24" s="54" t="n">
        <f aca="false">IF(BOE!$O25="","",BOE!$O25)</f>
        <v>47122</v>
      </c>
      <c r="D24" s="54" t="n">
        <f aca="false">IF(BOE!$P25="","",BOE!$P25)</f>
        <v>47395</v>
      </c>
      <c r="E24" s="55" t="n">
        <f aca="false">IF(Inputs!$B$7="P90",BOE!$T25,BOE!$R25)</f>
        <v>800</v>
      </c>
      <c r="F24" s="56" t="n">
        <f aca="false">IF(OR(F$4="",$C24="",$D24="",N($E24)=0),"",$E24*MAX(0,MIN($D24+1,EDATE(F$4,1))-MAX($C24,F$4))/MAX(1,$D24+1-$C24))</f>
        <v>0</v>
      </c>
      <c r="G24" s="56" t="n">
        <f aca="false">IF(OR(G$4="",$C24="",$D24="",N($E24)=0),"",$E24*MAX(0,MIN($D24+1,EDATE(G$4,1))-MAX($C24,G$4))/MAX(1,$D24+1-$C24))</f>
        <v>0</v>
      </c>
      <c r="H24" s="56" t="n">
        <f aca="false">IF(OR(H$4="",$C24="",$D24="",N($E24)=0),"",$E24*MAX(0,MIN($D24+1,EDATE(H$4,1))-MAX($C24,H$4))/MAX(1,$D24+1-$C24))</f>
        <v>0</v>
      </c>
      <c r="I24" s="56" t="n">
        <f aca="false">IF(OR(I$4="",$C24="",$D24="",N($E24)=0),"",$E24*MAX(0,MIN($D24+1,EDATE(I$4,1))-MAX($C24,I$4))/MAX(1,$D24+1-$C24))</f>
        <v>0</v>
      </c>
      <c r="J24" s="56" t="n">
        <f aca="false">IF(OR(J$4="",$C24="",$D24="",N($E24)=0),"",$E24*MAX(0,MIN($D24+1,EDATE(J$4,1))-MAX($C24,J$4))/MAX(1,$D24+1-$C24))</f>
        <v>0</v>
      </c>
      <c r="K24" s="56" t="n">
        <f aca="false">IF(OR(K$4="",$C24="",$D24="",N($E24)=0),"",$E24*MAX(0,MIN($D24+1,EDATE(K$4,1))-MAX($C24,K$4))/MAX(1,$D24+1-$C24))</f>
        <v>0</v>
      </c>
      <c r="L24" s="56" t="n">
        <f aca="false">IF(OR(L$4="",$C24="",$D24="",N($E24)=0),"",$E24*MAX(0,MIN($D24+1,EDATE(L$4,1))-MAX($C24,L$4))/MAX(1,$D24+1-$C24))</f>
        <v>0</v>
      </c>
      <c r="M24" s="56" t="n">
        <f aca="false">IF(OR(M$4="",$C24="",$D24="",N($E24)=0),"",$E24*MAX(0,MIN($D24+1,EDATE(M$4,1))-MAX($C24,M$4))/MAX(1,$D24+1-$C24))</f>
        <v>0</v>
      </c>
      <c r="N24" s="56" t="n">
        <f aca="false">IF(OR(N$4="",$C24="",$D24="",N($E24)=0),"",$E24*MAX(0,MIN($D24+1,EDATE(N$4,1))-MAX($C24,N$4))/MAX(1,$D24+1-$C24))</f>
        <v>0</v>
      </c>
      <c r="O24" s="56" t="n">
        <f aca="false">IF(OR(O$4="",$C24="",$D24="",N($E24)=0),"",$E24*MAX(0,MIN($D24+1,EDATE(O$4,1))-MAX($C24,O$4))/MAX(1,$D24+1-$C24))</f>
        <v>0</v>
      </c>
      <c r="P24" s="56" t="n">
        <f aca="false">IF(OR(P$4="",$C24="",$D24="",N($E24)=0),"",$E24*MAX(0,MIN($D24+1,EDATE(P$4,1))-MAX($C24,P$4))/MAX(1,$D24+1-$C24))</f>
        <v>0</v>
      </c>
      <c r="Q24" s="56" t="n">
        <f aca="false">IF(OR(Q$4="",$C24="",$D24="",N($E24)=0),"",$E24*MAX(0,MIN($D24+1,EDATE(Q$4,1))-MAX($C24,Q$4))/MAX(1,$D24+1-$C24))</f>
        <v>0</v>
      </c>
      <c r="R24" s="56" t="n">
        <f aca="false">IF(OR(R$4="",$C24="",$D24="",N($E24)=0),"",$E24*MAX(0,MIN($D24+1,EDATE(R$4,1))-MAX($C24,R$4))/MAX(1,$D24+1-$C24))</f>
        <v>0</v>
      </c>
      <c r="S24" s="56" t="n">
        <f aca="false">IF(OR(S$4="",$C24="",$D24="",N($E24)=0),"",$E24*MAX(0,MIN($D24+1,EDATE(S$4,1))-MAX($C24,S$4))/MAX(1,$D24+1-$C24))</f>
        <v>0</v>
      </c>
      <c r="T24" s="56" t="n">
        <f aca="false">IF(OR(T$4="",$C24="",$D24="",N($E24)=0),"",$E24*MAX(0,MIN($D24+1,EDATE(T$4,1))-MAX($C24,T$4))/MAX(1,$D24+1-$C24))</f>
        <v>0</v>
      </c>
      <c r="U24" s="56" t="n">
        <f aca="false">IF(OR(U$4="",$C24="",$D24="",N($E24)=0),"",$E24*MAX(0,MIN($D24+1,EDATE(U$4,1))-MAX($C24,U$4))/MAX(1,$D24+1-$C24))</f>
        <v>0</v>
      </c>
      <c r="V24" s="56" t="n">
        <f aca="false">IF(OR(V$4="",$C24="",$D24="",N($E24)=0),"",$E24*MAX(0,MIN($D24+1,EDATE(V$4,1))-MAX($C24,V$4))/MAX(1,$D24+1-$C24))</f>
        <v>0</v>
      </c>
      <c r="W24" s="56" t="n">
        <f aca="false">IF(OR(W$4="",$C24="",$D24="",N($E24)=0),"",$E24*MAX(0,MIN($D24+1,EDATE(W$4,1))-MAX($C24,W$4))/MAX(1,$D24+1-$C24))</f>
        <v>0</v>
      </c>
      <c r="X24" s="56" t="n">
        <f aca="false">IF(OR(X$4="",$C24="",$D24="",N($E24)=0),"",$E24*MAX(0,MIN($D24+1,EDATE(X$4,1))-MAX($C24,X$4))/MAX(1,$D24+1-$C24))</f>
        <v>0</v>
      </c>
      <c r="Y24" s="56" t="n">
        <f aca="false">IF(OR(Y$4="",$C24="",$D24="",N($E24)=0),"",$E24*MAX(0,MIN($D24+1,EDATE(Y$4,1))-MAX($C24,Y$4))/MAX(1,$D24+1-$C24))</f>
        <v>0</v>
      </c>
      <c r="Z24" s="56" t="n">
        <f aca="false">IF(OR(Z$4="",$C24="",$D24="",N($E24)=0),"",$E24*MAX(0,MIN($D24+1,EDATE(Z$4,1))-MAX($C24,Z$4))/MAX(1,$D24+1-$C24))</f>
        <v>0</v>
      </c>
      <c r="AA24" s="56" t="n">
        <f aca="false">IF(OR(AA$4="",$C24="",$D24="",N($E24)=0),"",$E24*MAX(0,MIN($D24+1,EDATE(AA$4,1))-MAX($C24,AA$4))/MAX(1,$D24+1-$C24))</f>
        <v>0</v>
      </c>
      <c r="AB24" s="56" t="n">
        <f aca="false">IF(OR(AB$4="",$C24="",$D24="",N($E24)=0),"",$E24*MAX(0,MIN($D24+1,EDATE(AB$4,1))-MAX($C24,AB$4))/MAX(1,$D24+1-$C24))</f>
        <v>0</v>
      </c>
      <c r="AC24" s="56" t="n">
        <f aca="false">IF(OR(AC$4="",$C24="",$D24="",N($E24)=0),"",$E24*MAX(0,MIN($D24+1,EDATE(AC$4,1))-MAX($C24,AC$4))/MAX(1,$D24+1-$C24))</f>
        <v>0</v>
      </c>
      <c r="AD24" s="56" t="n">
        <f aca="false">IF(OR(AD$4="",$C24="",$D24="",N($E24)=0),"",$E24*MAX(0,MIN($D24+1,EDATE(AD$4,1))-MAX($C24,AD$4))/MAX(1,$D24+1-$C24))</f>
        <v>90.5109489051095</v>
      </c>
      <c r="AE24" s="56" t="n">
        <f aca="false">IF(OR(AE$4="",$C24="",$D24="",N($E24)=0),"",$E24*MAX(0,MIN($D24+1,EDATE(AE$4,1))-MAX($C24,AE$4))/MAX(1,$D24+1-$C24))</f>
        <v>81.7518248175183</v>
      </c>
      <c r="AF24" s="56" t="n">
        <f aca="false">IF(OR(AF$4="",$C24="",$D24="",N($E24)=0),"",$E24*MAX(0,MIN($D24+1,EDATE(AF$4,1))-MAX($C24,AF$4))/MAX(1,$D24+1-$C24))</f>
        <v>90.5109489051095</v>
      </c>
      <c r="AG24" s="56" t="n">
        <f aca="false">IF(OR(AG$4="",$C24="",$D24="",N($E24)=0),"",$E24*MAX(0,MIN($D24+1,EDATE(AG$4,1))-MAX($C24,AG$4))/MAX(1,$D24+1-$C24))</f>
        <v>87.5912408759124</v>
      </c>
      <c r="AH24" s="56" t="n">
        <f aca="false">IF(OR(AH$4="",$C24="",$D24="",N($E24)=0),"",$E24*MAX(0,MIN($D24+1,EDATE(AH$4,1))-MAX($C24,AH$4))/MAX(1,$D24+1-$C24))</f>
        <v>90.5109489051095</v>
      </c>
      <c r="AI24" s="56" t="n">
        <f aca="false">IF(OR(AI$4="",$C24="",$D24="",N($E24)=0),"",$E24*MAX(0,MIN($D24+1,EDATE(AI$4,1))-MAX($C24,AI$4))/MAX(1,$D24+1-$C24))</f>
        <v>87.5912408759124</v>
      </c>
      <c r="AJ24" s="56" t="n">
        <f aca="false">IF(OR(AJ$4="",$C24="",$D24="",N($E24)=0),"",$E24*MAX(0,MIN($D24+1,EDATE(AJ$4,1))-MAX($C24,AJ$4))/MAX(1,$D24+1-$C24))</f>
        <v>90.5109489051095</v>
      </c>
      <c r="AK24" s="56" t="n">
        <f aca="false">IF(OR(AK$4="",$C24="",$D24="",N($E24)=0),"",$E24*MAX(0,MIN($D24+1,EDATE(AK$4,1))-MAX($C24,AK$4))/MAX(1,$D24+1-$C24))</f>
        <v>90.5109489051095</v>
      </c>
      <c r="AL24" s="56" t="n">
        <f aca="false">IF(OR(AL$4="",$C24="",$D24="",N($E24)=0),"",$E24*MAX(0,MIN($D24+1,EDATE(AL$4,1))-MAX($C24,AL$4))/MAX(1,$D24+1-$C24))</f>
        <v>87.5912408759124</v>
      </c>
      <c r="AM24" s="56" t="n">
        <f aca="false">IF(OR(AM$4="",$C24="",$D24="",N($E24)=0),"",$E24*MAX(0,MIN($D24+1,EDATE(AM$4,1))-MAX($C24,AM$4))/MAX(1,$D24+1-$C24))</f>
        <v>2.91970802919708</v>
      </c>
      <c r="AN24" s="56" t="n">
        <f aca="false">IF(OR(AN$4="",$C24="",$D24="",N($E24)=0),"",$E24*MAX(0,MIN($D24+1,EDATE(AN$4,1))-MAX($C24,AN$4))/MAX(1,$D24+1-$C24))</f>
        <v>0</v>
      </c>
      <c r="AO24" s="56" t="n">
        <f aca="false">IF(OR(AO$4="",$C24="",$D24="",N($E24)=0),"",$E24*MAX(0,MIN($D24+1,EDATE(AO$4,1))-MAX($C24,AO$4))/MAX(1,$D24+1-$C24))</f>
        <v>0</v>
      </c>
      <c r="AP24" s="56" t="str">
        <f aca="false">IF(OR(AP$4="",$C24="",$D24="",N($E24)=0),"",$E24*MAX(0,MIN($D24+1,EDATE(AP$4,1))-MAX($C24,AP$4))/MAX(1,$D24+1-$C24))</f>
        <v/>
      </c>
      <c r="AQ24" s="56" t="str">
        <f aca="false">IF(OR(AQ$4="",$C24="",$D24="",N($E24)=0),"",$E24*MAX(0,MIN($D24+1,EDATE(AQ$4,1))-MAX($C24,AQ$4))/MAX(1,$D24+1-$C24))</f>
        <v/>
      </c>
      <c r="AR24" s="56" t="str">
        <f aca="false">IF(OR(AR$4="",$C24="",$D24="",N($E24)=0),"",$E24*MAX(0,MIN($D24+1,EDATE(AR$4,1))-MAX($C24,AR$4))/MAX(1,$D24+1-$C24))</f>
        <v/>
      </c>
      <c r="AS24" s="56" t="str">
        <f aca="false">IF(OR(AS$4="",$C24="",$D24="",N($E24)=0),"",$E24*MAX(0,MIN($D24+1,EDATE(AS$4,1))-MAX($C24,AS$4))/MAX(1,$D24+1-$C24))</f>
        <v/>
      </c>
      <c r="AT24" s="56" t="str">
        <f aca="false">IF(OR(AT$4="",$C24="",$D24="",N($E24)=0),"",$E24*MAX(0,MIN($D24+1,EDATE(AT$4,1))-MAX($C24,AT$4))/MAX(1,$D24+1-$C24))</f>
        <v/>
      </c>
      <c r="AU24" s="56" t="str">
        <f aca="false">IF(OR(AU$4="",$C24="",$D24="",N($E24)=0),"",$E24*MAX(0,MIN($D24+1,EDATE(AU$4,1))-MAX($C24,AU$4))/MAX(1,$D24+1-$C24))</f>
        <v/>
      </c>
      <c r="AV24" s="56" t="str">
        <f aca="false">IF(OR(AV$4="",$C24="",$D24="",N($E24)=0),"",$E24*MAX(0,MIN($D24+1,EDATE(AV$4,1))-MAX($C24,AV$4))/MAX(1,$D24+1-$C24))</f>
        <v/>
      </c>
      <c r="AW24" s="56" t="str">
        <f aca="false">IF(OR(AW$4="",$C24="",$D24="",N($E24)=0),"",$E24*MAX(0,MIN($D24+1,EDATE(AW$4,1))-MAX($C24,AW$4))/MAX(1,$D24+1-$C24))</f>
        <v/>
      </c>
      <c r="AX24" s="56" t="str">
        <f aca="false">IF(OR(AX$4="",$C24="",$D24="",N($E24)=0),"",$E24*MAX(0,MIN($D24+1,EDATE(AX$4,1))-MAX($C24,AX$4))/MAX(1,$D24+1-$C24))</f>
        <v/>
      </c>
      <c r="AY24" s="56" t="str">
        <f aca="false">IF(OR(AY$4="",$C24="",$D24="",N($E24)=0),"",$E24*MAX(0,MIN($D24+1,EDATE(AY$4,1))-MAX($C24,AY$4))/MAX(1,$D24+1-$C24))</f>
        <v/>
      </c>
      <c r="AZ24" s="56" t="str">
        <f aca="false">IF(OR(AZ$4="",$C24="",$D24="",N($E24)=0),"",$E24*MAX(0,MIN($D24+1,EDATE(AZ$4,1))-MAX($C24,AZ$4))/MAX(1,$D24+1-$C24))</f>
        <v/>
      </c>
      <c r="BA24" s="56" t="str">
        <f aca="false">IF(OR(BA$4="",$C24="",$D24="",N($E24)=0),"",$E24*MAX(0,MIN($D24+1,EDATE(BA$4,1))-MAX($C24,BA$4))/MAX(1,$D24+1-$C24))</f>
        <v/>
      </c>
      <c r="BB24" s="56" t="str">
        <f aca="false">IF(OR(BB$4="",$C24="",$D24="",N($E24)=0),"",$E24*MAX(0,MIN($D24+1,EDATE(BB$4,1))-MAX($C24,BB$4))/MAX(1,$D24+1-$C24))</f>
        <v/>
      </c>
      <c r="BC24" s="56" t="str">
        <f aca="false">IF(OR(BC$4="",$C24="",$D24="",N($E24)=0),"",$E24*MAX(0,MIN($D24+1,EDATE(BC$4,1))-MAX($C24,BC$4))/MAX(1,$D24+1-$C24))</f>
        <v/>
      </c>
      <c r="BD24" s="56" t="str">
        <f aca="false">IF(OR(BD$4="",$C24="",$D24="",N($E24)=0),"",$E24*MAX(0,MIN($D24+1,EDATE(BD$4,1))-MAX($C24,BD$4))/MAX(1,$D24+1-$C24))</f>
        <v/>
      </c>
      <c r="BE24" s="56" t="str">
        <f aca="false">IF(OR(BE$4="",$C24="",$D24="",N($E24)=0),"",$E24*MAX(0,MIN($D24+1,EDATE(BE$4,1))-MAX($C24,BE$4))/MAX(1,$D24+1-$C24))</f>
        <v/>
      </c>
      <c r="BF24" s="56" t="str">
        <f aca="false">IF(OR(BF$4="",$C24="",$D24="",N($E24)=0),"",$E24*MAX(0,MIN($D24+1,EDATE(BF$4,1))-MAX($C24,BF$4))/MAX(1,$D24+1-$C24))</f>
        <v/>
      </c>
      <c r="BG24" s="56" t="str">
        <f aca="false">IF(OR(BG$4="",$C24="",$D24="",N($E24)=0),"",$E24*MAX(0,MIN($D24+1,EDATE(BG$4,1))-MAX($C24,BG$4))/MAX(1,$D24+1-$C24))</f>
        <v/>
      </c>
      <c r="BH24" s="56" t="str">
        <f aca="false">IF(OR(BH$4="",$C24="",$D24="",N($E24)=0),"",$E24*MAX(0,MIN($D24+1,EDATE(BH$4,1))-MAX($C24,BH$4))/MAX(1,$D24+1-$C24))</f>
        <v/>
      </c>
      <c r="BI24" s="56" t="str">
        <f aca="false">IF(OR(BI$4="",$C24="",$D24="",N($E24)=0),"",$E24*MAX(0,MIN($D24+1,EDATE(BI$4,1))-MAX($C24,BI$4))/MAX(1,$D24+1-$C24))</f>
        <v/>
      </c>
      <c r="BJ24" s="56" t="str">
        <f aca="false">IF(OR(BJ$4="",$C24="",$D24="",N($E24)=0),"",$E24*MAX(0,MIN($D24+1,EDATE(BJ$4,1))-MAX($C24,BJ$4))/MAX(1,$D24+1-$C24))</f>
        <v/>
      </c>
      <c r="BK24" s="56" t="str">
        <f aca="false">IF(OR(BK$4="",$C24="",$D24="",N($E24)=0),"",$E24*MAX(0,MIN($D24+1,EDATE(BK$4,1))-MAX($C24,BK$4))/MAX(1,$D24+1-$C24))</f>
        <v/>
      </c>
      <c r="BL24" s="56" t="str">
        <f aca="false">IF(OR(BL$4="",$C24="",$D24="",N($E24)=0),"",$E24*MAX(0,MIN($D24+1,EDATE(BL$4,1))-MAX($C24,BL$4))/MAX(1,$D24+1-$C24))</f>
        <v/>
      </c>
      <c r="BM24" s="56" t="str">
        <f aca="false">IF(OR(BM$4="",$C24="",$D24="",N($E24)=0),"",$E24*MAX(0,MIN($D24+1,EDATE(BM$4,1))-MAX($C24,BM$4))/MAX(1,$D24+1-$C24))</f>
        <v/>
      </c>
      <c r="BN24" s="56" t="str">
        <f aca="false">IF(OR(BN$4="",$C24="",$D24="",N($E24)=0),"",$E24*MAX(0,MIN($D24+1,EDATE(BN$4,1))-MAX($C24,BN$4))/MAX(1,$D24+1-$C24))</f>
        <v/>
      </c>
      <c r="BO24" s="56" t="str">
        <f aca="false">IF(OR(BO$4="",$C24="",$D24="",N($E24)=0),"",$E24*MAX(0,MIN($D24+1,EDATE(BO$4,1))-MAX($C24,BO$4))/MAX(1,$D24+1-$C24))</f>
        <v/>
      </c>
      <c r="BP24" s="56" t="str">
        <f aca="false">IF(OR(BP$4="",$C24="",$D24="",N($E24)=0),"",$E24*MAX(0,MIN($D24+1,EDATE(BP$4,1))-MAX($C24,BP$4))/MAX(1,$D24+1-$C24))</f>
        <v/>
      </c>
      <c r="BQ24" s="56" t="str">
        <f aca="false">IF(OR(BQ$4="",$C24="",$D24="",N($E24)=0),"",$E24*MAX(0,MIN($D24+1,EDATE(BQ$4,1))-MAX($C24,BQ$4))/MAX(1,$D24+1-$C24))</f>
        <v/>
      </c>
      <c r="BR24" s="56" t="str">
        <f aca="false">IF(OR(BR$4="",$C24="",$D24="",N($E24)=0),"",$E24*MAX(0,MIN($D24+1,EDATE(BR$4,1))-MAX($C24,BR$4))/MAX(1,$D24+1-$C24))</f>
        <v/>
      </c>
      <c r="BS24" s="56" t="str">
        <f aca="false">IF(OR(BS$4="",$C24="",$D24="",N($E24)=0),"",$E24*MAX(0,MIN($D24+1,EDATE(BS$4,1))-MAX($C24,BS$4))/MAX(1,$D24+1-$C24))</f>
        <v/>
      </c>
      <c r="BT24" s="56" t="str">
        <f aca="false">IF(OR(BT$4="",$C24="",$D24="",N($E24)=0),"",$E24*MAX(0,MIN($D24+1,EDATE(BT$4,1))-MAX($C24,BT$4))/MAX(1,$D24+1-$C24))</f>
        <v/>
      </c>
      <c r="BU24" s="56" t="str">
        <f aca="false">IF(OR(BU$4="",$C24="",$D24="",N($E24)=0),"",$E24*MAX(0,MIN($D24+1,EDATE(BU$4,1))-MAX($C24,BU$4))/MAX(1,$D24+1-$C24))</f>
        <v/>
      </c>
      <c r="BV24" s="56" t="str">
        <f aca="false">IF(OR(BV$4="",$C24="",$D24="",N($E24)=0),"",$E24*MAX(0,MIN($D24+1,EDATE(BV$4,1))-MAX($C24,BV$4))/MAX(1,$D24+1-$C24))</f>
        <v/>
      </c>
      <c r="BW24" s="56" t="str">
        <f aca="false">IF(OR(BW$4="",$C24="",$D24="",N($E24)=0),"",$E24*MAX(0,MIN($D24+1,EDATE(BW$4,1))-MAX($C24,BW$4))/MAX(1,$D24+1-$C24))</f>
        <v/>
      </c>
      <c r="BX24" s="56" t="str">
        <f aca="false">IF(OR(BX$4="",$C24="",$D24="",N($E24)=0),"",$E24*MAX(0,MIN($D24+1,EDATE(BX$4,1))-MAX($C24,BX$4))/MAX(1,$D24+1-$C24))</f>
        <v/>
      </c>
      <c r="BY24" s="56" t="str">
        <f aca="false">IF(OR(BY$4="",$C24="",$D24="",N($E24)=0),"",$E24*MAX(0,MIN($D24+1,EDATE(BY$4,1))-MAX($C24,BY$4))/MAX(1,$D24+1-$C24))</f>
        <v/>
      </c>
    </row>
    <row r="25" customFormat="false" ht="15" hidden="false" customHeight="false" outlineLevel="0" collapsed="false">
      <c r="A25" s="53" t="str">
        <f aca="false">IF(BOE!$A26="","",BOE!$A26)</f>
        <v>302</v>
      </c>
      <c r="B25" s="53" t="str">
        <f aca="false">IF(BOE!$A26="","",BOE!$C26)</f>
        <v>Hazard Management Assessment Report (HMAR)</v>
      </c>
      <c r="C25" s="54" t="n">
        <f aca="false">IF(BOE!$O26="","",BOE!$O26)</f>
        <v>47122</v>
      </c>
      <c r="D25" s="54" t="n">
        <f aca="false">IF(BOE!$P26="","",BOE!$P26)</f>
        <v>47395</v>
      </c>
      <c r="E25" s="55" t="n">
        <f aca="false">IF(Inputs!$B$7="P90",BOE!$T26,BOE!$R26)</f>
        <v>0</v>
      </c>
      <c r="F25" s="56" t="str">
        <f aca="false">IF(OR(F$4="",$C25="",$D25="",N($E25)=0),"",$E25*MAX(0,MIN($D25+1,EDATE(F$4,1))-MAX($C25,F$4))/MAX(1,$D25+1-$C25))</f>
        <v/>
      </c>
      <c r="G25" s="56" t="str">
        <f aca="false">IF(OR(G$4="",$C25="",$D25="",N($E25)=0),"",$E25*MAX(0,MIN($D25+1,EDATE(G$4,1))-MAX($C25,G$4))/MAX(1,$D25+1-$C25))</f>
        <v/>
      </c>
      <c r="H25" s="56" t="str">
        <f aca="false">IF(OR(H$4="",$C25="",$D25="",N($E25)=0),"",$E25*MAX(0,MIN($D25+1,EDATE(H$4,1))-MAX($C25,H$4))/MAX(1,$D25+1-$C25))</f>
        <v/>
      </c>
      <c r="I25" s="56" t="str">
        <f aca="false">IF(OR(I$4="",$C25="",$D25="",N($E25)=0),"",$E25*MAX(0,MIN($D25+1,EDATE(I$4,1))-MAX($C25,I$4))/MAX(1,$D25+1-$C25))</f>
        <v/>
      </c>
      <c r="J25" s="56" t="str">
        <f aca="false">IF(OR(J$4="",$C25="",$D25="",N($E25)=0),"",$E25*MAX(0,MIN($D25+1,EDATE(J$4,1))-MAX($C25,J$4))/MAX(1,$D25+1-$C25))</f>
        <v/>
      </c>
      <c r="K25" s="56" t="str">
        <f aca="false">IF(OR(K$4="",$C25="",$D25="",N($E25)=0),"",$E25*MAX(0,MIN($D25+1,EDATE(K$4,1))-MAX($C25,K$4))/MAX(1,$D25+1-$C25))</f>
        <v/>
      </c>
      <c r="L25" s="56" t="str">
        <f aca="false">IF(OR(L$4="",$C25="",$D25="",N($E25)=0),"",$E25*MAX(0,MIN($D25+1,EDATE(L$4,1))-MAX($C25,L$4))/MAX(1,$D25+1-$C25))</f>
        <v/>
      </c>
      <c r="M25" s="56" t="str">
        <f aca="false">IF(OR(M$4="",$C25="",$D25="",N($E25)=0),"",$E25*MAX(0,MIN($D25+1,EDATE(M$4,1))-MAX($C25,M$4))/MAX(1,$D25+1-$C25))</f>
        <v/>
      </c>
      <c r="N25" s="56" t="str">
        <f aca="false">IF(OR(N$4="",$C25="",$D25="",N($E25)=0),"",$E25*MAX(0,MIN($D25+1,EDATE(N$4,1))-MAX($C25,N$4))/MAX(1,$D25+1-$C25))</f>
        <v/>
      </c>
      <c r="O25" s="56" t="str">
        <f aca="false">IF(OR(O$4="",$C25="",$D25="",N($E25)=0),"",$E25*MAX(0,MIN($D25+1,EDATE(O$4,1))-MAX($C25,O$4))/MAX(1,$D25+1-$C25))</f>
        <v/>
      </c>
      <c r="P25" s="56" t="str">
        <f aca="false">IF(OR(P$4="",$C25="",$D25="",N($E25)=0),"",$E25*MAX(0,MIN($D25+1,EDATE(P$4,1))-MAX($C25,P$4))/MAX(1,$D25+1-$C25))</f>
        <v/>
      </c>
      <c r="Q25" s="56" t="str">
        <f aca="false">IF(OR(Q$4="",$C25="",$D25="",N($E25)=0),"",$E25*MAX(0,MIN($D25+1,EDATE(Q$4,1))-MAX($C25,Q$4))/MAX(1,$D25+1-$C25))</f>
        <v/>
      </c>
      <c r="R25" s="56" t="str">
        <f aca="false">IF(OR(R$4="",$C25="",$D25="",N($E25)=0),"",$E25*MAX(0,MIN($D25+1,EDATE(R$4,1))-MAX($C25,R$4))/MAX(1,$D25+1-$C25))</f>
        <v/>
      </c>
      <c r="S25" s="56" t="str">
        <f aca="false">IF(OR(S$4="",$C25="",$D25="",N($E25)=0),"",$E25*MAX(0,MIN($D25+1,EDATE(S$4,1))-MAX($C25,S$4))/MAX(1,$D25+1-$C25))</f>
        <v/>
      </c>
      <c r="T25" s="56" t="str">
        <f aca="false">IF(OR(T$4="",$C25="",$D25="",N($E25)=0),"",$E25*MAX(0,MIN($D25+1,EDATE(T$4,1))-MAX($C25,T$4))/MAX(1,$D25+1-$C25))</f>
        <v/>
      </c>
      <c r="U25" s="56" t="str">
        <f aca="false">IF(OR(U$4="",$C25="",$D25="",N($E25)=0),"",$E25*MAX(0,MIN($D25+1,EDATE(U$4,1))-MAX($C25,U$4))/MAX(1,$D25+1-$C25))</f>
        <v/>
      </c>
      <c r="V25" s="56" t="str">
        <f aca="false">IF(OR(V$4="",$C25="",$D25="",N($E25)=0),"",$E25*MAX(0,MIN($D25+1,EDATE(V$4,1))-MAX($C25,V$4))/MAX(1,$D25+1-$C25))</f>
        <v/>
      </c>
      <c r="W25" s="56" t="str">
        <f aca="false">IF(OR(W$4="",$C25="",$D25="",N($E25)=0),"",$E25*MAX(0,MIN($D25+1,EDATE(W$4,1))-MAX($C25,W$4))/MAX(1,$D25+1-$C25))</f>
        <v/>
      </c>
      <c r="X25" s="56" t="str">
        <f aca="false">IF(OR(X$4="",$C25="",$D25="",N($E25)=0),"",$E25*MAX(0,MIN($D25+1,EDATE(X$4,1))-MAX($C25,X$4))/MAX(1,$D25+1-$C25))</f>
        <v/>
      </c>
      <c r="Y25" s="56" t="str">
        <f aca="false">IF(OR(Y$4="",$C25="",$D25="",N($E25)=0),"",$E25*MAX(0,MIN($D25+1,EDATE(Y$4,1))-MAX($C25,Y$4))/MAX(1,$D25+1-$C25))</f>
        <v/>
      </c>
      <c r="Z25" s="56" t="str">
        <f aca="false">IF(OR(Z$4="",$C25="",$D25="",N($E25)=0),"",$E25*MAX(0,MIN($D25+1,EDATE(Z$4,1))-MAX($C25,Z$4))/MAX(1,$D25+1-$C25))</f>
        <v/>
      </c>
      <c r="AA25" s="56" t="str">
        <f aca="false">IF(OR(AA$4="",$C25="",$D25="",N($E25)=0),"",$E25*MAX(0,MIN($D25+1,EDATE(AA$4,1))-MAX($C25,AA$4))/MAX(1,$D25+1-$C25))</f>
        <v/>
      </c>
      <c r="AB25" s="56" t="str">
        <f aca="false">IF(OR(AB$4="",$C25="",$D25="",N($E25)=0),"",$E25*MAX(0,MIN($D25+1,EDATE(AB$4,1))-MAX($C25,AB$4))/MAX(1,$D25+1-$C25))</f>
        <v/>
      </c>
      <c r="AC25" s="56" t="str">
        <f aca="false">IF(OR(AC$4="",$C25="",$D25="",N($E25)=0),"",$E25*MAX(0,MIN($D25+1,EDATE(AC$4,1))-MAX($C25,AC$4))/MAX(1,$D25+1-$C25))</f>
        <v/>
      </c>
      <c r="AD25" s="56" t="str">
        <f aca="false">IF(OR(AD$4="",$C25="",$D25="",N($E25)=0),"",$E25*MAX(0,MIN($D25+1,EDATE(AD$4,1))-MAX($C25,AD$4))/MAX(1,$D25+1-$C25))</f>
        <v/>
      </c>
      <c r="AE25" s="56" t="str">
        <f aca="false">IF(OR(AE$4="",$C25="",$D25="",N($E25)=0),"",$E25*MAX(0,MIN($D25+1,EDATE(AE$4,1))-MAX($C25,AE$4))/MAX(1,$D25+1-$C25))</f>
        <v/>
      </c>
      <c r="AF25" s="56" t="str">
        <f aca="false">IF(OR(AF$4="",$C25="",$D25="",N($E25)=0),"",$E25*MAX(0,MIN($D25+1,EDATE(AF$4,1))-MAX($C25,AF$4))/MAX(1,$D25+1-$C25))</f>
        <v/>
      </c>
      <c r="AG25" s="56" t="str">
        <f aca="false">IF(OR(AG$4="",$C25="",$D25="",N($E25)=0),"",$E25*MAX(0,MIN($D25+1,EDATE(AG$4,1))-MAX($C25,AG$4))/MAX(1,$D25+1-$C25))</f>
        <v/>
      </c>
      <c r="AH25" s="56" t="str">
        <f aca="false">IF(OR(AH$4="",$C25="",$D25="",N($E25)=0),"",$E25*MAX(0,MIN($D25+1,EDATE(AH$4,1))-MAX($C25,AH$4))/MAX(1,$D25+1-$C25))</f>
        <v/>
      </c>
      <c r="AI25" s="56" t="str">
        <f aca="false">IF(OR(AI$4="",$C25="",$D25="",N($E25)=0),"",$E25*MAX(0,MIN($D25+1,EDATE(AI$4,1))-MAX($C25,AI$4))/MAX(1,$D25+1-$C25))</f>
        <v/>
      </c>
      <c r="AJ25" s="56" t="str">
        <f aca="false">IF(OR(AJ$4="",$C25="",$D25="",N($E25)=0),"",$E25*MAX(0,MIN($D25+1,EDATE(AJ$4,1))-MAX($C25,AJ$4))/MAX(1,$D25+1-$C25))</f>
        <v/>
      </c>
      <c r="AK25" s="56" t="str">
        <f aca="false">IF(OR(AK$4="",$C25="",$D25="",N($E25)=0),"",$E25*MAX(0,MIN($D25+1,EDATE(AK$4,1))-MAX($C25,AK$4))/MAX(1,$D25+1-$C25))</f>
        <v/>
      </c>
      <c r="AL25" s="56" t="str">
        <f aca="false">IF(OR(AL$4="",$C25="",$D25="",N($E25)=0),"",$E25*MAX(0,MIN($D25+1,EDATE(AL$4,1))-MAX($C25,AL$4))/MAX(1,$D25+1-$C25))</f>
        <v/>
      </c>
      <c r="AM25" s="56" t="str">
        <f aca="false">IF(OR(AM$4="",$C25="",$D25="",N($E25)=0),"",$E25*MAX(0,MIN($D25+1,EDATE(AM$4,1))-MAX($C25,AM$4))/MAX(1,$D25+1-$C25))</f>
        <v/>
      </c>
      <c r="AN25" s="56" t="str">
        <f aca="false">IF(OR(AN$4="",$C25="",$D25="",N($E25)=0),"",$E25*MAX(0,MIN($D25+1,EDATE(AN$4,1))-MAX($C25,AN$4))/MAX(1,$D25+1-$C25))</f>
        <v/>
      </c>
      <c r="AO25" s="56" t="str">
        <f aca="false">IF(OR(AO$4="",$C25="",$D25="",N($E25)=0),"",$E25*MAX(0,MIN($D25+1,EDATE(AO$4,1))-MAX($C25,AO$4))/MAX(1,$D25+1-$C25))</f>
        <v/>
      </c>
      <c r="AP25" s="56" t="str">
        <f aca="false">IF(OR(AP$4="",$C25="",$D25="",N($E25)=0),"",$E25*MAX(0,MIN($D25+1,EDATE(AP$4,1))-MAX($C25,AP$4))/MAX(1,$D25+1-$C25))</f>
        <v/>
      </c>
      <c r="AQ25" s="56" t="str">
        <f aca="false">IF(OR(AQ$4="",$C25="",$D25="",N($E25)=0),"",$E25*MAX(0,MIN($D25+1,EDATE(AQ$4,1))-MAX($C25,AQ$4))/MAX(1,$D25+1-$C25))</f>
        <v/>
      </c>
      <c r="AR25" s="56" t="str">
        <f aca="false">IF(OR(AR$4="",$C25="",$D25="",N($E25)=0),"",$E25*MAX(0,MIN($D25+1,EDATE(AR$4,1))-MAX($C25,AR$4))/MAX(1,$D25+1-$C25))</f>
        <v/>
      </c>
      <c r="AS25" s="56" t="str">
        <f aca="false">IF(OR(AS$4="",$C25="",$D25="",N($E25)=0),"",$E25*MAX(0,MIN($D25+1,EDATE(AS$4,1))-MAX($C25,AS$4))/MAX(1,$D25+1-$C25))</f>
        <v/>
      </c>
      <c r="AT25" s="56" t="str">
        <f aca="false">IF(OR(AT$4="",$C25="",$D25="",N($E25)=0),"",$E25*MAX(0,MIN($D25+1,EDATE(AT$4,1))-MAX($C25,AT$4))/MAX(1,$D25+1-$C25))</f>
        <v/>
      </c>
      <c r="AU25" s="56" t="str">
        <f aca="false">IF(OR(AU$4="",$C25="",$D25="",N($E25)=0),"",$E25*MAX(0,MIN($D25+1,EDATE(AU$4,1))-MAX($C25,AU$4))/MAX(1,$D25+1-$C25))</f>
        <v/>
      </c>
      <c r="AV25" s="56" t="str">
        <f aca="false">IF(OR(AV$4="",$C25="",$D25="",N($E25)=0),"",$E25*MAX(0,MIN($D25+1,EDATE(AV$4,1))-MAX($C25,AV$4))/MAX(1,$D25+1-$C25))</f>
        <v/>
      </c>
      <c r="AW25" s="56" t="str">
        <f aca="false">IF(OR(AW$4="",$C25="",$D25="",N($E25)=0),"",$E25*MAX(0,MIN($D25+1,EDATE(AW$4,1))-MAX($C25,AW$4))/MAX(1,$D25+1-$C25))</f>
        <v/>
      </c>
      <c r="AX25" s="56" t="str">
        <f aca="false">IF(OR(AX$4="",$C25="",$D25="",N($E25)=0),"",$E25*MAX(0,MIN($D25+1,EDATE(AX$4,1))-MAX($C25,AX$4))/MAX(1,$D25+1-$C25))</f>
        <v/>
      </c>
      <c r="AY25" s="56" t="str">
        <f aca="false">IF(OR(AY$4="",$C25="",$D25="",N($E25)=0),"",$E25*MAX(0,MIN($D25+1,EDATE(AY$4,1))-MAX($C25,AY$4))/MAX(1,$D25+1-$C25))</f>
        <v/>
      </c>
      <c r="AZ25" s="56" t="str">
        <f aca="false">IF(OR(AZ$4="",$C25="",$D25="",N($E25)=0),"",$E25*MAX(0,MIN($D25+1,EDATE(AZ$4,1))-MAX($C25,AZ$4))/MAX(1,$D25+1-$C25))</f>
        <v/>
      </c>
      <c r="BA25" s="56" t="str">
        <f aca="false">IF(OR(BA$4="",$C25="",$D25="",N($E25)=0),"",$E25*MAX(0,MIN($D25+1,EDATE(BA$4,1))-MAX($C25,BA$4))/MAX(1,$D25+1-$C25))</f>
        <v/>
      </c>
      <c r="BB25" s="56" t="str">
        <f aca="false">IF(OR(BB$4="",$C25="",$D25="",N($E25)=0),"",$E25*MAX(0,MIN($D25+1,EDATE(BB$4,1))-MAX($C25,BB$4))/MAX(1,$D25+1-$C25))</f>
        <v/>
      </c>
      <c r="BC25" s="56" t="str">
        <f aca="false">IF(OR(BC$4="",$C25="",$D25="",N($E25)=0),"",$E25*MAX(0,MIN($D25+1,EDATE(BC$4,1))-MAX($C25,BC$4))/MAX(1,$D25+1-$C25))</f>
        <v/>
      </c>
      <c r="BD25" s="56" t="str">
        <f aca="false">IF(OR(BD$4="",$C25="",$D25="",N($E25)=0),"",$E25*MAX(0,MIN($D25+1,EDATE(BD$4,1))-MAX($C25,BD$4))/MAX(1,$D25+1-$C25))</f>
        <v/>
      </c>
      <c r="BE25" s="56" t="str">
        <f aca="false">IF(OR(BE$4="",$C25="",$D25="",N($E25)=0),"",$E25*MAX(0,MIN($D25+1,EDATE(BE$4,1))-MAX($C25,BE$4))/MAX(1,$D25+1-$C25))</f>
        <v/>
      </c>
      <c r="BF25" s="56" t="str">
        <f aca="false">IF(OR(BF$4="",$C25="",$D25="",N($E25)=0),"",$E25*MAX(0,MIN($D25+1,EDATE(BF$4,1))-MAX($C25,BF$4))/MAX(1,$D25+1-$C25))</f>
        <v/>
      </c>
      <c r="BG25" s="56" t="str">
        <f aca="false">IF(OR(BG$4="",$C25="",$D25="",N($E25)=0),"",$E25*MAX(0,MIN($D25+1,EDATE(BG$4,1))-MAX($C25,BG$4))/MAX(1,$D25+1-$C25))</f>
        <v/>
      </c>
      <c r="BH25" s="56" t="str">
        <f aca="false">IF(OR(BH$4="",$C25="",$D25="",N($E25)=0),"",$E25*MAX(0,MIN($D25+1,EDATE(BH$4,1))-MAX($C25,BH$4))/MAX(1,$D25+1-$C25))</f>
        <v/>
      </c>
      <c r="BI25" s="56" t="str">
        <f aca="false">IF(OR(BI$4="",$C25="",$D25="",N($E25)=0),"",$E25*MAX(0,MIN($D25+1,EDATE(BI$4,1))-MAX($C25,BI$4))/MAX(1,$D25+1-$C25))</f>
        <v/>
      </c>
      <c r="BJ25" s="56" t="str">
        <f aca="false">IF(OR(BJ$4="",$C25="",$D25="",N($E25)=0),"",$E25*MAX(0,MIN($D25+1,EDATE(BJ$4,1))-MAX($C25,BJ$4))/MAX(1,$D25+1-$C25))</f>
        <v/>
      </c>
      <c r="BK25" s="56" t="str">
        <f aca="false">IF(OR(BK$4="",$C25="",$D25="",N($E25)=0),"",$E25*MAX(0,MIN($D25+1,EDATE(BK$4,1))-MAX($C25,BK$4))/MAX(1,$D25+1-$C25))</f>
        <v/>
      </c>
      <c r="BL25" s="56" t="str">
        <f aca="false">IF(OR(BL$4="",$C25="",$D25="",N($E25)=0),"",$E25*MAX(0,MIN($D25+1,EDATE(BL$4,1))-MAX($C25,BL$4))/MAX(1,$D25+1-$C25))</f>
        <v/>
      </c>
      <c r="BM25" s="56" t="str">
        <f aca="false">IF(OR(BM$4="",$C25="",$D25="",N($E25)=0),"",$E25*MAX(0,MIN($D25+1,EDATE(BM$4,1))-MAX($C25,BM$4))/MAX(1,$D25+1-$C25))</f>
        <v/>
      </c>
      <c r="BN25" s="56" t="str">
        <f aca="false">IF(OR(BN$4="",$C25="",$D25="",N($E25)=0),"",$E25*MAX(0,MIN($D25+1,EDATE(BN$4,1))-MAX($C25,BN$4))/MAX(1,$D25+1-$C25))</f>
        <v/>
      </c>
      <c r="BO25" s="56" t="str">
        <f aca="false">IF(OR(BO$4="",$C25="",$D25="",N($E25)=0),"",$E25*MAX(0,MIN($D25+1,EDATE(BO$4,1))-MAX($C25,BO$4))/MAX(1,$D25+1-$C25))</f>
        <v/>
      </c>
      <c r="BP25" s="56" t="str">
        <f aca="false">IF(OR(BP$4="",$C25="",$D25="",N($E25)=0),"",$E25*MAX(0,MIN($D25+1,EDATE(BP$4,1))-MAX($C25,BP$4))/MAX(1,$D25+1-$C25))</f>
        <v/>
      </c>
      <c r="BQ25" s="56" t="str">
        <f aca="false">IF(OR(BQ$4="",$C25="",$D25="",N($E25)=0),"",$E25*MAX(0,MIN($D25+1,EDATE(BQ$4,1))-MAX($C25,BQ$4))/MAX(1,$D25+1-$C25))</f>
        <v/>
      </c>
      <c r="BR25" s="56" t="str">
        <f aca="false">IF(OR(BR$4="",$C25="",$D25="",N($E25)=0),"",$E25*MAX(0,MIN($D25+1,EDATE(BR$4,1))-MAX($C25,BR$4))/MAX(1,$D25+1-$C25))</f>
        <v/>
      </c>
      <c r="BS25" s="56" t="str">
        <f aca="false">IF(OR(BS$4="",$C25="",$D25="",N($E25)=0),"",$E25*MAX(0,MIN($D25+1,EDATE(BS$4,1))-MAX($C25,BS$4))/MAX(1,$D25+1-$C25))</f>
        <v/>
      </c>
      <c r="BT25" s="56" t="str">
        <f aca="false">IF(OR(BT$4="",$C25="",$D25="",N($E25)=0),"",$E25*MAX(0,MIN($D25+1,EDATE(BT$4,1))-MAX($C25,BT$4))/MAX(1,$D25+1-$C25))</f>
        <v/>
      </c>
      <c r="BU25" s="56" t="str">
        <f aca="false">IF(OR(BU$4="",$C25="",$D25="",N($E25)=0),"",$E25*MAX(0,MIN($D25+1,EDATE(BU$4,1))-MAX($C25,BU$4))/MAX(1,$D25+1-$C25))</f>
        <v/>
      </c>
      <c r="BV25" s="56" t="str">
        <f aca="false">IF(OR(BV$4="",$C25="",$D25="",N($E25)=0),"",$E25*MAX(0,MIN($D25+1,EDATE(BV$4,1))-MAX($C25,BV$4))/MAX(1,$D25+1-$C25))</f>
        <v/>
      </c>
      <c r="BW25" s="56" t="str">
        <f aca="false">IF(OR(BW$4="",$C25="",$D25="",N($E25)=0),"",$E25*MAX(0,MIN($D25+1,EDATE(BW$4,1))-MAX($C25,BW$4))/MAX(1,$D25+1-$C25))</f>
        <v/>
      </c>
      <c r="BX25" s="56" t="str">
        <f aca="false">IF(OR(BX$4="",$C25="",$D25="",N($E25)=0),"",$E25*MAX(0,MIN($D25+1,EDATE(BX$4,1))-MAX($C25,BX$4))/MAX(1,$D25+1-$C25))</f>
        <v/>
      </c>
      <c r="BY25" s="56" t="str">
        <f aca="false">IF(OR(BY$4="",$C25="",$D25="",N($E25)=0),"",$E25*MAX(0,MIN($D25+1,EDATE(BY$4,1))-MAX($C25,BY$4))/MAX(1,$D25+1-$C25))</f>
        <v/>
      </c>
    </row>
    <row r="26" customFormat="false" ht="15" hidden="false" customHeight="false" outlineLevel="0" collapsed="false">
      <c r="A26" s="53" t="str">
        <f aca="false">IF(BOE!$A27="","",BOE!$A27)</f>
        <v>303</v>
      </c>
      <c r="B26" s="53" t="str">
        <f aca="false">IF(BOE!$A27="","",BOE!$C27)</f>
        <v>Test &amp; Evaluation participation</v>
      </c>
      <c r="C26" s="54" t="n">
        <f aca="false">IF(BOE!$O27="","",BOE!$O27)</f>
        <v>47097</v>
      </c>
      <c r="D26" s="54" t="n">
        <f aca="false">IF(BOE!$P27="","",BOE!$P27)</f>
        <v>47362</v>
      </c>
      <c r="E26" s="55" t="n">
        <f aca="false">IF(Inputs!$B$7="P90",BOE!$T27,BOE!$R27)</f>
        <v>640</v>
      </c>
      <c r="F26" s="56" t="n">
        <f aca="false">IF(OR(F$4="",$C26="",$D26="",N($E26)=0),"",$E26*MAX(0,MIN($D26+1,EDATE(F$4,1))-MAX($C26,F$4))/MAX(1,$D26+1-$C26))</f>
        <v>0</v>
      </c>
      <c r="G26" s="56" t="n">
        <f aca="false">IF(OR(G$4="",$C26="",$D26="",N($E26)=0),"",$E26*MAX(0,MIN($D26+1,EDATE(G$4,1))-MAX($C26,G$4))/MAX(1,$D26+1-$C26))</f>
        <v>0</v>
      </c>
      <c r="H26" s="56" t="n">
        <f aca="false">IF(OR(H$4="",$C26="",$D26="",N($E26)=0),"",$E26*MAX(0,MIN($D26+1,EDATE(H$4,1))-MAX($C26,H$4))/MAX(1,$D26+1-$C26))</f>
        <v>0</v>
      </c>
      <c r="I26" s="56" t="n">
        <f aca="false">IF(OR(I$4="",$C26="",$D26="",N($E26)=0),"",$E26*MAX(0,MIN($D26+1,EDATE(I$4,1))-MAX($C26,I$4))/MAX(1,$D26+1-$C26))</f>
        <v>0</v>
      </c>
      <c r="J26" s="56" t="n">
        <f aca="false">IF(OR(J$4="",$C26="",$D26="",N($E26)=0),"",$E26*MAX(0,MIN($D26+1,EDATE(J$4,1))-MAX($C26,J$4))/MAX(1,$D26+1-$C26))</f>
        <v>0</v>
      </c>
      <c r="K26" s="56" t="n">
        <f aca="false">IF(OR(K$4="",$C26="",$D26="",N($E26)=0),"",$E26*MAX(0,MIN($D26+1,EDATE(K$4,1))-MAX($C26,K$4))/MAX(1,$D26+1-$C26))</f>
        <v>0</v>
      </c>
      <c r="L26" s="56" t="n">
        <f aca="false">IF(OR(L$4="",$C26="",$D26="",N($E26)=0),"",$E26*MAX(0,MIN($D26+1,EDATE(L$4,1))-MAX($C26,L$4))/MAX(1,$D26+1-$C26))</f>
        <v>0</v>
      </c>
      <c r="M26" s="56" t="n">
        <f aca="false">IF(OR(M$4="",$C26="",$D26="",N($E26)=0),"",$E26*MAX(0,MIN($D26+1,EDATE(M$4,1))-MAX($C26,M$4))/MAX(1,$D26+1-$C26))</f>
        <v>0</v>
      </c>
      <c r="N26" s="56" t="n">
        <f aca="false">IF(OR(N$4="",$C26="",$D26="",N($E26)=0),"",$E26*MAX(0,MIN($D26+1,EDATE(N$4,1))-MAX($C26,N$4))/MAX(1,$D26+1-$C26))</f>
        <v>0</v>
      </c>
      <c r="O26" s="56" t="n">
        <f aca="false">IF(OR(O$4="",$C26="",$D26="",N($E26)=0),"",$E26*MAX(0,MIN($D26+1,EDATE(O$4,1))-MAX($C26,O$4))/MAX(1,$D26+1-$C26))</f>
        <v>0</v>
      </c>
      <c r="P26" s="56" t="n">
        <f aca="false">IF(OR(P$4="",$C26="",$D26="",N($E26)=0),"",$E26*MAX(0,MIN($D26+1,EDATE(P$4,1))-MAX($C26,P$4))/MAX(1,$D26+1-$C26))</f>
        <v>0</v>
      </c>
      <c r="Q26" s="56" t="n">
        <f aca="false">IF(OR(Q$4="",$C26="",$D26="",N($E26)=0),"",$E26*MAX(0,MIN($D26+1,EDATE(Q$4,1))-MAX($C26,Q$4))/MAX(1,$D26+1-$C26))</f>
        <v>0</v>
      </c>
      <c r="R26" s="56" t="n">
        <f aca="false">IF(OR(R$4="",$C26="",$D26="",N($E26)=0),"",$E26*MAX(0,MIN($D26+1,EDATE(R$4,1))-MAX($C26,R$4))/MAX(1,$D26+1-$C26))</f>
        <v>0</v>
      </c>
      <c r="S26" s="56" t="n">
        <f aca="false">IF(OR(S$4="",$C26="",$D26="",N($E26)=0),"",$E26*MAX(0,MIN($D26+1,EDATE(S$4,1))-MAX($C26,S$4))/MAX(1,$D26+1-$C26))</f>
        <v>0</v>
      </c>
      <c r="T26" s="56" t="n">
        <f aca="false">IF(OR(T$4="",$C26="",$D26="",N($E26)=0),"",$E26*MAX(0,MIN($D26+1,EDATE(T$4,1))-MAX($C26,T$4))/MAX(1,$D26+1-$C26))</f>
        <v>0</v>
      </c>
      <c r="U26" s="56" t="n">
        <f aca="false">IF(OR(U$4="",$C26="",$D26="",N($E26)=0),"",$E26*MAX(0,MIN($D26+1,EDATE(U$4,1))-MAX($C26,U$4))/MAX(1,$D26+1-$C26))</f>
        <v>0</v>
      </c>
      <c r="V26" s="56" t="n">
        <f aca="false">IF(OR(V$4="",$C26="",$D26="",N($E26)=0),"",$E26*MAX(0,MIN($D26+1,EDATE(V$4,1))-MAX($C26,V$4))/MAX(1,$D26+1-$C26))</f>
        <v>0</v>
      </c>
      <c r="W26" s="56" t="n">
        <f aca="false">IF(OR(W$4="",$C26="",$D26="",N($E26)=0),"",$E26*MAX(0,MIN($D26+1,EDATE(W$4,1))-MAX($C26,W$4))/MAX(1,$D26+1-$C26))</f>
        <v>0</v>
      </c>
      <c r="X26" s="56" t="n">
        <f aca="false">IF(OR(X$4="",$C26="",$D26="",N($E26)=0),"",$E26*MAX(0,MIN($D26+1,EDATE(X$4,1))-MAX($C26,X$4))/MAX(1,$D26+1-$C26))</f>
        <v>0</v>
      </c>
      <c r="Y26" s="56" t="n">
        <f aca="false">IF(OR(Y$4="",$C26="",$D26="",N($E26)=0),"",$E26*MAX(0,MIN($D26+1,EDATE(Y$4,1))-MAX($C26,Y$4))/MAX(1,$D26+1-$C26))</f>
        <v>0</v>
      </c>
      <c r="Z26" s="56" t="n">
        <f aca="false">IF(OR(Z$4="",$C26="",$D26="",N($E26)=0),"",$E26*MAX(0,MIN($D26+1,EDATE(Z$4,1))-MAX($C26,Z$4))/MAX(1,$D26+1-$C26))</f>
        <v>0</v>
      </c>
      <c r="AA26" s="56" t="n">
        <f aca="false">IF(OR(AA$4="",$C26="",$D26="",N($E26)=0),"",$E26*MAX(0,MIN($D26+1,EDATE(AA$4,1))-MAX($C26,AA$4))/MAX(1,$D26+1-$C26))</f>
        <v>0</v>
      </c>
      <c r="AB26" s="56" t="n">
        <f aca="false">IF(OR(AB$4="",$C26="",$D26="",N($E26)=0),"",$E26*MAX(0,MIN($D26+1,EDATE(AB$4,1))-MAX($C26,AB$4))/MAX(1,$D26+1-$C26))</f>
        <v>0</v>
      </c>
      <c r="AC26" s="56" t="n">
        <f aca="false">IF(OR(AC$4="",$C26="",$D26="",N($E26)=0),"",$E26*MAX(0,MIN($D26+1,EDATE(AC$4,1))-MAX($C26,AC$4))/MAX(1,$D26+1-$C26))</f>
        <v>60.1503759398496</v>
      </c>
      <c r="AD26" s="56" t="n">
        <f aca="false">IF(OR(AD$4="",$C26="",$D26="",N($E26)=0),"",$E26*MAX(0,MIN($D26+1,EDATE(AD$4,1))-MAX($C26,AD$4))/MAX(1,$D26+1-$C26))</f>
        <v>74.5864661654135</v>
      </c>
      <c r="AE26" s="56" t="n">
        <f aca="false">IF(OR(AE$4="",$C26="",$D26="",N($E26)=0),"",$E26*MAX(0,MIN($D26+1,EDATE(AE$4,1))-MAX($C26,AE$4))/MAX(1,$D26+1-$C26))</f>
        <v>67.3684210526316</v>
      </c>
      <c r="AF26" s="56" t="n">
        <f aca="false">IF(OR(AF$4="",$C26="",$D26="",N($E26)=0),"",$E26*MAX(0,MIN($D26+1,EDATE(AF$4,1))-MAX($C26,AF$4))/MAX(1,$D26+1-$C26))</f>
        <v>74.5864661654135</v>
      </c>
      <c r="AG26" s="56" t="n">
        <f aca="false">IF(OR(AG$4="",$C26="",$D26="",N($E26)=0),"",$E26*MAX(0,MIN($D26+1,EDATE(AG$4,1))-MAX($C26,AG$4))/MAX(1,$D26+1-$C26))</f>
        <v>72.1804511278196</v>
      </c>
      <c r="AH26" s="56" t="n">
        <f aca="false">IF(OR(AH$4="",$C26="",$D26="",N($E26)=0),"",$E26*MAX(0,MIN($D26+1,EDATE(AH$4,1))-MAX($C26,AH$4))/MAX(1,$D26+1-$C26))</f>
        <v>74.5864661654135</v>
      </c>
      <c r="AI26" s="56" t="n">
        <f aca="false">IF(OR(AI$4="",$C26="",$D26="",N($E26)=0),"",$E26*MAX(0,MIN($D26+1,EDATE(AI$4,1))-MAX($C26,AI$4))/MAX(1,$D26+1-$C26))</f>
        <v>72.1804511278196</v>
      </c>
      <c r="AJ26" s="56" t="n">
        <f aca="false">IF(OR(AJ$4="",$C26="",$D26="",N($E26)=0),"",$E26*MAX(0,MIN($D26+1,EDATE(AJ$4,1))-MAX($C26,AJ$4))/MAX(1,$D26+1-$C26))</f>
        <v>74.5864661654135</v>
      </c>
      <c r="AK26" s="56" t="n">
        <f aca="false">IF(OR(AK$4="",$C26="",$D26="",N($E26)=0),"",$E26*MAX(0,MIN($D26+1,EDATE(AK$4,1))-MAX($C26,AK$4))/MAX(1,$D26+1-$C26))</f>
        <v>69.7744360902256</v>
      </c>
      <c r="AL26" s="56" t="n">
        <f aca="false">IF(OR(AL$4="",$C26="",$D26="",N($E26)=0),"",$E26*MAX(0,MIN($D26+1,EDATE(AL$4,1))-MAX($C26,AL$4))/MAX(1,$D26+1-$C26))</f>
        <v>0</v>
      </c>
      <c r="AM26" s="56" t="n">
        <f aca="false">IF(OR(AM$4="",$C26="",$D26="",N($E26)=0),"",$E26*MAX(0,MIN($D26+1,EDATE(AM$4,1))-MAX($C26,AM$4))/MAX(1,$D26+1-$C26))</f>
        <v>0</v>
      </c>
      <c r="AN26" s="56" t="n">
        <f aca="false">IF(OR(AN$4="",$C26="",$D26="",N($E26)=0),"",$E26*MAX(0,MIN($D26+1,EDATE(AN$4,1))-MAX($C26,AN$4))/MAX(1,$D26+1-$C26))</f>
        <v>0</v>
      </c>
      <c r="AO26" s="56" t="n">
        <f aca="false">IF(OR(AO$4="",$C26="",$D26="",N($E26)=0),"",$E26*MAX(0,MIN($D26+1,EDATE(AO$4,1))-MAX($C26,AO$4))/MAX(1,$D26+1-$C26))</f>
        <v>0</v>
      </c>
      <c r="AP26" s="56" t="str">
        <f aca="false">IF(OR(AP$4="",$C26="",$D26="",N($E26)=0),"",$E26*MAX(0,MIN($D26+1,EDATE(AP$4,1))-MAX($C26,AP$4))/MAX(1,$D26+1-$C26))</f>
        <v/>
      </c>
      <c r="AQ26" s="56" t="str">
        <f aca="false">IF(OR(AQ$4="",$C26="",$D26="",N($E26)=0),"",$E26*MAX(0,MIN($D26+1,EDATE(AQ$4,1))-MAX($C26,AQ$4))/MAX(1,$D26+1-$C26))</f>
        <v/>
      </c>
      <c r="AR26" s="56" t="str">
        <f aca="false">IF(OR(AR$4="",$C26="",$D26="",N($E26)=0),"",$E26*MAX(0,MIN($D26+1,EDATE(AR$4,1))-MAX($C26,AR$4))/MAX(1,$D26+1-$C26))</f>
        <v/>
      </c>
      <c r="AS26" s="56" t="str">
        <f aca="false">IF(OR(AS$4="",$C26="",$D26="",N($E26)=0),"",$E26*MAX(0,MIN($D26+1,EDATE(AS$4,1))-MAX($C26,AS$4))/MAX(1,$D26+1-$C26))</f>
        <v/>
      </c>
      <c r="AT26" s="56" t="str">
        <f aca="false">IF(OR(AT$4="",$C26="",$D26="",N($E26)=0),"",$E26*MAX(0,MIN($D26+1,EDATE(AT$4,1))-MAX($C26,AT$4))/MAX(1,$D26+1-$C26))</f>
        <v/>
      </c>
      <c r="AU26" s="56" t="str">
        <f aca="false">IF(OR(AU$4="",$C26="",$D26="",N($E26)=0),"",$E26*MAX(0,MIN($D26+1,EDATE(AU$4,1))-MAX($C26,AU$4))/MAX(1,$D26+1-$C26))</f>
        <v/>
      </c>
      <c r="AV26" s="56" t="str">
        <f aca="false">IF(OR(AV$4="",$C26="",$D26="",N($E26)=0),"",$E26*MAX(0,MIN($D26+1,EDATE(AV$4,1))-MAX($C26,AV$4))/MAX(1,$D26+1-$C26))</f>
        <v/>
      </c>
      <c r="AW26" s="56" t="str">
        <f aca="false">IF(OR(AW$4="",$C26="",$D26="",N($E26)=0),"",$E26*MAX(0,MIN($D26+1,EDATE(AW$4,1))-MAX($C26,AW$4))/MAX(1,$D26+1-$C26))</f>
        <v/>
      </c>
      <c r="AX26" s="56" t="str">
        <f aca="false">IF(OR(AX$4="",$C26="",$D26="",N($E26)=0),"",$E26*MAX(0,MIN($D26+1,EDATE(AX$4,1))-MAX($C26,AX$4))/MAX(1,$D26+1-$C26))</f>
        <v/>
      </c>
      <c r="AY26" s="56" t="str">
        <f aca="false">IF(OR(AY$4="",$C26="",$D26="",N($E26)=0),"",$E26*MAX(0,MIN($D26+1,EDATE(AY$4,1))-MAX($C26,AY$4))/MAX(1,$D26+1-$C26))</f>
        <v/>
      </c>
      <c r="AZ26" s="56" t="str">
        <f aca="false">IF(OR(AZ$4="",$C26="",$D26="",N($E26)=0),"",$E26*MAX(0,MIN($D26+1,EDATE(AZ$4,1))-MAX($C26,AZ$4))/MAX(1,$D26+1-$C26))</f>
        <v/>
      </c>
      <c r="BA26" s="56" t="str">
        <f aca="false">IF(OR(BA$4="",$C26="",$D26="",N($E26)=0),"",$E26*MAX(0,MIN($D26+1,EDATE(BA$4,1))-MAX($C26,BA$4))/MAX(1,$D26+1-$C26))</f>
        <v/>
      </c>
      <c r="BB26" s="56" t="str">
        <f aca="false">IF(OR(BB$4="",$C26="",$D26="",N($E26)=0),"",$E26*MAX(0,MIN($D26+1,EDATE(BB$4,1))-MAX($C26,BB$4))/MAX(1,$D26+1-$C26))</f>
        <v/>
      </c>
      <c r="BC26" s="56" t="str">
        <f aca="false">IF(OR(BC$4="",$C26="",$D26="",N($E26)=0),"",$E26*MAX(0,MIN($D26+1,EDATE(BC$4,1))-MAX($C26,BC$4))/MAX(1,$D26+1-$C26))</f>
        <v/>
      </c>
      <c r="BD26" s="56" t="str">
        <f aca="false">IF(OR(BD$4="",$C26="",$D26="",N($E26)=0),"",$E26*MAX(0,MIN($D26+1,EDATE(BD$4,1))-MAX($C26,BD$4))/MAX(1,$D26+1-$C26))</f>
        <v/>
      </c>
      <c r="BE26" s="56" t="str">
        <f aca="false">IF(OR(BE$4="",$C26="",$D26="",N($E26)=0),"",$E26*MAX(0,MIN($D26+1,EDATE(BE$4,1))-MAX($C26,BE$4))/MAX(1,$D26+1-$C26))</f>
        <v/>
      </c>
      <c r="BF26" s="56" t="str">
        <f aca="false">IF(OR(BF$4="",$C26="",$D26="",N($E26)=0),"",$E26*MAX(0,MIN($D26+1,EDATE(BF$4,1))-MAX($C26,BF$4))/MAX(1,$D26+1-$C26))</f>
        <v/>
      </c>
      <c r="BG26" s="56" t="str">
        <f aca="false">IF(OR(BG$4="",$C26="",$D26="",N($E26)=0),"",$E26*MAX(0,MIN($D26+1,EDATE(BG$4,1))-MAX($C26,BG$4))/MAX(1,$D26+1-$C26))</f>
        <v/>
      </c>
      <c r="BH26" s="56" t="str">
        <f aca="false">IF(OR(BH$4="",$C26="",$D26="",N($E26)=0),"",$E26*MAX(0,MIN($D26+1,EDATE(BH$4,1))-MAX($C26,BH$4))/MAX(1,$D26+1-$C26))</f>
        <v/>
      </c>
      <c r="BI26" s="56" t="str">
        <f aca="false">IF(OR(BI$4="",$C26="",$D26="",N($E26)=0),"",$E26*MAX(0,MIN($D26+1,EDATE(BI$4,1))-MAX($C26,BI$4))/MAX(1,$D26+1-$C26))</f>
        <v/>
      </c>
      <c r="BJ26" s="56" t="str">
        <f aca="false">IF(OR(BJ$4="",$C26="",$D26="",N($E26)=0),"",$E26*MAX(0,MIN($D26+1,EDATE(BJ$4,1))-MAX($C26,BJ$4))/MAX(1,$D26+1-$C26))</f>
        <v/>
      </c>
      <c r="BK26" s="56" t="str">
        <f aca="false">IF(OR(BK$4="",$C26="",$D26="",N($E26)=0),"",$E26*MAX(0,MIN($D26+1,EDATE(BK$4,1))-MAX($C26,BK$4))/MAX(1,$D26+1-$C26))</f>
        <v/>
      </c>
      <c r="BL26" s="56" t="str">
        <f aca="false">IF(OR(BL$4="",$C26="",$D26="",N($E26)=0),"",$E26*MAX(0,MIN($D26+1,EDATE(BL$4,1))-MAX($C26,BL$4))/MAX(1,$D26+1-$C26))</f>
        <v/>
      </c>
      <c r="BM26" s="56" t="str">
        <f aca="false">IF(OR(BM$4="",$C26="",$D26="",N($E26)=0),"",$E26*MAX(0,MIN($D26+1,EDATE(BM$4,1))-MAX($C26,BM$4))/MAX(1,$D26+1-$C26))</f>
        <v/>
      </c>
      <c r="BN26" s="56" t="str">
        <f aca="false">IF(OR(BN$4="",$C26="",$D26="",N($E26)=0),"",$E26*MAX(0,MIN($D26+1,EDATE(BN$4,1))-MAX($C26,BN$4))/MAX(1,$D26+1-$C26))</f>
        <v/>
      </c>
      <c r="BO26" s="56" t="str">
        <f aca="false">IF(OR(BO$4="",$C26="",$D26="",N($E26)=0),"",$E26*MAX(0,MIN($D26+1,EDATE(BO$4,1))-MAX($C26,BO$4))/MAX(1,$D26+1-$C26))</f>
        <v/>
      </c>
      <c r="BP26" s="56" t="str">
        <f aca="false">IF(OR(BP$4="",$C26="",$D26="",N($E26)=0),"",$E26*MAX(0,MIN($D26+1,EDATE(BP$4,1))-MAX($C26,BP$4))/MAX(1,$D26+1-$C26))</f>
        <v/>
      </c>
      <c r="BQ26" s="56" t="str">
        <f aca="false">IF(OR(BQ$4="",$C26="",$D26="",N($E26)=0),"",$E26*MAX(0,MIN($D26+1,EDATE(BQ$4,1))-MAX($C26,BQ$4))/MAX(1,$D26+1-$C26))</f>
        <v/>
      </c>
      <c r="BR26" s="56" t="str">
        <f aca="false">IF(OR(BR$4="",$C26="",$D26="",N($E26)=0),"",$E26*MAX(0,MIN($D26+1,EDATE(BR$4,1))-MAX($C26,BR$4))/MAX(1,$D26+1-$C26))</f>
        <v/>
      </c>
      <c r="BS26" s="56" t="str">
        <f aca="false">IF(OR(BS$4="",$C26="",$D26="",N($E26)=0),"",$E26*MAX(0,MIN($D26+1,EDATE(BS$4,1))-MAX($C26,BS$4))/MAX(1,$D26+1-$C26))</f>
        <v/>
      </c>
      <c r="BT26" s="56" t="str">
        <f aca="false">IF(OR(BT$4="",$C26="",$D26="",N($E26)=0),"",$E26*MAX(0,MIN($D26+1,EDATE(BT$4,1))-MAX($C26,BT$4))/MAX(1,$D26+1-$C26))</f>
        <v/>
      </c>
      <c r="BU26" s="56" t="str">
        <f aca="false">IF(OR(BU$4="",$C26="",$D26="",N($E26)=0),"",$E26*MAX(0,MIN($D26+1,EDATE(BU$4,1))-MAX($C26,BU$4))/MAX(1,$D26+1-$C26))</f>
        <v/>
      </c>
      <c r="BV26" s="56" t="str">
        <f aca="false">IF(OR(BV$4="",$C26="",$D26="",N($E26)=0),"",$E26*MAX(0,MIN($D26+1,EDATE(BV$4,1))-MAX($C26,BV$4))/MAX(1,$D26+1-$C26))</f>
        <v/>
      </c>
      <c r="BW26" s="56" t="str">
        <f aca="false">IF(OR(BW$4="",$C26="",$D26="",N($E26)=0),"",$E26*MAX(0,MIN($D26+1,EDATE(BW$4,1))-MAX($C26,BW$4))/MAX(1,$D26+1-$C26))</f>
        <v/>
      </c>
      <c r="BX26" s="56" t="str">
        <f aca="false">IF(OR(BX$4="",$C26="",$D26="",N($E26)=0),"",$E26*MAX(0,MIN($D26+1,EDATE(BX$4,1))-MAX($C26,BX$4))/MAX(1,$D26+1-$C26))</f>
        <v/>
      </c>
      <c r="BY26" s="56" t="str">
        <f aca="false">IF(OR(BY$4="",$C26="",$D26="",N($E26)=0),"",$E26*MAX(0,MIN($D26+1,EDATE(BY$4,1))-MAX($C26,BY$4))/MAX(1,$D26+1-$C26))</f>
        <v/>
      </c>
    </row>
    <row r="27" customFormat="false" ht="15" hidden="false" customHeight="false" outlineLevel="0" collapsed="false">
      <c r="A27" s="53" t="str">
        <f aca="false">IF(BOE!$A28="","",BOE!$A28)</f>
        <v>304</v>
      </c>
      <c r="B27" s="53" t="str">
        <f aca="false">IF(BOE!$A28="","",BOE!$C28)</f>
        <v>Review of ECPs, change notices, deficiency reports, waivers</v>
      </c>
      <c r="C27" s="54" t="n">
        <f aca="false">IF(BOE!$O28="","",BOE!$O28)</f>
        <v>46877</v>
      </c>
      <c r="D27" s="54" t="n">
        <f aca="false">IF(BOE!$P28="","",BOE!$P28)</f>
        <v>47483</v>
      </c>
      <c r="E27" s="55" t="n">
        <f aca="false">IF(Inputs!$B$7="P90",BOE!$T28,BOE!$R28)</f>
        <v>480</v>
      </c>
      <c r="F27" s="56" t="n">
        <f aca="false">IF(OR(F$4="",$C27="",$D27="",N($E27)=0),"",$E27*MAX(0,MIN($D27+1,EDATE(F$4,1))-MAX($C27,F$4))/MAX(1,$D27+1-$C27))</f>
        <v>0</v>
      </c>
      <c r="G27" s="56" t="n">
        <f aca="false">IF(OR(G$4="",$C27="",$D27="",N($E27)=0),"",$E27*MAX(0,MIN($D27+1,EDATE(G$4,1))-MAX($C27,G$4))/MAX(1,$D27+1-$C27))</f>
        <v>0</v>
      </c>
      <c r="H27" s="56" t="n">
        <f aca="false">IF(OR(H$4="",$C27="",$D27="",N($E27)=0),"",$E27*MAX(0,MIN($D27+1,EDATE(H$4,1))-MAX($C27,H$4))/MAX(1,$D27+1-$C27))</f>
        <v>0</v>
      </c>
      <c r="I27" s="56" t="n">
        <f aca="false">IF(OR(I$4="",$C27="",$D27="",N($E27)=0),"",$E27*MAX(0,MIN($D27+1,EDATE(I$4,1))-MAX($C27,I$4))/MAX(1,$D27+1-$C27))</f>
        <v>0</v>
      </c>
      <c r="J27" s="56" t="n">
        <f aca="false">IF(OR(J$4="",$C27="",$D27="",N($E27)=0),"",$E27*MAX(0,MIN($D27+1,EDATE(J$4,1))-MAX($C27,J$4))/MAX(1,$D27+1-$C27))</f>
        <v>0</v>
      </c>
      <c r="K27" s="56" t="n">
        <f aca="false">IF(OR(K$4="",$C27="",$D27="",N($E27)=0),"",$E27*MAX(0,MIN($D27+1,EDATE(K$4,1))-MAX($C27,K$4))/MAX(1,$D27+1-$C27))</f>
        <v>0</v>
      </c>
      <c r="L27" s="56" t="n">
        <f aca="false">IF(OR(L$4="",$C27="",$D27="",N($E27)=0),"",$E27*MAX(0,MIN($D27+1,EDATE(L$4,1))-MAX($C27,L$4))/MAX(1,$D27+1-$C27))</f>
        <v>0</v>
      </c>
      <c r="M27" s="56" t="n">
        <f aca="false">IF(OR(M$4="",$C27="",$D27="",N($E27)=0),"",$E27*MAX(0,MIN($D27+1,EDATE(M$4,1))-MAX($C27,M$4))/MAX(1,$D27+1-$C27))</f>
        <v>0</v>
      </c>
      <c r="N27" s="56" t="n">
        <f aca="false">IF(OR(N$4="",$C27="",$D27="",N($E27)=0),"",$E27*MAX(0,MIN($D27+1,EDATE(N$4,1))-MAX($C27,N$4))/MAX(1,$D27+1-$C27))</f>
        <v>0</v>
      </c>
      <c r="O27" s="56" t="n">
        <f aca="false">IF(OR(O$4="",$C27="",$D27="",N($E27)=0),"",$E27*MAX(0,MIN($D27+1,EDATE(O$4,1))-MAX($C27,O$4))/MAX(1,$D27+1-$C27))</f>
        <v>0</v>
      </c>
      <c r="P27" s="56" t="n">
        <f aca="false">IF(OR(P$4="",$C27="",$D27="",N($E27)=0),"",$E27*MAX(0,MIN($D27+1,EDATE(P$4,1))-MAX($C27,P$4))/MAX(1,$D27+1-$C27))</f>
        <v>0</v>
      </c>
      <c r="Q27" s="56" t="n">
        <f aca="false">IF(OR(Q$4="",$C27="",$D27="",N($E27)=0),"",$E27*MAX(0,MIN($D27+1,EDATE(Q$4,1))-MAX($C27,Q$4))/MAX(1,$D27+1-$C27))</f>
        <v>0</v>
      </c>
      <c r="R27" s="56" t="n">
        <f aca="false">IF(OR(R$4="",$C27="",$D27="",N($E27)=0),"",$E27*MAX(0,MIN($D27+1,EDATE(R$4,1))-MAX($C27,R$4))/MAX(1,$D27+1-$C27))</f>
        <v>0</v>
      </c>
      <c r="S27" s="56" t="n">
        <f aca="false">IF(OR(S$4="",$C27="",$D27="",N($E27)=0),"",$E27*MAX(0,MIN($D27+1,EDATE(S$4,1))-MAX($C27,S$4))/MAX(1,$D27+1-$C27))</f>
        <v>0</v>
      </c>
      <c r="T27" s="56" t="n">
        <f aca="false">IF(OR(T$4="",$C27="",$D27="",N($E27)=0),"",$E27*MAX(0,MIN($D27+1,EDATE(T$4,1))-MAX($C27,T$4))/MAX(1,$D27+1-$C27))</f>
        <v>0</v>
      </c>
      <c r="U27" s="56" t="n">
        <f aca="false">IF(OR(U$4="",$C27="",$D27="",N($E27)=0),"",$E27*MAX(0,MIN($D27+1,EDATE(U$4,1))-MAX($C27,U$4))/MAX(1,$D27+1-$C27))</f>
        <v>0</v>
      </c>
      <c r="V27" s="56" t="n">
        <f aca="false">IF(OR(V$4="",$C27="",$D27="",N($E27)=0),"",$E27*MAX(0,MIN($D27+1,EDATE(V$4,1))-MAX($C27,V$4))/MAX(1,$D27+1-$C27))</f>
        <v>24.5140032948929</v>
      </c>
      <c r="W27" s="56" t="n">
        <f aca="false">IF(OR(W$4="",$C27="",$D27="",N($E27)=0),"",$E27*MAX(0,MIN($D27+1,EDATE(W$4,1))-MAX($C27,W$4))/MAX(1,$D27+1-$C27))</f>
        <v>23.7232289950577</v>
      </c>
      <c r="X27" s="56" t="n">
        <f aca="false">IF(OR(X$4="",$C27="",$D27="",N($E27)=0),"",$E27*MAX(0,MIN($D27+1,EDATE(X$4,1))-MAX($C27,X$4))/MAX(1,$D27+1-$C27))</f>
        <v>24.5140032948929</v>
      </c>
      <c r="Y27" s="56" t="n">
        <f aca="false">IF(OR(Y$4="",$C27="",$D27="",N($E27)=0),"",$E27*MAX(0,MIN($D27+1,EDATE(Y$4,1))-MAX($C27,Y$4))/MAX(1,$D27+1-$C27))</f>
        <v>24.5140032948929</v>
      </c>
      <c r="Z27" s="56" t="n">
        <f aca="false">IF(OR(Z$4="",$C27="",$D27="",N($E27)=0),"",$E27*MAX(0,MIN($D27+1,EDATE(Z$4,1))-MAX($C27,Z$4))/MAX(1,$D27+1-$C27))</f>
        <v>23.7232289950577</v>
      </c>
      <c r="AA27" s="56" t="n">
        <f aca="false">IF(OR(AA$4="",$C27="",$D27="",N($E27)=0),"",$E27*MAX(0,MIN($D27+1,EDATE(AA$4,1))-MAX($C27,AA$4))/MAX(1,$D27+1-$C27))</f>
        <v>24.5140032948929</v>
      </c>
      <c r="AB27" s="56" t="n">
        <f aca="false">IF(OR(AB$4="",$C27="",$D27="",N($E27)=0),"",$E27*MAX(0,MIN($D27+1,EDATE(AB$4,1))-MAX($C27,AB$4))/MAX(1,$D27+1-$C27))</f>
        <v>23.7232289950577</v>
      </c>
      <c r="AC27" s="56" t="n">
        <f aca="false">IF(OR(AC$4="",$C27="",$D27="",N($E27)=0),"",$E27*MAX(0,MIN($D27+1,EDATE(AC$4,1))-MAX($C27,AC$4))/MAX(1,$D27+1-$C27))</f>
        <v>24.5140032948929</v>
      </c>
      <c r="AD27" s="56" t="n">
        <f aca="false">IF(OR(AD$4="",$C27="",$D27="",N($E27)=0),"",$E27*MAX(0,MIN($D27+1,EDATE(AD$4,1))-MAX($C27,AD$4))/MAX(1,$D27+1-$C27))</f>
        <v>24.5140032948929</v>
      </c>
      <c r="AE27" s="56" t="n">
        <f aca="false">IF(OR(AE$4="",$C27="",$D27="",N($E27)=0),"",$E27*MAX(0,MIN($D27+1,EDATE(AE$4,1))-MAX($C27,AE$4))/MAX(1,$D27+1-$C27))</f>
        <v>22.1416803953872</v>
      </c>
      <c r="AF27" s="56" t="n">
        <f aca="false">IF(OR(AF$4="",$C27="",$D27="",N($E27)=0),"",$E27*MAX(0,MIN($D27+1,EDATE(AF$4,1))-MAX($C27,AF$4))/MAX(1,$D27+1-$C27))</f>
        <v>24.5140032948929</v>
      </c>
      <c r="AG27" s="56" t="n">
        <f aca="false">IF(OR(AG$4="",$C27="",$D27="",N($E27)=0),"",$E27*MAX(0,MIN($D27+1,EDATE(AG$4,1))-MAX($C27,AG$4))/MAX(1,$D27+1-$C27))</f>
        <v>23.7232289950577</v>
      </c>
      <c r="AH27" s="56" t="n">
        <f aca="false">IF(OR(AH$4="",$C27="",$D27="",N($E27)=0),"",$E27*MAX(0,MIN($D27+1,EDATE(AH$4,1))-MAX($C27,AH$4))/MAX(1,$D27+1-$C27))</f>
        <v>24.5140032948929</v>
      </c>
      <c r="AI27" s="56" t="n">
        <f aca="false">IF(OR(AI$4="",$C27="",$D27="",N($E27)=0),"",$E27*MAX(0,MIN($D27+1,EDATE(AI$4,1))-MAX($C27,AI$4))/MAX(1,$D27+1-$C27))</f>
        <v>23.7232289950577</v>
      </c>
      <c r="AJ27" s="56" t="n">
        <f aca="false">IF(OR(AJ$4="",$C27="",$D27="",N($E27)=0),"",$E27*MAX(0,MIN($D27+1,EDATE(AJ$4,1))-MAX($C27,AJ$4))/MAX(1,$D27+1-$C27))</f>
        <v>24.5140032948929</v>
      </c>
      <c r="AK27" s="56" t="n">
        <f aca="false">IF(OR(AK$4="",$C27="",$D27="",N($E27)=0),"",$E27*MAX(0,MIN($D27+1,EDATE(AK$4,1))-MAX($C27,AK$4))/MAX(1,$D27+1-$C27))</f>
        <v>24.5140032948929</v>
      </c>
      <c r="AL27" s="56" t="n">
        <f aca="false">IF(OR(AL$4="",$C27="",$D27="",N($E27)=0),"",$E27*MAX(0,MIN($D27+1,EDATE(AL$4,1))-MAX($C27,AL$4))/MAX(1,$D27+1-$C27))</f>
        <v>23.7232289950577</v>
      </c>
      <c r="AM27" s="56" t="n">
        <f aca="false">IF(OR(AM$4="",$C27="",$D27="",N($E27)=0),"",$E27*MAX(0,MIN($D27+1,EDATE(AM$4,1))-MAX($C27,AM$4))/MAX(1,$D27+1-$C27))</f>
        <v>24.5140032948929</v>
      </c>
      <c r="AN27" s="56" t="n">
        <f aca="false">IF(OR(AN$4="",$C27="",$D27="",N($E27)=0),"",$E27*MAX(0,MIN($D27+1,EDATE(AN$4,1))-MAX($C27,AN$4))/MAX(1,$D27+1-$C27))</f>
        <v>23.7232289950577</v>
      </c>
      <c r="AO27" s="56" t="n">
        <f aca="false">IF(OR(AO$4="",$C27="",$D27="",N($E27)=0),"",$E27*MAX(0,MIN($D27+1,EDATE(AO$4,1))-MAX($C27,AO$4))/MAX(1,$D27+1-$C27))</f>
        <v>22.1416803953872</v>
      </c>
      <c r="AP27" s="56" t="str">
        <f aca="false">IF(OR(AP$4="",$C27="",$D27="",N($E27)=0),"",$E27*MAX(0,MIN($D27+1,EDATE(AP$4,1))-MAX($C27,AP$4))/MAX(1,$D27+1-$C27))</f>
        <v/>
      </c>
      <c r="AQ27" s="56" t="str">
        <f aca="false">IF(OR(AQ$4="",$C27="",$D27="",N($E27)=0),"",$E27*MAX(0,MIN($D27+1,EDATE(AQ$4,1))-MAX($C27,AQ$4))/MAX(1,$D27+1-$C27))</f>
        <v/>
      </c>
      <c r="AR27" s="56" t="str">
        <f aca="false">IF(OR(AR$4="",$C27="",$D27="",N($E27)=0),"",$E27*MAX(0,MIN($D27+1,EDATE(AR$4,1))-MAX($C27,AR$4))/MAX(1,$D27+1-$C27))</f>
        <v/>
      </c>
      <c r="AS27" s="56" t="str">
        <f aca="false">IF(OR(AS$4="",$C27="",$D27="",N($E27)=0),"",$E27*MAX(0,MIN($D27+1,EDATE(AS$4,1))-MAX($C27,AS$4))/MAX(1,$D27+1-$C27))</f>
        <v/>
      </c>
      <c r="AT27" s="56" t="str">
        <f aca="false">IF(OR(AT$4="",$C27="",$D27="",N($E27)=0),"",$E27*MAX(0,MIN($D27+1,EDATE(AT$4,1))-MAX($C27,AT$4))/MAX(1,$D27+1-$C27))</f>
        <v/>
      </c>
      <c r="AU27" s="56" t="str">
        <f aca="false">IF(OR(AU$4="",$C27="",$D27="",N($E27)=0),"",$E27*MAX(0,MIN($D27+1,EDATE(AU$4,1))-MAX($C27,AU$4))/MAX(1,$D27+1-$C27))</f>
        <v/>
      </c>
      <c r="AV27" s="56" t="str">
        <f aca="false">IF(OR(AV$4="",$C27="",$D27="",N($E27)=0),"",$E27*MAX(0,MIN($D27+1,EDATE(AV$4,1))-MAX($C27,AV$4))/MAX(1,$D27+1-$C27))</f>
        <v/>
      </c>
      <c r="AW27" s="56" t="str">
        <f aca="false">IF(OR(AW$4="",$C27="",$D27="",N($E27)=0),"",$E27*MAX(0,MIN($D27+1,EDATE(AW$4,1))-MAX($C27,AW$4))/MAX(1,$D27+1-$C27))</f>
        <v/>
      </c>
      <c r="AX27" s="56" t="str">
        <f aca="false">IF(OR(AX$4="",$C27="",$D27="",N($E27)=0),"",$E27*MAX(0,MIN($D27+1,EDATE(AX$4,1))-MAX($C27,AX$4))/MAX(1,$D27+1-$C27))</f>
        <v/>
      </c>
      <c r="AY27" s="56" t="str">
        <f aca="false">IF(OR(AY$4="",$C27="",$D27="",N($E27)=0),"",$E27*MAX(0,MIN($D27+1,EDATE(AY$4,1))-MAX($C27,AY$4))/MAX(1,$D27+1-$C27))</f>
        <v/>
      </c>
      <c r="AZ27" s="56" t="str">
        <f aca="false">IF(OR(AZ$4="",$C27="",$D27="",N($E27)=0),"",$E27*MAX(0,MIN($D27+1,EDATE(AZ$4,1))-MAX($C27,AZ$4))/MAX(1,$D27+1-$C27))</f>
        <v/>
      </c>
      <c r="BA27" s="56" t="str">
        <f aca="false">IF(OR(BA$4="",$C27="",$D27="",N($E27)=0),"",$E27*MAX(0,MIN($D27+1,EDATE(BA$4,1))-MAX($C27,BA$4))/MAX(1,$D27+1-$C27))</f>
        <v/>
      </c>
      <c r="BB27" s="56" t="str">
        <f aca="false">IF(OR(BB$4="",$C27="",$D27="",N($E27)=0),"",$E27*MAX(0,MIN($D27+1,EDATE(BB$4,1))-MAX($C27,BB$4))/MAX(1,$D27+1-$C27))</f>
        <v/>
      </c>
      <c r="BC27" s="56" t="str">
        <f aca="false">IF(OR(BC$4="",$C27="",$D27="",N($E27)=0),"",$E27*MAX(0,MIN($D27+1,EDATE(BC$4,1))-MAX($C27,BC$4))/MAX(1,$D27+1-$C27))</f>
        <v/>
      </c>
      <c r="BD27" s="56" t="str">
        <f aca="false">IF(OR(BD$4="",$C27="",$D27="",N($E27)=0),"",$E27*MAX(0,MIN($D27+1,EDATE(BD$4,1))-MAX($C27,BD$4))/MAX(1,$D27+1-$C27))</f>
        <v/>
      </c>
      <c r="BE27" s="56" t="str">
        <f aca="false">IF(OR(BE$4="",$C27="",$D27="",N($E27)=0),"",$E27*MAX(0,MIN($D27+1,EDATE(BE$4,1))-MAX($C27,BE$4))/MAX(1,$D27+1-$C27))</f>
        <v/>
      </c>
      <c r="BF27" s="56" t="str">
        <f aca="false">IF(OR(BF$4="",$C27="",$D27="",N($E27)=0),"",$E27*MAX(0,MIN($D27+1,EDATE(BF$4,1))-MAX($C27,BF$4))/MAX(1,$D27+1-$C27))</f>
        <v/>
      </c>
      <c r="BG27" s="56" t="str">
        <f aca="false">IF(OR(BG$4="",$C27="",$D27="",N($E27)=0),"",$E27*MAX(0,MIN($D27+1,EDATE(BG$4,1))-MAX($C27,BG$4))/MAX(1,$D27+1-$C27))</f>
        <v/>
      </c>
      <c r="BH27" s="56" t="str">
        <f aca="false">IF(OR(BH$4="",$C27="",$D27="",N($E27)=0),"",$E27*MAX(0,MIN($D27+1,EDATE(BH$4,1))-MAX($C27,BH$4))/MAX(1,$D27+1-$C27))</f>
        <v/>
      </c>
      <c r="BI27" s="56" t="str">
        <f aca="false">IF(OR(BI$4="",$C27="",$D27="",N($E27)=0),"",$E27*MAX(0,MIN($D27+1,EDATE(BI$4,1))-MAX($C27,BI$4))/MAX(1,$D27+1-$C27))</f>
        <v/>
      </c>
      <c r="BJ27" s="56" t="str">
        <f aca="false">IF(OR(BJ$4="",$C27="",$D27="",N($E27)=0),"",$E27*MAX(0,MIN($D27+1,EDATE(BJ$4,1))-MAX($C27,BJ$4))/MAX(1,$D27+1-$C27))</f>
        <v/>
      </c>
      <c r="BK27" s="56" t="str">
        <f aca="false">IF(OR(BK$4="",$C27="",$D27="",N($E27)=0),"",$E27*MAX(0,MIN($D27+1,EDATE(BK$4,1))-MAX($C27,BK$4))/MAX(1,$D27+1-$C27))</f>
        <v/>
      </c>
      <c r="BL27" s="56" t="str">
        <f aca="false">IF(OR(BL$4="",$C27="",$D27="",N($E27)=0),"",$E27*MAX(0,MIN($D27+1,EDATE(BL$4,1))-MAX($C27,BL$4))/MAX(1,$D27+1-$C27))</f>
        <v/>
      </c>
      <c r="BM27" s="56" t="str">
        <f aca="false">IF(OR(BM$4="",$C27="",$D27="",N($E27)=0),"",$E27*MAX(0,MIN($D27+1,EDATE(BM$4,1))-MAX($C27,BM$4))/MAX(1,$D27+1-$C27))</f>
        <v/>
      </c>
      <c r="BN27" s="56" t="str">
        <f aca="false">IF(OR(BN$4="",$C27="",$D27="",N($E27)=0),"",$E27*MAX(0,MIN($D27+1,EDATE(BN$4,1))-MAX($C27,BN$4))/MAX(1,$D27+1-$C27))</f>
        <v/>
      </c>
      <c r="BO27" s="56" t="str">
        <f aca="false">IF(OR(BO$4="",$C27="",$D27="",N($E27)=0),"",$E27*MAX(0,MIN($D27+1,EDATE(BO$4,1))-MAX($C27,BO$4))/MAX(1,$D27+1-$C27))</f>
        <v/>
      </c>
      <c r="BP27" s="56" t="str">
        <f aca="false">IF(OR(BP$4="",$C27="",$D27="",N($E27)=0),"",$E27*MAX(0,MIN($D27+1,EDATE(BP$4,1))-MAX($C27,BP$4))/MAX(1,$D27+1-$C27))</f>
        <v/>
      </c>
      <c r="BQ27" s="56" t="str">
        <f aca="false">IF(OR(BQ$4="",$C27="",$D27="",N($E27)=0),"",$E27*MAX(0,MIN($D27+1,EDATE(BQ$4,1))-MAX($C27,BQ$4))/MAX(1,$D27+1-$C27))</f>
        <v/>
      </c>
      <c r="BR27" s="56" t="str">
        <f aca="false">IF(OR(BR$4="",$C27="",$D27="",N($E27)=0),"",$E27*MAX(0,MIN($D27+1,EDATE(BR$4,1))-MAX($C27,BR$4))/MAX(1,$D27+1-$C27))</f>
        <v/>
      </c>
      <c r="BS27" s="56" t="str">
        <f aca="false">IF(OR(BS$4="",$C27="",$D27="",N($E27)=0),"",$E27*MAX(0,MIN($D27+1,EDATE(BS$4,1))-MAX($C27,BS$4))/MAX(1,$D27+1-$C27))</f>
        <v/>
      </c>
      <c r="BT27" s="56" t="str">
        <f aca="false">IF(OR(BT$4="",$C27="",$D27="",N($E27)=0),"",$E27*MAX(0,MIN($D27+1,EDATE(BT$4,1))-MAX($C27,BT$4))/MAX(1,$D27+1-$C27))</f>
        <v/>
      </c>
      <c r="BU27" s="56" t="str">
        <f aca="false">IF(OR(BU$4="",$C27="",$D27="",N($E27)=0),"",$E27*MAX(0,MIN($D27+1,EDATE(BU$4,1))-MAX($C27,BU$4))/MAX(1,$D27+1-$C27))</f>
        <v/>
      </c>
      <c r="BV27" s="56" t="str">
        <f aca="false">IF(OR(BV$4="",$C27="",$D27="",N($E27)=0),"",$E27*MAX(0,MIN($D27+1,EDATE(BV$4,1))-MAX($C27,BV$4))/MAX(1,$D27+1-$C27))</f>
        <v/>
      </c>
      <c r="BW27" s="56" t="str">
        <f aca="false">IF(OR(BW$4="",$C27="",$D27="",N($E27)=0),"",$E27*MAX(0,MIN($D27+1,EDATE(BW$4,1))-MAX($C27,BW$4))/MAX(1,$D27+1-$C27))</f>
        <v/>
      </c>
      <c r="BX27" s="56" t="str">
        <f aca="false">IF(OR(BX$4="",$C27="",$D27="",N($E27)=0),"",$E27*MAX(0,MIN($D27+1,EDATE(BX$4,1))-MAX($C27,BX$4))/MAX(1,$D27+1-$C27))</f>
        <v/>
      </c>
      <c r="BY27" s="56" t="str">
        <f aca="false">IF(OR(BY$4="",$C27="",$D27="",N($E27)=0),"",$E27*MAX(0,MIN($D27+1,EDATE(BY$4,1))-MAX($C27,BY$4))/MAX(1,$D27+1-$C27))</f>
        <v/>
      </c>
    </row>
    <row r="28" customFormat="false" ht="15" hidden="false" customHeight="false" outlineLevel="0" collapsed="false">
      <c r="A28" s="53" t="str">
        <f aca="false">IF(BOE!$A29="","",BOE!$A29)</f>
        <v>401</v>
      </c>
      <c r="B28" s="53" t="str">
        <f aca="false">IF(BOE!$A29="","",BOE!$C29)</f>
        <v>Safety Verification (tests, demonstrations, induced/simulated failures)</v>
      </c>
      <c r="C28" s="54" t="n">
        <f aca="false">IF(BOE!$O29="","",BOE!$O29)</f>
        <v>46877</v>
      </c>
      <c r="D28" s="54" t="n">
        <f aca="false">IF(BOE!$P29="","",BOE!$P29)</f>
        <v>47334</v>
      </c>
      <c r="E28" s="55" t="n">
        <f aca="false">IF(Inputs!$B$7="P90",BOE!$T29,BOE!$R29)</f>
        <v>728</v>
      </c>
      <c r="F28" s="56" t="n">
        <f aca="false">IF(OR(F$4="",$C28="",$D28="",N($E28)=0),"",$E28*MAX(0,MIN($D28+1,EDATE(F$4,1))-MAX($C28,F$4))/MAX(1,$D28+1-$C28))</f>
        <v>0</v>
      </c>
      <c r="G28" s="56" t="n">
        <f aca="false">IF(OR(G$4="",$C28="",$D28="",N($E28)=0),"",$E28*MAX(0,MIN($D28+1,EDATE(G$4,1))-MAX($C28,G$4))/MAX(1,$D28+1-$C28))</f>
        <v>0</v>
      </c>
      <c r="H28" s="56" t="n">
        <f aca="false">IF(OR(H$4="",$C28="",$D28="",N($E28)=0),"",$E28*MAX(0,MIN($D28+1,EDATE(H$4,1))-MAX($C28,H$4))/MAX(1,$D28+1-$C28))</f>
        <v>0</v>
      </c>
      <c r="I28" s="56" t="n">
        <f aca="false">IF(OR(I$4="",$C28="",$D28="",N($E28)=0),"",$E28*MAX(0,MIN($D28+1,EDATE(I$4,1))-MAX($C28,I$4))/MAX(1,$D28+1-$C28))</f>
        <v>0</v>
      </c>
      <c r="J28" s="56" t="n">
        <f aca="false">IF(OR(J$4="",$C28="",$D28="",N($E28)=0),"",$E28*MAX(0,MIN($D28+1,EDATE(J$4,1))-MAX($C28,J$4))/MAX(1,$D28+1-$C28))</f>
        <v>0</v>
      </c>
      <c r="K28" s="56" t="n">
        <f aca="false">IF(OR(K$4="",$C28="",$D28="",N($E28)=0),"",$E28*MAX(0,MIN($D28+1,EDATE(K$4,1))-MAX($C28,K$4))/MAX(1,$D28+1-$C28))</f>
        <v>0</v>
      </c>
      <c r="L28" s="56" t="n">
        <f aca="false">IF(OR(L$4="",$C28="",$D28="",N($E28)=0),"",$E28*MAX(0,MIN($D28+1,EDATE(L$4,1))-MAX($C28,L$4))/MAX(1,$D28+1-$C28))</f>
        <v>0</v>
      </c>
      <c r="M28" s="56" t="n">
        <f aca="false">IF(OR(M$4="",$C28="",$D28="",N($E28)=0),"",$E28*MAX(0,MIN($D28+1,EDATE(M$4,1))-MAX($C28,M$4))/MAX(1,$D28+1-$C28))</f>
        <v>0</v>
      </c>
      <c r="N28" s="56" t="n">
        <f aca="false">IF(OR(N$4="",$C28="",$D28="",N($E28)=0),"",$E28*MAX(0,MIN($D28+1,EDATE(N$4,1))-MAX($C28,N$4))/MAX(1,$D28+1-$C28))</f>
        <v>0</v>
      </c>
      <c r="O28" s="56" t="n">
        <f aca="false">IF(OR(O$4="",$C28="",$D28="",N($E28)=0),"",$E28*MAX(0,MIN($D28+1,EDATE(O$4,1))-MAX($C28,O$4))/MAX(1,$D28+1-$C28))</f>
        <v>0</v>
      </c>
      <c r="P28" s="56" t="n">
        <f aca="false">IF(OR(P$4="",$C28="",$D28="",N($E28)=0),"",$E28*MAX(0,MIN($D28+1,EDATE(P$4,1))-MAX($C28,P$4))/MAX(1,$D28+1-$C28))</f>
        <v>0</v>
      </c>
      <c r="Q28" s="56" t="n">
        <f aca="false">IF(OR(Q$4="",$C28="",$D28="",N($E28)=0),"",$E28*MAX(0,MIN($D28+1,EDATE(Q$4,1))-MAX($C28,Q$4))/MAX(1,$D28+1-$C28))</f>
        <v>0</v>
      </c>
      <c r="R28" s="56" t="n">
        <f aca="false">IF(OR(R$4="",$C28="",$D28="",N($E28)=0),"",$E28*MAX(0,MIN($D28+1,EDATE(R$4,1))-MAX($C28,R$4))/MAX(1,$D28+1-$C28))</f>
        <v>0</v>
      </c>
      <c r="S28" s="56" t="n">
        <f aca="false">IF(OR(S$4="",$C28="",$D28="",N($E28)=0),"",$E28*MAX(0,MIN($D28+1,EDATE(S$4,1))-MAX($C28,S$4))/MAX(1,$D28+1-$C28))</f>
        <v>0</v>
      </c>
      <c r="T28" s="56" t="n">
        <f aca="false">IF(OR(T$4="",$C28="",$D28="",N($E28)=0),"",$E28*MAX(0,MIN($D28+1,EDATE(T$4,1))-MAX($C28,T$4))/MAX(1,$D28+1-$C28))</f>
        <v>0</v>
      </c>
      <c r="U28" s="56" t="n">
        <f aca="false">IF(OR(U$4="",$C28="",$D28="",N($E28)=0),"",$E28*MAX(0,MIN($D28+1,EDATE(U$4,1))-MAX($C28,U$4))/MAX(1,$D28+1-$C28))</f>
        <v>0</v>
      </c>
      <c r="V28" s="56" t="n">
        <f aca="false">IF(OR(V$4="",$C28="",$D28="",N($E28)=0),"",$E28*MAX(0,MIN($D28+1,EDATE(V$4,1))-MAX($C28,V$4))/MAX(1,$D28+1-$C28))</f>
        <v>49.2751091703057</v>
      </c>
      <c r="W28" s="56" t="n">
        <f aca="false">IF(OR(W$4="",$C28="",$D28="",N($E28)=0),"",$E28*MAX(0,MIN($D28+1,EDATE(W$4,1))-MAX($C28,W$4))/MAX(1,$D28+1-$C28))</f>
        <v>47.6855895196507</v>
      </c>
      <c r="X28" s="56" t="n">
        <f aca="false">IF(OR(X$4="",$C28="",$D28="",N($E28)=0),"",$E28*MAX(0,MIN($D28+1,EDATE(X$4,1))-MAX($C28,X$4))/MAX(1,$D28+1-$C28))</f>
        <v>49.2751091703057</v>
      </c>
      <c r="Y28" s="56" t="n">
        <f aca="false">IF(OR(Y$4="",$C28="",$D28="",N($E28)=0),"",$E28*MAX(0,MIN($D28+1,EDATE(Y$4,1))-MAX($C28,Y$4))/MAX(1,$D28+1-$C28))</f>
        <v>49.2751091703057</v>
      </c>
      <c r="Z28" s="56" t="n">
        <f aca="false">IF(OR(Z$4="",$C28="",$D28="",N($E28)=0),"",$E28*MAX(0,MIN($D28+1,EDATE(Z$4,1))-MAX($C28,Z$4))/MAX(1,$D28+1-$C28))</f>
        <v>47.6855895196507</v>
      </c>
      <c r="AA28" s="56" t="n">
        <f aca="false">IF(OR(AA$4="",$C28="",$D28="",N($E28)=0),"",$E28*MAX(0,MIN($D28+1,EDATE(AA$4,1))-MAX($C28,AA$4))/MAX(1,$D28+1-$C28))</f>
        <v>49.2751091703057</v>
      </c>
      <c r="AB28" s="56" t="n">
        <f aca="false">IF(OR(AB$4="",$C28="",$D28="",N($E28)=0),"",$E28*MAX(0,MIN($D28+1,EDATE(AB$4,1))-MAX($C28,AB$4))/MAX(1,$D28+1-$C28))</f>
        <v>47.6855895196507</v>
      </c>
      <c r="AC28" s="56" t="n">
        <f aca="false">IF(OR(AC$4="",$C28="",$D28="",N($E28)=0),"",$E28*MAX(0,MIN($D28+1,EDATE(AC$4,1))-MAX($C28,AC$4))/MAX(1,$D28+1-$C28))</f>
        <v>49.2751091703057</v>
      </c>
      <c r="AD28" s="56" t="n">
        <f aca="false">IF(OR(AD$4="",$C28="",$D28="",N($E28)=0),"",$E28*MAX(0,MIN($D28+1,EDATE(AD$4,1))-MAX($C28,AD$4))/MAX(1,$D28+1-$C28))</f>
        <v>49.2751091703057</v>
      </c>
      <c r="AE28" s="56" t="n">
        <f aca="false">IF(OR(AE$4="",$C28="",$D28="",N($E28)=0),"",$E28*MAX(0,MIN($D28+1,EDATE(AE$4,1))-MAX($C28,AE$4))/MAX(1,$D28+1-$C28))</f>
        <v>44.5065502183406</v>
      </c>
      <c r="AF28" s="56" t="n">
        <f aca="false">IF(OR(AF$4="",$C28="",$D28="",N($E28)=0),"",$E28*MAX(0,MIN($D28+1,EDATE(AF$4,1))-MAX($C28,AF$4))/MAX(1,$D28+1-$C28))</f>
        <v>49.2751091703057</v>
      </c>
      <c r="AG28" s="56" t="n">
        <f aca="false">IF(OR(AG$4="",$C28="",$D28="",N($E28)=0),"",$E28*MAX(0,MIN($D28+1,EDATE(AG$4,1))-MAX($C28,AG$4))/MAX(1,$D28+1-$C28))</f>
        <v>47.6855895196507</v>
      </c>
      <c r="AH28" s="56" t="n">
        <f aca="false">IF(OR(AH$4="",$C28="",$D28="",N($E28)=0),"",$E28*MAX(0,MIN($D28+1,EDATE(AH$4,1))-MAX($C28,AH$4))/MAX(1,$D28+1-$C28))</f>
        <v>49.2751091703057</v>
      </c>
      <c r="AI28" s="56" t="n">
        <f aca="false">IF(OR(AI$4="",$C28="",$D28="",N($E28)=0),"",$E28*MAX(0,MIN($D28+1,EDATE(AI$4,1))-MAX($C28,AI$4))/MAX(1,$D28+1-$C28))</f>
        <v>47.6855895196507</v>
      </c>
      <c r="AJ28" s="56" t="n">
        <f aca="false">IF(OR(AJ$4="",$C28="",$D28="",N($E28)=0),"",$E28*MAX(0,MIN($D28+1,EDATE(AJ$4,1))-MAX($C28,AJ$4))/MAX(1,$D28+1-$C28))</f>
        <v>49.2751091703057</v>
      </c>
      <c r="AK28" s="56" t="n">
        <f aca="false">IF(OR(AK$4="",$C28="",$D28="",N($E28)=0),"",$E28*MAX(0,MIN($D28+1,EDATE(AK$4,1))-MAX($C28,AK$4))/MAX(1,$D28+1-$C28))</f>
        <v>1.58951965065502</v>
      </c>
      <c r="AL28" s="56" t="n">
        <f aca="false">IF(OR(AL$4="",$C28="",$D28="",N($E28)=0),"",$E28*MAX(0,MIN($D28+1,EDATE(AL$4,1))-MAX($C28,AL$4))/MAX(1,$D28+1-$C28))</f>
        <v>0</v>
      </c>
      <c r="AM28" s="56" t="n">
        <f aca="false">IF(OR(AM$4="",$C28="",$D28="",N($E28)=0),"",$E28*MAX(0,MIN($D28+1,EDATE(AM$4,1))-MAX($C28,AM$4))/MAX(1,$D28+1-$C28))</f>
        <v>0</v>
      </c>
      <c r="AN28" s="56" t="n">
        <f aca="false">IF(OR(AN$4="",$C28="",$D28="",N($E28)=0),"",$E28*MAX(0,MIN($D28+1,EDATE(AN$4,1))-MAX($C28,AN$4))/MAX(1,$D28+1-$C28))</f>
        <v>0</v>
      </c>
      <c r="AO28" s="56" t="n">
        <f aca="false">IF(OR(AO$4="",$C28="",$D28="",N($E28)=0),"",$E28*MAX(0,MIN($D28+1,EDATE(AO$4,1))-MAX($C28,AO$4))/MAX(1,$D28+1-$C28))</f>
        <v>0</v>
      </c>
      <c r="AP28" s="56" t="str">
        <f aca="false">IF(OR(AP$4="",$C28="",$D28="",N($E28)=0),"",$E28*MAX(0,MIN($D28+1,EDATE(AP$4,1))-MAX($C28,AP$4))/MAX(1,$D28+1-$C28))</f>
        <v/>
      </c>
      <c r="AQ28" s="56" t="str">
        <f aca="false">IF(OR(AQ$4="",$C28="",$D28="",N($E28)=0),"",$E28*MAX(0,MIN($D28+1,EDATE(AQ$4,1))-MAX($C28,AQ$4))/MAX(1,$D28+1-$C28))</f>
        <v/>
      </c>
      <c r="AR28" s="56" t="str">
        <f aca="false">IF(OR(AR$4="",$C28="",$D28="",N($E28)=0),"",$E28*MAX(0,MIN($D28+1,EDATE(AR$4,1))-MAX($C28,AR$4))/MAX(1,$D28+1-$C28))</f>
        <v/>
      </c>
      <c r="AS28" s="56" t="str">
        <f aca="false">IF(OR(AS$4="",$C28="",$D28="",N($E28)=0),"",$E28*MAX(0,MIN($D28+1,EDATE(AS$4,1))-MAX($C28,AS$4))/MAX(1,$D28+1-$C28))</f>
        <v/>
      </c>
      <c r="AT28" s="56" t="str">
        <f aca="false">IF(OR(AT$4="",$C28="",$D28="",N($E28)=0),"",$E28*MAX(0,MIN($D28+1,EDATE(AT$4,1))-MAX($C28,AT$4))/MAX(1,$D28+1-$C28))</f>
        <v/>
      </c>
      <c r="AU28" s="56" t="str">
        <f aca="false">IF(OR(AU$4="",$C28="",$D28="",N($E28)=0),"",$E28*MAX(0,MIN($D28+1,EDATE(AU$4,1))-MAX($C28,AU$4))/MAX(1,$D28+1-$C28))</f>
        <v/>
      </c>
      <c r="AV28" s="56" t="str">
        <f aca="false">IF(OR(AV$4="",$C28="",$D28="",N($E28)=0),"",$E28*MAX(0,MIN($D28+1,EDATE(AV$4,1))-MAX($C28,AV$4))/MAX(1,$D28+1-$C28))</f>
        <v/>
      </c>
      <c r="AW28" s="56" t="str">
        <f aca="false">IF(OR(AW$4="",$C28="",$D28="",N($E28)=0),"",$E28*MAX(0,MIN($D28+1,EDATE(AW$4,1))-MAX($C28,AW$4))/MAX(1,$D28+1-$C28))</f>
        <v/>
      </c>
      <c r="AX28" s="56" t="str">
        <f aca="false">IF(OR(AX$4="",$C28="",$D28="",N($E28)=0),"",$E28*MAX(0,MIN($D28+1,EDATE(AX$4,1))-MAX($C28,AX$4))/MAX(1,$D28+1-$C28))</f>
        <v/>
      </c>
      <c r="AY28" s="56" t="str">
        <f aca="false">IF(OR(AY$4="",$C28="",$D28="",N($E28)=0),"",$E28*MAX(0,MIN($D28+1,EDATE(AY$4,1))-MAX($C28,AY$4))/MAX(1,$D28+1-$C28))</f>
        <v/>
      </c>
      <c r="AZ28" s="56" t="str">
        <f aca="false">IF(OR(AZ$4="",$C28="",$D28="",N($E28)=0),"",$E28*MAX(0,MIN($D28+1,EDATE(AZ$4,1))-MAX($C28,AZ$4))/MAX(1,$D28+1-$C28))</f>
        <v/>
      </c>
      <c r="BA28" s="56" t="str">
        <f aca="false">IF(OR(BA$4="",$C28="",$D28="",N($E28)=0),"",$E28*MAX(0,MIN($D28+1,EDATE(BA$4,1))-MAX($C28,BA$4))/MAX(1,$D28+1-$C28))</f>
        <v/>
      </c>
      <c r="BB28" s="56" t="str">
        <f aca="false">IF(OR(BB$4="",$C28="",$D28="",N($E28)=0),"",$E28*MAX(0,MIN($D28+1,EDATE(BB$4,1))-MAX($C28,BB$4))/MAX(1,$D28+1-$C28))</f>
        <v/>
      </c>
      <c r="BC28" s="56" t="str">
        <f aca="false">IF(OR(BC$4="",$C28="",$D28="",N($E28)=0),"",$E28*MAX(0,MIN($D28+1,EDATE(BC$4,1))-MAX($C28,BC$4))/MAX(1,$D28+1-$C28))</f>
        <v/>
      </c>
      <c r="BD28" s="56" t="str">
        <f aca="false">IF(OR(BD$4="",$C28="",$D28="",N($E28)=0),"",$E28*MAX(0,MIN($D28+1,EDATE(BD$4,1))-MAX($C28,BD$4))/MAX(1,$D28+1-$C28))</f>
        <v/>
      </c>
      <c r="BE28" s="56" t="str">
        <f aca="false">IF(OR(BE$4="",$C28="",$D28="",N($E28)=0),"",$E28*MAX(0,MIN($D28+1,EDATE(BE$4,1))-MAX($C28,BE$4))/MAX(1,$D28+1-$C28))</f>
        <v/>
      </c>
      <c r="BF28" s="56" t="str">
        <f aca="false">IF(OR(BF$4="",$C28="",$D28="",N($E28)=0),"",$E28*MAX(0,MIN($D28+1,EDATE(BF$4,1))-MAX($C28,BF$4))/MAX(1,$D28+1-$C28))</f>
        <v/>
      </c>
      <c r="BG28" s="56" t="str">
        <f aca="false">IF(OR(BG$4="",$C28="",$D28="",N($E28)=0),"",$E28*MAX(0,MIN($D28+1,EDATE(BG$4,1))-MAX($C28,BG$4))/MAX(1,$D28+1-$C28))</f>
        <v/>
      </c>
      <c r="BH28" s="56" t="str">
        <f aca="false">IF(OR(BH$4="",$C28="",$D28="",N($E28)=0),"",$E28*MAX(0,MIN($D28+1,EDATE(BH$4,1))-MAX($C28,BH$4))/MAX(1,$D28+1-$C28))</f>
        <v/>
      </c>
      <c r="BI28" s="56" t="str">
        <f aca="false">IF(OR(BI$4="",$C28="",$D28="",N($E28)=0),"",$E28*MAX(0,MIN($D28+1,EDATE(BI$4,1))-MAX($C28,BI$4))/MAX(1,$D28+1-$C28))</f>
        <v/>
      </c>
      <c r="BJ28" s="56" t="str">
        <f aca="false">IF(OR(BJ$4="",$C28="",$D28="",N($E28)=0),"",$E28*MAX(0,MIN($D28+1,EDATE(BJ$4,1))-MAX($C28,BJ$4))/MAX(1,$D28+1-$C28))</f>
        <v/>
      </c>
      <c r="BK28" s="56" t="str">
        <f aca="false">IF(OR(BK$4="",$C28="",$D28="",N($E28)=0),"",$E28*MAX(0,MIN($D28+1,EDATE(BK$4,1))-MAX($C28,BK$4))/MAX(1,$D28+1-$C28))</f>
        <v/>
      </c>
      <c r="BL28" s="56" t="str">
        <f aca="false">IF(OR(BL$4="",$C28="",$D28="",N($E28)=0),"",$E28*MAX(0,MIN($D28+1,EDATE(BL$4,1))-MAX($C28,BL$4))/MAX(1,$D28+1-$C28))</f>
        <v/>
      </c>
      <c r="BM28" s="56" t="str">
        <f aca="false">IF(OR(BM$4="",$C28="",$D28="",N($E28)=0),"",$E28*MAX(0,MIN($D28+1,EDATE(BM$4,1))-MAX($C28,BM$4))/MAX(1,$D28+1-$C28))</f>
        <v/>
      </c>
      <c r="BN28" s="56" t="str">
        <f aca="false">IF(OR(BN$4="",$C28="",$D28="",N($E28)=0),"",$E28*MAX(0,MIN($D28+1,EDATE(BN$4,1))-MAX($C28,BN$4))/MAX(1,$D28+1-$C28))</f>
        <v/>
      </c>
      <c r="BO28" s="56" t="str">
        <f aca="false">IF(OR(BO$4="",$C28="",$D28="",N($E28)=0),"",$E28*MAX(0,MIN($D28+1,EDATE(BO$4,1))-MAX($C28,BO$4))/MAX(1,$D28+1-$C28))</f>
        <v/>
      </c>
      <c r="BP28" s="56" t="str">
        <f aca="false">IF(OR(BP$4="",$C28="",$D28="",N($E28)=0),"",$E28*MAX(0,MIN($D28+1,EDATE(BP$4,1))-MAX($C28,BP$4))/MAX(1,$D28+1-$C28))</f>
        <v/>
      </c>
      <c r="BQ28" s="56" t="str">
        <f aca="false">IF(OR(BQ$4="",$C28="",$D28="",N($E28)=0),"",$E28*MAX(0,MIN($D28+1,EDATE(BQ$4,1))-MAX($C28,BQ$4))/MAX(1,$D28+1-$C28))</f>
        <v/>
      </c>
      <c r="BR28" s="56" t="str">
        <f aca="false">IF(OR(BR$4="",$C28="",$D28="",N($E28)=0),"",$E28*MAX(0,MIN($D28+1,EDATE(BR$4,1))-MAX($C28,BR$4))/MAX(1,$D28+1-$C28))</f>
        <v/>
      </c>
      <c r="BS28" s="56" t="str">
        <f aca="false">IF(OR(BS$4="",$C28="",$D28="",N($E28)=0),"",$E28*MAX(0,MIN($D28+1,EDATE(BS$4,1))-MAX($C28,BS$4))/MAX(1,$D28+1-$C28))</f>
        <v/>
      </c>
      <c r="BT28" s="56" t="str">
        <f aca="false">IF(OR(BT$4="",$C28="",$D28="",N($E28)=0),"",$E28*MAX(0,MIN($D28+1,EDATE(BT$4,1))-MAX($C28,BT$4))/MAX(1,$D28+1-$C28))</f>
        <v/>
      </c>
      <c r="BU28" s="56" t="str">
        <f aca="false">IF(OR(BU$4="",$C28="",$D28="",N($E28)=0),"",$E28*MAX(0,MIN($D28+1,EDATE(BU$4,1))-MAX($C28,BU$4))/MAX(1,$D28+1-$C28))</f>
        <v/>
      </c>
      <c r="BV28" s="56" t="str">
        <f aca="false">IF(OR(BV$4="",$C28="",$D28="",N($E28)=0),"",$E28*MAX(0,MIN($D28+1,EDATE(BV$4,1))-MAX($C28,BV$4))/MAX(1,$D28+1-$C28))</f>
        <v/>
      </c>
      <c r="BW28" s="56" t="str">
        <f aca="false">IF(OR(BW$4="",$C28="",$D28="",N($E28)=0),"",$E28*MAX(0,MIN($D28+1,EDATE(BW$4,1))-MAX($C28,BW$4))/MAX(1,$D28+1-$C28))</f>
        <v/>
      </c>
      <c r="BX28" s="56" t="str">
        <f aca="false">IF(OR(BX$4="",$C28="",$D28="",N($E28)=0),"",$E28*MAX(0,MIN($D28+1,EDATE(BX$4,1))-MAX($C28,BX$4))/MAX(1,$D28+1-$C28))</f>
        <v/>
      </c>
      <c r="BY28" s="56" t="str">
        <f aca="false">IF(OR(BY$4="",$C28="",$D28="",N($E28)=0),"",$E28*MAX(0,MIN($D28+1,EDATE(BY$4,1))-MAX($C28,BY$4))/MAX(1,$D28+1-$C28))</f>
        <v/>
      </c>
    </row>
    <row r="29" customFormat="false" ht="15" hidden="false" customHeight="false" outlineLevel="0" collapsed="false">
      <c r="A29" s="53" t="str">
        <f aca="false">IF(BOE!$A30="","",BOE!$A30)</f>
        <v>402</v>
      </c>
      <c r="B29" s="53" t="str">
        <f aca="false">IF(BOE!$A30="","",BOE!$C30)</f>
        <v>Explosives Hazard Classification Data</v>
      </c>
      <c r="C29" s="54" t="n">
        <f aca="false">IF(BOE!$O30="","",BOE!$O30)</f>
        <v>46877</v>
      </c>
      <c r="D29" s="54" t="n">
        <f aca="false">IF(BOE!$P30="","",BOE!$P30)</f>
        <v>47122</v>
      </c>
      <c r="E29" s="55" t="n">
        <f aca="false">IF(Inputs!$B$7="P90",BOE!$T30,BOE!$R30)</f>
        <v>0</v>
      </c>
      <c r="F29" s="56" t="str">
        <f aca="false">IF(OR(F$4="",$C29="",$D29="",N($E29)=0),"",$E29*MAX(0,MIN($D29+1,EDATE(F$4,1))-MAX($C29,F$4))/MAX(1,$D29+1-$C29))</f>
        <v/>
      </c>
      <c r="G29" s="56" t="str">
        <f aca="false">IF(OR(G$4="",$C29="",$D29="",N($E29)=0),"",$E29*MAX(0,MIN($D29+1,EDATE(G$4,1))-MAX($C29,G$4))/MAX(1,$D29+1-$C29))</f>
        <v/>
      </c>
      <c r="H29" s="56" t="str">
        <f aca="false">IF(OR(H$4="",$C29="",$D29="",N($E29)=0),"",$E29*MAX(0,MIN($D29+1,EDATE(H$4,1))-MAX($C29,H$4))/MAX(1,$D29+1-$C29))</f>
        <v/>
      </c>
      <c r="I29" s="56" t="str">
        <f aca="false">IF(OR(I$4="",$C29="",$D29="",N($E29)=0),"",$E29*MAX(0,MIN($D29+1,EDATE(I$4,1))-MAX($C29,I$4))/MAX(1,$D29+1-$C29))</f>
        <v/>
      </c>
      <c r="J29" s="56" t="str">
        <f aca="false">IF(OR(J$4="",$C29="",$D29="",N($E29)=0),"",$E29*MAX(0,MIN($D29+1,EDATE(J$4,1))-MAX($C29,J$4))/MAX(1,$D29+1-$C29))</f>
        <v/>
      </c>
      <c r="K29" s="56" t="str">
        <f aca="false">IF(OR(K$4="",$C29="",$D29="",N($E29)=0),"",$E29*MAX(0,MIN($D29+1,EDATE(K$4,1))-MAX($C29,K$4))/MAX(1,$D29+1-$C29))</f>
        <v/>
      </c>
      <c r="L29" s="56" t="str">
        <f aca="false">IF(OR(L$4="",$C29="",$D29="",N($E29)=0),"",$E29*MAX(0,MIN($D29+1,EDATE(L$4,1))-MAX($C29,L$4))/MAX(1,$D29+1-$C29))</f>
        <v/>
      </c>
      <c r="M29" s="56" t="str">
        <f aca="false">IF(OR(M$4="",$C29="",$D29="",N($E29)=0),"",$E29*MAX(0,MIN($D29+1,EDATE(M$4,1))-MAX($C29,M$4))/MAX(1,$D29+1-$C29))</f>
        <v/>
      </c>
      <c r="N29" s="56" t="str">
        <f aca="false">IF(OR(N$4="",$C29="",$D29="",N($E29)=0),"",$E29*MAX(0,MIN($D29+1,EDATE(N$4,1))-MAX($C29,N$4))/MAX(1,$D29+1-$C29))</f>
        <v/>
      </c>
      <c r="O29" s="56" t="str">
        <f aca="false">IF(OR(O$4="",$C29="",$D29="",N($E29)=0),"",$E29*MAX(0,MIN($D29+1,EDATE(O$4,1))-MAX($C29,O$4))/MAX(1,$D29+1-$C29))</f>
        <v/>
      </c>
      <c r="P29" s="56" t="str">
        <f aca="false">IF(OR(P$4="",$C29="",$D29="",N($E29)=0),"",$E29*MAX(0,MIN($D29+1,EDATE(P$4,1))-MAX($C29,P$4))/MAX(1,$D29+1-$C29))</f>
        <v/>
      </c>
      <c r="Q29" s="56" t="str">
        <f aca="false">IF(OR(Q$4="",$C29="",$D29="",N($E29)=0),"",$E29*MAX(0,MIN($D29+1,EDATE(Q$4,1))-MAX($C29,Q$4))/MAX(1,$D29+1-$C29))</f>
        <v/>
      </c>
      <c r="R29" s="56" t="str">
        <f aca="false">IF(OR(R$4="",$C29="",$D29="",N($E29)=0),"",$E29*MAX(0,MIN($D29+1,EDATE(R$4,1))-MAX($C29,R$4))/MAX(1,$D29+1-$C29))</f>
        <v/>
      </c>
      <c r="S29" s="56" t="str">
        <f aca="false">IF(OR(S$4="",$C29="",$D29="",N($E29)=0),"",$E29*MAX(0,MIN($D29+1,EDATE(S$4,1))-MAX($C29,S$4))/MAX(1,$D29+1-$C29))</f>
        <v/>
      </c>
      <c r="T29" s="56" t="str">
        <f aca="false">IF(OR(T$4="",$C29="",$D29="",N($E29)=0),"",$E29*MAX(0,MIN($D29+1,EDATE(T$4,1))-MAX($C29,T$4))/MAX(1,$D29+1-$C29))</f>
        <v/>
      </c>
      <c r="U29" s="56" t="str">
        <f aca="false">IF(OR(U$4="",$C29="",$D29="",N($E29)=0),"",$E29*MAX(0,MIN($D29+1,EDATE(U$4,1))-MAX($C29,U$4))/MAX(1,$D29+1-$C29))</f>
        <v/>
      </c>
      <c r="V29" s="56" t="str">
        <f aca="false">IF(OR(V$4="",$C29="",$D29="",N($E29)=0),"",$E29*MAX(0,MIN($D29+1,EDATE(V$4,1))-MAX($C29,V$4))/MAX(1,$D29+1-$C29))</f>
        <v/>
      </c>
      <c r="W29" s="56" t="str">
        <f aca="false">IF(OR(W$4="",$C29="",$D29="",N($E29)=0),"",$E29*MAX(0,MIN($D29+1,EDATE(W$4,1))-MAX($C29,W$4))/MAX(1,$D29+1-$C29))</f>
        <v/>
      </c>
      <c r="X29" s="56" t="str">
        <f aca="false">IF(OR(X$4="",$C29="",$D29="",N($E29)=0),"",$E29*MAX(0,MIN($D29+1,EDATE(X$4,1))-MAX($C29,X$4))/MAX(1,$D29+1-$C29))</f>
        <v/>
      </c>
      <c r="Y29" s="56" t="str">
        <f aca="false">IF(OR(Y$4="",$C29="",$D29="",N($E29)=0),"",$E29*MAX(0,MIN($D29+1,EDATE(Y$4,1))-MAX($C29,Y$4))/MAX(1,$D29+1-$C29))</f>
        <v/>
      </c>
      <c r="Z29" s="56" t="str">
        <f aca="false">IF(OR(Z$4="",$C29="",$D29="",N($E29)=0),"",$E29*MAX(0,MIN($D29+1,EDATE(Z$4,1))-MAX($C29,Z$4))/MAX(1,$D29+1-$C29))</f>
        <v/>
      </c>
      <c r="AA29" s="56" t="str">
        <f aca="false">IF(OR(AA$4="",$C29="",$D29="",N($E29)=0),"",$E29*MAX(0,MIN($D29+1,EDATE(AA$4,1))-MAX($C29,AA$4))/MAX(1,$D29+1-$C29))</f>
        <v/>
      </c>
      <c r="AB29" s="56" t="str">
        <f aca="false">IF(OR(AB$4="",$C29="",$D29="",N($E29)=0),"",$E29*MAX(0,MIN($D29+1,EDATE(AB$4,1))-MAX($C29,AB$4))/MAX(1,$D29+1-$C29))</f>
        <v/>
      </c>
      <c r="AC29" s="56" t="str">
        <f aca="false">IF(OR(AC$4="",$C29="",$D29="",N($E29)=0),"",$E29*MAX(0,MIN($D29+1,EDATE(AC$4,1))-MAX($C29,AC$4))/MAX(1,$D29+1-$C29))</f>
        <v/>
      </c>
      <c r="AD29" s="56" t="str">
        <f aca="false">IF(OR(AD$4="",$C29="",$D29="",N($E29)=0),"",$E29*MAX(0,MIN($D29+1,EDATE(AD$4,1))-MAX($C29,AD$4))/MAX(1,$D29+1-$C29))</f>
        <v/>
      </c>
      <c r="AE29" s="56" t="str">
        <f aca="false">IF(OR(AE$4="",$C29="",$D29="",N($E29)=0),"",$E29*MAX(0,MIN($D29+1,EDATE(AE$4,1))-MAX($C29,AE$4))/MAX(1,$D29+1-$C29))</f>
        <v/>
      </c>
      <c r="AF29" s="56" t="str">
        <f aca="false">IF(OR(AF$4="",$C29="",$D29="",N($E29)=0),"",$E29*MAX(0,MIN($D29+1,EDATE(AF$4,1))-MAX($C29,AF$4))/MAX(1,$D29+1-$C29))</f>
        <v/>
      </c>
      <c r="AG29" s="56" t="str">
        <f aca="false">IF(OR(AG$4="",$C29="",$D29="",N($E29)=0),"",$E29*MAX(0,MIN($D29+1,EDATE(AG$4,1))-MAX($C29,AG$4))/MAX(1,$D29+1-$C29))</f>
        <v/>
      </c>
      <c r="AH29" s="56" t="str">
        <f aca="false">IF(OR(AH$4="",$C29="",$D29="",N($E29)=0),"",$E29*MAX(0,MIN($D29+1,EDATE(AH$4,1))-MAX($C29,AH$4))/MAX(1,$D29+1-$C29))</f>
        <v/>
      </c>
      <c r="AI29" s="56" t="str">
        <f aca="false">IF(OR(AI$4="",$C29="",$D29="",N($E29)=0),"",$E29*MAX(0,MIN($D29+1,EDATE(AI$4,1))-MAX($C29,AI$4))/MAX(1,$D29+1-$C29))</f>
        <v/>
      </c>
      <c r="AJ29" s="56" t="str">
        <f aca="false">IF(OR(AJ$4="",$C29="",$D29="",N($E29)=0),"",$E29*MAX(0,MIN($D29+1,EDATE(AJ$4,1))-MAX($C29,AJ$4))/MAX(1,$D29+1-$C29))</f>
        <v/>
      </c>
      <c r="AK29" s="56" t="str">
        <f aca="false">IF(OR(AK$4="",$C29="",$D29="",N($E29)=0),"",$E29*MAX(0,MIN($D29+1,EDATE(AK$4,1))-MAX($C29,AK$4))/MAX(1,$D29+1-$C29))</f>
        <v/>
      </c>
      <c r="AL29" s="56" t="str">
        <f aca="false">IF(OR(AL$4="",$C29="",$D29="",N($E29)=0),"",$E29*MAX(0,MIN($D29+1,EDATE(AL$4,1))-MAX($C29,AL$4))/MAX(1,$D29+1-$C29))</f>
        <v/>
      </c>
      <c r="AM29" s="56" t="str">
        <f aca="false">IF(OR(AM$4="",$C29="",$D29="",N($E29)=0),"",$E29*MAX(0,MIN($D29+1,EDATE(AM$4,1))-MAX($C29,AM$4))/MAX(1,$D29+1-$C29))</f>
        <v/>
      </c>
      <c r="AN29" s="56" t="str">
        <f aca="false">IF(OR(AN$4="",$C29="",$D29="",N($E29)=0),"",$E29*MAX(0,MIN($D29+1,EDATE(AN$4,1))-MAX($C29,AN$4))/MAX(1,$D29+1-$C29))</f>
        <v/>
      </c>
      <c r="AO29" s="56" t="str">
        <f aca="false">IF(OR(AO$4="",$C29="",$D29="",N($E29)=0),"",$E29*MAX(0,MIN($D29+1,EDATE(AO$4,1))-MAX($C29,AO$4))/MAX(1,$D29+1-$C29))</f>
        <v/>
      </c>
      <c r="AP29" s="56" t="str">
        <f aca="false">IF(OR(AP$4="",$C29="",$D29="",N($E29)=0),"",$E29*MAX(0,MIN($D29+1,EDATE(AP$4,1))-MAX($C29,AP$4))/MAX(1,$D29+1-$C29))</f>
        <v/>
      </c>
      <c r="AQ29" s="56" t="str">
        <f aca="false">IF(OR(AQ$4="",$C29="",$D29="",N($E29)=0),"",$E29*MAX(0,MIN($D29+1,EDATE(AQ$4,1))-MAX($C29,AQ$4))/MAX(1,$D29+1-$C29))</f>
        <v/>
      </c>
      <c r="AR29" s="56" t="str">
        <f aca="false">IF(OR(AR$4="",$C29="",$D29="",N($E29)=0),"",$E29*MAX(0,MIN($D29+1,EDATE(AR$4,1))-MAX($C29,AR$4))/MAX(1,$D29+1-$C29))</f>
        <v/>
      </c>
      <c r="AS29" s="56" t="str">
        <f aca="false">IF(OR(AS$4="",$C29="",$D29="",N($E29)=0),"",$E29*MAX(0,MIN($D29+1,EDATE(AS$4,1))-MAX($C29,AS$4))/MAX(1,$D29+1-$C29))</f>
        <v/>
      </c>
      <c r="AT29" s="56" t="str">
        <f aca="false">IF(OR(AT$4="",$C29="",$D29="",N($E29)=0),"",$E29*MAX(0,MIN($D29+1,EDATE(AT$4,1))-MAX($C29,AT$4))/MAX(1,$D29+1-$C29))</f>
        <v/>
      </c>
      <c r="AU29" s="56" t="str">
        <f aca="false">IF(OR(AU$4="",$C29="",$D29="",N($E29)=0),"",$E29*MAX(0,MIN($D29+1,EDATE(AU$4,1))-MAX($C29,AU$4))/MAX(1,$D29+1-$C29))</f>
        <v/>
      </c>
      <c r="AV29" s="56" t="str">
        <f aca="false">IF(OR(AV$4="",$C29="",$D29="",N($E29)=0),"",$E29*MAX(0,MIN($D29+1,EDATE(AV$4,1))-MAX($C29,AV$4))/MAX(1,$D29+1-$C29))</f>
        <v/>
      </c>
      <c r="AW29" s="56" t="str">
        <f aca="false">IF(OR(AW$4="",$C29="",$D29="",N($E29)=0),"",$E29*MAX(0,MIN($D29+1,EDATE(AW$4,1))-MAX($C29,AW$4))/MAX(1,$D29+1-$C29))</f>
        <v/>
      </c>
      <c r="AX29" s="56" t="str">
        <f aca="false">IF(OR(AX$4="",$C29="",$D29="",N($E29)=0),"",$E29*MAX(0,MIN($D29+1,EDATE(AX$4,1))-MAX($C29,AX$4))/MAX(1,$D29+1-$C29))</f>
        <v/>
      </c>
      <c r="AY29" s="56" t="str">
        <f aca="false">IF(OR(AY$4="",$C29="",$D29="",N($E29)=0),"",$E29*MAX(0,MIN($D29+1,EDATE(AY$4,1))-MAX($C29,AY$4))/MAX(1,$D29+1-$C29))</f>
        <v/>
      </c>
      <c r="AZ29" s="56" t="str">
        <f aca="false">IF(OR(AZ$4="",$C29="",$D29="",N($E29)=0),"",$E29*MAX(0,MIN($D29+1,EDATE(AZ$4,1))-MAX($C29,AZ$4))/MAX(1,$D29+1-$C29))</f>
        <v/>
      </c>
      <c r="BA29" s="56" t="str">
        <f aca="false">IF(OR(BA$4="",$C29="",$D29="",N($E29)=0),"",$E29*MAX(0,MIN($D29+1,EDATE(BA$4,1))-MAX($C29,BA$4))/MAX(1,$D29+1-$C29))</f>
        <v/>
      </c>
      <c r="BB29" s="56" t="str">
        <f aca="false">IF(OR(BB$4="",$C29="",$D29="",N($E29)=0),"",$E29*MAX(0,MIN($D29+1,EDATE(BB$4,1))-MAX($C29,BB$4))/MAX(1,$D29+1-$C29))</f>
        <v/>
      </c>
      <c r="BC29" s="56" t="str">
        <f aca="false">IF(OR(BC$4="",$C29="",$D29="",N($E29)=0),"",$E29*MAX(0,MIN($D29+1,EDATE(BC$4,1))-MAX($C29,BC$4))/MAX(1,$D29+1-$C29))</f>
        <v/>
      </c>
      <c r="BD29" s="56" t="str">
        <f aca="false">IF(OR(BD$4="",$C29="",$D29="",N($E29)=0),"",$E29*MAX(0,MIN($D29+1,EDATE(BD$4,1))-MAX($C29,BD$4))/MAX(1,$D29+1-$C29))</f>
        <v/>
      </c>
      <c r="BE29" s="56" t="str">
        <f aca="false">IF(OR(BE$4="",$C29="",$D29="",N($E29)=0),"",$E29*MAX(0,MIN($D29+1,EDATE(BE$4,1))-MAX($C29,BE$4))/MAX(1,$D29+1-$C29))</f>
        <v/>
      </c>
      <c r="BF29" s="56" t="str">
        <f aca="false">IF(OR(BF$4="",$C29="",$D29="",N($E29)=0),"",$E29*MAX(0,MIN($D29+1,EDATE(BF$4,1))-MAX($C29,BF$4))/MAX(1,$D29+1-$C29))</f>
        <v/>
      </c>
      <c r="BG29" s="56" t="str">
        <f aca="false">IF(OR(BG$4="",$C29="",$D29="",N($E29)=0),"",$E29*MAX(0,MIN($D29+1,EDATE(BG$4,1))-MAX($C29,BG$4))/MAX(1,$D29+1-$C29))</f>
        <v/>
      </c>
      <c r="BH29" s="56" t="str">
        <f aca="false">IF(OR(BH$4="",$C29="",$D29="",N($E29)=0),"",$E29*MAX(0,MIN($D29+1,EDATE(BH$4,1))-MAX($C29,BH$4))/MAX(1,$D29+1-$C29))</f>
        <v/>
      </c>
      <c r="BI29" s="56" t="str">
        <f aca="false">IF(OR(BI$4="",$C29="",$D29="",N($E29)=0),"",$E29*MAX(0,MIN($D29+1,EDATE(BI$4,1))-MAX($C29,BI$4))/MAX(1,$D29+1-$C29))</f>
        <v/>
      </c>
      <c r="BJ29" s="56" t="str">
        <f aca="false">IF(OR(BJ$4="",$C29="",$D29="",N($E29)=0),"",$E29*MAX(0,MIN($D29+1,EDATE(BJ$4,1))-MAX($C29,BJ$4))/MAX(1,$D29+1-$C29))</f>
        <v/>
      </c>
      <c r="BK29" s="56" t="str">
        <f aca="false">IF(OR(BK$4="",$C29="",$D29="",N($E29)=0),"",$E29*MAX(0,MIN($D29+1,EDATE(BK$4,1))-MAX($C29,BK$4))/MAX(1,$D29+1-$C29))</f>
        <v/>
      </c>
      <c r="BL29" s="56" t="str">
        <f aca="false">IF(OR(BL$4="",$C29="",$D29="",N($E29)=0),"",$E29*MAX(0,MIN($D29+1,EDATE(BL$4,1))-MAX($C29,BL$4))/MAX(1,$D29+1-$C29))</f>
        <v/>
      </c>
      <c r="BM29" s="56" t="str">
        <f aca="false">IF(OR(BM$4="",$C29="",$D29="",N($E29)=0),"",$E29*MAX(0,MIN($D29+1,EDATE(BM$4,1))-MAX($C29,BM$4))/MAX(1,$D29+1-$C29))</f>
        <v/>
      </c>
      <c r="BN29" s="56" t="str">
        <f aca="false">IF(OR(BN$4="",$C29="",$D29="",N($E29)=0),"",$E29*MAX(0,MIN($D29+1,EDATE(BN$4,1))-MAX($C29,BN$4))/MAX(1,$D29+1-$C29))</f>
        <v/>
      </c>
      <c r="BO29" s="56" t="str">
        <f aca="false">IF(OR(BO$4="",$C29="",$D29="",N($E29)=0),"",$E29*MAX(0,MIN($D29+1,EDATE(BO$4,1))-MAX($C29,BO$4))/MAX(1,$D29+1-$C29))</f>
        <v/>
      </c>
      <c r="BP29" s="56" t="str">
        <f aca="false">IF(OR(BP$4="",$C29="",$D29="",N($E29)=0),"",$E29*MAX(0,MIN($D29+1,EDATE(BP$4,1))-MAX($C29,BP$4))/MAX(1,$D29+1-$C29))</f>
        <v/>
      </c>
      <c r="BQ29" s="56" t="str">
        <f aca="false">IF(OR(BQ$4="",$C29="",$D29="",N($E29)=0),"",$E29*MAX(0,MIN($D29+1,EDATE(BQ$4,1))-MAX($C29,BQ$4))/MAX(1,$D29+1-$C29))</f>
        <v/>
      </c>
      <c r="BR29" s="56" t="str">
        <f aca="false">IF(OR(BR$4="",$C29="",$D29="",N($E29)=0),"",$E29*MAX(0,MIN($D29+1,EDATE(BR$4,1))-MAX($C29,BR$4))/MAX(1,$D29+1-$C29))</f>
        <v/>
      </c>
      <c r="BS29" s="56" t="str">
        <f aca="false">IF(OR(BS$4="",$C29="",$D29="",N($E29)=0),"",$E29*MAX(0,MIN($D29+1,EDATE(BS$4,1))-MAX($C29,BS$4))/MAX(1,$D29+1-$C29))</f>
        <v/>
      </c>
      <c r="BT29" s="56" t="str">
        <f aca="false">IF(OR(BT$4="",$C29="",$D29="",N($E29)=0),"",$E29*MAX(0,MIN($D29+1,EDATE(BT$4,1))-MAX($C29,BT$4))/MAX(1,$D29+1-$C29))</f>
        <v/>
      </c>
      <c r="BU29" s="56" t="str">
        <f aca="false">IF(OR(BU$4="",$C29="",$D29="",N($E29)=0),"",$E29*MAX(0,MIN($D29+1,EDATE(BU$4,1))-MAX($C29,BU$4))/MAX(1,$D29+1-$C29))</f>
        <v/>
      </c>
      <c r="BV29" s="56" t="str">
        <f aca="false">IF(OR(BV$4="",$C29="",$D29="",N($E29)=0),"",$E29*MAX(0,MIN($D29+1,EDATE(BV$4,1))-MAX($C29,BV$4))/MAX(1,$D29+1-$C29))</f>
        <v/>
      </c>
      <c r="BW29" s="56" t="str">
        <f aca="false">IF(OR(BW$4="",$C29="",$D29="",N($E29)=0),"",$E29*MAX(0,MIN($D29+1,EDATE(BW$4,1))-MAX($C29,BW$4))/MAX(1,$D29+1-$C29))</f>
        <v/>
      </c>
      <c r="BX29" s="56" t="str">
        <f aca="false">IF(OR(BX$4="",$C29="",$D29="",N($E29)=0),"",$E29*MAX(0,MIN($D29+1,EDATE(BX$4,1))-MAX($C29,BX$4))/MAX(1,$D29+1-$C29))</f>
        <v/>
      </c>
      <c r="BY29" s="56" t="str">
        <f aca="false">IF(OR(BY$4="",$C29="",$D29="",N($E29)=0),"",$E29*MAX(0,MIN($D29+1,EDATE(BY$4,1))-MAX($C29,BY$4))/MAX(1,$D29+1-$C29))</f>
        <v/>
      </c>
    </row>
    <row r="30" customFormat="false" ht="15" hidden="false" customHeight="false" outlineLevel="0" collapsed="false">
      <c r="A30" s="53" t="str">
        <f aca="false">IF(BOE!$A31="","",BOE!$A31)</f>
        <v>403</v>
      </c>
      <c r="B30" s="53" t="str">
        <f aca="false">IF(BOE!$A31="","",BOE!$C31)</f>
        <v>Explosive Ordnance Disposal Data</v>
      </c>
      <c r="C30" s="54" t="n">
        <f aca="false">IF(BOE!$O31="","",BOE!$O31)</f>
        <v>46877</v>
      </c>
      <c r="D30" s="54" t="n">
        <f aca="false">IF(BOE!$P31="","",BOE!$P31)</f>
        <v>47122</v>
      </c>
      <c r="E30" s="55" t="n">
        <f aca="false">IF(Inputs!$B$7="P90",BOE!$T31,BOE!$R31)</f>
        <v>0</v>
      </c>
      <c r="F30" s="56" t="str">
        <f aca="false">IF(OR(F$4="",$C30="",$D30="",N($E30)=0),"",$E30*MAX(0,MIN($D30+1,EDATE(F$4,1))-MAX($C30,F$4))/MAX(1,$D30+1-$C30))</f>
        <v/>
      </c>
      <c r="G30" s="56" t="str">
        <f aca="false">IF(OR(G$4="",$C30="",$D30="",N($E30)=0),"",$E30*MAX(0,MIN($D30+1,EDATE(G$4,1))-MAX($C30,G$4))/MAX(1,$D30+1-$C30))</f>
        <v/>
      </c>
      <c r="H30" s="56" t="str">
        <f aca="false">IF(OR(H$4="",$C30="",$D30="",N($E30)=0),"",$E30*MAX(0,MIN($D30+1,EDATE(H$4,1))-MAX($C30,H$4))/MAX(1,$D30+1-$C30))</f>
        <v/>
      </c>
      <c r="I30" s="56" t="str">
        <f aca="false">IF(OR(I$4="",$C30="",$D30="",N($E30)=0),"",$E30*MAX(0,MIN($D30+1,EDATE(I$4,1))-MAX($C30,I$4))/MAX(1,$D30+1-$C30))</f>
        <v/>
      </c>
      <c r="J30" s="56" t="str">
        <f aca="false">IF(OR(J$4="",$C30="",$D30="",N($E30)=0),"",$E30*MAX(0,MIN($D30+1,EDATE(J$4,1))-MAX($C30,J$4))/MAX(1,$D30+1-$C30))</f>
        <v/>
      </c>
      <c r="K30" s="56" t="str">
        <f aca="false">IF(OR(K$4="",$C30="",$D30="",N($E30)=0),"",$E30*MAX(0,MIN($D30+1,EDATE(K$4,1))-MAX($C30,K$4))/MAX(1,$D30+1-$C30))</f>
        <v/>
      </c>
      <c r="L30" s="56" t="str">
        <f aca="false">IF(OR(L$4="",$C30="",$D30="",N($E30)=0),"",$E30*MAX(0,MIN($D30+1,EDATE(L$4,1))-MAX($C30,L$4))/MAX(1,$D30+1-$C30))</f>
        <v/>
      </c>
      <c r="M30" s="56" t="str">
        <f aca="false">IF(OR(M$4="",$C30="",$D30="",N($E30)=0),"",$E30*MAX(0,MIN($D30+1,EDATE(M$4,1))-MAX($C30,M$4))/MAX(1,$D30+1-$C30))</f>
        <v/>
      </c>
      <c r="N30" s="56" t="str">
        <f aca="false">IF(OR(N$4="",$C30="",$D30="",N($E30)=0),"",$E30*MAX(0,MIN($D30+1,EDATE(N$4,1))-MAX($C30,N$4))/MAX(1,$D30+1-$C30))</f>
        <v/>
      </c>
      <c r="O30" s="56" t="str">
        <f aca="false">IF(OR(O$4="",$C30="",$D30="",N($E30)=0),"",$E30*MAX(0,MIN($D30+1,EDATE(O$4,1))-MAX($C30,O$4))/MAX(1,$D30+1-$C30))</f>
        <v/>
      </c>
      <c r="P30" s="56" t="str">
        <f aca="false">IF(OR(P$4="",$C30="",$D30="",N($E30)=0),"",$E30*MAX(0,MIN($D30+1,EDATE(P$4,1))-MAX($C30,P$4))/MAX(1,$D30+1-$C30))</f>
        <v/>
      </c>
      <c r="Q30" s="56" t="str">
        <f aca="false">IF(OR(Q$4="",$C30="",$D30="",N($E30)=0),"",$E30*MAX(0,MIN($D30+1,EDATE(Q$4,1))-MAX($C30,Q$4))/MAX(1,$D30+1-$C30))</f>
        <v/>
      </c>
      <c r="R30" s="56" t="str">
        <f aca="false">IF(OR(R$4="",$C30="",$D30="",N($E30)=0),"",$E30*MAX(0,MIN($D30+1,EDATE(R$4,1))-MAX($C30,R$4))/MAX(1,$D30+1-$C30))</f>
        <v/>
      </c>
      <c r="S30" s="56" t="str">
        <f aca="false">IF(OR(S$4="",$C30="",$D30="",N($E30)=0),"",$E30*MAX(0,MIN($D30+1,EDATE(S$4,1))-MAX($C30,S$4))/MAX(1,$D30+1-$C30))</f>
        <v/>
      </c>
      <c r="T30" s="56" t="str">
        <f aca="false">IF(OR(T$4="",$C30="",$D30="",N($E30)=0),"",$E30*MAX(0,MIN($D30+1,EDATE(T$4,1))-MAX($C30,T$4))/MAX(1,$D30+1-$C30))</f>
        <v/>
      </c>
      <c r="U30" s="56" t="str">
        <f aca="false">IF(OR(U$4="",$C30="",$D30="",N($E30)=0),"",$E30*MAX(0,MIN($D30+1,EDATE(U$4,1))-MAX($C30,U$4))/MAX(1,$D30+1-$C30))</f>
        <v/>
      </c>
      <c r="V30" s="56" t="str">
        <f aca="false">IF(OR(V$4="",$C30="",$D30="",N($E30)=0),"",$E30*MAX(0,MIN($D30+1,EDATE(V$4,1))-MAX($C30,V$4))/MAX(1,$D30+1-$C30))</f>
        <v/>
      </c>
      <c r="W30" s="56" t="str">
        <f aca="false">IF(OR(W$4="",$C30="",$D30="",N($E30)=0),"",$E30*MAX(0,MIN($D30+1,EDATE(W$4,1))-MAX($C30,W$4))/MAX(1,$D30+1-$C30))</f>
        <v/>
      </c>
      <c r="X30" s="56" t="str">
        <f aca="false">IF(OR(X$4="",$C30="",$D30="",N($E30)=0),"",$E30*MAX(0,MIN($D30+1,EDATE(X$4,1))-MAX($C30,X$4))/MAX(1,$D30+1-$C30))</f>
        <v/>
      </c>
      <c r="Y30" s="56" t="str">
        <f aca="false">IF(OR(Y$4="",$C30="",$D30="",N($E30)=0),"",$E30*MAX(0,MIN($D30+1,EDATE(Y$4,1))-MAX($C30,Y$4))/MAX(1,$D30+1-$C30))</f>
        <v/>
      </c>
      <c r="Z30" s="56" t="str">
        <f aca="false">IF(OR(Z$4="",$C30="",$D30="",N($E30)=0),"",$E30*MAX(0,MIN($D30+1,EDATE(Z$4,1))-MAX($C30,Z$4))/MAX(1,$D30+1-$C30))</f>
        <v/>
      </c>
      <c r="AA30" s="56" t="str">
        <f aca="false">IF(OR(AA$4="",$C30="",$D30="",N($E30)=0),"",$E30*MAX(0,MIN($D30+1,EDATE(AA$4,1))-MAX($C30,AA$4))/MAX(1,$D30+1-$C30))</f>
        <v/>
      </c>
      <c r="AB30" s="56" t="str">
        <f aca="false">IF(OR(AB$4="",$C30="",$D30="",N($E30)=0),"",$E30*MAX(0,MIN($D30+1,EDATE(AB$4,1))-MAX($C30,AB$4))/MAX(1,$D30+1-$C30))</f>
        <v/>
      </c>
      <c r="AC30" s="56" t="str">
        <f aca="false">IF(OR(AC$4="",$C30="",$D30="",N($E30)=0),"",$E30*MAX(0,MIN($D30+1,EDATE(AC$4,1))-MAX($C30,AC$4))/MAX(1,$D30+1-$C30))</f>
        <v/>
      </c>
      <c r="AD30" s="56" t="str">
        <f aca="false">IF(OR(AD$4="",$C30="",$D30="",N($E30)=0),"",$E30*MAX(0,MIN($D30+1,EDATE(AD$4,1))-MAX($C30,AD$4))/MAX(1,$D30+1-$C30))</f>
        <v/>
      </c>
      <c r="AE30" s="56" t="str">
        <f aca="false">IF(OR(AE$4="",$C30="",$D30="",N($E30)=0),"",$E30*MAX(0,MIN($D30+1,EDATE(AE$4,1))-MAX($C30,AE$4))/MAX(1,$D30+1-$C30))</f>
        <v/>
      </c>
      <c r="AF30" s="56" t="str">
        <f aca="false">IF(OR(AF$4="",$C30="",$D30="",N($E30)=0),"",$E30*MAX(0,MIN($D30+1,EDATE(AF$4,1))-MAX($C30,AF$4))/MAX(1,$D30+1-$C30))</f>
        <v/>
      </c>
      <c r="AG30" s="56" t="str">
        <f aca="false">IF(OR(AG$4="",$C30="",$D30="",N($E30)=0),"",$E30*MAX(0,MIN($D30+1,EDATE(AG$4,1))-MAX($C30,AG$4))/MAX(1,$D30+1-$C30))</f>
        <v/>
      </c>
      <c r="AH30" s="56" t="str">
        <f aca="false">IF(OR(AH$4="",$C30="",$D30="",N($E30)=0),"",$E30*MAX(0,MIN($D30+1,EDATE(AH$4,1))-MAX($C30,AH$4))/MAX(1,$D30+1-$C30))</f>
        <v/>
      </c>
      <c r="AI30" s="56" t="str">
        <f aca="false">IF(OR(AI$4="",$C30="",$D30="",N($E30)=0),"",$E30*MAX(0,MIN($D30+1,EDATE(AI$4,1))-MAX($C30,AI$4))/MAX(1,$D30+1-$C30))</f>
        <v/>
      </c>
      <c r="AJ30" s="56" t="str">
        <f aca="false">IF(OR(AJ$4="",$C30="",$D30="",N($E30)=0),"",$E30*MAX(0,MIN($D30+1,EDATE(AJ$4,1))-MAX($C30,AJ$4))/MAX(1,$D30+1-$C30))</f>
        <v/>
      </c>
      <c r="AK30" s="56" t="str">
        <f aca="false">IF(OR(AK$4="",$C30="",$D30="",N($E30)=0),"",$E30*MAX(0,MIN($D30+1,EDATE(AK$4,1))-MAX($C30,AK$4))/MAX(1,$D30+1-$C30))</f>
        <v/>
      </c>
      <c r="AL30" s="56" t="str">
        <f aca="false">IF(OR(AL$4="",$C30="",$D30="",N($E30)=0),"",$E30*MAX(0,MIN($D30+1,EDATE(AL$4,1))-MAX($C30,AL$4))/MAX(1,$D30+1-$C30))</f>
        <v/>
      </c>
      <c r="AM30" s="56" t="str">
        <f aca="false">IF(OR(AM$4="",$C30="",$D30="",N($E30)=0),"",$E30*MAX(0,MIN($D30+1,EDATE(AM$4,1))-MAX($C30,AM$4))/MAX(1,$D30+1-$C30))</f>
        <v/>
      </c>
      <c r="AN30" s="56" t="str">
        <f aca="false">IF(OR(AN$4="",$C30="",$D30="",N($E30)=0),"",$E30*MAX(0,MIN($D30+1,EDATE(AN$4,1))-MAX($C30,AN$4))/MAX(1,$D30+1-$C30))</f>
        <v/>
      </c>
      <c r="AO30" s="56" t="str">
        <f aca="false">IF(OR(AO$4="",$C30="",$D30="",N($E30)=0),"",$E30*MAX(0,MIN($D30+1,EDATE(AO$4,1))-MAX($C30,AO$4))/MAX(1,$D30+1-$C30))</f>
        <v/>
      </c>
      <c r="AP30" s="56" t="str">
        <f aca="false">IF(OR(AP$4="",$C30="",$D30="",N($E30)=0),"",$E30*MAX(0,MIN($D30+1,EDATE(AP$4,1))-MAX($C30,AP$4))/MAX(1,$D30+1-$C30))</f>
        <v/>
      </c>
      <c r="AQ30" s="56" t="str">
        <f aca="false">IF(OR(AQ$4="",$C30="",$D30="",N($E30)=0),"",$E30*MAX(0,MIN($D30+1,EDATE(AQ$4,1))-MAX($C30,AQ$4))/MAX(1,$D30+1-$C30))</f>
        <v/>
      </c>
      <c r="AR30" s="56" t="str">
        <f aca="false">IF(OR(AR$4="",$C30="",$D30="",N($E30)=0),"",$E30*MAX(0,MIN($D30+1,EDATE(AR$4,1))-MAX($C30,AR$4))/MAX(1,$D30+1-$C30))</f>
        <v/>
      </c>
      <c r="AS30" s="56" t="str">
        <f aca="false">IF(OR(AS$4="",$C30="",$D30="",N($E30)=0),"",$E30*MAX(0,MIN($D30+1,EDATE(AS$4,1))-MAX($C30,AS$4))/MAX(1,$D30+1-$C30))</f>
        <v/>
      </c>
      <c r="AT30" s="56" t="str">
        <f aca="false">IF(OR(AT$4="",$C30="",$D30="",N($E30)=0),"",$E30*MAX(0,MIN($D30+1,EDATE(AT$4,1))-MAX($C30,AT$4))/MAX(1,$D30+1-$C30))</f>
        <v/>
      </c>
      <c r="AU30" s="56" t="str">
        <f aca="false">IF(OR(AU$4="",$C30="",$D30="",N($E30)=0),"",$E30*MAX(0,MIN($D30+1,EDATE(AU$4,1))-MAX($C30,AU$4))/MAX(1,$D30+1-$C30))</f>
        <v/>
      </c>
      <c r="AV30" s="56" t="str">
        <f aca="false">IF(OR(AV$4="",$C30="",$D30="",N($E30)=0),"",$E30*MAX(0,MIN($D30+1,EDATE(AV$4,1))-MAX($C30,AV$4))/MAX(1,$D30+1-$C30))</f>
        <v/>
      </c>
      <c r="AW30" s="56" t="str">
        <f aca="false">IF(OR(AW$4="",$C30="",$D30="",N($E30)=0),"",$E30*MAX(0,MIN($D30+1,EDATE(AW$4,1))-MAX($C30,AW$4))/MAX(1,$D30+1-$C30))</f>
        <v/>
      </c>
      <c r="AX30" s="56" t="str">
        <f aca="false">IF(OR(AX$4="",$C30="",$D30="",N($E30)=0),"",$E30*MAX(0,MIN($D30+1,EDATE(AX$4,1))-MAX($C30,AX$4))/MAX(1,$D30+1-$C30))</f>
        <v/>
      </c>
      <c r="AY30" s="56" t="str">
        <f aca="false">IF(OR(AY$4="",$C30="",$D30="",N($E30)=0),"",$E30*MAX(0,MIN($D30+1,EDATE(AY$4,1))-MAX($C30,AY$4))/MAX(1,$D30+1-$C30))</f>
        <v/>
      </c>
      <c r="AZ30" s="56" t="str">
        <f aca="false">IF(OR(AZ$4="",$C30="",$D30="",N($E30)=0),"",$E30*MAX(0,MIN($D30+1,EDATE(AZ$4,1))-MAX($C30,AZ$4))/MAX(1,$D30+1-$C30))</f>
        <v/>
      </c>
      <c r="BA30" s="56" t="str">
        <f aca="false">IF(OR(BA$4="",$C30="",$D30="",N($E30)=0),"",$E30*MAX(0,MIN($D30+1,EDATE(BA$4,1))-MAX($C30,BA$4))/MAX(1,$D30+1-$C30))</f>
        <v/>
      </c>
      <c r="BB30" s="56" t="str">
        <f aca="false">IF(OR(BB$4="",$C30="",$D30="",N($E30)=0),"",$E30*MAX(0,MIN($D30+1,EDATE(BB$4,1))-MAX($C30,BB$4))/MAX(1,$D30+1-$C30))</f>
        <v/>
      </c>
      <c r="BC30" s="56" t="str">
        <f aca="false">IF(OR(BC$4="",$C30="",$D30="",N($E30)=0),"",$E30*MAX(0,MIN($D30+1,EDATE(BC$4,1))-MAX($C30,BC$4))/MAX(1,$D30+1-$C30))</f>
        <v/>
      </c>
      <c r="BD30" s="56" t="str">
        <f aca="false">IF(OR(BD$4="",$C30="",$D30="",N($E30)=0),"",$E30*MAX(0,MIN($D30+1,EDATE(BD$4,1))-MAX($C30,BD$4))/MAX(1,$D30+1-$C30))</f>
        <v/>
      </c>
      <c r="BE30" s="56" t="str">
        <f aca="false">IF(OR(BE$4="",$C30="",$D30="",N($E30)=0),"",$E30*MAX(0,MIN($D30+1,EDATE(BE$4,1))-MAX($C30,BE$4))/MAX(1,$D30+1-$C30))</f>
        <v/>
      </c>
      <c r="BF30" s="56" t="str">
        <f aca="false">IF(OR(BF$4="",$C30="",$D30="",N($E30)=0),"",$E30*MAX(0,MIN($D30+1,EDATE(BF$4,1))-MAX($C30,BF$4))/MAX(1,$D30+1-$C30))</f>
        <v/>
      </c>
      <c r="BG30" s="56" t="str">
        <f aca="false">IF(OR(BG$4="",$C30="",$D30="",N($E30)=0),"",$E30*MAX(0,MIN($D30+1,EDATE(BG$4,1))-MAX($C30,BG$4))/MAX(1,$D30+1-$C30))</f>
        <v/>
      </c>
      <c r="BH30" s="56" t="str">
        <f aca="false">IF(OR(BH$4="",$C30="",$D30="",N($E30)=0),"",$E30*MAX(0,MIN($D30+1,EDATE(BH$4,1))-MAX($C30,BH$4))/MAX(1,$D30+1-$C30))</f>
        <v/>
      </c>
      <c r="BI30" s="56" t="str">
        <f aca="false">IF(OR(BI$4="",$C30="",$D30="",N($E30)=0),"",$E30*MAX(0,MIN($D30+1,EDATE(BI$4,1))-MAX($C30,BI$4))/MAX(1,$D30+1-$C30))</f>
        <v/>
      </c>
      <c r="BJ30" s="56" t="str">
        <f aca="false">IF(OR(BJ$4="",$C30="",$D30="",N($E30)=0),"",$E30*MAX(0,MIN($D30+1,EDATE(BJ$4,1))-MAX($C30,BJ$4))/MAX(1,$D30+1-$C30))</f>
        <v/>
      </c>
      <c r="BK30" s="56" t="str">
        <f aca="false">IF(OR(BK$4="",$C30="",$D30="",N($E30)=0),"",$E30*MAX(0,MIN($D30+1,EDATE(BK$4,1))-MAX($C30,BK$4))/MAX(1,$D30+1-$C30))</f>
        <v/>
      </c>
      <c r="BL30" s="56" t="str">
        <f aca="false">IF(OR(BL$4="",$C30="",$D30="",N($E30)=0),"",$E30*MAX(0,MIN($D30+1,EDATE(BL$4,1))-MAX($C30,BL$4))/MAX(1,$D30+1-$C30))</f>
        <v/>
      </c>
      <c r="BM30" s="56" t="str">
        <f aca="false">IF(OR(BM$4="",$C30="",$D30="",N($E30)=0),"",$E30*MAX(0,MIN($D30+1,EDATE(BM$4,1))-MAX($C30,BM$4))/MAX(1,$D30+1-$C30))</f>
        <v/>
      </c>
      <c r="BN30" s="56" t="str">
        <f aca="false">IF(OR(BN$4="",$C30="",$D30="",N($E30)=0),"",$E30*MAX(0,MIN($D30+1,EDATE(BN$4,1))-MAX($C30,BN$4))/MAX(1,$D30+1-$C30))</f>
        <v/>
      </c>
      <c r="BO30" s="56" t="str">
        <f aca="false">IF(OR(BO$4="",$C30="",$D30="",N($E30)=0),"",$E30*MAX(0,MIN($D30+1,EDATE(BO$4,1))-MAX($C30,BO$4))/MAX(1,$D30+1-$C30))</f>
        <v/>
      </c>
      <c r="BP30" s="56" t="str">
        <f aca="false">IF(OR(BP$4="",$C30="",$D30="",N($E30)=0),"",$E30*MAX(0,MIN($D30+1,EDATE(BP$4,1))-MAX($C30,BP$4))/MAX(1,$D30+1-$C30))</f>
        <v/>
      </c>
      <c r="BQ30" s="56" t="str">
        <f aca="false">IF(OR(BQ$4="",$C30="",$D30="",N($E30)=0),"",$E30*MAX(0,MIN($D30+1,EDATE(BQ$4,1))-MAX($C30,BQ$4))/MAX(1,$D30+1-$C30))</f>
        <v/>
      </c>
      <c r="BR30" s="56" t="str">
        <f aca="false">IF(OR(BR$4="",$C30="",$D30="",N($E30)=0),"",$E30*MAX(0,MIN($D30+1,EDATE(BR$4,1))-MAX($C30,BR$4))/MAX(1,$D30+1-$C30))</f>
        <v/>
      </c>
      <c r="BS30" s="56" t="str">
        <f aca="false">IF(OR(BS$4="",$C30="",$D30="",N($E30)=0),"",$E30*MAX(0,MIN($D30+1,EDATE(BS$4,1))-MAX($C30,BS$4))/MAX(1,$D30+1-$C30))</f>
        <v/>
      </c>
      <c r="BT30" s="56" t="str">
        <f aca="false">IF(OR(BT$4="",$C30="",$D30="",N($E30)=0),"",$E30*MAX(0,MIN($D30+1,EDATE(BT$4,1))-MAX($C30,BT$4))/MAX(1,$D30+1-$C30))</f>
        <v/>
      </c>
      <c r="BU30" s="56" t="str">
        <f aca="false">IF(OR(BU$4="",$C30="",$D30="",N($E30)=0),"",$E30*MAX(0,MIN($D30+1,EDATE(BU$4,1))-MAX($C30,BU$4))/MAX(1,$D30+1-$C30))</f>
        <v/>
      </c>
      <c r="BV30" s="56" t="str">
        <f aca="false">IF(OR(BV$4="",$C30="",$D30="",N($E30)=0),"",$E30*MAX(0,MIN($D30+1,EDATE(BV$4,1))-MAX($C30,BV$4))/MAX(1,$D30+1-$C30))</f>
        <v/>
      </c>
      <c r="BW30" s="56" t="str">
        <f aca="false">IF(OR(BW$4="",$C30="",$D30="",N($E30)=0),"",$E30*MAX(0,MIN($D30+1,EDATE(BW$4,1))-MAX($C30,BW$4))/MAX(1,$D30+1-$C30))</f>
        <v/>
      </c>
      <c r="BX30" s="56" t="str">
        <f aca="false">IF(OR(BX$4="",$C30="",$D30="",N($E30)=0),"",$E30*MAX(0,MIN($D30+1,EDATE(BX$4,1))-MAX($C30,BX$4))/MAX(1,$D30+1-$C30))</f>
        <v/>
      </c>
      <c r="BY30" s="56" t="str">
        <f aca="false">IF(OR(BY$4="",$C30="",$D30="",N($E30)=0),"",$E30*MAX(0,MIN($D30+1,EDATE(BY$4,1))-MAX($C30,BY$4))/MAX(1,$D30+1-$C30))</f>
        <v/>
      </c>
    </row>
    <row r="31" customFormat="false" ht="15" hidden="false" customHeight="false" outlineLevel="0" collapsed="false">
      <c r="A31" s="53" t="str">
        <f aca="false">IF(BOE!$A32="","",BOE!$A32)</f>
        <v>SW-LOR</v>
      </c>
      <c r="B31" s="53" t="str">
        <f aca="false">IF(BOE!$A32="","",BOE!$C32)</f>
        <v>Software Level-of-Rigor tasks (Section 4.4, Table V)</v>
      </c>
      <c r="C31" s="54" t="n">
        <f aca="false">IF(BOE!$O32="","",BOE!$O32)</f>
        <v>46695</v>
      </c>
      <c r="D31" s="54" t="n">
        <f aca="false">IF(BOE!$P32="","",BOE!$P32)</f>
        <v>47122</v>
      </c>
      <c r="E31" s="55" t="n">
        <f aca="false">IF(Inputs!$B$7="P90",BOE!$T32,BOE!$R32)</f>
        <v>624</v>
      </c>
      <c r="F31" s="56" t="n">
        <f aca="false">IF(OR(F$4="",$C31="",$D31="",N($E31)=0),"",$E31*MAX(0,MIN($D31+1,EDATE(F$4,1))-MAX($C31,F$4))/MAX(1,$D31+1-$C31))</f>
        <v>0</v>
      </c>
      <c r="G31" s="56" t="n">
        <f aca="false">IF(OR(G$4="",$C31="",$D31="",N($E31)=0),"",$E31*MAX(0,MIN($D31+1,EDATE(G$4,1))-MAX($C31,G$4))/MAX(1,$D31+1-$C31))</f>
        <v>0</v>
      </c>
      <c r="H31" s="56" t="n">
        <f aca="false">IF(OR(H$4="",$C31="",$D31="",N($E31)=0),"",$E31*MAX(0,MIN($D31+1,EDATE(H$4,1))-MAX($C31,H$4))/MAX(1,$D31+1-$C31))</f>
        <v>0</v>
      </c>
      <c r="I31" s="56" t="n">
        <f aca="false">IF(OR(I$4="",$C31="",$D31="",N($E31)=0),"",$E31*MAX(0,MIN($D31+1,EDATE(I$4,1))-MAX($C31,I$4))/MAX(1,$D31+1-$C31))</f>
        <v>0</v>
      </c>
      <c r="J31" s="56" t="n">
        <f aca="false">IF(OR(J$4="",$C31="",$D31="",N($E31)=0),"",$E31*MAX(0,MIN($D31+1,EDATE(J$4,1))-MAX($C31,J$4))/MAX(1,$D31+1-$C31))</f>
        <v>0</v>
      </c>
      <c r="K31" s="56" t="n">
        <f aca="false">IF(OR(K$4="",$C31="",$D31="",N($E31)=0),"",$E31*MAX(0,MIN($D31+1,EDATE(K$4,1))-MAX($C31,K$4))/MAX(1,$D31+1-$C31))</f>
        <v>0</v>
      </c>
      <c r="L31" s="56" t="n">
        <f aca="false">IF(OR(L$4="",$C31="",$D31="",N($E31)=0),"",$E31*MAX(0,MIN($D31+1,EDATE(L$4,1))-MAX($C31,L$4))/MAX(1,$D31+1-$C31))</f>
        <v>0</v>
      </c>
      <c r="M31" s="56" t="n">
        <f aca="false">IF(OR(M$4="",$C31="",$D31="",N($E31)=0),"",$E31*MAX(0,MIN($D31+1,EDATE(M$4,1))-MAX($C31,M$4))/MAX(1,$D31+1-$C31))</f>
        <v>0</v>
      </c>
      <c r="N31" s="56" t="n">
        <f aca="false">IF(OR(N$4="",$C31="",$D31="",N($E31)=0),"",$E31*MAX(0,MIN($D31+1,EDATE(N$4,1))-MAX($C31,N$4))/MAX(1,$D31+1-$C31))</f>
        <v>0</v>
      </c>
      <c r="O31" s="56" t="n">
        <f aca="false">IF(OR(O$4="",$C31="",$D31="",N($E31)=0),"",$E31*MAX(0,MIN($D31+1,EDATE(O$4,1))-MAX($C31,O$4))/MAX(1,$D31+1-$C31))</f>
        <v>0</v>
      </c>
      <c r="P31" s="56" t="n">
        <f aca="false">IF(OR(P$4="",$C31="",$D31="",N($E31)=0),"",$E31*MAX(0,MIN($D31+1,EDATE(P$4,1))-MAX($C31,P$4))/MAX(1,$D31+1-$C31))</f>
        <v>43.7383177570094</v>
      </c>
      <c r="Q31" s="56" t="n">
        <f aca="false">IF(OR(Q$4="",$C31="",$D31="",N($E31)=0),"",$E31*MAX(0,MIN($D31+1,EDATE(Q$4,1))-MAX($C31,Q$4))/MAX(1,$D31+1-$C31))</f>
        <v>45.196261682243</v>
      </c>
      <c r="R31" s="56" t="n">
        <f aca="false">IF(OR(R$4="",$C31="",$D31="",N($E31)=0),"",$E31*MAX(0,MIN($D31+1,EDATE(R$4,1))-MAX($C31,R$4))/MAX(1,$D31+1-$C31))</f>
        <v>45.196261682243</v>
      </c>
      <c r="S31" s="56" t="n">
        <f aca="false">IF(OR(S$4="",$C31="",$D31="",N($E31)=0),"",$E31*MAX(0,MIN($D31+1,EDATE(S$4,1))-MAX($C31,S$4))/MAX(1,$D31+1-$C31))</f>
        <v>42.2803738317757</v>
      </c>
      <c r="T31" s="56" t="n">
        <f aca="false">IF(OR(T$4="",$C31="",$D31="",N($E31)=0),"",$E31*MAX(0,MIN($D31+1,EDATE(T$4,1))-MAX($C31,T$4))/MAX(1,$D31+1-$C31))</f>
        <v>45.196261682243</v>
      </c>
      <c r="U31" s="56" t="n">
        <f aca="false">IF(OR(U$4="",$C31="",$D31="",N($E31)=0),"",$E31*MAX(0,MIN($D31+1,EDATE(U$4,1))-MAX($C31,U$4))/MAX(1,$D31+1-$C31))</f>
        <v>43.7383177570094</v>
      </c>
      <c r="V31" s="56" t="n">
        <f aca="false">IF(OR(V$4="",$C31="",$D31="",N($E31)=0),"",$E31*MAX(0,MIN($D31+1,EDATE(V$4,1))-MAX($C31,V$4))/MAX(1,$D31+1-$C31))</f>
        <v>45.196261682243</v>
      </c>
      <c r="W31" s="56" t="n">
        <f aca="false">IF(OR(W$4="",$C31="",$D31="",N($E31)=0),"",$E31*MAX(0,MIN($D31+1,EDATE(W$4,1))-MAX($C31,W$4))/MAX(1,$D31+1-$C31))</f>
        <v>43.7383177570094</v>
      </c>
      <c r="X31" s="56" t="n">
        <f aca="false">IF(OR(X$4="",$C31="",$D31="",N($E31)=0),"",$E31*MAX(0,MIN($D31+1,EDATE(X$4,1))-MAX($C31,X$4))/MAX(1,$D31+1-$C31))</f>
        <v>45.196261682243</v>
      </c>
      <c r="Y31" s="56" t="n">
        <f aca="false">IF(OR(Y$4="",$C31="",$D31="",N($E31)=0),"",$E31*MAX(0,MIN($D31+1,EDATE(Y$4,1))-MAX($C31,Y$4))/MAX(1,$D31+1-$C31))</f>
        <v>45.196261682243</v>
      </c>
      <c r="Z31" s="56" t="n">
        <f aca="false">IF(OR(Z$4="",$C31="",$D31="",N($E31)=0),"",$E31*MAX(0,MIN($D31+1,EDATE(Z$4,1))-MAX($C31,Z$4))/MAX(1,$D31+1-$C31))</f>
        <v>43.7383177570094</v>
      </c>
      <c r="AA31" s="56" t="n">
        <f aca="false">IF(OR(AA$4="",$C31="",$D31="",N($E31)=0),"",$E31*MAX(0,MIN($D31+1,EDATE(AA$4,1))-MAX($C31,AA$4))/MAX(1,$D31+1-$C31))</f>
        <v>45.196261682243</v>
      </c>
      <c r="AB31" s="56" t="n">
        <f aca="false">IF(OR(AB$4="",$C31="",$D31="",N($E31)=0),"",$E31*MAX(0,MIN($D31+1,EDATE(AB$4,1))-MAX($C31,AB$4))/MAX(1,$D31+1-$C31))</f>
        <v>43.7383177570094</v>
      </c>
      <c r="AC31" s="56" t="n">
        <f aca="false">IF(OR(AC$4="",$C31="",$D31="",N($E31)=0),"",$E31*MAX(0,MIN($D31+1,EDATE(AC$4,1))-MAX($C31,AC$4))/MAX(1,$D31+1-$C31))</f>
        <v>45.196261682243</v>
      </c>
      <c r="AD31" s="56" t="n">
        <f aca="false">IF(OR(AD$4="",$C31="",$D31="",N($E31)=0),"",$E31*MAX(0,MIN($D31+1,EDATE(AD$4,1))-MAX($C31,AD$4))/MAX(1,$D31+1-$C31))</f>
        <v>1.45794392523364</v>
      </c>
      <c r="AE31" s="56" t="n">
        <f aca="false">IF(OR(AE$4="",$C31="",$D31="",N($E31)=0),"",$E31*MAX(0,MIN($D31+1,EDATE(AE$4,1))-MAX($C31,AE$4))/MAX(1,$D31+1-$C31))</f>
        <v>0</v>
      </c>
      <c r="AF31" s="56" t="n">
        <f aca="false">IF(OR(AF$4="",$C31="",$D31="",N($E31)=0),"",$E31*MAX(0,MIN($D31+1,EDATE(AF$4,1))-MAX($C31,AF$4))/MAX(1,$D31+1-$C31))</f>
        <v>0</v>
      </c>
      <c r="AG31" s="56" t="n">
        <f aca="false">IF(OR(AG$4="",$C31="",$D31="",N($E31)=0),"",$E31*MAX(0,MIN($D31+1,EDATE(AG$4,1))-MAX($C31,AG$4))/MAX(1,$D31+1-$C31))</f>
        <v>0</v>
      </c>
      <c r="AH31" s="56" t="n">
        <f aca="false">IF(OR(AH$4="",$C31="",$D31="",N($E31)=0),"",$E31*MAX(0,MIN($D31+1,EDATE(AH$4,1))-MAX($C31,AH$4))/MAX(1,$D31+1-$C31))</f>
        <v>0</v>
      </c>
      <c r="AI31" s="56" t="n">
        <f aca="false">IF(OR(AI$4="",$C31="",$D31="",N($E31)=0),"",$E31*MAX(0,MIN($D31+1,EDATE(AI$4,1))-MAX($C31,AI$4))/MAX(1,$D31+1-$C31))</f>
        <v>0</v>
      </c>
      <c r="AJ31" s="56" t="n">
        <f aca="false">IF(OR(AJ$4="",$C31="",$D31="",N($E31)=0),"",$E31*MAX(0,MIN($D31+1,EDATE(AJ$4,1))-MAX($C31,AJ$4))/MAX(1,$D31+1-$C31))</f>
        <v>0</v>
      </c>
      <c r="AK31" s="56" t="n">
        <f aca="false">IF(OR(AK$4="",$C31="",$D31="",N($E31)=0),"",$E31*MAX(0,MIN($D31+1,EDATE(AK$4,1))-MAX($C31,AK$4))/MAX(1,$D31+1-$C31))</f>
        <v>0</v>
      </c>
      <c r="AL31" s="56" t="n">
        <f aca="false">IF(OR(AL$4="",$C31="",$D31="",N($E31)=0),"",$E31*MAX(0,MIN($D31+1,EDATE(AL$4,1))-MAX($C31,AL$4))/MAX(1,$D31+1-$C31))</f>
        <v>0</v>
      </c>
      <c r="AM31" s="56" t="n">
        <f aca="false">IF(OR(AM$4="",$C31="",$D31="",N($E31)=0),"",$E31*MAX(0,MIN($D31+1,EDATE(AM$4,1))-MAX($C31,AM$4))/MAX(1,$D31+1-$C31))</f>
        <v>0</v>
      </c>
      <c r="AN31" s="56" t="n">
        <f aca="false">IF(OR(AN$4="",$C31="",$D31="",N($E31)=0),"",$E31*MAX(0,MIN($D31+1,EDATE(AN$4,1))-MAX($C31,AN$4))/MAX(1,$D31+1-$C31))</f>
        <v>0</v>
      </c>
      <c r="AO31" s="56" t="n">
        <f aca="false">IF(OR(AO$4="",$C31="",$D31="",N($E31)=0),"",$E31*MAX(0,MIN($D31+1,EDATE(AO$4,1))-MAX($C31,AO$4))/MAX(1,$D31+1-$C31))</f>
        <v>0</v>
      </c>
      <c r="AP31" s="56" t="str">
        <f aca="false">IF(OR(AP$4="",$C31="",$D31="",N($E31)=0),"",$E31*MAX(0,MIN($D31+1,EDATE(AP$4,1))-MAX($C31,AP$4))/MAX(1,$D31+1-$C31))</f>
        <v/>
      </c>
      <c r="AQ31" s="56" t="str">
        <f aca="false">IF(OR(AQ$4="",$C31="",$D31="",N($E31)=0),"",$E31*MAX(0,MIN($D31+1,EDATE(AQ$4,1))-MAX($C31,AQ$4))/MAX(1,$D31+1-$C31))</f>
        <v/>
      </c>
      <c r="AR31" s="56" t="str">
        <f aca="false">IF(OR(AR$4="",$C31="",$D31="",N($E31)=0),"",$E31*MAX(0,MIN($D31+1,EDATE(AR$4,1))-MAX($C31,AR$4))/MAX(1,$D31+1-$C31))</f>
        <v/>
      </c>
      <c r="AS31" s="56" t="str">
        <f aca="false">IF(OR(AS$4="",$C31="",$D31="",N($E31)=0),"",$E31*MAX(0,MIN($D31+1,EDATE(AS$4,1))-MAX($C31,AS$4))/MAX(1,$D31+1-$C31))</f>
        <v/>
      </c>
      <c r="AT31" s="56" t="str">
        <f aca="false">IF(OR(AT$4="",$C31="",$D31="",N($E31)=0),"",$E31*MAX(0,MIN($D31+1,EDATE(AT$4,1))-MAX($C31,AT$4))/MAX(1,$D31+1-$C31))</f>
        <v/>
      </c>
      <c r="AU31" s="56" t="str">
        <f aca="false">IF(OR(AU$4="",$C31="",$D31="",N($E31)=0),"",$E31*MAX(0,MIN($D31+1,EDATE(AU$4,1))-MAX($C31,AU$4))/MAX(1,$D31+1-$C31))</f>
        <v/>
      </c>
      <c r="AV31" s="56" t="str">
        <f aca="false">IF(OR(AV$4="",$C31="",$D31="",N($E31)=0),"",$E31*MAX(0,MIN($D31+1,EDATE(AV$4,1))-MAX($C31,AV$4))/MAX(1,$D31+1-$C31))</f>
        <v/>
      </c>
      <c r="AW31" s="56" t="str">
        <f aca="false">IF(OR(AW$4="",$C31="",$D31="",N($E31)=0),"",$E31*MAX(0,MIN($D31+1,EDATE(AW$4,1))-MAX($C31,AW$4))/MAX(1,$D31+1-$C31))</f>
        <v/>
      </c>
      <c r="AX31" s="56" t="str">
        <f aca="false">IF(OR(AX$4="",$C31="",$D31="",N($E31)=0),"",$E31*MAX(0,MIN($D31+1,EDATE(AX$4,1))-MAX($C31,AX$4))/MAX(1,$D31+1-$C31))</f>
        <v/>
      </c>
      <c r="AY31" s="56" t="str">
        <f aca="false">IF(OR(AY$4="",$C31="",$D31="",N($E31)=0),"",$E31*MAX(0,MIN($D31+1,EDATE(AY$4,1))-MAX($C31,AY$4))/MAX(1,$D31+1-$C31))</f>
        <v/>
      </c>
      <c r="AZ31" s="56" t="str">
        <f aca="false">IF(OR(AZ$4="",$C31="",$D31="",N($E31)=0),"",$E31*MAX(0,MIN($D31+1,EDATE(AZ$4,1))-MAX($C31,AZ$4))/MAX(1,$D31+1-$C31))</f>
        <v/>
      </c>
      <c r="BA31" s="56" t="str">
        <f aca="false">IF(OR(BA$4="",$C31="",$D31="",N($E31)=0),"",$E31*MAX(0,MIN($D31+1,EDATE(BA$4,1))-MAX($C31,BA$4))/MAX(1,$D31+1-$C31))</f>
        <v/>
      </c>
      <c r="BB31" s="56" t="str">
        <f aca="false">IF(OR(BB$4="",$C31="",$D31="",N($E31)=0),"",$E31*MAX(0,MIN($D31+1,EDATE(BB$4,1))-MAX($C31,BB$4))/MAX(1,$D31+1-$C31))</f>
        <v/>
      </c>
      <c r="BC31" s="56" t="str">
        <f aca="false">IF(OR(BC$4="",$C31="",$D31="",N($E31)=0),"",$E31*MAX(0,MIN($D31+1,EDATE(BC$4,1))-MAX($C31,BC$4))/MAX(1,$D31+1-$C31))</f>
        <v/>
      </c>
      <c r="BD31" s="56" t="str">
        <f aca="false">IF(OR(BD$4="",$C31="",$D31="",N($E31)=0),"",$E31*MAX(0,MIN($D31+1,EDATE(BD$4,1))-MAX($C31,BD$4))/MAX(1,$D31+1-$C31))</f>
        <v/>
      </c>
      <c r="BE31" s="56" t="str">
        <f aca="false">IF(OR(BE$4="",$C31="",$D31="",N($E31)=0),"",$E31*MAX(0,MIN($D31+1,EDATE(BE$4,1))-MAX($C31,BE$4))/MAX(1,$D31+1-$C31))</f>
        <v/>
      </c>
      <c r="BF31" s="56" t="str">
        <f aca="false">IF(OR(BF$4="",$C31="",$D31="",N($E31)=0),"",$E31*MAX(0,MIN($D31+1,EDATE(BF$4,1))-MAX($C31,BF$4))/MAX(1,$D31+1-$C31))</f>
        <v/>
      </c>
      <c r="BG31" s="56" t="str">
        <f aca="false">IF(OR(BG$4="",$C31="",$D31="",N($E31)=0),"",$E31*MAX(0,MIN($D31+1,EDATE(BG$4,1))-MAX($C31,BG$4))/MAX(1,$D31+1-$C31))</f>
        <v/>
      </c>
      <c r="BH31" s="56" t="str">
        <f aca="false">IF(OR(BH$4="",$C31="",$D31="",N($E31)=0),"",$E31*MAX(0,MIN($D31+1,EDATE(BH$4,1))-MAX($C31,BH$4))/MAX(1,$D31+1-$C31))</f>
        <v/>
      </c>
      <c r="BI31" s="56" t="str">
        <f aca="false">IF(OR(BI$4="",$C31="",$D31="",N($E31)=0),"",$E31*MAX(0,MIN($D31+1,EDATE(BI$4,1))-MAX($C31,BI$4))/MAX(1,$D31+1-$C31))</f>
        <v/>
      </c>
      <c r="BJ31" s="56" t="str">
        <f aca="false">IF(OR(BJ$4="",$C31="",$D31="",N($E31)=0),"",$E31*MAX(0,MIN($D31+1,EDATE(BJ$4,1))-MAX($C31,BJ$4))/MAX(1,$D31+1-$C31))</f>
        <v/>
      </c>
      <c r="BK31" s="56" t="str">
        <f aca="false">IF(OR(BK$4="",$C31="",$D31="",N($E31)=0),"",$E31*MAX(0,MIN($D31+1,EDATE(BK$4,1))-MAX($C31,BK$4))/MAX(1,$D31+1-$C31))</f>
        <v/>
      </c>
      <c r="BL31" s="56" t="str">
        <f aca="false">IF(OR(BL$4="",$C31="",$D31="",N($E31)=0),"",$E31*MAX(0,MIN($D31+1,EDATE(BL$4,1))-MAX($C31,BL$4))/MAX(1,$D31+1-$C31))</f>
        <v/>
      </c>
      <c r="BM31" s="56" t="str">
        <f aca="false">IF(OR(BM$4="",$C31="",$D31="",N($E31)=0),"",$E31*MAX(0,MIN($D31+1,EDATE(BM$4,1))-MAX($C31,BM$4))/MAX(1,$D31+1-$C31))</f>
        <v/>
      </c>
      <c r="BN31" s="56" t="str">
        <f aca="false">IF(OR(BN$4="",$C31="",$D31="",N($E31)=0),"",$E31*MAX(0,MIN($D31+1,EDATE(BN$4,1))-MAX($C31,BN$4))/MAX(1,$D31+1-$C31))</f>
        <v/>
      </c>
      <c r="BO31" s="56" t="str">
        <f aca="false">IF(OR(BO$4="",$C31="",$D31="",N($E31)=0),"",$E31*MAX(0,MIN($D31+1,EDATE(BO$4,1))-MAX($C31,BO$4))/MAX(1,$D31+1-$C31))</f>
        <v/>
      </c>
      <c r="BP31" s="56" t="str">
        <f aca="false">IF(OR(BP$4="",$C31="",$D31="",N($E31)=0),"",$E31*MAX(0,MIN($D31+1,EDATE(BP$4,1))-MAX($C31,BP$4))/MAX(1,$D31+1-$C31))</f>
        <v/>
      </c>
      <c r="BQ31" s="56" t="str">
        <f aca="false">IF(OR(BQ$4="",$C31="",$D31="",N($E31)=0),"",$E31*MAX(0,MIN($D31+1,EDATE(BQ$4,1))-MAX($C31,BQ$4))/MAX(1,$D31+1-$C31))</f>
        <v/>
      </c>
      <c r="BR31" s="56" t="str">
        <f aca="false">IF(OR(BR$4="",$C31="",$D31="",N($E31)=0),"",$E31*MAX(0,MIN($D31+1,EDATE(BR$4,1))-MAX($C31,BR$4))/MAX(1,$D31+1-$C31))</f>
        <v/>
      </c>
      <c r="BS31" s="56" t="str">
        <f aca="false">IF(OR(BS$4="",$C31="",$D31="",N($E31)=0),"",$E31*MAX(0,MIN($D31+1,EDATE(BS$4,1))-MAX($C31,BS$4))/MAX(1,$D31+1-$C31))</f>
        <v/>
      </c>
      <c r="BT31" s="56" t="str">
        <f aca="false">IF(OR(BT$4="",$C31="",$D31="",N($E31)=0),"",$E31*MAX(0,MIN($D31+1,EDATE(BT$4,1))-MAX($C31,BT$4))/MAX(1,$D31+1-$C31))</f>
        <v/>
      </c>
      <c r="BU31" s="56" t="str">
        <f aca="false">IF(OR(BU$4="",$C31="",$D31="",N($E31)=0),"",$E31*MAX(0,MIN($D31+1,EDATE(BU$4,1))-MAX($C31,BU$4))/MAX(1,$D31+1-$C31))</f>
        <v/>
      </c>
      <c r="BV31" s="56" t="str">
        <f aca="false">IF(OR(BV$4="",$C31="",$D31="",N($E31)=0),"",$E31*MAX(0,MIN($D31+1,EDATE(BV$4,1))-MAX($C31,BV$4))/MAX(1,$D31+1-$C31))</f>
        <v/>
      </c>
      <c r="BW31" s="56" t="str">
        <f aca="false">IF(OR(BW$4="",$C31="",$D31="",N($E31)=0),"",$E31*MAX(0,MIN($D31+1,EDATE(BW$4,1))-MAX($C31,BW$4))/MAX(1,$D31+1-$C31))</f>
        <v/>
      </c>
      <c r="BX31" s="56" t="str">
        <f aca="false">IF(OR(BX$4="",$C31="",$D31="",N($E31)=0),"",$E31*MAX(0,MIN($D31+1,EDATE(BX$4,1))-MAX($C31,BX$4))/MAX(1,$D31+1-$C31))</f>
        <v/>
      </c>
      <c r="BY31" s="56" t="str">
        <f aca="false">IF(OR(BY$4="",$C31="",$D31="",N($E31)=0),"",$E31*MAX(0,MIN($D31+1,EDATE(BY$4,1))-MAX($C31,BY$4))/MAX(1,$D31+1-$C31))</f>
        <v/>
      </c>
    </row>
    <row r="32" customFormat="false" ht="15" hidden="false" customHeight="false" outlineLevel="0" collapsed="false">
      <c r="A32" s="53" t="str">
        <f aca="false">IF(BOE!$A33="","",BOE!$A33)</f>
        <v>LOE-1</v>
      </c>
      <c r="B32" s="53" t="str">
        <f aca="false">IF(BOE!$A33="","",BOE!$C33)</f>
        <v>System Safety Working Group meetings</v>
      </c>
      <c r="C32" s="54" t="n">
        <f aca="false">IF(BOE!$O33="","",BOE!$O33)</f>
        <v>46391</v>
      </c>
      <c r="D32" s="54" t="n">
        <f aca="false">IF(BOE!$P33="","",BOE!$P33)</f>
        <v>47483</v>
      </c>
      <c r="E32" s="55" t="n">
        <f aca="false">IF(Inputs!$B$7="P90",BOE!$T33,BOE!$R33)</f>
        <v>287.014373716632</v>
      </c>
      <c r="F32" s="56" t="n">
        <f aca="false">IF(OR(F$4="",$C32="",$D32="",N($E32)=0),"",$E32*MAX(0,MIN($D32+1,EDATE(F$4,1))-MAX($C32,F$4))/MAX(1,$D32+1-$C32))</f>
        <v>8.1403893734818</v>
      </c>
      <c r="G32" s="56" t="n">
        <f aca="false">IF(OR(G$4="",$C32="",$D32="",N($E32)=0),"",$E32*MAX(0,MIN($D32+1,EDATE(G$4,1))-MAX($C32,G$4))/MAX(1,$D32+1-$C32))</f>
        <v>7.35260975669324</v>
      </c>
      <c r="H32" s="56" t="n">
        <f aca="false">IF(OR(H$4="",$C32="",$D32="",N($E32)=0),"",$E32*MAX(0,MIN($D32+1,EDATE(H$4,1))-MAX($C32,H$4))/MAX(1,$D32+1-$C32))</f>
        <v>8.1403893734818</v>
      </c>
      <c r="I32" s="56" t="n">
        <f aca="false">IF(OR(I$4="",$C32="",$D32="",N($E32)=0),"",$E32*MAX(0,MIN($D32+1,EDATE(I$4,1))-MAX($C32,I$4))/MAX(1,$D32+1-$C32))</f>
        <v>7.87779616788561</v>
      </c>
      <c r="J32" s="56" t="n">
        <f aca="false">IF(OR(J$4="",$C32="",$D32="",N($E32)=0),"",$E32*MAX(0,MIN($D32+1,EDATE(J$4,1))-MAX($C32,J$4))/MAX(1,$D32+1-$C32))</f>
        <v>8.1403893734818</v>
      </c>
      <c r="K32" s="56" t="n">
        <f aca="false">IF(OR(K$4="",$C32="",$D32="",N($E32)=0),"",$E32*MAX(0,MIN($D32+1,EDATE(K$4,1))-MAX($C32,K$4))/MAX(1,$D32+1-$C32))</f>
        <v>7.87779616788561</v>
      </c>
      <c r="L32" s="56" t="n">
        <f aca="false">IF(OR(L$4="",$C32="",$D32="",N($E32)=0),"",$E32*MAX(0,MIN($D32+1,EDATE(L$4,1))-MAX($C32,L$4))/MAX(1,$D32+1-$C32))</f>
        <v>8.1403893734818</v>
      </c>
      <c r="M32" s="56" t="n">
        <f aca="false">IF(OR(M$4="",$C32="",$D32="",N($E32)=0),"",$E32*MAX(0,MIN($D32+1,EDATE(M$4,1))-MAX($C32,M$4))/MAX(1,$D32+1-$C32))</f>
        <v>8.1403893734818</v>
      </c>
      <c r="N32" s="56" t="n">
        <f aca="false">IF(OR(N$4="",$C32="",$D32="",N($E32)=0),"",$E32*MAX(0,MIN($D32+1,EDATE(N$4,1))-MAX($C32,N$4))/MAX(1,$D32+1-$C32))</f>
        <v>7.87779616788561</v>
      </c>
      <c r="O32" s="56" t="n">
        <f aca="false">IF(OR(O$4="",$C32="",$D32="",N($E32)=0),"",$E32*MAX(0,MIN($D32+1,EDATE(O$4,1))-MAX($C32,O$4))/MAX(1,$D32+1-$C32))</f>
        <v>8.1403893734818</v>
      </c>
      <c r="P32" s="56" t="n">
        <f aca="false">IF(OR(P$4="",$C32="",$D32="",N($E32)=0),"",$E32*MAX(0,MIN($D32+1,EDATE(P$4,1))-MAX($C32,P$4))/MAX(1,$D32+1-$C32))</f>
        <v>7.87779616788561</v>
      </c>
      <c r="Q32" s="56" t="n">
        <f aca="false">IF(OR(Q$4="",$C32="",$D32="",N($E32)=0),"",$E32*MAX(0,MIN($D32+1,EDATE(Q$4,1))-MAX($C32,Q$4))/MAX(1,$D32+1-$C32))</f>
        <v>8.1403893734818</v>
      </c>
      <c r="R32" s="56" t="n">
        <f aca="false">IF(OR(R$4="",$C32="",$D32="",N($E32)=0),"",$E32*MAX(0,MIN($D32+1,EDATE(R$4,1))-MAX($C32,R$4))/MAX(1,$D32+1-$C32))</f>
        <v>8.1403893734818</v>
      </c>
      <c r="S32" s="56" t="n">
        <f aca="false">IF(OR(S$4="",$C32="",$D32="",N($E32)=0),"",$E32*MAX(0,MIN($D32+1,EDATE(S$4,1))-MAX($C32,S$4))/MAX(1,$D32+1-$C32))</f>
        <v>7.61520296228942</v>
      </c>
      <c r="T32" s="56" t="n">
        <f aca="false">IF(OR(T$4="",$C32="",$D32="",N($E32)=0),"",$E32*MAX(0,MIN($D32+1,EDATE(T$4,1))-MAX($C32,T$4))/MAX(1,$D32+1-$C32))</f>
        <v>8.1403893734818</v>
      </c>
      <c r="U32" s="56" t="n">
        <f aca="false">IF(OR(U$4="",$C32="",$D32="",N($E32)=0),"",$E32*MAX(0,MIN($D32+1,EDATE(U$4,1))-MAX($C32,U$4))/MAX(1,$D32+1-$C32))</f>
        <v>7.87779616788561</v>
      </c>
      <c r="V32" s="56" t="n">
        <f aca="false">IF(OR(V$4="",$C32="",$D32="",N($E32)=0),"",$E32*MAX(0,MIN($D32+1,EDATE(V$4,1))-MAX($C32,V$4))/MAX(1,$D32+1-$C32))</f>
        <v>8.1403893734818</v>
      </c>
      <c r="W32" s="56" t="n">
        <f aca="false">IF(OR(W$4="",$C32="",$D32="",N($E32)=0),"",$E32*MAX(0,MIN($D32+1,EDATE(W$4,1))-MAX($C32,W$4))/MAX(1,$D32+1-$C32))</f>
        <v>7.87779616788561</v>
      </c>
      <c r="X32" s="56" t="n">
        <f aca="false">IF(OR(X$4="",$C32="",$D32="",N($E32)=0),"",$E32*MAX(0,MIN($D32+1,EDATE(X$4,1))-MAX($C32,X$4))/MAX(1,$D32+1-$C32))</f>
        <v>8.1403893734818</v>
      </c>
      <c r="Y32" s="56" t="n">
        <f aca="false">IF(OR(Y$4="",$C32="",$D32="",N($E32)=0),"",$E32*MAX(0,MIN($D32+1,EDATE(Y$4,1))-MAX($C32,Y$4))/MAX(1,$D32+1-$C32))</f>
        <v>8.1403893734818</v>
      </c>
      <c r="Z32" s="56" t="n">
        <f aca="false">IF(OR(Z$4="",$C32="",$D32="",N($E32)=0),"",$E32*MAX(0,MIN($D32+1,EDATE(Z$4,1))-MAX($C32,Z$4))/MAX(1,$D32+1-$C32))</f>
        <v>7.87779616788561</v>
      </c>
      <c r="AA32" s="56" t="n">
        <f aca="false">IF(OR(AA$4="",$C32="",$D32="",N($E32)=0),"",$E32*MAX(0,MIN($D32+1,EDATE(AA$4,1))-MAX($C32,AA$4))/MAX(1,$D32+1-$C32))</f>
        <v>8.1403893734818</v>
      </c>
      <c r="AB32" s="56" t="n">
        <f aca="false">IF(OR(AB$4="",$C32="",$D32="",N($E32)=0),"",$E32*MAX(0,MIN($D32+1,EDATE(AB$4,1))-MAX($C32,AB$4))/MAX(1,$D32+1-$C32))</f>
        <v>7.87779616788561</v>
      </c>
      <c r="AC32" s="56" t="n">
        <f aca="false">IF(OR(AC$4="",$C32="",$D32="",N($E32)=0),"",$E32*MAX(0,MIN($D32+1,EDATE(AC$4,1))-MAX($C32,AC$4))/MAX(1,$D32+1-$C32))</f>
        <v>8.1403893734818</v>
      </c>
      <c r="AD32" s="56" t="n">
        <f aca="false">IF(OR(AD$4="",$C32="",$D32="",N($E32)=0),"",$E32*MAX(0,MIN($D32+1,EDATE(AD$4,1))-MAX($C32,AD$4))/MAX(1,$D32+1-$C32))</f>
        <v>8.1403893734818</v>
      </c>
      <c r="AE32" s="56" t="n">
        <f aca="false">IF(OR(AE$4="",$C32="",$D32="",N($E32)=0),"",$E32*MAX(0,MIN($D32+1,EDATE(AE$4,1))-MAX($C32,AE$4))/MAX(1,$D32+1-$C32))</f>
        <v>7.35260975669324</v>
      </c>
      <c r="AF32" s="56" t="n">
        <f aca="false">IF(OR(AF$4="",$C32="",$D32="",N($E32)=0),"",$E32*MAX(0,MIN($D32+1,EDATE(AF$4,1))-MAX($C32,AF$4))/MAX(1,$D32+1-$C32))</f>
        <v>8.1403893734818</v>
      </c>
      <c r="AG32" s="56" t="n">
        <f aca="false">IF(OR(AG$4="",$C32="",$D32="",N($E32)=0),"",$E32*MAX(0,MIN($D32+1,EDATE(AG$4,1))-MAX($C32,AG$4))/MAX(1,$D32+1-$C32))</f>
        <v>7.87779616788561</v>
      </c>
      <c r="AH32" s="56" t="n">
        <f aca="false">IF(OR(AH$4="",$C32="",$D32="",N($E32)=0),"",$E32*MAX(0,MIN($D32+1,EDATE(AH$4,1))-MAX($C32,AH$4))/MAX(1,$D32+1-$C32))</f>
        <v>8.1403893734818</v>
      </c>
      <c r="AI32" s="56" t="n">
        <f aca="false">IF(OR(AI$4="",$C32="",$D32="",N($E32)=0),"",$E32*MAX(0,MIN($D32+1,EDATE(AI$4,1))-MAX($C32,AI$4))/MAX(1,$D32+1-$C32))</f>
        <v>7.87779616788561</v>
      </c>
      <c r="AJ32" s="56" t="n">
        <f aca="false">IF(OR(AJ$4="",$C32="",$D32="",N($E32)=0),"",$E32*MAX(0,MIN($D32+1,EDATE(AJ$4,1))-MAX($C32,AJ$4))/MAX(1,$D32+1-$C32))</f>
        <v>8.1403893734818</v>
      </c>
      <c r="AK32" s="56" t="n">
        <f aca="false">IF(OR(AK$4="",$C32="",$D32="",N($E32)=0),"",$E32*MAX(0,MIN($D32+1,EDATE(AK$4,1))-MAX($C32,AK$4))/MAX(1,$D32+1-$C32))</f>
        <v>8.1403893734818</v>
      </c>
      <c r="AL32" s="56" t="n">
        <f aca="false">IF(OR(AL$4="",$C32="",$D32="",N($E32)=0),"",$E32*MAX(0,MIN($D32+1,EDATE(AL$4,1))-MAX($C32,AL$4))/MAX(1,$D32+1-$C32))</f>
        <v>7.87779616788561</v>
      </c>
      <c r="AM32" s="56" t="n">
        <f aca="false">IF(OR(AM$4="",$C32="",$D32="",N($E32)=0),"",$E32*MAX(0,MIN($D32+1,EDATE(AM$4,1))-MAX($C32,AM$4))/MAX(1,$D32+1-$C32))</f>
        <v>8.1403893734818</v>
      </c>
      <c r="AN32" s="56" t="n">
        <f aca="false">IF(OR(AN$4="",$C32="",$D32="",N($E32)=0),"",$E32*MAX(0,MIN($D32+1,EDATE(AN$4,1))-MAX($C32,AN$4))/MAX(1,$D32+1-$C32))</f>
        <v>7.87779616788561</v>
      </c>
      <c r="AO32" s="56" t="n">
        <f aca="false">IF(OR(AO$4="",$C32="",$D32="",N($E32)=0),"",$E32*MAX(0,MIN($D32+1,EDATE(AO$4,1))-MAX($C32,AO$4))/MAX(1,$D32+1-$C32))</f>
        <v>7.35260975669324</v>
      </c>
      <c r="AP32" s="56" t="str">
        <f aca="false">IF(OR(AP$4="",$C32="",$D32="",N($E32)=0),"",$E32*MAX(0,MIN($D32+1,EDATE(AP$4,1))-MAX($C32,AP$4))/MAX(1,$D32+1-$C32))</f>
        <v/>
      </c>
      <c r="AQ32" s="56" t="str">
        <f aca="false">IF(OR(AQ$4="",$C32="",$D32="",N($E32)=0),"",$E32*MAX(0,MIN($D32+1,EDATE(AQ$4,1))-MAX($C32,AQ$4))/MAX(1,$D32+1-$C32))</f>
        <v/>
      </c>
      <c r="AR32" s="56" t="str">
        <f aca="false">IF(OR(AR$4="",$C32="",$D32="",N($E32)=0),"",$E32*MAX(0,MIN($D32+1,EDATE(AR$4,1))-MAX($C32,AR$4))/MAX(1,$D32+1-$C32))</f>
        <v/>
      </c>
      <c r="AS32" s="56" t="str">
        <f aca="false">IF(OR(AS$4="",$C32="",$D32="",N($E32)=0),"",$E32*MAX(0,MIN($D32+1,EDATE(AS$4,1))-MAX($C32,AS$4))/MAX(1,$D32+1-$C32))</f>
        <v/>
      </c>
      <c r="AT32" s="56" t="str">
        <f aca="false">IF(OR(AT$4="",$C32="",$D32="",N($E32)=0),"",$E32*MAX(0,MIN($D32+1,EDATE(AT$4,1))-MAX($C32,AT$4))/MAX(1,$D32+1-$C32))</f>
        <v/>
      </c>
      <c r="AU32" s="56" t="str">
        <f aca="false">IF(OR(AU$4="",$C32="",$D32="",N($E32)=0),"",$E32*MAX(0,MIN($D32+1,EDATE(AU$4,1))-MAX($C32,AU$4))/MAX(1,$D32+1-$C32))</f>
        <v/>
      </c>
      <c r="AV32" s="56" t="str">
        <f aca="false">IF(OR(AV$4="",$C32="",$D32="",N($E32)=0),"",$E32*MAX(0,MIN($D32+1,EDATE(AV$4,1))-MAX($C32,AV$4))/MAX(1,$D32+1-$C32))</f>
        <v/>
      </c>
      <c r="AW32" s="56" t="str">
        <f aca="false">IF(OR(AW$4="",$C32="",$D32="",N($E32)=0),"",$E32*MAX(0,MIN($D32+1,EDATE(AW$4,1))-MAX($C32,AW$4))/MAX(1,$D32+1-$C32))</f>
        <v/>
      </c>
      <c r="AX32" s="56" t="str">
        <f aca="false">IF(OR(AX$4="",$C32="",$D32="",N($E32)=0),"",$E32*MAX(0,MIN($D32+1,EDATE(AX$4,1))-MAX($C32,AX$4))/MAX(1,$D32+1-$C32))</f>
        <v/>
      </c>
      <c r="AY32" s="56" t="str">
        <f aca="false">IF(OR(AY$4="",$C32="",$D32="",N($E32)=0),"",$E32*MAX(0,MIN($D32+1,EDATE(AY$4,1))-MAX($C32,AY$4))/MAX(1,$D32+1-$C32))</f>
        <v/>
      </c>
      <c r="AZ32" s="56" t="str">
        <f aca="false">IF(OR(AZ$4="",$C32="",$D32="",N($E32)=0),"",$E32*MAX(0,MIN($D32+1,EDATE(AZ$4,1))-MAX($C32,AZ$4))/MAX(1,$D32+1-$C32))</f>
        <v/>
      </c>
      <c r="BA32" s="56" t="str">
        <f aca="false">IF(OR(BA$4="",$C32="",$D32="",N($E32)=0),"",$E32*MAX(0,MIN($D32+1,EDATE(BA$4,1))-MAX($C32,BA$4))/MAX(1,$D32+1-$C32))</f>
        <v/>
      </c>
      <c r="BB32" s="56" t="str">
        <f aca="false">IF(OR(BB$4="",$C32="",$D32="",N($E32)=0),"",$E32*MAX(0,MIN($D32+1,EDATE(BB$4,1))-MAX($C32,BB$4))/MAX(1,$D32+1-$C32))</f>
        <v/>
      </c>
      <c r="BC32" s="56" t="str">
        <f aca="false">IF(OR(BC$4="",$C32="",$D32="",N($E32)=0),"",$E32*MAX(0,MIN($D32+1,EDATE(BC$4,1))-MAX($C32,BC$4))/MAX(1,$D32+1-$C32))</f>
        <v/>
      </c>
      <c r="BD32" s="56" t="str">
        <f aca="false">IF(OR(BD$4="",$C32="",$D32="",N($E32)=0),"",$E32*MAX(0,MIN($D32+1,EDATE(BD$4,1))-MAX($C32,BD$4))/MAX(1,$D32+1-$C32))</f>
        <v/>
      </c>
      <c r="BE32" s="56" t="str">
        <f aca="false">IF(OR(BE$4="",$C32="",$D32="",N($E32)=0),"",$E32*MAX(0,MIN($D32+1,EDATE(BE$4,1))-MAX($C32,BE$4))/MAX(1,$D32+1-$C32))</f>
        <v/>
      </c>
      <c r="BF32" s="56" t="str">
        <f aca="false">IF(OR(BF$4="",$C32="",$D32="",N($E32)=0),"",$E32*MAX(0,MIN($D32+1,EDATE(BF$4,1))-MAX($C32,BF$4))/MAX(1,$D32+1-$C32))</f>
        <v/>
      </c>
      <c r="BG32" s="56" t="str">
        <f aca="false">IF(OR(BG$4="",$C32="",$D32="",N($E32)=0),"",$E32*MAX(0,MIN($D32+1,EDATE(BG$4,1))-MAX($C32,BG$4))/MAX(1,$D32+1-$C32))</f>
        <v/>
      </c>
      <c r="BH32" s="56" t="str">
        <f aca="false">IF(OR(BH$4="",$C32="",$D32="",N($E32)=0),"",$E32*MAX(0,MIN($D32+1,EDATE(BH$4,1))-MAX($C32,BH$4))/MAX(1,$D32+1-$C32))</f>
        <v/>
      </c>
      <c r="BI32" s="56" t="str">
        <f aca="false">IF(OR(BI$4="",$C32="",$D32="",N($E32)=0),"",$E32*MAX(0,MIN($D32+1,EDATE(BI$4,1))-MAX($C32,BI$4))/MAX(1,$D32+1-$C32))</f>
        <v/>
      </c>
      <c r="BJ32" s="56" t="str">
        <f aca="false">IF(OR(BJ$4="",$C32="",$D32="",N($E32)=0),"",$E32*MAX(0,MIN($D32+1,EDATE(BJ$4,1))-MAX($C32,BJ$4))/MAX(1,$D32+1-$C32))</f>
        <v/>
      </c>
      <c r="BK32" s="56" t="str">
        <f aca="false">IF(OR(BK$4="",$C32="",$D32="",N($E32)=0),"",$E32*MAX(0,MIN($D32+1,EDATE(BK$4,1))-MAX($C32,BK$4))/MAX(1,$D32+1-$C32))</f>
        <v/>
      </c>
      <c r="BL32" s="56" t="str">
        <f aca="false">IF(OR(BL$4="",$C32="",$D32="",N($E32)=0),"",$E32*MAX(0,MIN($D32+1,EDATE(BL$4,1))-MAX($C32,BL$4))/MAX(1,$D32+1-$C32))</f>
        <v/>
      </c>
      <c r="BM32" s="56" t="str">
        <f aca="false">IF(OR(BM$4="",$C32="",$D32="",N($E32)=0),"",$E32*MAX(0,MIN($D32+1,EDATE(BM$4,1))-MAX($C32,BM$4))/MAX(1,$D32+1-$C32))</f>
        <v/>
      </c>
      <c r="BN32" s="56" t="str">
        <f aca="false">IF(OR(BN$4="",$C32="",$D32="",N($E32)=0),"",$E32*MAX(0,MIN($D32+1,EDATE(BN$4,1))-MAX($C32,BN$4))/MAX(1,$D32+1-$C32))</f>
        <v/>
      </c>
      <c r="BO32" s="56" t="str">
        <f aca="false">IF(OR(BO$4="",$C32="",$D32="",N($E32)=0),"",$E32*MAX(0,MIN($D32+1,EDATE(BO$4,1))-MAX($C32,BO$4))/MAX(1,$D32+1-$C32))</f>
        <v/>
      </c>
      <c r="BP32" s="56" t="str">
        <f aca="false">IF(OR(BP$4="",$C32="",$D32="",N($E32)=0),"",$E32*MAX(0,MIN($D32+1,EDATE(BP$4,1))-MAX($C32,BP$4))/MAX(1,$D32+1-$C32))</f>
        <v/>
      </c>
      <c r="BQ32" s="56" t="str">
        <f aca="false">IF(OR(BQ$4="",$C32="",$D32="",N($E32)=0),"",$E32*MAX(0,MIN($D32+1,EDATE(BQ$4,1))-MAX($C32,BQ$4))/MAX(1,$D32+1-$C32))</f>
        <v/>
      </c>
      <c r="BR32" s="56" t="str">
        <f aca="false">IF(OR(BR$4="",$C32="",$D32="",N($E32)=0),"",$E32*MAX(0,MIN($D32+1,EDATE(BR$4,1))-MAX($C32,BR$4))/MAX(1,$D32+1-$C32))</f>
        <v/>
      </c>
      <c r="BS32" s="56" t="str">
        <f aca="false">IF(OR(BS$4="",$C32="",$D32="",N($E32)=0),"",$E32*MAX(0,MIN($D32+1,EDATE(BS$4,1))-MAX($C32,BS$4))/MAX(1,$D32+1-$C32))</f>
        <v/>
      </c>
      <c r="BT32" s="56" t="str">
        <f aca="false">IF(OR(BT$4="",$C32="",$D32="",N($E32)=0),"",$E32*MAX(0,MIN($D32+1,EDATE(BT$4,1))-MAX($C32,BT$4))/MAX(1,$D32+1-$C32))</f>
        <v/>
      </c>
      <c r="BU32" s="56" t="str">
        <f aca="false">IF(OR(BU$4="",$C32="",$D32="",N($E32)=0),"",$E32*MAX(0,MIN($D32+1,EDATE(BU$4,1))-MAX($C32,BU$4))/MAX(1,$D32+1-$C32))</f>
        <v/>
      </c>
      <c r="BV32" s="56" t="str">
        <f aca="false">IF(OR(BV$4="",$C32="",$D32="",N($E32)=0),"",$E32*MAX(0,MIN($D32+1,EDATE(BV$4,1))-MAX($C32,BV$4))/MAX(1,$D32+1-$C32))</f>
        <v/>
      </c>
      <c r="BW32" s="56" t="str">
        <f aca="false">IF(OR(BW$4="",$C32="",$D32="",N($E32)=0),"",$E32*MAX(0,MIN($D32+1,EDATE(BW$4,1))-MAX($C32,BW$4))/MAX(1,$D32+1-$C32))</f>
        <v/>
      </c>
      <c r="BX32" s="56" t="str">
        <f aca="false">IF(OR(BX$4="",$C32="",$D32="",N($E32)=0),"",$E32*MAX(0,MIN($D32+1,EDATE(BX$4,1))-MAX($C32,BX$4))/MAX(1,$D32+1-$C32))</f>
        <v/>
      </c>
      <c r="BY32" s="56" t="str">
        <f aca="false">IF(OR(BY$4="",$C32="",$D32="",N($E32)=0),"",$E32*MAX(0,MIN($D32+1,EDATE(BY$4,1))-MAX($C32,BY$4))/MAX(1,$D32+1-$C32))</f>
        <v/>
      </c>
    </row>
    <row r="33" customFormat="false" ht="15" hidden="false" customHeight="false" outlineLevel="0" collapsed="false">
      <c r="A33" s="53" t="str">
        <f aca="false">IF(BOE!$A34="","",BOE!$A34)</f>
        <v>LOE-2</v>
      </c>
      <c r="B33" s="53" t="str">
        <f aca="false">IF(BOE!$A34="","",BOE!$C34)</f>
        <v>Design review safety data packages (SRR/PDR/CDR/TRR)</v>
      </c>
      <c r="C33" s="54" t="n">
        <f aca="false">IF(BOE!$O34="","",BOE!$O34)</f>
        <v>46439</v>
      </c>
      <c r="D33" s="54" t="n">
        <f aca="false">IF(BOE!$P34="","",BOE!$P34)</f>
        <v>47122</v>
      </c>
      <c r="E33" s="55" t="n">
        <f aca="false">IF(Inputs!$B$7="P90",BOE!$T34,BOE!$R34)</f>
        <v>320</v>
      </c>
      <c r="F33" s="56" t="n">
        <f aca="false">IF(OR(F$4="",$C33="",$D33="",N($E33)=0),"",$E33*MAX(0,MIN($D33+1,EDATE(F$4,1))-MAX($C33,F$4))/MAX(1,$D33+1-$C33))</f>
        <v>0</v>
      </c>
      <c r="G33" s="56" t="n">
        <f aca="false">IF(OR(G$4="",$C33="",$D33="",N($E33)=0),"",$E33*MAX(0,MIN($D33+1,EDATE(G$4,1))-MAX($C33,G$4))/MAX(1,$D33+1-$C33))</f>
        <v>5.14619883040936</v>
      </c>
      <c r="H33" s="56" t="n">
        <f aca="false">IF(OR(H$4="",$C33="",$D33="",N($E33)=0),"",$E33*MAX(0,MIN($D33+1,EDATE(H$4,1))-MAX($C33,H$4))/MAX(1,$D33+1-$C33))</f>
        <v>14.5029239766082</v>
      </c>
      <c r="I33" s="56" t="n">
        <f aca="false">IF(OR(I$4="",$C33="",$D33="",N($E33)=0),"",$E33*MAX(0,MIN($D33+1,EDATE(I$4,1))-MAX($C33,I$4))/MAX(1,$D33+1-$C33))</f>
        <v>14.0350877192982</v>
      </c>
      <c r="J33" s="56" t="n">
        <f aca="false">IF(OR(J$4="",$C33="",$D33="",N($E33)=0),"",$E33*MAX(0,MIN($D33+1,EDATE(J$4,1))-MAX($C33,J$4))/MAX(1,$D33+1-$C33))</f>
        <v>14.5029239766082</v>
      </c>
      <c r="K33" s="56" t="n">
        <f aca="false">IF(OR(K$4="",$C33="",$D33="",N($E33)=0),"",$E33*MAX(0,MIN($D33+1,EDATE(K$4,1))-MAX($C33,K$4))/MAX(1,$D33+1-$C33))</f>
        <v>14.0350877192982</v>
      </c>
      <c r="L33" s="56" t="n">
        <f aca="false">IF(OR(L$4="",$C33="",$D33="",N($E33)=0),"",$E33*MAX(0,MIN($D33+1,EDATE(L$4,1))-MAX($C33,L$4))/MAX(1,$D33+1-$C33))</f>
        <v>14.5029239766082</v>
      </c>
      <c r="M33" s="56" t="n">
        <f aca="false">IF(OR(M$4="",$C33="",$D33="",N($E33)=0),"",$E33*MAX(0,MIN($D33+1,EDATE(M$4,1))-MAX($C33,M$4))/MAX(1,$D33+1-$C33))</f>
        <v>14.5029239766082</v>
      </c>
      <c r="N33" s="56" t="n">
        <f aca="false">IF(OR(N$4="",$C33="",$D33="",N($E33)=0),"",$E33*MAX(0,MIN($D33+1,EDATE(N$4,1))-MAX($C33,N$4))/MAX(1,$D33+1-$C33))</f>
        <v>14.0350877192982</v>
      </c>
      <c r="O33" s="56" t="n">
        <f aca="false">IF(OR(O$4="",$C33="",$D33="",N($E33)=0),"",$E33*MAX(0,MIN($D33+1,EDATE(O$4,1))-MAX($C33,O$4))/MAX(1,$D33+1-$C33))</f>
        <v>14.5029239766082</v>
      </c>
      <c r="P33" s="56" t="n">
        <f aca="false">IF(OR(P$4="",$C33="",$D33="",N($E33)=0),"",$E33*MAX(0,MIN($D33+1,EDATE(P$4,1))-MAX($C33,P$4))/MAX(1,$D33+1-$C33))</f>
        <v>14.0350877192982</v>
      </c>
      <c r="Q33" s="56" t="n">
        <f aca="false">IF(OR(Q$4="",$C33="",$D33="",N($E33)=0),"",$E33*MAX(0,MIN($D33+1,EDATE(Q$4,1))-MAX($C33,Q$4))/MAX(1,$D33+1-$C33))</f>
        <v>14.5029239766082</v>
      </c>
      <c r="R33" s="56" t="n">
        <f aca="false">IF(OR(R$4="",$C33="",$D33="",N($E33)=0),"",$E33*MAX(0,MIN($D33+1,EDATE(R$4,1))-MAX($C33,R$4))/MAX(1,$D33+1-$C33))</f>
        <v>14.5029239766082</v>
      </c>
      <c r="S33" s="56" t="n">
        <f aca="false">IF(OR(S$4="",$C33="",$D33="",N($E33)=0),"",$E33*MAX(0,MIN($D33+1,EDATE(S$4,1))-MAX($C33,S$4))/MAX(1,$D33+1-$C33))</f>
        <v>13.5672514619883</v>
      </c>
      <c r="T33" s="56" t="n">
        <f aca="false">IF(OR(T$4="",$C33="",$D33="",N($E33)=0),"",$E33*MAX(0,MIN($D33+1,EDATE(T$4,1))-MAX($C33,T$4))/MAX(1,$D33+1-$C33))</f>
        <v>14.5029239766082</v>
      </c>
      <c r="U33" s="56" t="n">
        <f aca="false">IF(OR(U$4="",$C33="",$D33="",N($E33)=0),"",$E33*MAX(0,MIN($D33+1,EDATE(U$4,1))-MAX($C33,U$4))/MAX(1,$D33+1-$C33))</f>
        <v>14.0350877192982</v>
      </c>
      <c r="V33" s="56" t="n">
        <f aca="false">IF(OR(V$4="",$C33="",$D33="",N($E33)=0),"",$E33*MAX(0,MIN($D33+1,EDATE(V$4,1))-MAX($C33,V$4))/MAX(1,$D33+1-$C33))</f>
        <v>14.5029239766082</v>
      </c>
      <c r="W33" s="56" t="n">
        <f aca="false">IF(OR(W$4="",$C33="",$D33="",N($E33)=0),"",$E33*MAX(0,MIN($D33+1,EDATE(W$4,1))-MAX($C33,W$4))/MAX(1,$D33+1-$C33))</f>
        <v>14.0350877192982</v>
      </c>
      <c r="X33" s="56" t="n">
        <f aca="false">IF(OR(X$4="",$C33="",$D33="",N($E33)=0),"",$E33*MAX(0,MIN($D33+1,EDATE(X$4,1))-MAX($C33,X$4))/MAX(1,$D33+1-$C33))</f>
        <v>14.5029239766082</v>
      </c>
      <c r="Y33" s="56" t="n">
        <f aca="false">IF(OR(Y$4="",$C33="",$D33="",N($E33)=0),"",$E33*MAX(0,MIN($D33+1,EDATE(Y$4,1))-MAX($C33,Y$4))/MAX(1,$D33+1-$C33))</f>
        <v>14.5029239766082</v>
      </c>
      <c r="Z33" s="56" t="n">
        <f aca="false">IF(OR(Z$4="",$C33="",$D33="",N($E33)=0),"",$E33*MAX(0,MIN($D33+1,EDATE(Z$4,1))-MAX($C33,Z$4))/MAX(1,$D33+1-$C33))</f>
        <v>14.0350877192982</v>
      </c>
      <c r="AA33" s="56" t="n">
        <f aca="false">IF(OR(AA$4="",$C33="",$D33="",N($E33)=0),"",$E33*MAX(0,MIN($D33+1,EDATE(AA$4,1))-MAX($C33,AA$4))/MAX(1,$D33+1-$C33))</f>
        <v>14.5029239766082</v>
      </c>
      <c r="AB33" s="56" t="n">
        <f aca="false">IF(OR(AB$4="",$C33="",$D33="",N($E33)=0),"",$E33*MAX(0,MIN($D33+1,EDATE(AB$4,1))-MAX($C33,AB$4))/MAX(1,$D33+1-$C33))</f>
        <v>14.0350877192982</v>
      </c>
      <c r="AC33" s="56" t="n">
        <f aca="false">IF(OR(AC$4="",$C33="",$D33="",N($E33)=0),"",$E33*MAX(0,MIN($D33+1,EDATE(AC$4,1))-MAX($C33,AC$4))/MAX(1,$D33+1-$C33))</f>
        <v>14.5029239766082</v>
      </c>
      <c r="AD33" s="56" t="n">
        <f aca="false">IF(OR(AD$4="",$C33="",$D33="",N($E33)=0),"",$E33*MAX(0,MIN($D33+1,EDATE(AD$4,1))-MAX($C33,AD$4))/MAX(1,$D33+1-$C33))</f>
        <v>0.467836257309942</v>
      </c>
      <c r="AE33" s="56" t="n">
        <f aca="false">IF(OR(AE$4="",$C33="",$D33="",N($E33)=0),"",$E33*MAX(0,MIN($D33+1,EDATE(AE$4,1))-MAX($C33,AE$4))/MAX(1,$D33+1-$C33))</f>
        <v>0</v>
      </c>
      <c r="AF33" s="56" t="n">
        <f aca="false">IF(OR(AF$4="",$C33="",$D33="",N($E33)=0),"",$E33*MAX(0,MIN($D33+1,EDATE(AF$4,1))-MAX($C33,AF$4))/MAX(1,$D33+1-$C33))</f>
        <v>0</v>
      </c>
      <c r="AG33" s="56" t="n">
        <f aca="false">IF(OR(AG$4="",$C33="",$D33="",N($E33)=0),"",$E33*MAX(0,MIN($D33+1,EDATE(AG$4,1))-MAX($C33,AG$4))/MAX(1,$D33+1-$C33))</f>
        <v>0</v>
      </c>
      <c r="AH33" s="56" t="n">
        <f aca="false">IF(OR(AH$4="",$C33="",$D33="",N($E33)=0),"",$E33*MAX(0,MIN($D33+1,EDATE(AH$4,1))-MAX($C33,AH$4))/MAX(1,$D33+1-$C33))</f>
        <v>0</v>
      </c>
      <c r="AI33" s="56" t="n">
        <f aca="false">IF(OR(AI$4="",$C33="",$D33="",N($E33)=0),"",$E33*MAX(0,MIN($D33+1,EDATE(AI$4,1))-MAX($C33,AI$4))/MAX(1,$D33+1-$C33))</f>
        <v>0</v>
      </c>
      <c r="AJ33" s="56" t="n">
        <f aca="false">IF(OR(AJ$4="",$C33="",$D33="",N($E33)=0),"",$E33*MAX(0,MIN($D33+1,EDATE(AJ$4,1))-MAX($C33,AJ$4))/MAX(1,$D33+1-$C33))</f>
        <v>0</v>
      </c>
      <c r="AK33" s="56" t="n">
        <f aca="false">IF(OR(AK$4="",$C33="",$D33="",N($E33)=0),"",$E33*MAX(0,MIN($D33+1,EDATE(AK$4,1))-MAX($C33,AK$4))/MAX(1,$D33+1-$C33))</f>
        <v>0</v>
      </c>
      <c r="AL33" s="56" t="n">
        <f aca="false">IF(OR(AL$4="",$C33="",$D33="",N($E33)=0),"",$E33*MAX(0,MIN($D33+1,EDATE(AL$4,1))-MAX($C33,AL$4))/MAX(1,$D33+1-$C33))</f>
        <v>0</v>
      </c>
      <c r="AM33" s="56" t="n">
        <f aca="false">IF(OR(AM$4="",$C33="",$D33="",N($E33)=0),"",$E33*MAX(0,MIN($D33+1,EDATE(AM$4,1))-MAX($C33,AM$4))/MAX(1,$D33+1-$C33))</f>
        <v>0</v>
      </c>
      <c r="AN33" s="56" t="n">
        <f aca="false">IF(OR(AN$4="",$C33="",$D33="",N($E33)=0),"",$E33*MAX(0,MIN($D33+1,EDATE(AN$4,1))-MAX($C33,AN$4))/MAX(1,$D33+1-$C33))</f>
        <v>0</v>
      </c>
      <c r="AO33" s="56" t="n">
        <f aca="false">IF(OR(AO$4="",$C33="",$D33="",N($E33)=0),"",$E33*MAX(0,MIN($D33+1,EDATE(AO$4,1))-MAX($C33,AO$4))/MAX(1,$D33+1-$C33))</f>
        <v>0</v>
      </c>
      <c r="AP33" s="56" t="str">
        <f aca="false">IF(OR(AP$4="",$C33="",$D33="",N($E33)=0),"",$E33*MAX(0,MIN($D33+1,EDATE(AP$4,1))-MAX($C33,AP$4))/MAX(1,$D33+1-$C33))</f>
        <v/>
      </c>
      <c r="AQ33" s="56" t="str">
        <f aca="false">IF(OR(AQ$4="",$C33="",$D33="",N($E33)=0),"",$E33*MAX(0,MIN($D33+1,EDATE(AQ$4,1))-MAX($C33,AQ$4))/MAX(1,$D33+1-$C33))</f>
        <v/>
      </c>
      <c r="AR33" s="56" t="str">
        <f aca="false">IF(OR(AR$4="",$C33="",$D33="",N($E33)=0),"",$E33*MAX(0,MIN($D33+1,EDATE(AR$4,1))-MAX($C33,AR$4))/MAX(1,$D33+1-$C33))</f>
        <v/>
      </c>
      <c r="AS33" s="56" t="str">
        <f aca="false">IF(OR(AS$4="",$C33="",$D33="",N($E33)=0),"",$E33*MAX(0,MIN($D33+1,EDATE(AS$4,1))-MAX($C33,AS$4))/MAX(1,$D33+1-$C33))</f>
        <v/>
      </c>
      <c r="AT33" s="56" t="str">
        <f aca="false">IF(OR(AT$4="",$C33="",$D33="",N($E33)=0),"",$E33*MAX(0,MIN($D33+1,EDATE(AT$4,1))-MAX($C33,AT$4))/MAX(1,$D33+1-$C33))</f>
        <v/>
      </c>
      <c r="AU33" s="56" t="str">
        <f aca="false">IF(OR(AU$4="",$C33="",$D33="",N($E33)=0),"",$E33*MAX(0,MIN($D33+1,EDATE(AU$4,1))-MAX($C33,AU$4))/MAX(1,$D33+1-$C33))</f>
        <v/>
      </c>
      <c r="AV33" s="56" t="str">
        <f aca="false">IF(OR(AV$4="",$C33="",$D33="",N($E33)=0),"",$E33*MAX(0,MIN($D33+1,EDATE(AV$4,1))-MAX($C33,AV$4))/MAX(1,$D33+1-$C33))</f>
        <v/>
      </c>
      <c r="AW33" s="56" t="str">
        <f aca="false">IF(OR(AW$4="",$C33="",$D33="",N($E33)=0),"",$E33*MAX(0,MIN($D33+1,EDATE(AW$4,1))-MAX($C33,AW$4))/MAX(1,$D33+1-$C33))</f>
        <v/>
      </c>
      <c r="AX33" s="56" t="str">
        <f aca="false">IF(OR(AX$4="",$C33="",$D33="",N($E33)=0),"",$E33*MAX(0,MIN($D33+1,EDATE(AX$4,1))-MAX($C33,AX$4))/MAX(1,$D33+1-$C33))</f>
        <v/>
      </c>
      <c r="AY33" s="56" t="str">
        <f aca="false">IF(OR(AY$4="",$C33="",$D33="",N($E33)=0),"",$E33*MAX(0,MIN($D33+1,EDATE(AY$4,1))-MAX($C33,AY$4))/MAX(1,$D33+1-$C33))</f>
        <v/>
      </c>
      <c r="AZ33" s="56" t="str">
        <f aca="false">IF(OR(AZ$4="",$C33="",$D33="",N($E33)=0),"",$E33*MAX(0,MIN($D33+1,EDATE(AZ$4,1))-MAX($C33,AZ$4))/MAX(1,$D33+1-$C33))</f>
        <v/>
      </c>
      <c r="BA33" s="56" t="str">
        <f aca="false">IF(OR(BA$4="",$C33="",$D33="",N($E33)=0),"",$E33*MAX(0,MIN($D33+1,EDATE(BA$4,1))-MAX($C33,BA$4))/MAX(1,$D33+1-$C33))</f>
        <v/>
      </c>
      <c r="BB33" s="56" t="str">
        <f aca="false">IF(OR(BB$4="",$C33="",$D33="",N($E33)=0),"",$E33*MAX(0,MIN($D33+1,EDATE(BB$4,1))-MAX($C33,BB$4))/MAX(1,$D33+1-$C33))</f>
        <v/>
      </c>
      <c r="BC33" s="56" t="str">
        <f aca="false">IF(OR(BC$4="",$C33="",$D33="",N($E33)=0),"",$E33*MAX(0,MIN($D33+1,EDATE(BC$4,1))-MAX($C33,BC$4))/MAX(1,$D33+1-$C33))</f>
        <v/>
      </c>
      <c r="BD33" s="56" t="str">
        <f aca="false">IF(OR(BD$4="",$C33="",$D33="",N($E33)=0),"",$E33*MAX(0,MIN($D33+1,EDATE(BD$4,1))-MAX($C33,BD$4))/MAX(1,$D33+1-$C33))</f>
        <v/>
      </c>
      <c r="BE33" s="56" t="str">
        <f aca="false">IF(OR(BE$4="",$C33="",$D33="",N($E33)=0),"",$E33*MAX(0,MIN($D33+1,EDATE(BE$4,1))-MAX($C33,BE$4))/MAX(1,$D33+1-$C33))</f>
        <v/>
      </c>
      <c r="BF33" s="56" t="str">
        <f aca="false">IF(OR(BF$4="",$C33="",$D33="",N($E33)=0),"",$E33*MAX(0,MIN($D33+1,EDATE(BF$4,1))-MAX($C33,BF$4))/MAX(1,$D33+1-$C33))</f>
        <v/>
      </c>
      <c r="BG33" s="56" t="str">
        <f aca="false">IF(OR(BG$4="",$C33="",$D33="",N($E33)=0),"",$E33*MAX(0,MIN($D33+1,EDATE(BG$4,1))-MAX($C33,BG$4))/MAX(1,$D33+1-$C33))</f>
        <v/>
      </c>
      <c r="BH33" s="56" t="str">
        <f aca="false">IF(OR(BH$4="",$C33="",$D33="",N($E33)=0),"",$E33*MAX(0,MIN($D33+1,EDATE(BH$4,1))-MAX($C33,BH$4))/MAX(1,$D33+1-$C33))</f>
        <v/>
      </c>
      <c r="BI33" s="56" t="str">
        <f aca="false">IF(OR(BI$4="",$C33="",$D33="",N($E33)=0),"",$E33*MAX(0,MIN($D33+1,EDATE(BI$4,1))-MAX($C33,BI$4))/MAX(1,$D33+1-$C33))</f>
        <v/>
      </c>
      <c r="BJ33" s="56" t="str">
        <f aca="false">IF(OR(BJ$4="",$C33="",$D33="",N($E33)=0),"",$E33*MAX(0,MIN($D33+1,EDATE(BJ$4,1))-MAX($C33,BJ$4))/MAX(1,$D33+1-$C33))</f>
        <v/>
      </c>
      <c r="BK33" s="56" t="str">
        <f aca="false">IF(OR(BK$4="",$C33="",$D33="",N($E33)=0),"",$E33*MAX(0,MIN($D33+1,EDATE(BK$4,1))-MAX($C33,BK$4))/MAX(1,$D33+1-$C33))</f>
        <v/>
      </c>
      <c r="BL33" s="56" t="str">
        <f aca="false">IF(OR(BL$4="",$C33="",$D33="",N($E33)=0),"",$E33*MAX(0,MIN($D33+1,EDATE(BL$4,1))-MAX($C33,BL$4))/MAX(1,$D33+1-$C33))</f>
        <v/>
      </c>
      <c r="BM33" s="56" t="str">
        <f aca="false">IF(OR(BM$4="",$C33="",$D33="",N($E33)=0),"",$E33*MAX(0,MIN($D33+1,EDATE(BM$4,1))-MAX($C33,BM$4))/MAX(1,$D33+1-$C33))</f>
        <v/>
      </c>
      <c r="BN33" s="56" t="str">
        <f aca="false">IF(OR(BN$4="",$C33="",$D33="",N($E33)=0),"",$E33*MAX(0,MIN($D33+1,EDATE(BN$4,1))-MAX($C33,BN$4))/MAX(1,$D33+1-$C33))</f>
        <v/>
      </c>
      <c r="BO33" s="56" t="str">
        <f aca="false">IF(OR(BO$4="",$C33="",$D33="",N($E33)=0),"",$E33*MAX(0,MIN($D33+1,EDATE(BO$4,1))-MAX($C33,BO$4))/MAX(1,$D33+1-$C33))</f>
        <v/>
      </c>
      <c r="BP33" s="56" t="str">
        <f aca="false">IF(OR(BP$4="",$C33="",$D33="",N($E33)=0),"",$E33*MAX(0,MIN($D33+1,EDATE(BP$4,1))-MAX($C33,BP$4))/MAX(1,$D33+1-$C33))</f>
        <v/>
      </c>
      <c r="BQ33" s="56" t="str">
        <f aca="false">IF(OR(BQ$4="",$C33="",$D33="",N($E33)=0),"",$E33*MAX(0,MIN($D33+1,EDATE(BQ$4,1))-MAX($C33,BQ$4))/MAX(1,$D33+1-$C33))</f>
        <v/>
      </c>
      <c r="BR33" s="56" t="str">
        <f aca="false">IF(OR(BR$4="",$C33="",$D33="",N($E33)=0),"",$E33*MAX(0,MIN($D33+1,EDATE(BR$4,1))-MAX($C33,BR$4))/MAX(1,$D33+1-$C33))</f>
        <v/>
      </c>
      <c r="BS33" s="56" t="str">
        <f aca="false">IF(OR(BS$4="",$C33="",$D33="",N($E33)=0),"",$E33*MAX(0,MIN($D33+1,EDATE(BS$4,1))-MAX($C33,BS$4))/MAX(1,$D33+1-$C33))</f>
        <v/>
      </c>
      <c r="BT33" s="56" t="str">
        <f aca="false">IF(OR(BT$4="",$C33="",$D33="",N($E33)=0),"",$E33*MAX(0,MIN($D33+1,EDATE(BT$4,1))-MAX($C33,BT$4))/MAX(1,$D33+1-$C33))</f>
        <v/>
      </c>
      <c r="BU33" s="56" t="str">
        <f aca="false">IF(OR(BU$4="",$C33="",$D33="",N($E33)=0),"",$E33*MAX(0,MIN($D33+1,EDATE(BU$4,1))-MAX($C33,BU$4))/MAX(1,$D33+1-$C33))</f>
        <v/>
      </c>
      <c r="BV33" s="56" t="str">
        <f aca="false">IF(OR(BV$4="",$C33="",$D33="",N($E33)=0),"",$E33*MAX(0,MIN($D33+1,EDATE(BV$4,1))-MAX($C33,BV$4))/MAX(1,$D33+1-$C33))</f>
        <v/>
      </c>
      <c r="BW33" s="56" t="str">
        <f aca="false">IF(OR(BW$4="",$C33="",$D33="",N($E33)=0),"",$E33*MAX(0,MIN($D33+1,EDATE(BW$4,1))-MAX($C33,BW$4))/MAX(1,$D33+1-$C33))</f>
        <v/>
      </c>
      <c r="BX33" s="56" t="str">
        <f aca="false">IF(OR(BX$4="",$C33="",$D33="",N($E33)=0),"",$E33*MAX(0,MIN($D33+1,EDATE(BX$4,1))-MAX($C33,BX$4))/MAX(1,$D33+1-$C33))</f>
        <v/>
      </c>
      <c r="BY33" s="56" t="str">
        <f aca="false">IF(OR(BY$4="",$C33="",$D33="",N($E33)=0),"",$E33*MAX(0,MIN($D33+1,EDATE(BY$4,1))-MAX($C33,BY$4))/MAX(1,$D33+1-$C33))</f>
        <v/>
      </c>
    </row>
    <row r="34" customFormat="false" ht="15" hidden="false" customHeight="false" outlineLevel="0" collapsed="false">
      <c r="A34" s="53" t="str">
        <f aca="false">IF(BOE!$A35="","",BOE!$A35)</f>
        <v>LOE-3</v>
      </c>
      <c r="B34" s="53" t="str">
        <f aca="false">IF(BOE!$A35="","",BOE!$C35)</f>
        <v>Safety program management, BOE/EVM upkeep, travel</v>
      </c>
      <c r="C34" s="54" t="n">
        <f aca="false">IF(BOE!$O35="","",BOE!$O35)</f>
        <v>46391</v>
      </c>
      <c r="D34" s="54" t="n">
        <f aca="false">IF(BOE!$P35="","",BOE!$P35)</f>
        <v>47483</v>
      </c>
      <c r="E34" s="55" t="n">
        <f aca="false">IF(Inputs!$B$7="P90",BOE!$T35,BOE!$R35)</f>
        <v>215.260780287474</v>
      </c>
      <c r="F34" s="56" t="n">
        <f aca="false">IF(OR(F$4="",$C34="",$D34="",N($E34)=0),"",$E34*MAX(0,MIN($D34+1,EDATE(F$4,1))-MAX($C34,F$4))/MAX(1,$D34+1-$C34))</f>
        <v>6.10529203011135</v>
      </c>
      <c r="G34" s="56" t="n">
        <f aca="false">IF(OR(G$4="",$C34="",$D34="",N($E34)=0),"",$E34*MAX(0,MIN($D34+1,EDATE(G$4,1))-MAX($C34,G$4))/MAX(1,$D34+1-$C34))</f>
        <v>5.51445731751993</v>
      </c>
      <c r="H34" s="56" t="n">
        <f aca="false">IF(OR(H$4="",$C34="",$D34="",N($E34)=0),"",$E34*MAX(0,MIN($D34+1,EDATE(H$4,1))-MAX($C34,H$4))/MAX(1,$D34+1-$C34))</f>
        <v>6.10529203011135</v>
      </c>
      <c r="I34" s="56" t="n">
        <f aca="false">IF(OR(I$4="",$C34="",$D34="",N($E34)=0),"",$E34*MAX(0,MIN($D34+1,EDATE(I$4,1))-MAX($C34,I$4))/MAX(1,$D34+1-$C34))</f>
        <v>5.90834712591421</v>
      </c>
      <c r="J34" s="56" t="n">
        <f aca="false">IF(OR(J$4="",$C34="",$D34="",N($E34)=0),"",$E34*MAX(0,MIN($D34+1,EDATE(J$4,1))-MAX($C34,J$4))/MAX(1,$D34+1-$C34))</f>
        <v>6.10529203011135</v>
      </c>
      <c r="K34" s="56" t="n">
        <f aca="false">IF(OR(K$4="",$C34="",$D34="",N($E34)=0),"",$E34*MAX(0,MIN($D34+1,EDATE(K$4,1))-MAX($C34,K$4))/MAX(1,$D34+1-$C34))</f>
        <v>5.90834712591421</v>
      </c>
      <c r="L34" s="56" t="n">
        <f aca="false">IF(OR(L$4="",$C34="",$D34="",N($E34)=0),"",$E34*MAX(0,MIN($D34+1,EDATE(L$4,1))-MAX($C34,L$4))/MAX(1,$D34+1-$C34))</f>
        <v>6.10529203011135</v>
      </c>
      <c r="M34" s="56" t="n">
        <f aca="false">IF(OR(M$4="",$C34="",$D34="",N($E34)=0),"",$E34*MAX(0,MIN($D34+1,EDATE(M$4,1))-MAX($C34,M$4))/MAX(1,$D34+1-$C34))</f>
        <v>6.10529203011135</v>
      </c>
      <c r="N34" s="56" t="n">
        <f aca="false">IF(OR(N$4="",$C34="",$D34="",N($E34)=0),"",$E34*MAX(0,MIN($D34+1,EDATE(N$4,1))-MAX($C34,N$4))/MAX(1,$D34+1-$C34))</f>
        <v>5.90834712591421</v>
      </c>
      <c r="O34" s="56" t="n">
        <f aca="false">IF(OR(O$4="",$C34="",$D34="",N($E34)=0),"",$E34*MAX(0,MIN($D34+1,EDATE(O$4,1))-MAX($C34,O$4))/MAX(1,$D34+1-$C34))</f>
        <v>6.10529203011135</v>
      </c>
      <c r="P34" s="56" t="n">
        <f aca="false">IF(OR(P$4="",$C34="",$D34="",N($E34)=0),"",$E34*MAX(0,MIN($D34+1,EDATE(P$4,1))-MAX($C34,P$4))/MAX(1,$D34+1-$C34))</f>
        <v>5.90834712591421</v>
      </c>
      <c r="Q34" s="56" t="n">
        <f aca="false">IF(OR(Q$4="",$C34="",$D34="",N($E34)=0),"",$E34*MAX(0,MIN($D34+1,EDATE(Q$4,1))-MAX($C34,Q$4))/MAX(1,$D34+1-$C34))</f>
        <v>6.10529203011135</v>
      </c>
      <c r="R34" s="56" t="n">
        <f aca="false">IF(OR(R$4="",$C34="",$D34="",N($E34)=0),"",$E34*MAX(0,MIN($D34+1,EDATE(R$4,1))-MAX($C34,R$4))/MAX(1,$D34+1-$C34))</f>
        <v>6.10529203011135</v>
      </c>
      <c r="S34" s="56" t="n">
        <f aca="false">IF(OR(S$4="",$C34="",$D34="",N($E34)=0),"",$E34*MAX(0,MIN($D34+1,EDATE(S$4,1))-MAX($C34,S$4))/MAX(1,$D34+1-$C34))</f>
        <v>5.71140222171707</v>
      </c>
      <c r="T34" s="56" t="n">
        <f aca="false">IF(OR(T$4="",$C34="",$D34="",N($E34)=0),"",$E34*MAX(0,MIN($D34+1,EDATE(T$4,1))-MAX($C34,T$4))/MAX(1,$D34+1-$C34))</f>
        <v>6.10529203011135</v>
      </c>
      <c r="U34" s="56" t="n">
        <f aca="false">IF(OR(U$4="",$C34="",$D34="",N($E34)=0),"",$E34*MAX(0,MIN($D34+1,EDATE(U$4,1))-MAX($C34,U$4))/MAX(1,$D34+1-$C34))</f>
        <v>5.90834712591421</v>
      </c>
      <c r="V34" s="56" t="n">
        <f aca="false">IF(OR(V$4="",$C34="",$D34="",N($E34)=0),"",$E34*MAX(0,MIN($D34+1,EDATE(V$4,1))-MAX($C34,V$4))/MAX(1,$D34+1-$C34))</f>
        <v>6.10529203011135</v>
      </c>
      <c r="W34" s="56" t="n">
        <f aca="false">IF(OR(W$4="",$C34="",$D34="",N($E34)=0),"",$E34*MAX(0,MIN($D34+1,EDATE(W$4,1))-MAX($C34,W$4))/MAX(1,$D34+1-$C34))</f>
        <v>5.90834712591421</v>
      </c>
      <c r="X34" s="56" t="n">
        <f aca="false">IF(OR(X$4="",$C34="",$D34="",N($E34)=0),"",$E34*MAX(0,MIN($D34+1,EDATE(X$4,1))-MAX($C34,X$4))/MAX(1,$D34+1-$C34))</f>
        <v>6.10529203011135</v>
      </c>
      <c r="Y34" s="56" t="n">
        <f aca="false">IF(OR(Y$4="",$C34="",$D34="",N($E34)=0),"",$E34*MAX(0,MIN($D34+1,EDATE(Y$4,1))-MAX($C34,Y$4))/MAX(1,$D34+1-$C34))</f>
        <v>6.10529203011135</v>
      </c>
      <c r="Z34" s="56" t="n">
        <f aca="false">IF(OR(Z$4="",$C34="",$D34="",N($E34)=0),"",$E34*MAX(0,MIN($D34+1,EDATE(Z$4,1))-MAX($C34,Z$4))/MAX(1,$D34+1-$C34))</f>
        <v>5.90834712591421</v>
      </c>
      <c r="AA34" s="56" t="n">
        <f aca="false">IF(OR(AA$4="",$C34="",$D34="",N($E34)=0),"",$E34*MAX(0,MIN($D34+1,EDATE(AA$4,1))-MAX($C34,AA$4))/MAX(1,$D34+1-$C34))</f>
        <v>6.10529203011135</v>
      </c>
      <c r="AB34" s="56" t="n">
        <f aca="false">IF(OR(AB$4="",$C34="",$D34="",N($E34)=0),"",$E34*MAX(0,MIN($D34+1,EDATE(AB$4,1))-MAX($C34,AB$4))/MAX(1,$D34+1-$C34))</f>
        <v>5.90834712591421</v>
      </c>
      <c r="AC34" s="56" t="n">
        <f aca="false">IF(OR(AC$4="",$C34="",$D34="",N($E34)=0),"",$E34*MAX(0,MIN($D34+1,EDATE(AC$4,1))-MAX($C34,AC$4))/MAX(1,$D34+1-$C34))</f>
        <v>6.10529203011135</v>
      </c>
      <c r="AD34" s="56" t="n">
        <f aca="false">IF(OR(AD$4="",$C34="",$D34="",N($E34)=0),"",$E34*MAX(0,MIN($D34+1,EDATE(AD$4,1))-MAX($C34,AD$4))/MAX(1,$D34+1-$C34))</f>
        <v>6.10529203011135</v>
      </c>
      <c r="AE34" s="56" t="n">
        <f aca="false">IF(OR(AE$4="",$C34="",$D34="",N($E34)=0),"",$E34*MAX(0,MIN($D34+1,EDATE(AE$4,1))-MAX($C34,AE$4))/MAX(1,$D34+1-$C34))</f>
        <v>5.51445731751993</v>
      </c>
      <c r="AF34" s="56" t="n">
        <f aca="false">IF(OR(AF$4="",$C34="",$D34="",N($E34)=0),"",$E34*MAX(0,MIN($D34+1,EDATE(AF$4,1))-MAX($C34,AF$4))/MAX(1,$D34+1-$C34))</f>
        <v>6.10529203011135</v>
      </c>
      <c r="AG34" s="56" t="n">
        <f aca="false">IF(OR(AG$4="",$C34="",$D34="",N($E34)=0),"",$E34*MAX(0,MIN($D34+1,EDATE(AG$4,1))-MAX($C34,AG$4))/MAX(1,$D34+1-$C34))</f>
        <v>5.90834712591421</v>
      </c>
      <c r="AH34" s="56" t="n">
        <f aca="false">IF(OR(AH$4="",$C34="",$D34="",N($E34)=0),"",$E34*MAX(0,MIN($D34+1,EDATE(AH$4,1))-MAX($C34,AH$4))/MAX(1,$D34+1-$C34))</f>
        <v>6.10529203011135</v>
      </c>
      <c r="AI34" s="56" t="n">
        <f aca="false">IF(OR(AI$4="",$C34="",$D34="",N($E34)=0),"",$E34*MAX(0,MIN($D34+1,EDATE(AI$4,1))-MAX($C34,AI$4))/MAX(1,$D34+1-$C34))</f>
        <v>5.90834712591421</v>
      </c>
      <c r="AJ34" s="56" t="n">
        <f aca="false">IF(OR(AJ$4="",$C34="",$D34="",N($E34)=0),"",$E34*MAX(0,MIN($D34+1,EDATE(AJ$4,1))-MAX($C34,AJ$4))/MAX(1,$D34+1-$C34))</f>
        <v>6.10529203011135</v>
      </c>
      <c r="AK34" s="56" t="n">
        <f aca="false">IF(OR(AK$4="",$C34="",$D34="",N($E34)=0),"",$E34*MAX(0,MIN($D34+1,EDATE(AK$4,1))-MAX($C34,AK$4))/MAX(1,$D34+1-$C34))</f>
        <v>6.10529203011135</v>
      </c>
      <c r="AL34" s="56" t="n">
        <f aca="false">IF(OR(AL$4="",$C34="",$D34="",N($E34)=0),"",$E34*MAX(0,MIN($D34+1,EDATE(AL$4,1))-MAX($C34,AL$4))/MAX(1,$D34+1-$C34))</f>
        <v>5.90834712591421</v>
      </c>
      <c r="AM34" s="56" t="n">
        <f aca="false">IF(OR(AM$4="",$C34="",$D34="",N($E34)=0),"",$E34*MAX(0,MIN($D34+1,EDATE(AM$4,1))-MAX($C34,AM$4))/MAX(1,$D34+1-$C34))</f>
        <v>6.10529203011135</v>
      </c>
      <c r="AN34" s="56" t="n">
        <f aca="false">IF(OR(AN$4="",$C34="",$D34="",N($E34)=0),"",$E34*MAX(0,MIN($D34+1,EDATE(AN$4,1))-MAX($C34,AN$4))/MAX(1,$D34+1-$C34))</f>
        <v>5.90834712591421</v>
      </c>
      <c r="AO34" s="56" t="n">
        <f aca="false">IF(OR(AO$4="",$C34="",$D34="",N($E34)=0),"",$E34*MAX(0,MIN($D34+1,EDATE(AO$4,1))-MAX($C34,AO$4))/MAX(1,$D34+1-$C34))</f>
        <v>5.51445731751993</v>
      </c>
      <c r="AP34" s="56" t="str">
        <f aca="false">IF(OR(AP$4="",$C34="",$D34="",N($E34)=0),"",$E34*MAX(0,MIN($D34+1,EDATE(AP$4,1))-MAX($C34,AP$4))/MAX(1,$D34+1-$C34))</f>
        <v/>
      </c>
      <c r="AQ34" s="56" t="str">
        <f aca="false">IF(OR(AQ$4="",$C34="",$D34="",N($E34)=0),"",$E34*MAX(0,MIN($D34+1,EDATE(AQ$4,1))-MAX($C34,AQ$4))/MAX(1,$D34+1-$C34))</f>
        <v/>
      </c>
      <c r="AR34" s="56" t="str">
        <f aca="false">IF(OR(AR$4="",$C34="",$D34="",N($E34)=0),"",$E34*MAX(0,MIN($D34+1,EDATE(AR$4,1))-MAX($C34,AR$4))/MAX(1,$D34+1-$C34))</f>
        <v/>
      </c>
      <c r="AS34" s="56" t="str">
        <f aca="false">IF(OR(AS$4="",$C34="",$D34="",N($E34)=0),"",$E34*MAX(0,MIN($D34+1,EDATE(AS$4,1))-MAX($C34,AS$4))/MAX(1,$D34+1-$C34))</f>
        <v/>
      </c>
      <c r="AT34" s="56" t="str">
        <f aca="false">IF(OR(AT$4="",$C34="",$D34="",N($E34)=0),"",$E34*MAX(0,MIN($D34+1,EDATE(AT$4,1))-MAX($C34,AT$4))/MAX(1,$D34+1-$C34))</f>
        <v/>
      </c>
      <c r="AU34" s="56" t="str">
        <f aca="false">IF(OR(AU$4="",$C34="",$D34="",N($E34)=0),"",$E34*MAX(0,MIN($D34+1,EDATE(AU$4,1))-MAX($C34,AU$4))/MAX(1,$D34+1-$C34))</f>
        <v/>
      </c>
      <c r="AV34" s="56" t="str">
        <f aca="false">IF(OR(AV$4="",$C34="",$D34="",N($E34)=0),"",$E34*MAX(0,MIN($D34+1,EDATE(AV$4,1))-MAX($C34,AV$4))/MAX(1,$D34+1-$C34))</f>
        <v/>
      </c>
      <c r="AW34" s="56" t="str">
        <f aca="false">IF(OR(AW$4="",$C34="",$D34="",N($E34)=0),"",$E34*MAX(0,MIN($D34+1,EDATE(AW$4,1))-MAX($C34,AW$4))/MAX(1,$D34+1-$C34))</f>
        <v/>
      </c>
      <c r="AX34" s="56" t="str">
        <f aca="false">IF(OR(AX$4="",$C34="",$D34="",N($E34)=0),"",$E34*MAX(0,MIN($D34+1,EDATE(AX$4,1))-MAX($C34,AX$4))/MAX(1,$D34+1-$C34))</f>
        <v/>
      </c>
      <c r="AY34" s="56" t="str">
        <f aca="false">IF(OR(AY$4="",$C34="",$D34="",N($E34)=0),"",$E34*MAX(0,MIN($D34+1,EDATE(AY$4,1))-MAX($C34,AY$4))/MAX(1,$D34+1-$C34))</f>
        <v/>
      </c>
      <c r="AZ34" s="56" t="str">
        <f aca="false">IF(OR(AZ$4="",$C34="",$D34="",N($E34)=0),"",$E34*MAX(0,MIN($D34+1,EDATE(AZ$4,1))-MAX($C34,AZ$4))/MAX(1,$D34+1-$C34))</f>
        <v/>
      </c>
      <c r="BA34" s="56" t="str">
        <f aca="false">IF(OR(BA$4="",$C34="",$D34="",N($E34)=0),"",$E34*MAX(0,MIN($D34+1,EDATE(BA$4,1))-MAX($C34,BA$4))/MAX(1,$D34+1-$C34))</f>
        <v/>
      </c>
      <c r="BB34" s="56" t="str">
        <f aca="false">IF(OR(BB$4="",$C34="",$D34="",N($E34)=0),"",$E34*MAX(0,MIN($D34+1,EDATE(BB$4,1))-MAX($C34,BB$4))/MAX(1,$D34+1-$C34))</f>
        <v/>
      </c>
      <c r="BC34" s="56" t="str">
        <f aca="false">IF(OR(BC$4="",$C34="",$D34="",N($E34)=0),"",$E34*MAX(0,MIN($D34+1,EDATE(BC$4,1))-MAX($C34,BC$4))/MAX(1,$D34+1-$C34))</f>
        <v/>
      </c>
      <c r="BD34" s="56" t="str">
        <f aca="false">IF(OR(BD$4="",$C34="",$D34="",N($E34)=0),"",$E34*MAX(0,MIN($D34+1,EDATE(BD$4,1))-MAX($C34,BD$4))/MAX(1,$D34+1-$C34))</f>
        <v/>
      </c>
      <c r="BE34" s="56" t="str">
        <f aca="false">IF(OR(BE$4="",$C34="",$D34="",N($E34)=0),"",$E34*MAX(0,MIN($D34+1,EDATE(BE$4,1))-MAX($C34,BE$4))/MAX(1,$D34+1-$C34))</f>
        <v/>
      </c>
      <c r="BF34" s="56" t="str">
        <f aca="false">IF(OR(BF$4="",$C34="",$D34="",N($E34)=0),"",$E34*MAX(0,MIN($D34+1,EDATE(BF$4,1))-MAX($C34,BF$4))/MAX(1,$D34+1-$C34))</f>
        <v/>
      </c>
      <c r="BG34" s="56" t="str">
        <f aca="false">IF(OR(BG$4="",$C34="",$D34="",N($E34)=0),"",$E34*MAX(0,MIN($D34+1,EDATE(BG$4,1))-MAX($C34,BG$4))/MAX(1,$D34+1-$C34))</f>
        <v/>
      </c>
      <c r="BH34" s="56" t="str">
        <f aca="false">IF(OR(BH$4="",$C34="",$D34="",N($E34)=0),"",$E34*MAX(0,MIN($D34+1,EDATE(BH$4,1))-MAX($C34,BH$4))/MAX(1,$D34+1-$C34))</f>
        <v/>
      </c>
      <c r="BI34" s="56" t="str">
        <f aca="false">IF(OR(BI$4="",$C34="",$D34="",N($E34)=0),"",$E34*MAX(0,MIN($D34+1,EDATE(BI$4,1))-MAX($C34,BI$4))/MAX(1,$D34+1-$C34))</f>
        <v/>
      </c>
      <c r="BJ34" s="56" t="str">
        <f aca="false">IF(OR(BJ$4="",$C34="",$D34="",N($E34)=0),"",$E34*MAX(0,MIN($D34+1,EDATE(BJ$4,1))-MAX($C34,BJ$4))/MAX(1,$D34+1-$C34))</f>
        <v/>
      </c>
      <c r="BK34" s="56" t="str">
        <f aca="false">IF(OR(BK$4="",$C34="",$D34="",N($E34)=0),"",$E34*MAX(0,MIN($D34+1,EDATE(BK$4,1))-MAX($C34,BK$4))/MAX(1,$D34+1-$C34))</f>
        <v/>
      </c>
      <c r="BL34" s="56" t="str">
        <f aca="false">IF(OR(BL$4="",$C34="",$D34="",N($E34)=0),"",$E34*MAX(0,MIN($D34+1,EDATE(BL$4,1))-MAX($C34,BL$4))/MAX(1,$D34+1-$C34))</f>
        <v/>
      </c>
      <c r="BM34" s="56" t="str">
        <f aca="false">IF(OR(BM$4="",$C34="",$D34="",N($E34)=0),"",$E34*MAX(0,MIN($D34+1,EDATE(BM$4,1))-MAX($C34,BM$4))/MAX(1,$D34+1-$C34))</f>
        <v/>
      </c>
      <c r="BN34" s="56" t="str">
        <f aca="false">IF(OR(BN$4="",$C34="",$D34="",N($E34)=0),"",$E34*MAX(0,MIN($D34+1,EDATE(BN$4,1))-MAX($C34,BN$4))/MAX(1,$D34+1-$C34))</f>
        <v/>
      </c>
      <c r="BO34" s="56" t="str">
        <f aca="false">IF(OR(BO$4="",$C34="",$D34="",N($E34)=0),"",$E34*MAX(0,MIN($D34+1,EDATE(BO$4,1))-MAX($C34,BO$4))/MAX(1,$D34+1-$C34))</f>
        <v/>
      </c>
      <c r="BP34" s="56" t="str">
        <f aca="false">IF(OR(BP$4="",$C34="",$D34="",N($E34)=0),"",$E34*MAX(0,MIN($D34+1,EDATE(BP$4,1))-MAX($C34,BP$4))/MAX(1,$D34+1-$C34))</f>
        <v/>
      </c>
      <c r="BQ34" s="56" t="str">
        <f aca="false">IF(OR(BQ$4="",$C34="",$D34="",N($E34)=0),"",$E34*MAX(0,MIN($D34+1,EDATE(BQ$4,1))-MAX($C34,BQ$4))/MAX(1,$D34+1-$C34))</f>
        <v/>
      </c>
      <c r="BR34" s="56" t="str">
        <f aca="false">IF(OR(BR$4="",$C34="",$D34="",N($E34)=0),"",$E34*MAX(0,MIN($D34+1,EDATE(BR$4,1))-MAX($C34,BR$4))/MAX(1,$D34+1-$C34))</f>
        <v/>
      </c>
      <c r="BS34" s="56" t="str">
        <f aca="false">IF(OR(BS$4="",$C34="",$D34="",N($E34)=0),"",$E34*MAX(0,MIN($D34+1,EDATE(BS$4,1))-MAX($C34,BS$4))/MAX(1,$D34+1-$C34))</f>
        <v/>
      </c>
      <c r="BT34" s="56" t="str">
        <f aca="false">IF(OR(BT$4="",$C34="",$D34="",N($E34)=0),"",$E34*MAX(0,MIN($D34+1,EDATE(BT$4,1))-MAX($C34,BT$4))/MAX(1,$D34+1-$C34))</f>
        <v/>
      </c>
      <c r="BU34" s="56" t="str">
        <f aca="false">IF(OR(BU$4="",$C34="",$D34="",N($E34)=0),"",$E34*MAX(0,MIN($D34+1,EDATE(BU$4,1))-MAX($C34,BU$4))/MAX(1,$D34+1-$C34))</f>
        <v/>
      </c>
      <c r="BV34" s="56" t="str">
        <f aca="false">IF(OR(BV$4="",$C34="",$D34="",N($E34)=0),"",$E34*MAX(0,MIN($D34+1,EDATE(BV$4,1))-MAX($C34,BV$4))/MAX(1,$D34+1-$C34))</f>
        <v/>
      </c>
      <c r="BW34" s="56" t="str">
        <f aca="false">IF(OR(BW$4="",$C34="",$D34="",N($E34)=0),"",$E34*MAX(0,MIN($D34+1,EDATE(BW$4,1))-MAX($C34,BW$4))/MAX(1,$D34+1-$C34))</f>
        <v/>
      </c>
      <c r="BX34" s="56" t="str">
        <f aca="false">IF(OR(BX$4="",$C34="",$D34="",N($E34)=0),"",$E34*MAX(0,MIN($D34+1,EDATE(BX$4,1))-MAX($C34,BX$4))/MAX(1,$D34+1-$C34))</f>
        <v/>
      </c>
      <c r="BY34" s="56" t="str">
        <f aca="false">IF(OR(BY$4="",$C34="",$D34="",N($E34)=0),"",$E34*MAX(0,MIN($D34+1,EDATE(BY$4,1))-MAX($C34,BY$4))/MAX(1,$D34+1-$C34))</f>
        <v/>
      </c>
    </row>
    <row r="35" customFormat="false" ht="15" hidden="false" customHeight="false" outlineLevel="0" collapsed="false">
      <c r="A35" s="53" t="str">
        <f aca="false">IF(BOE!$A36="","",BOE!$A36)</f>
        <v/>
      </c>
      <c r="B35" s="53" t="str">
        <f aca="false">IF(BOE!$A36="","",BOE!$C36)</f>
        <v/>
      </c>
      <c r="C35" s="54" t="str">
        <f aca="false">IF(BOE!$O36="","",BOE!$O36)</f>
        <v/>
      </c>
      <c r="D35" s="54" t="str">
        <f aca="false">IF(BOE!$P36="","",BOE!$P36)</f>
        <v/>
      </c>
      <c r="E35" s="55" t="n">
        <f aca="false">IF(Inputs!$B$7="P90",BOE!$T36,BOE!$R36)</f>
        <v>0</v>
      </c>
      <c r="F35" s="56" t="str">
        <f aca="false">IF(OR(F$4="",$C35="",$D35="",N($E35)=0),"",$E35*MAX(0,MIN($D35+1,EDATE(F$4,1))-MAX($C35,F$4))/MAX(1,$D35+1-$C35))</f>
        <v/>
      </c>
      <c r="G35" s="56" t="str">
        <f aca="false">IF(OR(G$4="",$C35="",$D35="",N($E35)=0),"",$E35*MAX(0,MIN($D35+1,EDATE(G$4,1))-MAX($C35,G$4))/MAX(1,$D35+1-$C35))</f>
        <v/>
      </c>
      <c r="H35" s="56" t="str">
        <f aca="false">IF(OR(H$4="",$C35="",$D35="",N($E35)=0),"",$E35*MAX(0,MIN($D35+1,EDATE(H$4,1))-MAX($C35,H$4))/MAX(1,$D35+1-$C35))</f>
        <v/>
      </c>
      <c r="I35" s="56" t="str">
        <f aca="false">IF(OR(I$4="",$C35="",$D35="",N($E35)=0),"",$E35*MAX(0,MIN($D35+1,EDATE(I$4,1))-MAX($C35,I$4))/MAX(1,$D35+1-$C35))</f>
        <v/>
      </c>
      <c r="J35" s="56" t="str">
        <f aca="false">IF(OR(J$4="",$C35="",$D35="",N($E35)=0),"",$E35*MAX(0,MIN($D35+1,EDATE(J$4,1))-MAX($C35,J$4))/MAX(1,$D35+1-$C35))</f>
        <v/>
      </c>
      <c r="K35" s="56" t="str">
        <f aca="false">IF(OR(K$4="",$C35="",$D35="",N($E35)=0),"",$E35*MAX(0,MIN($D35+1,EDATE(K$4,1))-MAX($C35,K$4))/MAX(1,$D35+1-$C35))</f>
        <v/>
      </c>
      <c r="L35" s="56" t="str">
        <f aca="false">IF(OR(L$4="",$C35="",$D35="",N($E35)=0),"",$E35*MAX(0,MIN($D35+1,EDATE(L$4,1))-MAX($C35,L$4))/MAX(1,$D35+1-$C35))</f>
        <v/>
      </c>
      <c r="M35" s="56" t="str">
        <f aca="false">IF(OR(M$4="",$C35="",$D35="",N($E35)=0),"",$E35*MAX(0,MIN($D35+1,EDATE(M$4,1))-MAX($C35,M$4))/MAX(1,$D35+1-$C35))</f>
        <v/>
      </c>
      <c r="N35" s="56" t="str">
        <f aca="false">IF(OR(N$4="",$C35="",$D35="",N($E35)=0),"",$E35*MAX(0,MIN($D35+1,EDATE(N$4,1))-MAX($C35,N$4))/MAX(1,$D35+1-$C35))</f>
        <v/>
      </c>
      <c r="O35" s="56" t="str">
        <f aca="false">IF(OR(O$4="",$C35="",$D35="",N($E35)=0),"",$E35*MAX(0,MIN($D35+1,EDATE(O$4,1))-MAX($C35,O$4))/MAX(1,$D35+1-$C35))</f>
        <v/>
      </c>
      <c r="P35" s="56" t="str">
        <f aca="false">IF(OR(P$4="",$C35="",$D35="",N($E35)=0),"",$E35*MAX(0,MIN($D35+1,EDATE(P$4,1))-MAX($C35,P$4))/MAX(1,$D35+1-$C35))</f>
        <v/>
      </c>
      <c r="Q35" s="56" t="str">
        <f aca="false">IF(OR(Q$4="",$C35="",$D35="",N($E35)=0),"",$E35*MAX(0,MIN($D35+1,EDATE(Q$4,1))-MAX($C35,Q$4))/MAX(1,$D35+1-$C35))</f>
        <v/>
      </c>
      <c r="R35" s="56" t="str">
        <f aca="false">IF(OR(R$4="",$C35="",$D35="",N($E35)=0),"",$E35*MAX(0,MIN($D35+1,EDATE(R$4,1))-MAX($C35,R$4))/MAX(1,$D35+1-$C35))</f>
        <v/>
      </c>
      <c r="S35" s="56" t="str">
        <f aca="false">IF(OR(S$4="",$C35="",$D35="",N($E35)=0),"",$E35*MAX(0,MIN($D35+1,EDATE(S$4,1))-MAX($C35,S$4))/MAX(1,$D35+1-$C35))</f>
        <v/>
      </c>
      <c r="T35" s="56" t="str">
        <f aca="false">IF(OR(T$4="",$C35="",$D35="",N($E35)=0),"",$E35*MAX(0,MIN($D35+1,EDATE(T$4,1))-MAX($C35,T$4))/MAX(1,$D35+1-$C35))</f>
        <v/>
      </c>
      <c r="U35" s="56" t="str">
        <f aca="false">IF(OR(U$4="",$C35="",$D35="",N($E35)=0),"",$E35*MAX(0,MIN($D35+1,EDATE(U$4,1))-MAX($C35,U$4))/MAX(1,$D35+1-$C35))</f>
        <v/>
      </c>
      <c r="V35" s="56" t="str">
        <f aca="false">IF(OR(V$4="",$C35="",$D35="",N($E35)=0),"",$E35*MAX(0,MIN($D35+1,EDATE(V$4,1))-MAX($C35,V$4))/MAX(1,$D35+1-$C35))</f>
        <v/>
      </c>
      <c r="W35" s="56" t="str">
        <f aca="false">IF(OR(W$4="",$C35="",$D35="",N($E35)=0),"",$E35*MAX(0,MIN($D35+1,EDATE(W$4,1))-MAX($C35,W$4))/MAX(1,$D35+1-$C35))</f>
        <v/>
      </c>
      <c r="X35" s="56" t="str">
        <f aca="false">IF(OR(X$4="",$C35="",$D35="",N($E35)=0),"",$E35*MAX(0,MIN($D35+1,EDATE(X$4,1))-MAX($C35,X$4))/MAX(1,$D35+1-$C35))</f>
        <v/>
      </c>
      <c r="Y35" s="56" t="str">
        <f aca="false">IF(OR(Y$4="",$C35="",$D35="",N($E35)=0),"",$E35*MAX(0,MIN($D35+1,EDATE(Y$4,1))-MAX($C35,Y$4))/MAX(1,$D35+1-$C35))</f>
        <v/>
      </c>
      <c r="Z35" s="56" t="str">
        <f aca="false">IF(OR(Z$4="",$C35="",$D35="",N($E35)=0),"",$E35*MAX(0,MIN($D35+1,EDATE(Z$4,1))-MAX($C35,Z$4))/MAX(1,$D35+1-$C35))</f>
        <v/>
      </c>
      <c r="AA35" s="56" t="str">
        <f aca="false">IF(OR(AA$4="",$C35="",$D35="",N($E35)=0),"",$E35*MAX(0,MIN($D35+1,EDATE(AA$4,1))-MAX($C35,AA$4))/MAX(1,$D35+1-$C35))</f>
        <v/>
      </c>
      <c r="AB35" s="56" t="str">
        <f aca="false">IF(OR(AB$4="",$C35="",$D35="",N($E35)=0),"",$E35*MAX(0,MIN($D35+1,EDATE(AB$4,1))-MAX($C35,AB$4))/MAX(1,$D35+1-$C35))</f>
        <v/>
      </c>
      <c r="AC35" s="56" t="str">
        <f aca="false">IF(OR(AC$4="",$C35="",$D35="",N($E35)=0),"",$E35*MAX(0,MIN($D35+1,EDATE(AC$4,1))-MAX($C35,AC$4))/MAX(1,$D35+1-$C35))</f>
        <v/>
      </c>
      <c r="AD35" s="56" t="str">
        <f aca="false">IF(OR(AD$4="",$C35="",$D35="",N($E35)=0),"",$E35*MAX(0,MIN($D35+1,EDATE(AD$4,1))-MAX($C35,AD$4))/MAX(1,$D35+1-$C35))</f>
        <v/>
      </c>
      <c r="AE35" s="56" t="str">
        <f aca="false">IF(OR(AE$4="",$C35="",$D35="",N($E35)=0),"",$E35*MAX(0,MIN($D35+1,EDATE(AE$4,1))-MAX($C35,AE$4))/MAX(1,$D35+1-$C35))</f>
        <v/>
      </c>
      <c r="AF35" s="56" t="str">
        <f aca="false">IF(OR(AF$4="",$C35="",$D35="",N($E35)=0),"",$E35*MAX(0,MIN($D35+1,EDATE(AF$4,1))-MAX($C35,AF$4))/MAX(1,$D35+1-$C35))</f>
        <v/>
      </c>
      <c r="AG35" s="56" t="str">
        <f aca="false">IF(OR(AG$4="",$C35="",$D35="",N($E35)=0),"",$E35*MAX(0,MIN($D35+1,EDATE(AG$4,1))-MAX($C35,AG$4))/MAX(1,$D35+1-$C35))</f>
        <v/>
      </c>
      <c r="AH35" s="56" t="str">
        <f aca="false">IF(OR(AH$4="",$C35="",$D35="",N($E35)=0),"",$E35*MAX(0,MIN($D35+1,EDATE(AH$4,1))-MAX($C35,AH$4))/MAX(1,$D35+1-$C35))</f>
        <v/>
      </c>
      <c r="AI35" s="56" t="str">
        <f aca="false">IF(OR(AI$4="",$C35="",$D35="",N($E35)=0),"",$E35*MAX(0,MIN($D35+1,EDATE(AI$4,1))-MAX($C35,AI$4))/MAX(1,$D35+1-$C35))</f>
        <v/>
      </c>
      <c r="AJ35" s="56" t="str">
        <f aca="false">IF(OR(AJ$4="",$C35="",$D35="",N($E35)=0),"",$E35*MAX(0,MIN($D35+1,EDATE(AJ$4,1))-MAX($C35,AJ$4))/MAX(1,$D35+1-$C35))</f>
        <v/>
      </c>
      <c r="AK35" s="56" t="str">
        <f aca="false">IF(OR(AK$4="",$C35="",$D35="",N($E35)=0),"",$E35*MAX(0,MIN($D35+1,EDATE(AK$4,1))-MAX($C35,AK$4))/MAX(1,$D35+1-$C35))</f>
        <v/>
      </c>
      <c r="AL35" s="56" t="str">
        <f aca="false">IF(OR(AL$4="",$C35="",$D35="",N($E35)=0),"",$E35*MAX(0,MIN($D35+1,EDATE(AL$4,1))-MAX($C35,AL$4))/MAX(1,$D35+1-$C35))</f>
        <v/>
      </c>
      <c r="AM35" s="56" t="str">
        <f aca="false">IF(OR(AM$4="",$C35="",$D35="",N($E35)=0),"",$E35*MAX(0,MIN($D35+1,EDATE(AM$4,1))-MAX($C35,AM$4))/MAX(1,$D35+1-$C35))</f>
        <v/>
      </c>
      <c r="AN35" s="56" t="str">
        <f aca="false">IF(OR(AN$4="",$C35="",$D35="",N($E35)=0),"",$E35*MAX(0,MIN($D35+1,EDATE(AN$4,1))-MAX($C35,AN$4))/MAX(1,$D35+1-$C35))</f>
        <v/>
      </c>
      <c r="AO35" s="56" t="str">
        <f aca="false">IF(OR(AO$4="",$C35="",$D35="",N($E35)=0),"",$E35*MAX(0,MIN($D35+1,EDATE(AO$4,1))-MAX($C35,AO$4))/MAX(1,$D35+1-$C35))</f>
        <v/>
      </c>
      <c r="AP35" s="56" t="str">
        <f aca="false">IF(OR(AP$4="",$C35="",$D35="",N($E35)=0),"",$E35*MAX(0,MIN($D35+1,EDATE(AP$4,1))-MAX($C35,AP$4))/MAX(1,$D35+1-$C35))</f>
        <v/>
      </c>
      <c r="AQ35" s="56" t="str">
        <f aca="false">IF(OR(AQ$4="",$C35="",$D35="",N($E35)=0),"",$E35*MAX(0,MIN($D35+1,EDATE(AQ$4,1))-MAX($C35,AQ$4))/MAX(1,$D35+1-$C35))</f>
        <v/>
      </c>
      <c r="AR35" s="56" t="str">
        <f aca="false">IF(OR(AR$4="",$C35="",$D35="",N($E35)=0),"",$E35*MAX(0,MIN($D35+1,EDATE(AR$4,1))-MAX($C35,AR$4))/MAX(1,$D35+1-$C35))</f>
        <v/>
      </c>
      <c r="AS35" s="56" t="str">
        <f aca="false">IF(OR(AS$4="",$C35="",$D35="",N($E35)=0),"",$E35*MAX(0,MIN($D35+1,EDATE(AS$4,1))-MAX($C35,AS$4))/MAX(1,$D35+1-$C35))</f>
        <v/>
      </c>
      <c r="AT35" s="56" t="str">
        <f aca="false">IF(OR(AT$4="",$C35="",$D35="",N($E35)=0),"",$E35*MAX(0,MIN($D35+1,EDATE(AT$4,1))-MAX($C35,AT$4))/MAX(1,$D35+1-$C35))</f>
        <v/>
      </c>
      <c r="AU35" s="56" t="str">
        <f aca="false">IF(OR(AU$4="",$C35="",$D35="",N($E35)=0),"",$E35*MAX(0,MIN($D35+1,EDATE(AU$4,1))-MAX($C35,AU$4))/MAX(1,$D35+1-$C35))</f>
        <v/>
      </c>
      <c r="AV35" s="56" t="str">
        <f aca="false">IF(OR(AV$4="",$C35="",$D35="",N($E35)=0),"",$E35*MAX(0,MIN($D35+1,EDATE(AV$4,1))-MAX($C35,AV$4))/MAX(1,$D35+1-$C35))</f>
        <v/>
      </c>
      <c r="AW35" s="56" t="str">
        <f aca="false">IF(OR(AW$4="",$C35="",$D35="",N($E35)=0),"",$E35*MAX(0,MIN($D35+1,EDATE(AW$4,1))-MAX($C35,AW$4))/MAX(1,$D35+1-$C35))</f>
        <v/>
      </c>
      <c r="AX35" s="56" t="str">
        <f aca="false">IF(OR(AX$4="",$C35="",$D35="",N($E35)=0),"",$E35*MAX(0,MIN($D35+1,EDATE(AX$4,1))-MAX($C35,AX$4))/MAX(1,$D35+1-$C35))</f>
        <v/>
      </c>
      <c r="AY35" s="56" t="str">
        <f aca="false">IF(OR(AY$4="",$C35="",$D35="",N($E35)=0),"",$E35*MAX(0,MIN($D35+1,EDATE(AY$4,1))-MAX($C35,AY$4))/MAX(1,$D35+1-$C35))</f>
        <v/>
      </c>
      <c r="AZ35" s="56" t="str">
        <f aca="false">IF(OR(AZ$4="",$C35="",$D35="",N($E35)=0),"",$E35*MAX(0,MIN($D35+1,EDATE(AZ$4,1))-MAX($C35,AZ$4))/MAX(1,$D35+1-$C35))</f>
        <v/>
      </c>
      <c r="BA35" s="56" t="str">
        <f aca="false">IF(OR(BA$4="",$C35="",$D35="",N($E35)=0),"",$E35*MAX(0,MIN($D35+1,EDATE(BA$4,1))-MAX($C35,BA$4))/MAX(1,$D35+1-$C35))</f>
        <v/>
      </c>
      <c r="BB35" s="56" t="str">
        <f aca="false">IF(OR(BB$4="",$C35="",$D35="",N($E35)=0),"",$E35*MAX(0,MIN($D35+1,EDATE(BB$4,1))-MAX($C35,BB$4))/MAX(1,$D35+1-$C35))</f>
        <v/>
      </c>
      <c r="BC35" s="56" t="str">
        <f aca="false">IF(OR(BC$4="",$C35="",$D35="",N($E35)=0),"",$E35*MAX(0,MIN($D35+1,EDATE(BC$4,1))-MAX($C35,BC$4))/MAX(1,$D35+1-$C35))</f>
        <v/>
      </c>
      <c r="BD35" s="56" t="str">
        <f aca="false">IF(OR(BD$4="",$C35="",$D35="",N($E35)=0),"",$E35*MAX(0,MIN($D35+1,EDATE(BD$4,1))-MAX($C35,BD$4))/MAX(1,$D35+1-$C35))</f>
        <v/>
      </c>
      <c r="BE35" s="56" t="str">
        <f aca="false">IF(OR(BE$4="",$C35="",$D35="",N($E35)=0),"",$E35*MAX(0,MIN($D35+1,EDATE(BE$4,1))-MAX($C35,BE$4))/MAX(1,$D35+1-$C35))</f>
        <v/>
      </c>
      <c r="BF35" s="56" t="str">
        <f aca="false">IF(OR(BF$4="",$C35="",$D35="",N($E35)=0),"",$E35*MAX(0,MIN($D35+1,EDATE(BF$4,1))-MAX($C35,BF$4))/MAX(1,$D35+1-$C35))</f>
        <v/>
      </c>
      <c r="BG35" s="56" t="str">
        <f aca="false">IF(OR(BG$4="",$C35="",$D35="",N($E35)=0),"",$E35*MAX(0,MIN($D35+1,EDATE(BG$4,1))-MAX($C35,BG$4))/MAX(1,$D35+1-$C35))</f>
        <v/>
      </c>
      <c r="BH35" s="56" t="str">
        <f aca="false">IF(OR(BH$4="",$C35="",$D35="",N($E35)=0),"",$E35*MAX(0,MIN($D35+1,EDATE(BH$4,1))-MAX($C35,BH$4))/MAX(1,$D35+1-$C35))</f>
        <v/>
      </c>
      <c r="BI35" s="56" t="str">
        <f aca="false">IF(OR(BI$4="",$C35="",$D35="",N($E35)=0),"",$E35*MAX(0,MIN($D35+1,EDATE(BI$4,1))-MAX($C35,BI$4))/MAX(1,$D35+1-$C35))</f>
        <v/>
      </c>
      <c r="BJ35" s="56" t="str">
        <f aca="false">IF(OR(BJ$4="",$C35="",$D35="",N($E35)=0),"",$E35*MAX(0,MIN($D35+1,EDATE(BJ$4,1))-MAX($C35,BJ$4))/MAX(1,$D35+1-$C35))</f>
        <v/>
      </c>
      <c r="BK35" s="56" t="str">
        <f aca="false">IF(OR(BK$4="",$C35="",$D35="",N($E35)=0),"",$E35*MAX(0,MIN($D35+1,EDATE(BK$4,1))-MAX($C35,BK$4))/MAX(1,$D35+1-$C35))</f>
        <v/>
      </c>
      <c r="BL35" s="56" t="str">
        <f aca="false">IF(OR(BL$4="",$C35="",$D35="",N($E35)=0),"",$E35*MAX(0,MIN($D35+1,EDATE(BL$4,1))-MAX($C35,BL$4))/MAX(1,$D35+1-$C35))</f>
        <v/>
      </c>
      <c r="BM35" s="56" t="str">
        <f aca="false">IF(OR(BM$4="",$C35="",$D35="",N($E35)=0),"",$E35*MAX(0,MIN($D35+1,EDATE(BM$4,1))-MAX($C35,BM$4))/MAX(1,$D35+1-$C35))</f>
        <v/>
      </c>
      <c r="BN35" s="56" t="str">
        <f aca="false">IF(OR(BN$4="",$C35="",$D35="",N($E35)=0),"",$E35*MAX(0,MIN($D35+1,EDATE(BN$4,1))-MAX($C35,BN$4))/MAX(1,$D35+1-$C35))</f>
        <v/>
      </c>
      <c r="BO35" s="56" t="str">
        <f aca="false">IF(OR(BO$4="",$C35="",$D35="",N($E35)=0),"",$E35*MAX(0,MIN($D35+1,EDATE(BO$4,1))-MAX($C35,BO$4))/MAX(1,$D35+1-$C35))</f>
        <v/>
      </c>
      <c r="BP35" s="56" t="str">
        <f aca="false">IF(OR(BP$4="",$C35="",$D35="",N($E35)=0),"",$E35*MAX(0,MIN($D35+1,EDATE(BP$4,1))-MAX($C35,BP$4))/MAX(1,$D35+1-$C35))</f>
        <v/>
      </c>
      <c r="BQ35" s="56" t="str">
        <f aca="false">IF(OR(BQ$4="",$C35="",$D35="",N($E35)=0),"",$E35*MAX(0,MIN($D35+1,EDATE(BQ$4,1))-MAX($C35,BQ$4))/MAX(1,$D35+1-$C35))</f>
        <v/>
      </c>
      <c r="BR35" s="56" t="str">
        <f aca="false">IF(OR(BR$4="",$C35="",$D35="",N($E35)=0),"",$E35*MAX(0,MIN($D35+1,EDATE(BR$4,1))-MAX($C35,BR$4))/MAX(1,$D35+1-$C35))</f>
        <v/>
      </c>
      <c r="BS35" s="56" t="str">
        <f aca="false">IF(OR(BS$4="",$C35="",$D35="",N($E35)=0),"",$E35*MAX(0,MIN($D35+1,EDATE(BS$4,1))-MAX($C35,BS$4))/MAX(1,$D35+1-$C35))</f>
        <v/>
      </c>
      <c r="BT35" s="56" t="str">
        <f aca="false">IF(OR(BT$4="",$C35="",$D35="",N($E35)=0),"",$E35*MAX(0,MIN($D35+1,EDATE(BT$4,1))-MAX($C35,BT$4))/MAX(1,$D35+1-$C35))</f>
        <v/>
      </c>
      <c r="BU35" s="56" t="str">
        <f aca="false">IF(OR(BU$4="",$C35="",$D35="",N($E35)=0),"",$E35*MAX(0,MIN($D35+1,EDATE(BU$4,1))-MAX($C35,BU$4))/MAX(1,$D35+1-$C35))</f>
        <v/>
      </c>
      <c r="BV35" s="56" t="str">
        <f aca="false">IF(OR(BV$4="",$C35="",$D35="",N($E35)=0),"",$E35*MAX(0,MIN($D35+1,EDATE(BV$4,1))-MAX($C35,BV$4))/MAX(1,$D35+1-$C35))</f>
        <v/>
      </c>
      <c r="BW35" s="56" t="str">
        <f aca="false">IF(OR(BW$4="",$C35="",$D35="",N($E35)=0),"",$E35*MAX(0,MIN($D35+1,EDATE(BW$4,1))-MAX($C35,BW$4))/MAX(1,$D35+1-$C35))</f>
        <v/>
      </c>
      <c r="BX35" s="56" t="str">
        <f aca="false">IF(OR(BX$4="",$C35="",$D35="",N($E35)=0),"",$E35*MAX(0,MIN($D35+1,EDATE(BX$4,1))-MAX($C35,BX$4))/MAX(1,$D35+1-$C35))</f>
        <v/>
      </c>
      <c r="BY35" s="56" t="str">
        <f aca="false">IF(OR(BY$4="",$C35="",$D35="",N($E35)=0),"",$E35*MAX(0,MIN($D35+1,EDATE(BY$4,1))-MAX($C35,BY$4))/MAX(1,$D35+1-$C35))</f>
        <v/>
      </c>
    </row>
    <row r="36" customFormat="false" ht="15" hidden="false" customHeight="false" outlineLevel="0" collapsed="false">
      <c r="A36" s="53" t="str">
        <f aca="false">IF(BOE!$A37="","",BOE!$A37)</f>
        <v/>
      </c>
      <c r="B36" s="53" t="str">
        <f aca="false">IF(BOE!$A37="","",BOE!$C37)</f>
        <v/>
      </c>
      <c r="C36" s="54" t="str">
        <f aca="false">IF(BOE!$O37="","",BOE!$O37)</f>
        <v/>
      </c>
      <c r="D36" s="54" t="str">
        <f aca="false">IF(BOE!$P37="","",BOE!$P37)</f>
        <v/>
      </c>
      <c r="E36" s="55" t="n">
        <f aca="false">IF(Inputs!$B$7="P90",BOE!$T37,BOE!$R37)</f>
        <v>0</v>
      </c>
      <c r="F36" s="56" t="str">
        <f aca="false">IF(OR(F$4="",$C36="",$D36="",N($E36)=0),"",$E36*MAX(0,MIN($D36+1,EDATE(F$4,1))-MAX($C36,F$4))/MAX(1,$D36+1-$C36))</f>
        <v/>
      </c>
      <c r="G36" s="56" t="str">
        <f aca="false">IF(OR(G$4="",$C36="",$D36="",N($E36)=0),"",$E36*MAX(0,MIN($D36+1,EDATE(G$4,1))-MAX($C36,G$4))/MAX(1,$D36+1-$C36))</f>
        <v/>
      </c>
      <c r="H36" s="56" t="str">
        <f aca="false">IF(OR(H$4="",$C36="",$D36="",N($E36)=0),"",$E36*MAX(0,MIN($D36+1,EDATE(H$4,1))-MAX($C36,H$4))/MAX(1,$D36+1-$C36))</f>
        <v/>
      </c>
      <c r="I36" s="56" t="str">
        <f aca="false">IF(OR(I$4="",$C36="",$D36="",N($E36)=0),"",$E36*MAX(0,MIN($D36+1,EDATE(I$4,1))-MAX($C36,I$4))/MAX(1,$D36+1-$C36))</f>
        <v/>
      </c>
      <c r="J36" s="56" t="str">
        <f aca="false">IF(OR(J$4="",$C36="",$D36="",N($E36)=0),"",$E36*MAX(0,MIN($D36+1,EDATE(J$4,1))-MAX($C36,J$4))/MAX(1,$D36+1-$C36))</f>
        <v/>
      </c>
      <c r="K36" s="56" t="str">
        <f aca="false">IF(OR(K$4="",$C36="",$D36="",N($E36)=0),"",$E36*MAX(0,MIN($D36+1,EDATE(K$4,1))-MAX($C36,K$4))/MAX(1,$D36+1-$C36))</f>
        <v/>
      </c>
      <c r="L36" s="56" t="str">
        <f aca="false">IF(OR(L$4="",$C36="",$D36="",N($E36)=0),"",$E36*MAX(0,MIN($D36+1,EDATE(L$4,1))-MAX($C36,L$4))/MAX(1,$D36+1-$C36))</f>
        <v/>
      </c>
      <c r="M36" s="56" t="str">
        <f aca="false">IF(OR(M$4="",$C36="",$D36="",N($E36)=0),"",$E36*MAX(0,MIN($D36+1,EDATE(M$4,1))-MAX($C36,M$4))/MAX(1,$D36+1-$C36))</f>
        <v/>
      </c>
      <c r="N36" s="56" t="str">
        <f aca="false">IF(OR(N$4="",$C36="",$D36="",N($E36)=0),"",$E36*MAX(0,MIN($D36+1,EDATE(N$4,1))-MAX($C36,N$4))/MAX(1,$D36+1-$C36))</f>
        <v/>
      </c>
      <c r="O36" s="56" t="str">
        <f aca="false">IF(OR(O$4="",$C36="",$D36="",N($E36)=0),"",$E36*MAX(0,MIN($D36+1,EDATE(O$4,1))-MAX($C36,O$4))/MAX(1,$D36+1-$C36))</f>
        <v/>
      </c>
      <c r="P36" s="56" t="str">
        <f aca="false">IF(OR(P$4="",$C36="",$D36="",N($E36)=0),"",$E36*MAX(0,MIN($D36+1,EDATE(P$4,1))-MAX($C36,P$4))/MAX(1,$D36+1-$C36))</f>
        <v/>
      </c>
      <c r="Q36" s="56" t="str">
        <f aca="false">IF(OR(Q$4="",$C36="",$D36="",N($E36)=0),"",$E36*MAX(0,MIN($D36+1,EDATE(Q$4,1))-MAX($C36,Q$4))/MAX(1,$D36+1-$C36))</f>
        <v/>
      </c>
      <c r="R36" s="56" t="str">
        <f aca="false">IF(OR(R$4="",$C36="",$D36="",N($E36)=0),"",$E36*MAX(0,MIN($D36+1,EDATE(R$4,1))-MAX($C36,R$4))/MAX(1,$D36+1-$C36))</f>
        <v/>
      </c>
      <c r="S36" s="56" t="str">
        <f aca="false">IF(OR(S$4="",$C36="",$D36="",N($E36)=0),"",$E36*MAX(0,MIN($D36+1,EDATE(S$4,1))-MAX($C36,S$4))/MAX(1,$D36+1-$C36))</f>
        <v/>
      </c>
      <c r="T36" s="56" t="str">
        <f aca="false">IF(OR(T$4="",$C36="",$D36="",N($E36)=0),"",$E36*MAX(0,MIN($D36+1,EDATE(T$4,1))-MAX($C36,T$4))/MAX(1,$D36+1-$C36))</f>
        <v/>
      </c>
      <c r="U36" s="56" t="str">
        <f aca="false">IF(OR(U$4="",$C36="",$D36="",N($E36)=0),"",$E36*MAX(0,MIN($D36+1,EDATE(U$4,1))-MAX($C36,U$4))/MAX(1,$D36+1-$C36))</f>
        <v/>
      </c>
      <c r="V36" s="56" t="str">
        <f aca="false">IF(OR(V$4="",$C36="",$D36="",N($E36)=0),"",$E36*MAX(0,MIN($D36+1,EDATE(V$4,1))-MAX($C36,V$4))/MAX(1,$D36+1-$C36))</f>
        <v/>
      </c>
      <c r="W36" s="56" t="str">
        <f aca="false">IF(OR(W$4="",$C36="",$D36="",N($E36)=0),"",$E36*MAX(0,MIN($D36+1,EDATE(W$4,1))-MAX($C36,W$4))/MAX(1,$D36+1-$C36))</f>
        <v/>
      </c>
      <c r="X36" s="56" t="str">
        <f aca="false">IF(OR(X$4="",$C36="",$D36="",N($E36)=0),"",$E36*MAX(0,MIN($D36+1,EDATE(X$4,1))-MAX($C36,X$4))/MAX(1,$D36+1-$C36))</f>
        <v/>
      </c>
      <c r="Y36" s="56" t="str">
        <f aca="false">IF(OR(Y$4="",$C36="",$D36="",N($E36)=0),"",$E36*MAX(0,MIN($D36+1,EDATE(Y$4,1))-MAX($C36,Y$4))/MAX(1,$D36+1-$C36))</f>
        <v/>
      </c>
      <c r="Z36" s="56" t="str">
        <f aca="false">IF(OR(Z$4="",$C36="",$D36="",N($E36)=0),"",$E36*MAX(0,MIN($D36+1,EDATE(Z$4,1))-MAX($C36,Z$4))/MAX(1,$D36+1-$C36))</f>
        <v/>
      </c>
      <c r="AA36" s="56" t="str">
        <f aca="false">IF(OR(AA$4="",$C36="",$D36="",N($E36)=0),"",$E36*MAX(0,MIN($D36+1,EDATE(AA$4,1))-MAX($C36,AA$4))/MAX(1,$D36+1-$C36))</f>
        <v/>
      </c>
      <c r="AB36" s="56" t="str">
        <f aca="false">IF(OR(AB$4="",$C36="",$D36="",N($E36)=0),"",$E36*MAX(0,MIN($D36+1,EDATE(AB$4,1))-MAX($C36,AB$4))/MAX(1,$D36+1-$C36))</f>
        <v/>
      </c>
      <c r="AC36" s="56" t="str">
        <f aca="false">IF(OR(AC$4="",$C36="",$D36="",N($E36)=0),"",$E36*MAX(0,MIN($D36+1,EDATE(AC$4,1))-MAX($C36,AC$4))/MAX(1,$D36+1-$C36))</f>
        <v/>
      </c>
      <c r="AD36" s="56" t="str">
        <f aca="false">IF(OR(AD$4="",$C36="",$D36="",N($E36)=0),"",$E36*MAX(0,MIN($D36+1,EDATE(AD$4,1))-MAX($C36,AD$4))/MAX(1,$D36+1-$C36))</f>
        <v/>
      </c>
      <c r="AE36" s="56" t="str">
        <f aca="false">IF(OR(AE$4="",$C36="",$D36="",N($E36)=0),"",$E36*MAX(0,MIN($D36+1,EDATE(AE$4,1))-MAX($C36,AE$4))/MAX(1,$D36+1-$C36))</f>
        <v/>
      </c>
      <c r="AF36" s="56" t="str">
        <f aca="false">IF(OR(AF$4="",$C36="",$D36="",N($E36)=0),"",$E36*MAX(0,MIN($D36+1,EDATE(AF$4,1))-MAX($C36,AF$4))/MAX(1,$D36+1-$C36))</f>
        <v/>
      </c>
      <c r="AG36" s="56" t="str">
        <f aca="false">IF(OR(AG$4="",$C36="",$D36="",N($E36)=0),"",$E36*MAX(0,MIN($D36+1,EDATE(AG$4,1))-MAX($C36,AG$4))/MAX(1,$D36+1-$C36))</f>
        <v/>
      </c>
      <c r="AH36" s="56" t="str">
        <f aca="false">IF(OR(AH$4="",$C36="",$D36="",N($E36)=0),"",$E36*MAX(0,MIN($D36+1,EDATE(AH$4,1))-MAX($C36,AH$4))/MAX(1,$D36+1-$C36))</f>
        <v/>
      </c>
      <c r="AI36" s="56" t="str">
        <f aca="false">IF(OR(AI$4="",$C36="",$D36="",N($E36)=0),"",$E36*MAX(0,MIN($D36+1,EDATE(AI$4,1))-MAX($C36,AI$4))/MAX(1,$D36+1-$C36))</f>
        <v/>
      </c>
      <c r="AJ36" s="56" t="str">
        <f aca="false">IF(OR(AJ$4="",$C36="",$D36="",N($E36)=0),"",$E36*MAX(0,MIN($D36+1,EDATE(AJ$4,1))-MAX($C36,AJ$4))/MAX(1,$D36+1-$C36))</f>
        <v/>
      </c>
      <c r="AK36" s="56" t="str">
        <f aca="false">IF(OR(AK$4="",$C36="",$D36="",N($E36)=0),"",$E36*MAX(0,MIN($D36+1,EDATE(AK$4,1))-MAX($C36,AK$4))/MAX(1,$D36+1-$C36))</f>
        <v/>
      </c>
      <c r="AL36" s="56" t="str">
        <f aca="false">IF(OR(AL$4="",$C36="",$D36="",N($E36)=0),"",$E36*MAX(0,MIN($D36+1,EDATE(AL$4,1))-MAX($C36,AL$4))/MAX(1,$D36+1-$C36))</f>
        <v/>
      </c>
      <c r="AM36" s="56" t="str">
        <f aca="false">IF(OR(AM$4="",$C36="",$D36="",N($E36)=0),"",$E36*MAX(0,MIN($D36+1,EDATE(AM$4,1))-MAX($C36,AM$4))/MAX(1,$D36+1-$C36))</f>
        <v/>
      </c>
      <c r="AN36" s="56" t="str">
        <f aca="false">IF(OR(AN$4="",$C36="",$D36="",N($E36)=0),"",$E36*MAX(0,MIN($D36+1,EDATE(AN$4,1))-MAX($C36,AN$4))/MAX(1,$D36+1-$C36))</f>
        <v/>
      </c>
      <c r="AO36" s="56" t="str">
        <f aca="false">IF(OR(AO$4="",$C36="",$D36="",N($E36)=0),"",$E36*MAX(0,MIN($D36+1,EDATE(AO$4,1))-MAX($C36,AO$4))/MAX(1,$D36+1-$C36))</f>
        <v/>
      </c>
      <c r="AP36" s="56" t="str">
        <f aca="false">IF(OR(AP$4="",$C36="",$D36="",N($E36)=0),"",$E36*MAX(0,MIN($D36+1,EDATE(AP$4,1))-MAX($C36,AP$4))/MAX(1,$D36+1-$C36))</f>
        <v/>
      </c>
      <c r="AQ36" s="56" t="str">
        <f aca="false">IF(OR(AQ$4="",$C36="",$D36="",N($E36)=0),"",$E36*MAX(0,MIN($D36+1,EDATE(AQ$4,1))-MAX($C36,AQ$4))/MAX(1,$D36+1-$C36))</f>
        <v/>
      </c>
      <c r="AR36" s="56" t="str">
        <f aca="false">IF(OR(AR$4="",$C36="",$D36="",N($E36)=0),"",$E36*MAX(0,MIN($D36+1,EDATE(AR$4,1))-MAX($C36,AR$4))/MAX(1,$D36+1-$C36))</f>
        <v/>
      </c>
      <c r="AS36" s="56" t="str">
        <f aca="false">IF(OR(AS$4="",$C36="",$D36="",N($E36)=0),"",$E36*MAX(0,MIN($D36+1,EDATE(AS$4,1))-MAX($C36,AS$4))/MAX(1,$D36+1-$C36))</f>
        <v/>
      </c>
      <c r="AT36" s="56" t="str">
        <f aca="false">IF(OR(AT$4="",$C36="",$D36="",N($E36)=0),"",$E36*MAX(0,MIN($D36+1,EDATE(AT$4,1))-MAX($C36,AT$4))/MAX(1,$D36+1-$C36))</f>
        <v/>
      </c>
      <c r="AU36" s="56" t="str">
        <f aca="false">IF(OR(AU$4="",$C36="",$D36="",N($E36)=0),"",$E36*MAX(0,MIN($D36+1,EDATE(AU$4,1))-MAX($C36,AU$4))/MAX(1,$D36+1-$C36))</f>
        <v/>
      </c>
      <c r="AV36" s="56" t="str">
        <f aca="false">IF(OR(AV$4="",$C36="",$D36="",N($E36)=0),"",$E36*MAX(0,MIN($D36+1,EDATE(AV$4,1))-MAX($C36,AV$4))/MAX(1,$D36+1-$C36))</f>
        <v/>
      </c>
      <c r="AW36" s="56" t="str">
        <f aca="false">IF(OR(AW$4="",$C36="",$D36="",N($E36)=0),"",$E36*MAX(0,MIN($D36+1,EDATE(AW$4,1))-MAX($C36,AW$4))/MAX(1,$D36+1-$C36))</f>
        <v/>
      </c>
      <c r="AX36" s="56" t="str">
        <f aca="false">IF(OR(AX$4="",$C36="",$D36="",N($E36)=0),"",$E36*MAX(0,MIN($D36+1,EDATE(AX$4,1))-MAX($C36,AX$4))/MAX(1,$D36+1-$C36))</f>
        <v/>
      </c>
      <c r="AY36" s="56" t="str">
        <f aca="false">IF(OR(AY$4="",$C36="",$D36="",N($E36)=0),"",$E36*MAX(0,MIN($D36+1,EDATE(AY$4,1))-MAX($C36,AY$4))/MAX(1,$D36+1-$C36))</f>
        <v/>
      </c>
      <c r="AZ36" s="56" t="str">
        <f aca="false">IF(OR(AZ$4="",$C36="",$D36="",N($E36)=0),"",$E36*MAX(0,MIN($D36+1,EDATE(AZ$4,1))-MAX($C36,AZ$4))/MAX(1,$D36+1-$C36))</f>
        <v/>
      </c>
      <c r="BA36" s="56" t="str">
        <f aca="false">IF(OR(BA$4="",$C36="",$D36="",N($E36)=0),"",$E36*MAX(0,MIN($D36+1,EDATE(BA$4,1))-MAX($C36,BA$4))/MAX(1,$D36+1-$C36))</f>
        <v/>
      </c>
      <c r="BB36" s="56" t="str">
        <f aca="false">IF(OR(BB$4="",$C36="",$D36="",N($E36)=0),"",$E36*MAX(0,MIN($D36+1,EDATE(BB$4,1))-MAX($C36,BB$4))/MAX(1,$D36+1-$C36))</f>
        <v/>
      </c>
      <c r="BC36" s="56" t="str">
        <f aca="false">IF(OR(BC$4="",$C36="",$D36="",N($E36)=0),"",$E36*MAX(0,MIN($D36+1,EDATE(BC$4,1))-MAX($C36,BC$4))/MAX(1,$D36+1-$C36))</f>
        <v/>
      </c>
      <c r="BD36" s="56" t="str">
        <f aca="false">IF(OR(BD$4="",$C36="",$D36="",N($E36)=0),"",$E36*MAX(0,MIN($D36+1,EDATE(BD$4,1))-MAX($C36,BD$4))/MAX(1,$D36+1-$C36))</f>
        <v/>
      </c>
      <c r="BE36" s="56" t="str">
        <f aca="false">IF(OR(BE$4="",$C36="",$D36="",N($E36)=0),"",$E36*MAX(0,MIN($D36+1,EDATE(BE$4,1))-MAX($C36,BE$4))/MAX(1,$D36+1-$C36))</f>
        <v/>
      </c>
      <c r="BF36" s="56" t="str">
        <f aca="false">IF(OR(BF$4="",$C36="",$D36="",N($E36)=0),"",$E36*MAX(0,MIN($D36+1,EDATE(BF$4,1))-MAX($C36,BF$4))/MAX(1,$D36+1-$C36))</f>
        <v/>
      </c>
      <c r="BG36" s="56" t="str">
        <f aca="false">IF(OR(BG$4="",$C36="",$D36="",N($E36)=0),"",$E36*MAX(0,MIN($D36+1,EDATE(BG$4,1))-MAX($C36,BG$4))/MAX(1,$D36+1-$C36))</f>
        <v/>
      </c>
      <c r="BH36" s="56" t="str">
        <f aca="false">IF(OR(BH$4="",$C36="",$D36="",N($E36)=0),"",$E36*MAX(0,MIN($D36+1,EDATE(BH$4,1))-MAX($C36,BH$4))/MAX(1,$D36+1-$C36))</f>
        <v/>
      </c>
      <c r="BI36" s="56" t="str">
        <f aca="false">IF(OR(BI$4="",$C36="",$D36="",N($E36)=0),"",$E36*MAX(0,MIN($D36+1,EDATE(BI$4,1))-MAX($C36,BI$4))/MAX(1,$D36+1-$C36))</f>
        <v/>
      </c>
      <c r="BJ36" s="56" t="str">
        <f aca="false">IF(OR(BJ$4="",$C36="",$D36="",N($E36)=0),"",$E36*MAX(0,MIN($D36+1,EDATE(BJ$4,1))-MAX($C36,BJ$4))/MAX(1,$D36+1-$C36))</f>
        <v/>
      </c>
      <c r="BK36" s="56" t="str">
        <f aca="false">IF(OR(BK$4="",$C36="",$D36="",N($E36)=0),"",$E36*MAX(0,MIN($D36+1,EDATE(BK$4,1))-MAX($C36,BK$4))/MAX(1,$D36+1-$C36))</f>
        <v/>
      </c>
      <c r="BL36" s="56" t="str">
        <f aca="false">IF(OR(BL$4="",$C36="",$D36="",N($E36)=0),"",$E36*MAX(0,MIN($D36+1,EDATE(BL$4,1))-MAX($C36,BL$4))/MAX(1,$D36+1-$C36))</f>
        <v/>
      </c>
      <c r="BM36" s="56" t="str">
        <f aca="false">IF(OR(BM$4="",$C36="",$D36="",N($E36)=0),"",$E36*MAX(0,MIN($D36+1,EDATE(BM$4,1))-MAX($C36,BM$4))/MAX(1,$D36+1-$C36))</f>
        <v/>
      </c>
      <c r="BN36" s="56" t="str">
        <f aca="false">IF(OR(BN$4="",$C36="",$D36="",N($E36)=0),"",$E36*MAX(0,MIN($D36+1,EDATE(BN$4,1))-MAX($C36,BN$4))/MAX(1,$D36+1-$C36))</f>
        <v/>
      </c>
      <c r="BO36" s="56" t="str">
        <f aca="false">IF(OR(BO$4="",$C36="",$D36="",N($E36)=0),"",$E36*MAX(0,MIN($D36+1,EDATE(BO$4,1))-MAX($C36,BO$4))/MAX(1,$D36+1-$C36))</f>
        <v/>
      </c>
      <c r="BP36" s="56" t="str">
        <f aca="false">IF(OR(BP$4="",$C36="",$D36="",N($E36)=0),"",$E36*MAX(0,MIN($D36+1,EDATE(BP$4,1))-MAX($C36,BP$4))/MAX(1,$D36+1-$C36))</f>
        <v/>
      </c>
      <c r="BQ36" s="56" t="str">
        <f aca="false">IF(OR(BQ$4="",$C36="",$D36="",N($E36)=0),"",$E36*MAX(0,MIN($D36+1,EDATE(BQ$4,1))-MAX($C36,BQ$4))/MAX(1,$D36+1-$C36))</f>
        <v/>
      </c>
      <c r="BR36" s="56" t="str">
        <f aca="false">IF(OR(BR$4="",$C36="",$D36="",N($E36)=0),"",$E36*MAX(0,MIN($D36+1,EDATE(BR$4,1))-MAX($C36,BR$4))/MAX(1,$D36+1-$C36))</f>
        <v/>
      </c>
      <c r="BS36" s="56" t="str">
        <f aca="false">IF(OR(BS$4="",$C36="",$D36="",N($E36)=0),"",$E36*MAX(0,MIN($D36+1,EDATE(BS$4,1))-MAX($C36,BS$4))/MAX(1,$D36+1-$C36))</f>
        <v/>
      </c>
      <c r="BT36" s="56" t="str">
        <f aca="false">IF(OR(BT$4="",$C36="",$D36="",N($E36)=0),"",$E36*MAX(0,MIN($D36+1,EDATE(BT$4,1))-MAX($C36,BT$4))/MAX(1,$D36+1-$C36))</f>
        <v/>
      </c>
      <c r="BU36" s="56" t="str">
        <f aca="false">IF(OR(BU$4="",$C36="",$D36="",N($E36)=0),"",$E36*MAX(0,MIN($D36+1,EDATE(BU$4,1))-MAX($C36,BU$4))/MAX(1,$D36+1-$C36))</f>
        <v/>
      </c>
      <c r="BV36" s="56" t="str">
        <f aca="false">IF(OR(BV$4="",$C36="",$D36="",N($E36)=0),"",$E36*MAX(0,MIN($D36+1,EDATE(BV$4,1))-MAX($C36,BV$4))/MAX(1,$D36+1-$C36))</f>
        <v/>
      </c>
      <c r="BW36" s="56" t="str">
        <f aca="false">IF(OR(BW$4="",$C36="",$D36="",N($E36)=0),"",$E36*MAX(0,MIN($D36+1,EDATE(BW$4,1))-MAX($C36,BW$4))/MAX(1,$D36+1-$C36))</f>
        <v/>
      </c>
      <c r="BX36" s="56" t="str">
        <f aca="false">IF(OR(BX$4="",$C36="",$D36="",N($E36)=0),"",$E36*MAX(0,MIN($D36+1,EDATE(BX$4,1))-MAX($C36,BX$4))/MAX(1,$D36+1-$C36))</f>
        <v/>
      </c>
      <c r="BY36" s="56" t="str">
        <f aca="false">IF(OR(BY$4="",$C36="",$D36="",N($E36)=0),"",$E36*MAX(0,MIN($D36+1,EDATE(BY$4,1))-MAX($C36,BY$4))/MAX(1,$D36+1-$C36))</f>
        <v/>
      </c>
    </row>
    <row r="37" customFormat="false" ht="15" hidden="false" customHeight="false" outlineLevel="0" collapsed="false">
      <c r="A37" s="53" t="str">
        <f aca="false">IF(BOE!$A38="","",BOE!$A38)</f>
        <v/>
      </c>
      <c r="B37" s="53" t="str">
        <f aca="false">IF(BOE!$A38="","",BOE!$C38)</f>
        <v/>
      </c>
      <c r="C37" s="54" t="str">
        <f aca="false">IF(BOE!$O38="","",BOE!$O38)</f>
        <v/>
      </c>
      <c r="D37" s="54" t="str">
        <f aca="false">IF(BOE!$P38="","",BOE!$P38)</f>
        <v/>
      </c>
      <c r="E37" s="55" t="n">
        <f aca="false">IF(Inputs!$B$7="P90",BOE!$T38,BOE!$R38)</f>
        <v>0</v>
      </c>
      <c r="F37" s="56" t="str">
        <f aca="false">IF(OR(F$4="",$C37="",$D37="",N($E37)=0),"",$E37*MAX(0,MIN($D37+1,EDATE(F$4,1))-MAX($C37,F$4))/MAX(1,$D37+1-$C37))</f>
        <v/>
      </c>
      <c r="G37" s="56" t="str">
        <f aca="false">IF(OR(G$4="",$C37="",$D37="",N($E37)=0),"",$E37*MAX(0,MIN($D37+1,EDATE(G$4,1))-MAX($C37,G$4))/MAX(1,$D37+1-$C37))</f>
        <v/>
      </c>
      <c r="H37" s="56" t="str">
        <f aca="false">IF(OR(H$4="",$C37="",$D37="",N($E37)=0),"",$E37*MAX(0,MIN($D37+1,EDATE(H$4,1))-MAX($C37,H$4))/MAX(1,$D37+1-$C37))</f>
        <v/>
      </c>
      <c r="I37" s="56" t="str">
        <f aca="false">IF(OR(I$4="",$C37="",$D37="",N($E37)=0),"",$E37*MAX(0,MIN($D37+1,EDATE(I$4,1))-MAX($C37,I$4))/MAX(1,$D37+1-$C37))</f>
        <v/>
      </c>
      <c r="J37" s="56" t="str">
        <f aca="false">IF(OR(J$4="",$C37="",$D37="",N($E37)=0),"",$E37*MAX(0,MIN($D37+1,EDATE(J$4,1))-MAX($C37,J$4))/MAX(1,$D37+1-$C37))</f>
        <v/>
      </c>
      <c r="K37" s="56" t="str">
        <f aca="false">IF(OR(K$4="",$C37="",$D37="",N($E37)=0),"",$E37*MAX(0,MIN($D37+1,EDATE(K$4,1))-MAX($C37,K$4))/MAX(1,$D37+1-$C37))</f>
        <v/>
      </c>
      <c r="L37" s="56" t="str">
        <f aca="false">IF(OR(L$4="",$C37="",$D37="",N($E37)=0),"",$E37*MAX(0,MIN($D37+1,EDATE(L$4,1))-MAX($C37,L$4))/MAX(1,$D37+1-$C37))</f>
        <v/>
      </c>
      <c r="M37" s="56" t="str">
        <f aca="false">IF(OR(M$4="",$C37="",$D37="",N($E37)=0),"",$E37*MAX(0,MIN($D37+1,EDATE(M$4,1))-MAX($C37,M$4))/MAX(1,$D37+1-$C37))</f>
        <v/>
      </c>
      <c r="N37" s="56" t="str">
        <f aca="false">IF(OR(N$4="",$C37="",$D37="",N($E37)=0),"",$E37*MAX(0,MIN($D37+1,EDATE(N$4,1))-MAX($C37,N$4))/MAX(1,$D37+1-$C37))</f>
        <v/>
      </c>
      <c r="O37" s="56" t="str">
        <f aca="false">IF(OR(O$4="",$C37="",$D37="",N($E37)=0),"",$E37*MAX(0,MIN($D37+1,EDATE(O$4,1))-MAX($C37,O$4))/MAX(1,$D37+1-$C37))</f>
        <v/>
      </c>
      <c r="P37" s="56" t="str">
        <f aca="false">IF(OR(P$4="",$C37="",$D37="",N($E37)=0),"",$E37*MAX(0,MIN($D37+1,EDATE(P$4,1))-MAX($C37,P$4))/MAX(1,$D37+1-$C37))</f>
        <v/>
      </c>
      <c r="Q37" s="56" t="str">
        <f aca="false">IF(OR(Q$4="",$C37="",$D37="",N($E37)=0),"",$E37*MAX(0,MIN($D37+1,EDATE(Q$4,1))-MAX($C37,Q$4))/MAX(1,$D37+1-$C37))</f>
        <v/>
      </c>
      <c r="R37" s="56" t="str">
        <f aca="false">IF(OR(R$4="",$C37="",$D37="",N($E37)=0),"",$E37*MAX(0,MIN($D37+1,EDATE(R$4,1))-MAX($C37,R$4))/MAX(1,$D37+1-$C37))</f>
        <v/>
      </c>
      <c r="S37" s="56" t="str">
        <f aca="false">IF(OR(S$4="",$C37="",$D37="",N($E37)=0),"",$E37*MAX(0,MIN($D37+1,EDATE(S$4,1))-MAX($C37,S$4))/MAX(1,$D37+1-$C37))</f>
        <v/>
      </c>
      <c r="T37" s="56" t="str">
        <f aca="false">IF(OR(T$4="",$C37="",$D37="",N($E37)=0),"",$E37*MAX(0,MIN($D37+1,EDATE(T$4,1))-MAX($C37,T$4))/MAX(1,$D37+1-$C37))</f>
        <v/>
      </c>
      <c r="U37" s="56" t="str">
        <f aca="false">IF(OR(U$4="",$C37="",$D37="",N($E37)=0),"",$E37*MAX(0,MIN($D37+1,EDATE(U$4,1))-MAX($C37,U$4))/MAX(1,$D37+1-$C37))</f>
        <v/>
      </c>
      <c r="V37" s="56" t="str">
        <f aca="false">IF(OR(V$4="",$C37="",$D37="",N($E37)=0),"",$E37*MAX(0,MIN($D37+1,EDATE(V$4,1))-MAX($C37,V$4))/MAX(1,$D37+1-$C37))</f>
        <v/>
      </c>
      <c r="W37" s="56" t="str">
        <f aca="false">IF(OR(W$4="",$C37="",$D37="",N($E37)=0),"",$E37*MAX(0,MIN($D37+1,EDATE(W$4,1))-MAX($C37,W$4))/MAX(1,$D37+1-$C37))</f>
        <v/>
      </c>
      <c r="X37" s="56" t="str">
        <f aca="false">IF(OR(X$4="",$C37="",$D37="",N($E37)=0),"",$E37*MAX(0,MIN($D37+1,EDATE(X$4,1))-MAX($C37,X$4))/MAX(1,$D37+1-$C37))</f>
        <v/>
      </c>
      <c r="Y37" s="56" t="str">
        <f aca="false">IF(OR(Y$4="",$C37="",$D37="",N($E37)=0),"",$E37*MAX(0,MIN($D37+1,EDATE(Y$4,1))-MAX($C37,Y$4))/MAX(1,$D37+1-$C37))</f>
        <v/>
      </c>
      <c r="Z37" s="56" t="str">
        <f aca="false">IF(OR(Z$4="",$C37="",$D37="",N($E37)=0),"",$E37*MAX(0,MIN($D37+1,EDATE(Z$4,1))-MAX($C37,Z$4))/MAX(1,$D37+1-$C37))</f>
        <v/>
      </c>
      <c r="AA37" s="56" t="str">
        <f aca="false">IF(OR(AA$4="",$C37="",$D37="",N($E37)=0),"",$E37*MAX(0,MIN($D37+1,EDATE(AA$4,1))-MAX($C37,AA$4))/MAX(1,$D37+1-$C37))</f>
        <v/>
      </c>
      <c r="AB37" s="56" t="str">
        <f aca="false">IF(OR(AB$4="",$C37="",$D37="",N($E37)=0),"",$E37*MAX(0,MIN($D37+1,EDATE(AB$4,1))-MAX($C37,AB$4))/MAX(1,$D37+1-$C37))</f>
        <v/>
      </c>
      <c r="AC37" s="56" t="str">
        <f aca="false">IF(OR(AC$4="",$C37="",$D37="",N($E37)=0),"",$E37*MAX(0,MIN($D37+1,EDATE(AC$4,1))-MAX($C37,AC$4))/MAX(1,$D37+1-$C37))</f>
        <v/>
      </c>
      <c r="AD37" s="56" t="str">
        <f aca="false">IF(OR(AD$4="",$C37="",$D37="",N($E37)=0),"",$E37*MAX(0,MIN($D37+1,EDATE(AD$4,1))-MAX($C37,AD$4))/MAX(1,$D37+1-$C37))</f>
        <v/>
      </c>
      <c r="AE37" s="56" t="str">
        <f aca="false">IF(OR(AE$4="",$C37="",$D37="",N($E37)=0),"",$E37*MAX(0,MIN($D37+1,EDATE(AE$4,1))-MAX($C37,AE$4))/MAX(1,$D37+1-$C37))</f>
        <v/>
      </c>
      <c r="AF37" s="56" t="str">
        <f aca="false">IF(OR(AF$4="",$C37="",$D37="",N($E37)=0),"",$E37*MAX(0,MIN($D37+1,EDATE(AF$4,1))-MAX($C37,AF$4))/MAX(1,$D37+1-$C37))</f>
        <v/>
      </c>
      <c r="AG37" s="56" t="str">
        <f aca="false">IF(OR(AG$4="",$C37="",$D37="",N($E37)=0),"",$E37*MAX(0,MIN($D37+1,EDATE(AG$4,1))-MAX($C37,AG$4))/MAX(1,$D37+1-$C37))</f>
        <v/>
      </c>
      <c r="AH37" s="56" t="str">
        <f aca="false">IF(OR(AH$4="",$C37="",$D37="",N($E37)=0),"",$E37*MAX(0,MIN($D37+1,EDATE(AH$4,1))-MAX($C37,AH$4))/MAX(1,$D37+1-$C37))</f>
        <v/>
      </c>
      <c r="AI37" s="56" t="str">
        <f aca="false">IF(OR(AI$4="",$C37="",$D37="",N($E37)=0),"",$E37*MAX(0,MIN($D37+1,EDATE(AI$4,1))-MAX($C37,AI$4))/MAX(1,$D37+1-$C37))</f>
        <v/>
      </c>
      <c r="AJ37" s="56" t="str">
        <f aca="false">IF(OR(AJ$4="",$C37="",$D37="",N($E37)=0),"",$E37*MAX(0,MIN($D37+1,EDATE(AJ$4,1))-MAX($C37,AJ$4))/MAX(1,$D37+1-$C37))</f>
        <v/>
      </c>
      <c r="AK37" s="56" t="str">
        <f aca="false">IF(OR(AK$4="",$C37="",$D37="",N($E37)=0),"",$E37*MAX(0,MIN($D37+1,EDATE(AK$4,1))-MAX($C37,AK$4))/MAX(1,$D37+1-$C37))</f>
        <v/>
      </c>
      <c r="AL37" s="56" t="str">
        <f aca="false">IF(OR(AL$4="",$C37="",$D37="",N($E37)=0),"",$E37*MAX(0,MIN($D37+1,EDATE(AL$4,1))-MAX($C37,AL$4))/MAX(1,$D37+1-$C37))</f>
        <v/>
      </c>
      <c r="AM37" s="56" t="str">
        <f aca="false">IF(OR(AM$4="",$C37="",$D37="",N($E37)=0),"",$E37*MAX(0,MIN($D37+1,EDATE(AM$4,1))-MAX($C37,AM$4))/MAX(1,$D37+1-$C37))</f>
        <v/>
      </c>
      <c r="AN37" s="56" t="str">
        <f aca="false">IF(OR(AN$4="",$C37="",$D37="",N($E37)=0),"",$E37*MAX(0,MIN($D37+1,EDATE(AN$4,1))-MAX($C37,AN$4))/MAX(1,$D37+1-$C37))</f>
        <v/>
      </c>
      <c r="AO37" s="56" t="str">
        <f aca="false">IF(OR(AO$4="",$C37="",$D37="",N($E37)=0),"",$E37*MAX(0,MIN($D37+1,EDATE(AO$4,1))-MAX($C37,AO$4))/MAX(1,$D37+1-$C37))</f>
        <v/>
      </c>
      <c r="AP37" s="56" t="str">
        <f aca="false">IF(OR(AP$4="",$C37="",$D37="",N($E37)=0),"",$E37*MAX(0,MIN($D37+1,EDATE(AP$4,1))-MAX($C37,AP$4))/MAX(1,$D37+1-$C37))</f>
        <v/>
      </c>
      <c r="AQ37" s="56" t="str">
        <f aca="false">IF(OR(AQ$4="",$C37="",$D37="",N($E37)=0),"",$E37*MAX(0,MIN($D37+1,EDATE(AQ$4,1))-MAX($C37,AQ$4))/MAX(1,$D37+1-$C37))</f>
        <v/>
      </c>
      <c r="AR37" s="56" t="str">
        <f aca="false">IF(OR(AR$4="",$C37="",$D37="",N($E37)=0),"",$E37*MAX(0,MIN($D37+1,EDATE(AR$4,1))-MAX($C37,AR$4))/MAX(1,$D37+1-$C37))</f>
        <v/>
      </c>
      <c r="AS37" s="56" t="str">
        <f aca="false">IF(OR(AS$4="",$C37="",$D37="",N($E37)=0),"",$E37*MAX(0,MIN($D37+1,EDATE(AS$4,1))-MAX($C37,AS$4))/MAX(1,$D37+1-$C37))</f>
        <v/>
      </c>
      <c r="AT37" s="56" t="str">
        <f aca="false">IF(OR(AT$4="",$C37="",$D37="",N($E37)=0),"",$E37*MAX(0,MIN($D37+1,EDATE(AT$4,1))-MAX($C37,AT$4))/MAX(1,$D37+1-$C37))</f>
        <v/>
      </c>
      <c r="AU37" s="56" t="str">
        <f aca="false">IF(OR(AU$4="",$C37="",$D37="",N($E37)=0),"",$E37*MAX(0,MIN($D37+1,EDATE(AU$4,1))-MAX($C37,AU$4))/MAX(1,$D37+1-$C37))</f>
        <v/>
      </c>
      <c r="AV37" s="56" t="str">
        <f aca="false">IF(OR(AV$4="",$C37="",$D37="",N($E37)=0),"",$E37*MAX(0,MIN($D37+1,EDATE(AV$4,1))-MAX($C37,AV$4))/MAX(1,$D37+1-$C37))</f>
        <v/>
      </c>
      <c r="AW37" s="56" t="str">
        <f aca="false">IF(OR(AW$4="",$C37="",$D37="",N($E37)=0),"",$E37*MAX(0,MIN($D37+1,EDATE(AW$4,1))-MAX($C37,AW$4))/MAX(1,$D37+1-$C37))</f>
        <v/>
      </c>
      <c r="AX37" s="56" t="str">
        <f aca="false">IF(OR(AX$4="",$C37="",$D37="",N($E37)=0),"",$E37*MAX(0,MIN($D37+1,EDATE(AX$4,1))-MAX($C37,AX$4))/MAX(1,$D37+1-$C37))</f>
        <v/>
      </c>
      <c r="AY37" s="56" t="str">
        <f aca="false">IF(OR(AY$4="",$C37="",$D37="",N($E37)=0),"",$E37*MAX(0,MIN($D37+1,EDATE(AY$4,1))-MAX($C37,AY$4))/MAX(1,$D37+1-$C37))</f>
        <v/>
      </c>
      <c r="AZ37" s="56" t="str">
        <f aca="false">IF(OR(AZ$4="",$C37="",$D37="",N($E37)=0),"",$E37*MAX(0,MIN($D37+1,EDATE(AZ$4,1))-MAX($C37,AZ$4))/MAX(1,$D37+1-$C37))</f>
        <v/>
      </c>
      <c r="BA37" s="56" t="str">
        <f aca="false">IF(OR(BA$4="",$C37="",$D37="",N($E37)=0),"",$E37*MAX(0,MIN($D37+1,EDATE(BA$4,1))-MAX($C37,BA$4))/MAX(1,$D37+1-$C37))</f>
        <v/>
      </c>
      <c r="BB37" s="56" t="str">
        <f aca="false">IF(OR(BB$4="",$C37="",$D37="",N($E37)=0),"",$E37*MAX(0,MIN($D37+1,EDATE(BB$4,1))-MAX($C37,BB$4))/MAX(1,$D37+1-$C37))</f>
        <v/>
      </c>
      <c r="BC37" s="56" t="str">
        <f aca="false">IF(OR(BC$4="",$C37="",$D37="",N($E37)=0),"",$E37*MAX(0,MIN($D37+1,EDATE(BC$4,1))-MAX($C37,BC$4))/MAX(1,$D37+1-$C37))</f>
        <v/>
      </c>
      <c r="BD37" s="56" t="str">
        <f aca="false">IF(OR(BD$4="",$C37="",$D37="",N($E37)=0),"",$E37*MAX(0,MIN($D37+1,EDATE(BD$4,1))-MAX($C37,BD$4))/MAX(1,$D37+1-$C37))</f>
        <v/>
      </c>
      <c r="BE37" s="56" t="str">
        <f aca="false">IF(OR(BE$4="",$C37="",$D37="",N($E37)=0),"",$E37*MAX(0,MIN($D37+1,EDATE(BE$4,1))-MAX($C37,BE$4))/MAX(1,$D37+1-$C37))</f>
        <v/>
      </c>
      <c r="BF37" s="56" t="str">
        <f aca="false">IF(OR(BF$4="",$C37="",$D37="",N($E37)=0),"",$E37*MAX(0,MIN($D37+1,EDATE(BF$4,1))-MAX($C37,BF$4))/MAX(1,$D37+1-$C37))</f>
        <v/>
      </c>
      <c r="BG37" s="56" t="str">
        <f aca="false">IF(OR(BG$4="",$C37="",$D37="",N($E37)=0),"",$E37*MAX(0,MIN($D37+1,EDATE(BG$4,1))-MAX($C37,BG$4))/MAX(1,$D37+1-$C37))</f>
        <v/>
      </c>
      <c r="BH37" s="56" t="str">
        <f aca="false">IF(OR(BH$4="",$C37="",$D37="",N($E37)=0),"",$E37*MAX(0,MIN($D37+1,EDATE(BH$4,1))-MAX($C37,BH$4))/MAX(1,$D37+1-$C37))</f>
        <v/>
      </c>
      <c r="BI37" s="56" t="str">
        <f aca="false">IF(OR(BI$4="",$C37="",$D37="",N($E37)=0),"",$E37*MAX(0,MIN($D37+1,EDATE(BI$4,1))-MAX($C37,BI$4))/MAX(1,$D37+1-$C37))</f>
        <v/>
      </c>
      <c r="BJ37" s="56" t="str">
        <f aca="false">IF(OR(BJ$4="",$C37="",$D37="",N($E37)=0),"",$E37*MAX(0,MIN($D37+1,EDATE(BJ$4,1))-MAX($C37,BJ$4))/MAX(1,$D37+1-$C37))</f>
        <v/>
      </c>
      <c r="BK37" s="56" t="str">
        <f aca="false">IF(OR(BK$4="",$C37="",$D37="",N($E37)=0),"",$E37*MAX(0,MIN($D37+1,EDATE(BK$4,1))-MAX($C37,BK$4))/MAX(1,$D37+1-$C37))</f>
        <v/>
      </c>
      <c r="BL37" s="56" t="str">
        <f aca="false">IF(OR(BL$4="",$C37="",$D37="",N($E37)=0),"",$E37*MAX(0,MIN($D37+1,EDATE(BL$4,1))-MAX($C37,BL$4))/MAX(1,$D37+1-$C37))</f>
        <v/>
      </c>
      <c r="BM37" s="56" t="str">
        <f aca="false">IF(OR(BM$4="",$C37="",$D37="",N($E37)=0),"",$E37*MAX(0,MIN($D37+1,EDATE(BM$4,1))-MAX($C37,BM$4))/MAX(1,$D37+1-$C37))</f>
        <v/>
      </c>
      <c r="BN37" s="56" t="str">
        <f aca="false">IF(OR(BN$4="",$C37="",$D37="",N($E37)=0),"",$E37*MAX(0,MIN($D37+1,EDATE(BN$4,1))-MAX($C37,BN$4))/MAX(1,$D37+1-$C37))</f>
        <v/>
      </c>
      <c r="BO37" s="56" t="str">
        <f aca="false">IF(OR(BO$4="",$C37="",$D37="",N($E37)=0),"",$E37*MAX(0,MIN($D37+1,EDATE(BO$4,1))-MAX($C37,BO$4))/MAX(1,$D37+1-$C37))</f>
        <v/>
      </c>
      <c r="BP37" s="56" t="str">
        <f aca="false">IF(OR(BP$4="",$C37="",$D37="",N($E37)=0),"",$E37*MAX(0,MIN($D37+1,EDATE(BP$4,1))-MAX($C37,BP$4))/MAX(1,$D37+1-$C37))</f>
        <v/>
      </c>
      <c r="BQ37" s="56" t="str">
        <f aca="false">IF(OR(BQ$4="",$C37="",$D37="",N($E37)=0),"",$E37*MAX(0,MIN($D37+1,EDATE(BQ$4,1))-MAX($C37,BQ$4))/MAX(1,$D37+1-$C37))</f>
        <v/>
      </c>
      <c r="BR37" s="56" t="str">
        <f aca="false">IF(OR(BR$4="",$C37="",$D37="",N($E37)=0),"",$E37*MAX(0,MIN($D37+1,EDATE(BR$4,1))-MAX($C37,BR$4))/MAX(1,$D37+1-$C37))</f>
        <v/>
      </c>
      <c r="BS37" s="56" t="str">
        <f aca="false">IF(OR(BS$4="",$C37="",$D37="",N($E37)=0),"",$E37*MAX(0,MIN($D37+1,EDATE(BS$4,1))-MAX($C37,BS$4))/MAX(1,$D37+1-$C37))</f>
        <v/>
      </c>
      <c r="BT37" s="56" t="str">
        <f aca="false">IF(OR(BT$4="",$C37="",$D37="",N($E37)=0),"",$E37*MAX(0,MIN($D37+1,EDATE(BT$4,1))-MAX($C37,BT$4))/MAX(1,$D37+1-$C37))</f>
        <v/>
      </c>
      <c r="BU37" s="56" t="str">
        <f aca="false">IF(OR(BU$4="",$C37="",$D37="",N($E37)=0),"",$E37*MAX(0,MIN($D37+1,EDATE(BU$4,1))-MAX($C37,BU$4))/MAX(1,$D37+1-$C37))</f>
        <v/>
      </c>
      <c r="BV37" s="56" t="str">
        <f aca="false">IF(OR(BV$4="",$C37="",$D37="",N($E37)=0),"",$E37*MAX(0,MIN($D37+1,EDATE(BV$4,1))-MAX($C37,BV$4))/MAX(1,$D37+1-$C37))</f>
        <v/>
      </c>
      <c r="BW37" s="56" t="str">
        <f aca="false">IF(OR(BW$4="",$C37="",$D37="",N($E37)=0),"",$E37*MAX(0,MIN($D37+1,EDATE(BW$4,1))-MAX($C37,BW$4))/MAX(1,$D37+1-$C37))</f>
        <v/>
      </c>
      <c r="BX37" s="56" t="str">
        <f aca="false">IF(OR(BX$4="",$C37="",$D37="",N($E37)=0),"",$E37*MAX(0,MIN($D37+1,EDATE(BX$4,1))-MAX($C37,BX$4))/MAX(1,$D37+1-$C37))</f>
        <v/>
      </c>
      <c r="BY37" s="56" t="str">
        <f aca="false">IF(OR(BY$4="",$C37="",$D37="",N($E37)=0),"",$E37*MAX(0,MIN($D37+1,EDATE(BY$4,1))-MAX($C37,BY$4))/MAX(1,$D37+1-$C37))</f>
        <v/>
      </c>
    </row>
    <row r="38" customFormat="false" ht="15" hidden="false" customHeight="false" outlineLevel="0" collapsed="false">
      <c r="A38" s="53" t="str">
        <f aca="false">IF(BOE!$A39="","",BOE!$A39)</f>
        <v/>
      </c>
      <c r="B38" s="53" t="str">
        <f aca="false">IF(BOE!$A39="","",BOE!$C39)</f>
        <v/>
      </c>
      <c r="C38" s="54" t="str">
        <f aca="false">IF(BOE!$O39="","",BOE!$O39)</f>
        <v/>
      </c>
      <c r="D38" s="54" t="str">
        <f aca="false">IF(BOE!$P39="","",BOE!$P39)</f>
        <v/>
      </c>
      <c r="E38" s="55" t="n">
        <f aca="false">IF(Inputs!$B$7="P90",BOE!$T39,BOE!$R39)</f>
        <v>0</v>
      </c>
      <c r="F38" s="56" t="str">
        <f aca="false">IF(OR(F$4="",$C38="",$D38="",N($E38)=0),"",$E38*MAX(0,MIN($D38+1,EDATE(F$4,1))-MAX($C38,F$4))/MAX(1,$D38+1-$C38))</f>
        <v/>
      </c>
      <c r="G38" s="56" t="str">
        <f aca="false">IF(OR(G$4="",$C38="",$D38="",N($E38)=0),"",$E38*MAX(0,MIN($D38+1,EDATE(G$4,1))-MAX($C38,G$4))/MAX(1,$D38+1-$C38))</f>
        <v/>
      </c>
      <c r="H38" s="56" t="str">
        <f aca="false">IF(OR(H$4="",$C38="",$D38="",N($E38)=0),"",$E38*MAX(0,MIN($D38+1,EDATE(H$4,1))-MAX($C38,H$4))/MAX(1,$D38+1-$C38))</f>
        <v/>
      </c>
      <c r="I38" s="56" t="str">
        <f aca="false">IF(OR(I$4="",$C38="",$D38="",N($E38)=0),"",$E38*MAX(0,MIN($D38+1,EDATE(I$4,1))-MAX($C38,I$4))/MAX(1,$D38+1-$C38))</f>
        <v/>
      </c>
      <c r="J38" s="56" t="str">
        <f aca="false">IF(OR(J$4="",$C38="",$D38="",N($E38)=0),"",$E38*MAX(0,MIN($D38+1,EDATE(J$4,1))-MAX($C38,J$4))/MAX(1,$D38+1-$C38))</f>
        <v/>
      </c>
      <c r="K38" s="56" t="str">
        <f aca="false">IF(OR(K$4="",$C38="",$D38="",N($E38)=0),"",$E38*MAX(0,MIN($D38+1,EDATE(K$4,1))-MAX($C38,K$4))/MAX(1,$D38+1-$C38))</f>
        <v/>
      </c>
      <c r="L38" s="56" t="str">
        <f aca="false">IF(OR(L$4="",$C38="",$D38="",N($E38)=0),"",$E38*MAX(0,MIN($D38+1,EDATE(L$4,1))-MAX($C38,L$4))/MAX(1,$D38+1-$C38))</f>
        <v/>
      </c>
      <c r="M38" s="56" t="str">
        <f aca="false">IF(OR(M$4="",$C38="",$D38="",N($E38)=0),"",$E38*MAX(0,MIN($D38+1,EDATE(M$4,1))-MAX($C38,M$4))/MAX(1,$D38+1-$C38))</f>
        <v/>
      </c>
      <c r="N38" s="56" t="str">
        <f aca="false">IF(OR(N$4="",$C38="",$D38="",N($E38)=0),"",$E38*MAX(0,MIN($D38+1,EDATE(N$4,1))-MAX($C38,N$4))/MAX(1,$D38+1-$C38))</f>
        <v/>
      </c>
      <c r="O38" s="56" t="str">
        <f aca="false">IF(OR(O$4="",$C38="",$D38="",N($E38)=0),"",$E38*MAX(0,MIN($D38+1,EDATE(O$4,1))-MAX($C38,O$4))/MAX(1,$D38+1-$C38))</f>
        <v/>
      </c>
      <c r="P38" s="56" t="str">
        <f aca="false">IF(OR(P$4="",$C38="",$D38="",N($E38)=0),"",$E38*MAX(0,MIN($D38+1,EDATE(P$4,1))-MAX($C38,P$4))/MAX(1,$D38+1-$C38))</f>
        <v/>
      </c>
      <c r="Q38" s="56" t="str">
        <f aca="false">IF(OR(Q$4="",$C38="",$D38="",N($E38)=0),"",$E38*MAX(0,MIN($D38+1,EDATE(Q$4,1))-MAX($C38,Q$4))/MAX(1,$D38+1-$C38))</f>
        <v/>
      </c>
      <c r="R38" s="56" t="str">
        <f aca="false">IF(OR(R$4="",$C38="",$D38="",N($E38)=0),"",$E38*MAX(0,MIN($D38+1,EDATE(R$4,1))-MAX($C38,R$4))/MAX(1,$D38+1-$C38))</f>
        <v/>
      </c>
      <c r="S38" s="56" t="str">
        <f aca="false">IF(OR(S$4="",$C38="",$D38="",N($E38)=0),"",$E38*MAX(0,MIN($D38+1,EDATE(S$4,1))-MAX($C38,S$4))/MAX(1,$D38+1-$C38))</f>
        <v/>
      </c>
      <c r="T38" s="56" t="str">
        <f aca="false">IF(OR(T$4="",$C38="",$D38="",N($E38)=0),"",$E38*MAX(0,MIN($D38+1,EDATE(T$4,1))-MAX($C38,T$4))/MAX(1,$D38+1-$C38))</f>
        <v/>
      </c>
      <c r="U38" s="56" t="str">
        <f aca="false">IF(OR(U$4="",$C38="",$D38="",N($E38)=0),"",$E38*MAX(0,MIN($D38+1,EDATE(U$4,1))-MAX($C38,U$4))/MAX(1,$D38+1-$C38))</f>
        <v/>
      </c>
      <c r="V38" s="56" t="str">
        <f aca="false">IF(OR(V$4="",$C38="",$D38="",N($E38)=0),"",$E38*MAX(0,MIN($D38+1,EDATE(V$4,1))-MAX($C38,V$4))/MAX(1,$D38+1-$C38))</f>
        <v/>
      </c>
      <c r="W38" s="56" t="str">
        <f aca="false">IF(OR(W$4="",$C38="",$D38="",N($E38)=0),"",$E38*MAX(0,MIN($D38+1,EDATE(W$4,1))-MAX($C38,W$4))/MAX(1,$D38+1-$C38))</f>
        <v/>
      </c>
      <c r="X38" s="56" t="str">
        <f aca="false">IF(OR(X$4="",$C38="",$D38="",N($E38)=0),"",$E38*MAX(0,MIN($D38+1,EDATE(X$4,1))-MAX($C38,X$4))/MAX(1,$D38+1-$C38))</f>
        <v/>
      </c>
      <c r="Y38" s="56" t="str">
        <f aca="false">IF(OR(Y$4="",$C38="",$D38="",N($E38)=0),"",$E38*MAX(0,MIN($D38+1,EDATE(Y$4,1))-MAX($C38,Y$4))/MAX(1,$D38+1-$C38))</f>
        <v/>
      </c>
      <c r="Z38" s="56" t="str">
        <f aca="false">IF(OR(Z$4="",$C38="",$D38="",N($E38)=0),"",$E38*MAX(0,MIN($D38+1,EDATE(Z$4,1))-MAX($C38,Z$4))/MAX(1,$D38+1-$C38))</f>
        <v/>
      </c>
      <c r="AA38" s="56" t="str">
        <f aca="false">IF(OR(AA$4="",$C38="",$D38="",N($E38)=0),"",$E38*MAX(0,MIN($D38+1,EDATE(AA$4,1))-MAX($C38,AA$4))/MAX(1,$D38+1-$C38))</f>
        <v/>
      </c>
      <c r="AB38" s="56" t="str">
        <f aca="false">IF(OR(AB$4="",$C38="",$D38="",N($E38)=0),"",$E38*MAX(0,MIN($D38+1,EDATE(AB$4,1))-MAX($C38,AB$4))/MAX(1,$D38+1-$C38))</f>
        <v/>
      </c>
      <c r="AC38" s="56" t="str">
        <f aca="false">IF(OR(AC$4="",$C38="",$D38="",N($E38)=0),"",$E38*MAX(0,MIN($D38+1,EDATE(AC$4,1))-MAX($C38,AC$4))/MAX(1,$D38+1-$C38))</f>
        <v/>
      </c>
      <c r="AD38" s="56" t="str">
        <f aca="false">IF(OR(AD$4="",$C38="",$D38="",N($E38)=0),"",$E38*MAX(0,MIN($D38+1,EDATE(AD$4,1))-MAX($C38,AD$4))/MAX(1,$D38+1-$C38))</f>
        <v/>
      </c>
      <c r="AE38" s="56" t="str">
        <f aca="false">IF(OR(AE$4="",$C38="",$D38="",N($E38)=0),"",$E38*MAX(0,MIN($D38+1,EDATE(AE$4,1))-MAX($C38,AE$4))/MAX(1,$D38+1-$C38))</f>
        <v/>
      </c>
      <c r="AF38" s="56" t="str">
        <f aca="false">IF(OR(AF$4="",$C38="",$D38="",N($E38)=0),"",$E38*MAX(0,MIN($D38+1,EDATE(AF$4,1))-MAX($C38,AF$4))/MAX(1,$D38+1-$C38))</f>
        <v/>
      </c>
      <c r="AG38" s="56" t="str">
        <f aca="false">IF(OR(AG$4="",$C38="",$D38="",N($E38)=0),"",$E38*MAX(0,MIN($D38+1,EDATE(AG$4,1))-MAX($C38,AG$4))/MAX(1,$D38+1-$C38))</f>
        <v/>
      </c>
      <c r="AH38" s="56" t="str">
        <f aca="false">IF(OR(AH$4="",$C38="",$D38="",N($E38)=0),"",$E38*MAX(0,MIN($D38+1,EDATE(AH$4,1))-MAX($C38,AH$4))/MAX(1,$D38+1-$C38))</f>
        <v/>
      </c>
      <c r="AI38" s="56" t="str">
        <f aca="false">IF(OR(AI$4="",$C38="",$D38="",N($E38)=0),"",$E38*MAX(0,MIN($D38+1,EDATE(AI$4,1))-MAX($C38,AI$4))/MAX(1,$D38+1-$C38))</f>
        <v/>
      </c>
      <c r="AJ38" s="56" t="str">
        <f aca="false">IF(OR(AJ$4="",$C38="",$D38="",N($E38)=0),"",$E38*MAX(0,MIN($D38+1,EDATE(AJ$4,1))-MAX($C38,AJ$4))/MAX(1,$D38+1-$C38))</f>
        <v/>
      </c>
      <c r="AK38" s="56" t="str">
        <f aca="false">IF(OR(AK$4="",$C38="",$D38="",N($E38)=0),"",$E38*MAX(0,MIN($D38+1,EDATE(AK$4,1))-MAX($C38,AK$4))/MAX(1,$D38+1-$C38))</f>
        <v/>
      </c>
      <c r="AL38" s="56" t="str">
        <f aca="false">IF(OR(AL$4="",$C38="",$D38="",N($E38)=0),"",$E38*MAX(0,MIN($D38+1,EDATE(AL$4,1))-MAX($C38,AL$4))/MAX(1,$D38+1-$C38))</f>
        <v/>
      </c>
      <c r="AM38" s="56" t="str">
        <f aca="false">IF(OR(AM$4="",$C38="",$D38="",N($E38)=0),"",$E38*MAX(0,MIN($D38+1,EDATE(AM$4,1))-MAX($C38,AM$4))/MAX(1,$D38+1-$C38))</f>
        <v/>
      </c>
      <c r="AN38" s="56" t="str">
        <f aca="false">IF(OR(AN$4="",$C38="",$D38="",N($E38)=0),"",$E38*MAX(0,MIN($D38+1,EDATE(AN$4,1))-MAX($C38,AN$4))/MAX(1,$D38+1-$C38))</f>
        <v/>
      </c>
      <c r="AO38" s="56" t="str">
        <f aca="false">IF(OR(AO$4="",$C38="",$D38="",N($E38)=0),"",$E38*MAX(0,MIN($D38+1,EDATE(AO$4,1))-MAX($C38,AO$4))/MAX(1,$D38+1-$C38))</f>
        <v/>
      </c>
      <c r="AP38" s="56" t="str">
        <f aca="false">IF(OR(AP$4="",$C38="",$D38="",N($E38)=0),"",$E38*MAX(0,MIN($D38+1,EDATE(AP$4,1))-MAX($C38,AP$4))/MAX(1,$D38+1-$C38))</f>
        <v/>
      </c>
      <c r="AQ38" s="56" t="str">
        <f aca="false">IF(OR(AQ$4="",$C38="",$D38="",N($E38)=0),"",$E38*MAX(0,MIN($D38+1,EDATE(AQ$4,1))-MAX($C38,AQ$4))/MAX(1,$D38+1-$C38))</f>
        <v/>
      </c>
      <c r="AR38" s="56" t="str">
        <f aca="false">IF(OR(AR$4="",$C38="",$D38="",N($E38)=0),"",$E38*MAX(0,MIN($D38+1,EDATE(AR$4,1))-MAX($C38,AR$4))/MAX(1,$D38+1-$C38))</f>
        <v/>
      </c>
      <c r="AS38" s="56" t="str">
        <f aca="false">IF(OR(AS$4="",$C38="",$D38="",N($E38)=0),"",$E38*MAX(0,MIN($D38+1,EDATE(AS$4,1))-MAX($C38,AS$4))/MAX(1,$D38+1-$C38))</f>
        <v/>
      </c>
      <c r="AT38" s="56" t="str">
        <f aca="false">IF(OR(AT$4="",$C38="",$D38="",N($E38)=0),"",$E38*MAX(0,MIN($D38+1,EDATE(AT$4,1))-MAX($C38,AT$4))/MAX(1,$D38+1-$C38))</f>
        <v/>
      </c>
      <c r="AU38" s="56" t="str">
        <f aca="false">IF(OR(AU$4="",$C38="",$D38="",N($E38)=0),"",$E38*MAX(0,MIN($D38+1,EDATE(AU$4,1))-MAX($C38,AU$4))/MAX(1,$D38+1-$C38))</f>
        <v/>
      </c>
      <c r="AV38" s="56" t="str">
        <f aca="false">IF(OR(AV$4="",$C38="",$D38="",N($E38)=0),"",$E38*MAX(0,MIN($D38+1,EDATE(AV$4,1))-MAX($C38,AV$4))/MAX(1,$D38+1-$C38))</f>
        <v/>
      </c>
      <c r="AW38" s="56" t="str">
        <f aca="false">IF(OR(AW$4="",$C38="",$D38="",N($E38)=0),"",$E38*MAX(0,MIN($D38+1,EDATE(AW$4,1))-MAX($C38,AW$4))/MAX(1,$D38+1-$C38))</f>
        <v/>
      </c>
      <c r="AX38" s="56" t="str">
        <f aca="false">IF(OR(AX$4="",$C38="",$D38="",N($E38)=0),"",$E38*MAX(0,MIN($D38+1,EDATE(AX$4,1))-MAX($C38,AX$4))/MAX(1,$D38+1-$C38))</f>
        <v/>
      </c>
      <c r="AY38" s="56" t="str">
        <f aca="false">IF(OR(AY$4="",$C38="",$D38="",N($E38)=0),"",$E38*MAX(0,MIN($D38+1,EDATE(AY$4,1))-MAX($C38,AY$4))/MAX(1,$D38+1-$C38))</f>
        <v/>
      </c>
      <c r="AZ38" s="56" t="str">
        <f aca="false">IF(OR(AZ$4="",$C38="",$D38="",N($E38)=0),"",$E38*MAX(0,MIN($D38+1,EDATE(AZ$4,1))-MAX($C38,AZ$4))/MAX(1,$D38+1-$C38))</f>
        <v/>
      </c>
      <c r="BA38" s="56" t="str">
        <f aca="false">IF(OR(BA$4="",$C38="",$D38="",N($E38)=0),"",$E38*MAX(0,MIN($D38+1,EDATE(BA$4,1))-MAX($C38,BA$4))/MAX(1,$D38+1-$C38))</f>
        <v/>
      </c>
      <c r="BB38" s="56" t="str">
        <f aca="false">IF(OR(BB$4="",$C38="",$D38="",N($E38)=0),"",$E38*MAX(0,MIN($D38+1,EDATE(BB$4,1))-MAX($C38,BB$4))/MAX(1,$D38+1-$C38))</f>
        <v/>
      </c>
      <c r="BC38" s="56" t="str">
        <f aca="false">IF(OR(BC$4="",$C38="",$D38="",N($E38)=0),"",$E38*MAX(0,MIN($D38+1,EDATE(BC$4,1))-MAX($C38,BC$4))/MAX(1,$D38+1-$C38))</f>
        <v/>
      </c>
      <c r="BD38" s="56" t="str">
        <f aca="false">IF(OR(BD$4="",$C38="",$D38="",N($E38)=0),"",$E38*MAX(0,MIN($D38+1,EDATE(BD$4,1))-MAX($C38,BD$4))/MAX(1,$D38+1-$C38))</f>
        <v/>
      </c>
      <c r="BE38" s="56" t="str">
        <f aca="false">IF(OR(BE$4="",$C38="",$D38="",N($E38)=0),"",$E38*MAX(0,MIN($D38+1,EDATE(BE$4,1))-MAX($C38,BE$4))/MAX(1,$D38+1-$C38))</f>
        <v/>
      </c>
      <c r="BF38" s="56" t="str">
        <f aca="false">IF(OR(BF$4="",$C38="",$D38="",N($E38)=0),"",$E38*MAX(0,MIN($D38+1,EDATE(BF$4,1))-MAX($C38,BF$4))/MAX(1,$D38+1-$C38))</f>
        <v/>
      </c>
      <c r="BG38" s="56" t="str">
        <f aca="false">IF(OR(BG$4="",$C38="",$D38="",N($E38)=0),"",$E38*MAX(0,MIN($D38+1,EDATE(BG$4,1))-MAX($C38,BG$4))/MAX(1,$D38+1-$C38))</f>
        <v/>
      </c>
      <c r="BH38" s="56" t="str">
        <f aca="false">IF(OR(BH$4="",$C38="",$D38="",N($E38)=0),"",$E38*MAX(0,MIN($D38+1,EDATE(BH$4,1))-MAX($C38,BH$4))/MAX(1,$D38+1-$C38))</f>
        <v/>
      </c>
      <c r="BI38" s="56" t="str">
        <f aca="false">IF(OR(BI$4="",$C38="",$D38="",N($E38)=0),"",$E38*MAX(0,MIN($D38+1,EDATE(BI$4,1))-MAX($C38,BI$4))/MAX(1,$D38+1-$C38))</f>
        <v/>
      </c>
      <c r="BJ38" s="56" t="str">
        <f aca="false">IF(OR(BJ$4="",$C38="",$D38="",N($E38)=0),"",$E38*MAX(0,MIN($D38+1,EDATE(BJ$4,1))-MAX($C38,BJ$4))/MAX(1,$D38+1-$C38))</f>
        <v/>
      </c>
      <c r="BK38" s="56" t="str">
        <f aca="false">IF(OR(BK$4="",$C38="",$D38="",N($E38)=0),"",$E38*MAX(0,MIN($D38+1,EDATE(BK$4,1))-MAX($C38,BK$4))/MAX(1,$D38+1-$C38))</f>
        <v/>
      </c>
      <c r="BL38" s="56" t="str">
        <f aca="false">IF(OR(BL$4="",$C38="",$D38="",N($E38)=0),"",$E38*MAX(0,MIN($D38+1,EDATE(BL$4,1))-MAX($C38,BL$4))/MAX(1,$D38+1-$C38))</f>
        <v/>
      </c>
      <c r="BM38" s="56" t="str">
        <f aca="false">IF(OR(BM$4="",$C38="",$D38="",N($E38)=0),"",$E38*MAX(0,MIN($D38+1,EDATE(BM$4,1))-MAX($C38,BM$4))/MAX(1,$D38+1-$C38))</f>
        <v/>
      </c>
      <c r="BN38" s="56" t="str">
        <f aca="false">IF(OR(BN$4="",$C38="",$D38="",N($E38)=0),"",$E38*MAX(0,MIN($D38+1,EDATE(BN$4,1))-MAX($C38,BN$4))/MAX(1,$D38+1-$C38))</f>
        <v/>
      </c>
      <c r="BO38" s="56" t="str">
        <f aca="false">IF(OR(BO$4="",$C38="",$D38="",N($E38)=0),"",$E38*MAX(0,MIN($D38+1,EDATE(BO$4,1))-MAX($C38,BO$4))/MAX(1,$D38+1-$C38))</f>
        <v/>
      </c>
      <c r="BP38" s="56" t="str">
        <f aca="false">IF(OR(BP$4="",$C38="",$D38="",N($E38)=0),"",$E38*MAX(0,MIN($D38+1,EDATE(BP$4,1))-MAX($C38,BP$4))/MAX(1,$D38+1-$C38))</f>
        <v/>
      </c>
      <c r="BQ38" s="56" t="str">
        <f aca="false">IF(OR(BQ$4="",$C38="",$D38="",N($E38)=0),"",$E38*MAX(0,MIN($D38+1,EDATE(BQ$4,1))-MAX($C38,BQ$4))/MAX(1,$D38+1-$C38))</f>
        <v/>
      </c>
      <c r="BR38" s="56" t="str">
        <f aca="false">IF(OR(BR$4="",$C38="",$D38="",N($E38)=0),"",$E38*MAX(0,MIN($D38+1,EDATE(BR$4,1))-MAX($C38,BR$4))/MAX(1,$D38+1-$C38))</f>
        <v/>
      </c>
      <c r="BS38" s="56" t="str">
        <f aca="false">IF(OR(BS$4="",$C38="",$D38="",N($E38)=0),"",$E38*MAX(0,MIN($D38+1,EDATE(BS$4,1))-MAX($C38,BS$4))/MAX(1,$D38+1-$C38))</f>
        <v/>
      </c>
      <c r="BT38" s="56" t="str">
        <f aca="false">IF(OR(BT$4="",$C38="",$D38="",N($E38)=0),"",$E38*MAX(0,MIN($D38+1,EDATE(BT$4,1))-MAX($C38,BT$4))/MAX(1,$D38+1-$C38))</f>
        <v/>
      </c>
      <c r="BU38" s="56" t="str">
        <f aca="false">IF(OR(BU$4="",$C38="",$D38="",N($E38)=0),"",$E38*MAX(0,MIN($D38+1,EDATE(BU$4,1))-MAX($C38,BU$4))/MAX(1,$D38+1-$C38))</f>
        <v/>
      </c>
      <c r="BV38" s="56" t="str">
        <f aca="false">IF(OR(BV$4="",$C38="",$D38="",N($E38)=0),"",$E38*MAX(0,MIN($D38+1,EDATE(BV$4,1))-MAX($C38,BV$4))/MAX(1,$D38+1-$C38))</f>
        <v/>
      </c>
      <c r="BW38" s="56" t="str">
        <f aca="false">IF(OR(BW$4="",$C38="",$D38="",N($E38)=0),"",$E38*MAX(0,MIN($D38+1,EDATE(BW$4,1))-MAX($C38,BW$4))/MAX(1,$D38+1-$C38))</f>
        <v/>
      </c>
      <c r="BX38" s="56" t="str">
        <f aca="false">IF(OR(BX$4="",$C38="",$D38="",N($E38)=0),"",$E38*MAX(0,MIN($D38+1,EDATE(BX$4,1))-MAX($C38,BX$4))/MAX(1,$D38+1-$C38))</f>
        <v/>
      </c>
      <c r="BY38" s="56" t="str">
        <f aca="false">IF(OR(BY$4="",$C38="",$D38="",N($E38)=0),"",$E38*MAX(0,MIN($D38+1,EDATE(BY$4,1))-MAX($C38,BY$4))/MAX(1,$D38+1-$C38))</f>
        <v/>
      </c>
    </row>
    <row r="39" customFormat="false" ht="15" hidden="false" customHeight="false" outlineLevel="0" collapsed="false">
      <c r="A39" s="53" t="str">
        <f aca="false">IF(BOE!$A40="","",BOE!$A40)</f>
        <v/>
      </c>
      <c r="B39" s="53" t="str">
        <f aca="false">IF(BOE!$A40="","",BOE!$C40)</f>
        <v/>
      </c>
      <c r="C39" s="54" t="str">
        <f aca="false">IF(BOE!$O40="","",BOE!$O40)</f>
        <v/>
      </c>
      <c r="D39" s="54" t="str">
        <f aca="false">IF(BOE!$P40="","",BOE!$P40)</f>
        <v/>
      </c>
      <c r="E39" s="55" t="n">
        <f aca="false">IF(Inputs!$B$7="P90",BOE!$T40,BOE!$R40)</f>
        <v>0</v>
      </c>
      <c r="F39" s="56" t="str">
        <f aca="false">IF(OR(F$4="",$C39="",$D39="",N($E39)=0),"",$E39*MAX(0,MIN($D39+1,EDATE(F$4,1))-MAX($C39,F$4))/MAX(1,$D39+1-$C39))</f>
        <v/>
      </c>
      <c r="G39" s="56" t="str">
        <f aca="false">IF(OR(G$4="",$C39="",$D39="",N($E39)=0),"",$E39*MAX(0,MIN($D39+1,EDATE(G$4,1))-MAX($C39,G$4))/MAX(1,$D39+1-$C39))</f>
        <v/>
      </c>
      <c r="H39" s="56" t="str">
        <f aca="false">IF(OR(H$4="",$C39="",$D39="",N($E39)=0),"",$E39*MAX(0,MIN($D39+1,EDATE(H$4,1))-MAX($C39,H$4))/MAX(1,$D39+1-$C39))</f>
        <v/>
      </c>
      <c r="I39" s="56" t="str">
        <f aca="false">IF(OR(I$4="",$C39="",$D39="",N($E39)=0),"",$E39*MAX(0,MIN($D39+1,EDATE(I$4,1))-MAX($C39,I$4))/MAX(1,$D39+1-$C39))</f>
        <v/>
      </c>
      <c r="J39" s="56" t="str">
        <f aca="false">IF(OR(J$4="",$C39="",$D39="",N($E39)=0),"",$E39*MAX(0,MIN($D39+1,EDATE(J$4,1))-MAX($C39,J$4))/MAX(1,$D39+1-$C39))</f>
        <v/>
      </c>
      <c r="K39" s="56" t="str">
        <f aca="false">IF(OR(K$4="",$C39="",$D39="",N($E39)=0),"",$E39*MAX(0,MIN($D39+1,EDATE(K$4,1))-MAX($C39,K$4))/MAX(1,$D39+1-$C39))</f>
        <v/>
      </c>
      <c r="L39" s="56" t="str">
        <f aca="false">IF(OR(L$4="",$C39="",$D39="",N($E39)=0),"",$E39*MAX(0,MIN($D39+1,EDATE(L$4,1))-MAX($C39,L$4))/MAX(1,$D39+1-$C39))</f>
        <v/>
      </c>
      <c r="M39" s="56" t="str">
        <f aca="false">IF(OR(M$4="",$C39="",$D39="",N($E39)=0),"",$E39*MAX(0,MIN($D39+1,EDATE(M$4,1))-MAX($C39,M$4))/MAX(1,$D39+1-$C39))</f>
        <v/>
      </c>
      <c r="N39" s="56" t="str">
        <f aca="false">IF(OR(N$4="",$C39="",$D39="",N($E39)=0),"",$E39*MAX(0,MIN($D39+1,EDATE(N$4,1))-MAX($C39,N$4))/MAX(1,$D39+1-$C39))</f>
        <v/>
      </c>
      <c r="O39" s="56" t="str">
        <f aca="false">IF(OR(O$4="",$C39="",$D39="",N($E39)=0),"",$E39*MAX(0,MIN($D39+1,EDATE(O$4,1))-MAX($C39,O$4))/MAX(1,$D39+1-$C39))</f>
        <v/>
      </c>
      <c r="P39" s="56" t="str">
        <f aca="false">IF(OR(P$4="",$C39="",$D39="",N($E39)=0),"",$E39*MAX(0,MIN($D39+1,EDATE(P$4,1))-MAX($C39,P$4))/MAX(1,$D39+1-$C39))</f>
        <v/>
      </c>
      <c r="Q39" s="56" t="str">
        <f aca="false">IF(OR(Q$4="",$C39="",$D39="",N($E39)=0),"",$E39*MAX(0,MIN($D39+1,EDATE(Q$4,1))-MAX($C39,Q$4))/MAX(1,$D39+1-$C39))</f>
        <v/>
      </c>
      <c r="R39" s="56" t="str">
        <f aca="false">IF(OR(R$4="",$C39="",$D39="",N($E39)=0),"",$E39*MAX(0,MIN($D39+1,EDATE(R$4,1))-MAX($C39,R$4))/MAX(1,$D39+1-$C39))</f>
        <v/>
      </c>
      <c r="S39" s="56" t="str">
        <f aca="false">IF(OR(S$4="",$C39="",$D39="",N($E39)=0),"",$E39*MAX(0,MIN($D39+1,EDATE(S$4,1))-MAX($C39,S$4))/MAX(1,$D39+1-$C39))</f>
        <v/>
      </c>
      <c r="T39" s="56" t="str">
        <f aca="false">IF(OR(T$4="",$C39="",$D39="",N($E39)=0),"",$E39*MAX(0,MIN($D39+1,EDATE(T$4,1))-MAX($C39,T$4))/MAX(1,$D39+1-$C39))</f>
        <v/>
      </c>
      <c r="U39" s="56" t="str">
        <f aca="false">IF(OR(U$4="",$C39="",$D39="",N($E39)=0),"",$E39*MAX(0,MIN($D39+1,EDATE(U$4,1))-MAX($C39,U$4))/MAX(1,$D39+1-$C39))</f>
        <v/>
      </c>
      <c r="V39" s="56" t="str">
        <f aca="false">IF(OR(V$4="",$C39="",$D39="",N($E39)=0),"",$E39*MAX(0,MIN($D39+1,EDATE(V$4,1))-MAX($C39,V$4))/MAX(1,$D39+1-$C39))</f>
        <v/>
      </c>
      <c r="W39" s="56" t="str">
        <f aca="false">IF(OR(W$4="",$C39="",$D39="",N($E39)=0),"",$E39*MAX(0,MIN($D39+1,EDATE(W$4,1))-MAX($C39,W$4))/MAX(1,$D39+1-$C39))</f>
        <v/>
      </c>
      <c r="X39" s="56" t="str">
        <f aca="false">IF(OR(X$4="",$C39="",$D39="",N($E39)=0),"",$E39*MAX(0,MIN($D39+1,EDATE(X$4,1))-MAX($C39,X$4))/MAX(1,$D39+1-$C39))</f>
        <v/>
      </c>
      <c r="Y39" s="56" t="str">
        <f aca="false">IF(OR(Y$4="",$C39="",$D39="",N($E39)=0),"",$E39*MAX(0,MIN($D39+1,EDATE(Y$4,1))-MAX($C39,Y$4))/MAX(1,$D39+1-$C39))</f>
        <v/>
      </c>
      <c r="Z39" s="56" t="str">
        <f aca="false">IF(OR(Z$4="",$C39="",$D39="",N($E39)=0),"",$E39*MAX(0,MIN($D39+1,EDATE(Z$4,1))-MAX($C39,Z$4))/MAX(1,$D39+1-$C39))</f>
        <v/>
      </c>
      <c r="AA39" s="56" t="str">
        <f aca="false">IF(OR(AA$4="",$C39="",$D39="",N($E39)=0),"",$E39*MAX(0,MIN($D39+1,EDATE(AA$4,1))-MAX($C39,AA$4))/MAX(1,$D39+1-$C39))</f>
        <v/>
      </c>
      <c r="AB39" s="56" t="str">
        <f aca="false">IF(OR(AB$4="",$C39="",$D39="",N($E39)=0),"",$E39*MAX(0,MIN($D39+1,EDATE(AB$4,1))-MAX($C39,AB$4))/MAX(1,$D39+1-$C39))</f>
        <v/>
      </c>
      <c r="AC39" s="56" t="str">
        <f aca="false">IF(OR(AC$4="",$C39="",$D39="",N($E39)=0),"",$E39*MAX(0,MIN($D39+1,EDATE(AC$4,1))-MAX($C39,AC$4))/MAX(1,$D39+1-$C39))</f>
        <v/>
      </c>
      <c r="AD39" s="56" t="str">
        <f aca="false">IF(OR(AD$4="",$C39="",$D39="",N($E39)=0),"",$E39*MAX(0,MIN($D39+1,EDATE(AD$4,1))-MAX($C39,AD$4))/MAX(1,$D39+1-$C39))</f>
        <v/>
      </c>
      <c r="AE39" s="56" t="str">
        <f aca="false">IF(OR(AE$4="",$C39="",$D39="",N($E39)=0),"",$E39*MAX(0,MIN($D39+1,EDATE(AE$4,1))-MAX($C39,AE$4))/MAX(1,$D39+1-$C39))</f>
        <v/>
      </c>
      <c r="AF39" s="56" t="str">
        <f aca="false">IF(OR(AF$4="",$C39="",$D39="",N($E39)=0),"",$E39*MAX(0,MIN($D39+1,EDATE(AF$4,1))-MAX($C39,AF$4))/MAX(1,$D39+1-$C39))</f>
        <v/>
      </c>
      <c r="AG39" s="56" t="str">
        <f aca="false">IF(OR(AG$4="",$C39="",$D39="",N($E39)=0),"",$E39*MAX(0,MIN($D39+1,EDATE(AG$4,1))-MAX($C39,AG$4))/MAX(1,$D39+1-$C39))</f>
        <v/>
      </c>
      <c r="AH39" s="56" t="str">
        <f aca="false">IF(OR(AH$4="",$C39="",$D39="",N($E39)=0),"",$E39*MAX(0,MIN($D39+1,EDATE(AH$4,1))-MAX($C39,AH$4))/MAX(1,$D39+1-$C39))</f>
        <v/>
      </c>
      <c r="AI39" s="56" t="str">
        <f aca="false">IF(OR(AI$4="",$C39="",$D39="",N($E39)=0),"",$E39*MAX(0,MIN($D39+1,EDATE(AI$4,1))-MAX($C39,AI$4))/MAX(1,$D39+1-$C39))</f>
        <v/>
      </c>
      <c r="AJ39" s="56" t="str">
        <f aca="false">IF(OR(AJ$4="",$C39="",$D39="",N($E39)=0),"",$E39*MAX(0,MIN($D39+1,EDATE(AJ$4,1))-MAX($C39,AJ$4))/MAX(1,$D39+1-$C39))</f>
        <v/>
      </c>
      <c r="AK39" s="56" t="str">
        <f aca="false">IF(OR(AK$4="",$C39="",$D39="",N($E39)=0),"",$E39*MAX(0,MIN($D39+1,EDATE(AK$4,1))-MAX($C39,AK$4))/MAX(1,$D39+1-$C39))</f>
        <v/>
      </c>
      <c r="AL39" s="56" t="str">
        <f aca="false">IF(OR(AL$4="",$C39="",$D39="",N($E39)=0),"",$E39*MAX(0,MIN($D39+1,EDATE(AL$4,1))-MAX($C39,AL$4))/MAX(1,$D39+1-$C39))</f>
        <v/>
      </c>
      <c r="AM39" s="56" t="str">
        <f aca="false">IF(OR(AM$4="",$C39="",$D39="",N($E39)=0),"",$E39*MAX(0,MIN($D39+1,EDATE(AM$4,1))-MAX($C39,AM$4))/MAX(1,$D39+1-$C39))</f>
        <v/>
      </c>
      <c r="AN39" s="56" t="str">
        <f aca="false">IF(OR(AN$4="",$C39="",$D39="",N($E39)=0),"",$E39*MAX(0,MIN($D39+1,EDATE(AN$4,1))-MAX($C39,AN$4))/MAX(1,$D39+1-$C39))</f>
        <v/>
      </c>
      <c r="AO39" s="56" t="str">
        <f aca="false">IF(OR(AO$4="",$C39="",$D39="",N($E39)=0),"",$E39*MAX(0,MIN($D39+1,EDATE(AO$4,1))-MAX($C39,AO$4))/MAX(1,$D39+1-$C39))</f>
        <v/>
      </c>
      <c r="AP39" s="56" t="str">
        <f aca="false">IF(OR(AP$4="",$C39="",$D39="",N($E39)=0),"",$E39*MAX(0,MIN($D39+1,EDATE(AP$4,1))-MAX($C39,AP$4))/MAX(1,$D39+1-$C39))</f>
        <v/>
      </c>
      <c r="AQ39" s="56" t="str">
        <f aca="false">IF(OR(AQ$4="",$C39="",$D39="",N($E39)=0),"",$E39*MAX(0,MIN($D39+1,EDATE(AQ$4,1))-MAX($C39,AQ$4))/MAX(1,$D39+1-$C39))</f>
        <v/>
      </c>
      <c r="AR39" s="56" t="str">
        <f aca="false">IF(OR(AR$4="",$C39="",$D39="",N($E39)=0),"",$E39*MAX(0,MIN($D39+1,EDATE(AR$4,1))-MAX($C39,AR$4))/MAX(1,$D39+1-$C39))</f>
        <v/>
      </c>
      <c r="AS39" s="56" t="str">
        <f aca="false">IF(OR(AS$4="",$C39="",$D39="",N($E39)=0),"",$E39*MAX(0,MIN($D39+1,EDATE(AS$4,1))-MAX($C39,AS$4))/MAX(1,$D39+1-$C39))</f>
        <v/>
      </c>
      <c r="AT39" s="56" t="str">
        <f aca="false">IF(OR(AT$4="",$C39="",$D39="",N($E39)=0),"",$E39*MAX(0,MIN($D39+1,EDATE(AT$4,1))-MAX($C39,AT$4))/MAX(1,$D39+1-$C39))</f>
        <v/>
      </c>
      <c r="AU39" s="56" t="str">
        <f aca="false">IF(OR(AU$4="",$C39="",$D39="",N($E39)=0),"",$E39*MAX(0,MIN($D39+1,EDATE(AU$4,1))-MAX($C39,AU$4))/MAX(1,$D39+1-$C39))</f>
        <v/>
      </c>
      <c r="AV39" s="56" t="str">
        <f aca="false">IF(OR(AV$4="",$C39="",$D39="",N($E39)=0),"",$E39*MAX(0,MIN($D39+1,EDATE(AV$4,1))-MAX($C39,AV$4))/MAX(1,$D39+1-$C39))</f>
        <v/>
      </c>
      <c r="AW39" s="56" t="str">
        <f aca="false">IF(OR(AW$4="",$C39="",$D39="",N($E39)=0),"",$E39*MAX(0,MIN($D39+1,EDATE(AW$4,1))-MAX($C39,AW$4))/MAX(1,$D39+1-$C39))</f>
        <v/>
      </c>
      <c r="AX39" s="56" t="str">
        <f aca="false">IF(OR(AX$4="",$C39="",$D39="",N($E39)=0),"",$E39*MAX(0,MIN($D39+1,EDATE(AX$4,1))-MAX($C39,AX$4))/MAX(1,$D39+1-$C39))</f>
        <v/>
      </c>
      <c r="AY39" s="56" t="str">
        <f aca="false">IF(OR(AY$4="",$C39="",$D39="",N($E39)=0),"",$E39*MAX(0,MIN($D39+1,EDATE(AY$4,1))-MAX($C39,AY$4))/MAX(1,$D39+1-$C39))</f>
        <v/>
      </c>
      <c r="AZ39" s="56" t="str">
        <f aca="false">IF(OR(AZ$4="",$C39="",$D39="",N($E39)=0),"",$E39*MAX(0,MIN($D39+1,EDATE(AZ$4,1))-MAX($C39,AZ$4))/MAX(1,$D39+1-$C39))</f>
        <v/>
      </c>
      <c r="BA39" s="56" t="str">
        <f aca="false">IF(OR(BA$4="",$C39="",$D39="",N($E39)=0),"",$E39*MAX(0,MIN($D39+1,EDATE(BA$4,1))-MAX($C39,BA$4))/MAX(1,$D39+1-$C39))</f>
        <v/>
      </c>
      <c r="BB39" s="56" t="str">
        <f aca="false">IF(OR(BB$4="",$C39="",$D39="",N($E39)=0),"",$E39*MAX(0,MIN($D39+1,EDATE(BB$4,1))-MAX($C39,BB$4))/MAX(1,$D39+1-$C39))</f>
        <v/>
      </c>
      <c r="BC39" s="56" t="str">
        <f aca="false">IF(OR(BC$4="",$C39="",$D39="",N($E39)=0),"",$E39*MAX(0,MIN($D39+1,EDATE(BC$4,1))-MAX($C39,BC$4))/MAX(1,$D39+1-$C39))</f>
        <v/>
      </c>
      <c r="BD39" s="56" t="str">
        <f aca="false">IF(OR(BD$4="",$C39="",$D39="",N($E39)=0),"",$E39*MAX(0,MIN($D39+1,EDATE(BD$4,1))-MAX($C39,BD$4))/MAX(1,$D39+1-$C39))</f>
        <v/>
      </c>
      <c r="BE39" s="56" t="str">
        <f aca="false">IF(OR(BE$4="",$C39="",$D39="",N($E39)=0),"",$E39*MAX(0,MIN($D39+1,EDATE(BE$4,1))-MAX($C39,BE$4))/MAX(1,$D39+1-$C39))</f>
        <v/>
      </c>
      <c r="BF39" s="56" t="str">
        <f aca="false">IF(OR(BF$4="",$C39="",$D39="",N($E39)=0),"",$E39*MAX(0,MIN($D39+1,EDATE(BF$4,1))-MAX($C39,BF$4))/MAX(1,$D39+1-$C39))</f>
        <v/>
      </c>
      <c r="BG39" s="56" t="str">
        <f aca="false">IF(OR(BG$4="",$C39="",$D39="",N($E39)=0),"",$E39*MAX(0,MIN($D39+1,EDATE(BG$4,1))-MAX($C39,BG$4))/MAX(1,$D39+1-$C39))</f>
        <v/>
      </c>
      <c r="BH39" s="56" t="str">
        <f aca="false">IF(OR(BH$4="",$C39="",$D39="",N($E39)=0),"",$E39*MAX(0,MIN($D39+1,EDATE(BH$4,1))-MAX($C39,BH$4))/MAX(1,$D39+1-$C39))</f>
        <v/>
      </c>
      <c r="BI39" s="56" t="str">
        <f aca="false">IF(OR(BI$4="",$C39="",$D39="",N($E39)=0),"",$E39*MAX(0,MIN($D39+1,EDATE(BI$4,1))-MAX($C39,BI$4))/MAX(1,$D39+1-$C39))</f>
        <v/>
      </c>
      <c r="BJ39" s="56" t="str">
        <f aca="false">IF(OR(BJ$4="",$C39="",$D39="",N($E39)=0),"",$E39*MAX(0,MIN($D39+1,EDATE(BJ$4,1))-MAX($C39,BJ$4))/MAX(1,$D39+1-$C39))</f>
        <v/>
      </c>
      <c r="BK39" s="56" t="str">
        <f aca="false">IF(OR(BK$4="",$C39="",$D39="",N($E39)=0),"",$E39*MAX(0,MIN($D39+1,EDATE(BK$4,1))-MAX($C39,BK$4))/MAX(1,$D39+1-$C39))</f>
        <v/>
      </c>
      <c r="BL39" s="56" t="str">
        <f aca="false">IF(OR(BL$4="",$C39="",$D39="",N($E39)=0),"",$E39*MAX(0,MIN($D39+1,EDATE(BL$4,1))-MAX($C39,BL$4))/MAX(1,$D39+1-$C39))</f>
        <v/>
      </c>
      <c r="BM39" s="56" t="str">
        <f aca="false">IF(OR(BM$4="",$C39="",$D39="",N($E39)=0),"",$E39*MAX(0,MIN($D39+1,EDATE(BM$4,1))-MAX($C39,BM$4))/MAX(1,$D39+1-$C39))</f>
        <v/>
      </c>
      <c r="BN39" s="56" t="str">
        <f aca="false">IF(OR(BN$4="",$C39="",$D39="",N($E39)=0),"",$E39*MAX(0,MIN($D39+1,EDATE(BN$4,1))-MAX($C39,BN$4))/MAX(1,$D39+1-$C39))</f>
        <v/>
      </c>
      <c r="BO39" s="56" t="str">
        <f aca="false">IF(OR(BO$4="",$C39="",$D39="",N($E39)=0),"",$E39*MAX(0,MIN($D39+1,EDATE(BO$4,1))-MAX($C39,BO$4))/MAX(1,$D39+1-$C39))</f>
        <v/>
      </c>
      <c r="BP39" s="56" t="str">
        <f aca="false">IF(OR(BP$4="",$C39="",$D39="",N($E39)=0),"",$E39*MAX(0,MIN($D39+1,EDATE(BP$4,1))-MAX($C39,BP$4))/MAX(1,$D39+1-$C39))</f>
        <v/>
      </c>
      <c r="BQ39" s="56" t="str">
        <f aca="false">IF(OR(BQ$4="",$C39="",$D39="",N($E39)=0),"",$E39*MAX(0,MIN($D39+1,EDATE(BQ$4,1))-MAX($C39,BQ$4))/MAX(1,$D39+1-$C39))</f>
        <v/>
      </c>
      <c r="BR39" s="56" t="str">
        <f aca="false">IF(OR(BR$4="",$C39="",$D39="",N($E39)=0),"",$E39*MAX(0,MIN($D39+1,EDATE(BR$4,1))-MAX($C39,BR$4))/MAX(1,$D39+1-$C39))</f>
        <v/>
      </c>
      <c r="BS39" s="56" t="str">
        <f aca="false">IF(OR(BS$4="",$C39="",$D39="",N($E39)=0),"",$E39*MAX(0,MIN($D39+1,EDATE(BS$4,1))-MAX($C39,BS$4))/MAX(1,$D39+1-$C39))</f>
        <v/>
      </c>
      <c r="BT39" s="56" t="str">
        <f aca="false">IF(OR(BT$4="",$C39="",$D39="",N($E39)=0),"",$E39*MAX(0,MIN($D39+1,EDATE(BT$4,1))-MAX($C39,BT$4))/MAX(1,$D39+1-$C39))</f>
        <v/>
      </c>
      <c r="BU39" s="56" t="str">
        <f aca="false">IF(OR(BU$4="",$C39="",$D39="",N($E39)=0),"",$E39*MAX(0,MIN($D39+1,EDATE(BU$4,1))-MAX($C39,BU$4))/MAX(1,$D39+1-$C39))</f>
        <v/>
      </c>
      <c r="BV39" s="56" t="str">
        <f aca="false">IF(OR(BV$4="",$C39="",$D39="",N($E39)=0),"",$E39*MAX(0,MIN($D39+1,EDATE(BV$4,1))-MAX($C39,BV$4))/MAX(1,$D39+1-$C39))</f>
        <v/>
      </c>
      <c r="BW39" s="56" t="str">
        <f aca="false">IF(OR(BW$4="",$C39="",$D39="",N($E39)=0),"",$E39*MAX(0,MIN($D39+1,EDATE(BW$4,1))-MAX($C39,BW$4))/MAX(1,$D39+1-$C39))</f>
        <v/>
      </c>
      <c r="BX39" s="56" t="str">
        <f aca="false">IF(OR(BX$4="",$C39="",$D39="",N($E39)=0),"",$E39*MAX(0,MIN($D39+1,EDATE(BX$4,1))-MAX($C39,BX$4))/MAX(1,$D39+1-$C39))</f>
        <v/>
      </c>
      <c r="BY39" s="56" t="str">
        <f aca="false">IF(OR(BY$4="",$C39="",$D39="",N($E39)=0),"",$E39*MAX(0,MIN($D39+1,EDATE(BY$4,1))-MAX($C39,BY$4))/MAX(1,$D39+1-$C39))</f>
        <v/>
      </c>
    </row>
    <row r="40" customFormat="false" ht="15" hidden="false" customHeight="false" outlineLevel="0" collapsed="false">
      <c r="A40" s="53" t="str">
        <f aca="false">IF(BOE!$A41="","",BOE!$A41)</f>
        <v/>
      </c>
      <c r="B40" s="53" t="str">
        <f aca="false">IF(BOE!$A41="","",BOE!$C41)</f>
        <v/>
      </c>
      <c r="C40" s="54" t="str">
        <f aca="false">IF(BOE!$O41="","",BOE!$O41)</f>
        <v/>
      </c>
      <c r="D40" s="54" t="str">
        <f aca="false">IF(BOE!$P41="","",BOE!$P41)</f>
        <v/>
      </c>
      <c r="E40" s="55" t="n">
        <f aca="false">IF(Inputs!$B$7="P90",BOE!$T41,BOE!$R41)</f>
        <v>0</v>
      </c>
      <c r="F40" s="56" t="str">
        <f aca="false">IF(OR(F$4="",$C40="",$D40="",N($E40)=0),"",$E40*MAX(0,MIN($D40+1,EDATE(F$4,1))-MAX($C40,F$4))/MAX(1,$D40+1-$C40))</f>
        <v/>
      </c>
      <c r="G40" s="56" t="str">
        <f aca="false">IF(OR(G$4="",$C40="",$D40="",N($E40)=0),"",$E40*MAX(0,MIN($D40+1,EDATE(G$4,1))-MAX($C40,G$4))/MAX(1,$D40+1-$C40))</f>
        <v/>
      </c>
      <c r="H40" s="56" t="str">
        <f aca="false">IF(OR(H$4="",$C40="",$D40="",N($E40)=0),"",$E40*MAX(0,MIN($D40+1,EDATE(H$4,1))-MAX($C40,H$4))/MAX(1,$D40+1-$C40))</f>
        <v/>
      </c>
      <c r="I40" s="56" t="str">
        <f aca="false">IF(OR(I$4="",$C40="",$D40="",N($E40)=0),"",$E40*MAX(0,MIN($D40+1,EDATE(I$4,1))-MAX($C40,I$4))/MAX(1,$D40+1-$C40))</f>
        <v/>
      </c>
      <c r="J40" s="56" t="str">
        <f aca="false">IF(OR(J$4="",$C40="",$D40="",N($E40)=0),"",$E40*MAX(0,MIN($D40+1,EDATE(J$4,1))-MAX($C40,J$4))/MAX(1,$D40+1-$C40))</f>
        <v/>
      </c>
      <c r="K40" s="56" t="str">
        <f aca="false">IF(OR(K$4="",$C40="",$D40="",N($E40)=0),"",$E40*MAX(0,MIN($D40+1,EDATE(K$4,1))-MAX($C40,K$4))/MAX(1,$D40+1-$C40))</f>
        <v/>
      </c>
      <c r="L40" s="56" t="str">
        <f aca="false">IF(OR(L$4="",$C40="",$D40="",N($E40)=0),"",$E40*MAX(0,MIN($D40+1,EDATE(L$4,1))-MAX($C40,L$4))/MAX(1,$D40+1-$C40))</f>
        <v/>
      </c>
      <c r="M40" s="56" t="str">
        <f aca="false">IF(OR(M$4="",$C40="",$D40="",N($E40)=0),"",$E40*MAX(0,MIN($D40+1,EDATE(M$4,1))-MAX($C40,M$4))/MAX(1,$D40+1-$C40))</f>
        <v/>
      </c>
      <c r="N40" s="56" t="str">
        <f aca="false">IF(OR(N$4="",$C40="",$D40="",N($E40)=0),"",$E40*MAX(0,MIN($D40+1,EDATE(N$4,1))-MAX($C40,N$4))/MAX(1,$D40+1-$C40))</f>
        <v/>
      </c>
      <c r="O40" s="56" t="str">
        <f aca="false">IF(OR(O$4="",$C40="",$D40="",N($E40)=0),"",$E40*MAX(0,MIN($D40+1,EDATE(O$4,1))-MAX($C40,O$4))/MAX(1,$D40+1-$C40))</f>
        <v/>
      </c>
      <c r="P40" s="56" t="str">
        <f aca="false">IF(OR(P$4="",$C40="",$D40="",N($E40)=0),"",$E40*MAX(0,MIN($D40+1,EDATE(P$4,1))-MAX($C40,P$4))/MAX(1,$D40+1-$C40))</f>
        <v/>
      </c>
      <c r="Q40" s="56" t="str">
        <f aca="false">IF(OR(Q$4="",$C40="",$D40="",N($E40)=0),"",$E40*MAX(0,MIN($D40+1,EDATE(Q$4,1))-MAX($C40,Q$4))/MAX(1,$D40+1-$C40))</f>
        <v/>
      </c>
      <c r="R40" s="56" t="str">
        <f aca="false">IF(OR(R$4="",$C40="",$D40="",N($E40)=0),"",$E40*MAX(0,MIN($D40+1,EDATE(R$4,1))-MAX($C40,R$4))/MAX(1,$D40+1-$C40))</f>
        <v/>
      </c>
      <c r="S40" s="56" t="str">
        <f aca="false">IF(OR(S$4="",$C40="",$D40="",N($E40)=0),"",$E40*MAX(0,MIN($D40+1,EDATE(S$4,1))-MAX($C40,S$4))/MAX(1,$D40+1-$C40))</f>
        <v/>
      </c>
      <c r="T40" s="56" t="str">
        <f aca="false">IF(OR(T$4="",$C40="",$D40="",N($E40)=0),"",$E40*MAX(0,MIN($D40+1,EDATE(T$4,1))-MAX($C40,T$4))/MAX(1,$D40+1-$C40))</f>
        <v/>
      </c>
      <c r="U40" s="56" t="str">
        <f aca="false">IF(OR(U$4="",$C40="",$D40="",N($E40)=0),"",$E40*MAX(0,MIN($D40+1,EDATE(U$4,1))-MAX($C40,U$4))/MAX(1,$D40+1-$C40))</f>
        <v/>
      </c>
      <c r="V40" s="56" t="str">
        <f aca="false">IF(OR(V$4="",$C40="",$D40="",N($E40)=0),"",$E40*MAX(0,MIN($D40+1,EDATE(V$4,1))-MAX($C40,V$4))/MAX(1,$D40+1-$C40))</f>
        <v/>
      </c>
      <c r="W40" s="56" t="str">
        <f aca="false">IF(OR(W$4="",$C40="",$D40="",N($E40)=0),"",$E40*MAX(0,MIN($D40+1,EDATE(W$4,1))-MAX($C40,W$4))/MAX(1,$D40+1-$C40))</f>
        <v/>
      </c>
      <c r="X40" s="56" t="str">
        <f aca="false">IF(OR(X$4="",$C40="",$D40="",N($E40)=0),"",$E40*MAX(0,MIN($D40+1,EDATE(X$4,1))-MAX($C40,X$4))/MAX(1,$D40+1-$C40))</f>
        <v/>
      </c>
      <c r="Y40" s="56" t="str">
        <f aca="false">IF(OR(Y$4="",$C40="",$D40="",N($E40)=0),"",$E40*MAX(0,MIN($D40+1,EDATE(Y$4,1))-MAX($C40,Y$4))/MAX(1,$D40+1-$C40))</f>
        <v/>
      </c>
      <c r="Z40" s="56" t="str">
        <f aca="false">IF(OR(Z$4="",$C40="",$D40="",N($E40)=0),"",$E40*MAX(0,MIN($D40+1,EDATE(Z$4,1))-MAX($C40,Z$4))/MAX(1,$D40+1-$C40))</f>
        <v/>
      </c>
      <c r="AA40" s="56" t="str">
        <f aca="false">IF(OR(AA$4="",$C40="",$D40="",N($E40)=0),"",$E40*MAX(0,MIN($D40+1,EDATE(AA$4,1))-MAX($C40,AA$4))/MAX(1,$D40+1-$C40))</f>
        <v/>
      </c>
      <c r="AB40" s="56" t="str">
        <f aca="false">IF(OR(AB$4="",$C40="",$D40="",N($E40)=0),"",$E40*MAX(0,MIN($D40+1,EDATE(AB$4,1))-MAX($C40,AB$4))/MAX(1,$D40+1-$C40))</f>
        <v/>
      </c>
      <c r="AC40" s="56" t="str">
        <f aca="false">IF(OR(AC$4="",$C40="",$D40="",N($E40)=0),"",$E40*MAX(0,MIN($D40+1,EDATE(AC$4,1))-MAX($C40,AC$4))/MAX(1,$D40+1-$C40))</f>
        <v/>
      </c>
      <c r="AD40" s="56" t="str">
        <f aca="false">IF(OR(AD$4="",$C40="",$D40="",N($E40)=0),"",$E40*MAX(0,MIN($D40+1,EDATE(AD$4,1))-MAX($C40,AD$4))/MAX(1,$D40+1-$C40))</f>
        <v/>
      </c>
      <c r="AE40" s="56" t="str">
        <f aca="false">IF(OR(AE$4="",$C40="",$D40="",N($E40)=0),"",$E40*MAX(0,MIN($D40+1,EDATE(AE$4,1))-MAX($C40,AE$4))/MAX(1,$D40+1-$C40))</f>
        <v/>
      </c>
      <c r="AF40" s="56" t="str">
        <f aca="false">IF(OR(AF$4="",$C40="",$D40="",N($E40)=0),"",$E40*MAX(0,MIN($D40+1,EDATE(AF$4,1))-MAX($C40,AF$4))/MAX(1,$D40+1-$C40))</f>
        <v/>
      </c>
      <c r="AG40" s="56" t="str">
        <f aca="false">IF(OR(AG$4="",$C40="",$D40="",N($E40)=0),"",$E40*MAX(0,MIN($D40+1,EDATE(AG$4,1))-MAX($C40,AG$4))/MAX(1,$D40+1-$C40))</f>
        <v/>
      </c>
      <c r="AH40" s="56" t="str">
        <f aca="false">IF(OR(AH$4="",$C40="",$D40="",N($E40)=0),"",$E40*MAX(0,MIN($D40+1,EDATE(AH$4,1))-MAX($C40,AH$4))/MAX(1,$D40+1-$C40))</f>
        <v/>
      </c>
      <c r="AI40" s="56" t="str">
        <f aca="false">IF(OR(AI$4="",$C40="",$D40="",N($E40)=0),"",$E40*MAX(0,MIN($D40+1,EDATE(AI$4,1))-MAX($C40,AI$4))/MAX(1,$D40+1-$C40))</f>
        <v/>
      </c>
      <c r="AJ40" s="56" t="str">
        <f aca="false">IF(OR(AJ$4="",$C40="",$D40="",N($E40)=0),"",$E40*MAX(0,MIN($D40+1,EDATE(AJ$4,1))-MAX($C40,AJ$4))/MAX(1,$D40+1-$C40))</f>
        <v/>
      </c>
      <c r="AK40" s="56" t="str">
        <f aca="false">IF(OR(AK$4="",$C40="",$D40="",N($E40)=0),"",$E40*MAX(0,MIN($D40+1,EDATE(AK$4,1))-MAX($C40,AK$4))/MAX(1,$D40+1-$C40))</f>
        <v/>
      </c>
      <c r="AL40" s="56" t="str">
        <f aca="false">IF(OR(AL$4="",$C40="",$D40="",N($E40)=0),"",$E40*MAX(0,MIN($D40+1,EDATE(AL$4,1))-MAX($C40,AL$4))/MAX(1,$D40+1-$C40))</f>
        <v/>
      </c>
      <c r="AM40" s="56" t="str">
        <f aca="false">IF(OR(AM$4="",$C40="",$D40="",N($E40)=0),"",$E40*MAX(0,MIN($D40+1,EDATE(AM$4,1))-MAX($C40,AM$4))/MAX(1,$D40+1-$C40))</f>
        <v/>
      </c>
      <c r="AN40" s="56" t="str">
        <f aca="false">IF(OR(AN$4="",$C40="",$D40="",N($E40)=0),"",$E40*MAX(0,MIN($D40+1,EDATE(AN$4,1))-MAX($C40,AN$4))/MAX(1,$D40+1-$C40))</f>
        <v/>
      </c>
      <c r="AO40" s="56" t="str">
        <f aca="false">IF(OR(AO$4="",$C40="",$D40="",N($E40)=0),"",$E40*MAX(0,MIN($D40+1,EDATE(AO$4,1))-MAX($C40,AO$4))/MAX(1,$D40+1-$C40))</f>
        <v/>
      </c>
      <c r="AP40" s="56" t="str">
        <f aca="false">IF(OR(AP$4="",$C40="",$D40="",N($E40)=0),"",$E40*MAX(0,MIN($D40+1,EDATE(AP$4,1))-MAX($C40,AP$4))/MAX(1,$D40+1-$C40))</f>
        <v/>
      </c>
      <c r="AQ40" s="56" t="str">
        <f aca="false">IF(OR(AQ$4="",$C40="",$D40="",N($E40)=0),"",$E40*MAX(0,MIN($D40+1,EDATE(AQ$4,1))-MAX($C40,AQ$4))/MAX(1,$D40+1-$C40))</f>
        <v/>
      </c>
      <c r="AR40" s="56" t="str">
        <f aca="false">IF(OR(AR$4="",$C40="",$D40="",N($E40)=0),"",$E40*MAX(0,MIN($D40+1,EDATE(AR$4,1))-MAX($C40,AR$4))/MAX(1,$D40+1-$C40))</f>
        <v/>
      </c>
      <c r="AS40" s="56" t="str">
        <f aca="false">IF(OR(AS$4="",$C40="",$D40="",N($E40)=0),"",$E40*MAX(0,MIN($D40+1,EDATE(AS$4,1))-MAX($C40,AS$4))/MAX(1,$D40+1-$C40))</f>
        <v/>
      </c>
      <c r="AT40" s="56" t="str">
        <f aca="false">IF(OR(AT$4="",$C40="",$D40="",N($E40)=0),"",$E40*MAX(0,MIN($D40+1,EDATE(AT$4,1))-MAX($C40,AT$4))/MAX(1,$D40+1-$C40))</f>
        <v/>
      </c>
      <c r="AU40" s="56" t="str">
        <f aca="false">IF(OR(AU$4="",$C40="",$D40="",N($E40)=0),"",$E40*MAX(0,MIN($D40+1,EDATE(AU$4,1))-MAX($C40,AU$4))/MAX(1,$D40+1-$C40))</f>
        <v/>
      </c>
      <c r="AV40" s="56" t="str">
        <f aca="false">IF(OR(AV$4="",$C40="",$D40="",N($E40)=0),"",$E40*MAX(0,MIN($D40+1,EDATE(AV$4,1))-MAX($C40,AV$4))/MAX(1,$D40+1-$C40))</f>
        <v/>
      </c>
      <c r="AW40" s="56" t="str">
        <f aca="false">IF(OR(AW$4="",$C40="",$D40="",N($E40)=0),"",$E40*MAX(0,MIN($D40+1,EDATE(AW$4,1))-MAX($C40,AW$4))/MAX(1,$D40+1-$C40))</f>
        <v/>
      </c>
      <c r="AX40" s="56" t="str">
        <f aca="false">IF(OR(AX$4="",$C40="",$D40="",N($E40)=0),"",$E40*MAX(0,MIN($D40+1,EDATE(AX$4,1))-MAX($C40,AX$4))/MAX(1,$D40+1-$C40))</f>
        <v/>
      </c>
      <c r="AY40" s="56" t="str">
        <f aca="false">IF(OR(AY$4="",$C40="",$D40="",N($E40)=0),"",$E40*MAX(0,MIN($D40+1,EDATE(AY$4,1))-MAX($C40,AY$4))/MAX(1,$D40+1-$C40))</f>
        <v/>
      </c>
      <c r="AZ40" s="56" t="str">
        <f aca="false">IF(OR(AZ$4="",$C40="",$D40="",N($E40)=0),"",$E40*MAX(0,MIN($D40+1,EDATE(AZ$4,1))-MAX($C40,AZ$4))/MAX(1,$D40+1-$C40))</f>
        <v/>
      </c>
      <c r="BA40" s="56" t="str">
        <f aca="false">IF(OR(BA$4="",$C40="",$D40="",N($E40)=0),"",$E40*MAX(0,MIN($D40+1,EDATE(BA$4,1))-MAX($C40,BA$4))/MAX(1,$D40+1-$C40))</f>
        <v/>
      </c>
      <c r="BB40" s="56" t="str">
        <f aca="false">IF(OR(BB$4="",$C40="",$D40="",N($E40)=0),"",$E40*MAX(0,MIN($D40+1,EDATE(BB$4,1))-MAX($C40,BB$4))/MAX(1,$D40+1-$C40))</f>
        <v/>
      </c>
      <c r="BC40" s="56" t="str">
        <f aca="false">IF(OR(BC$4="",$C40="",$D40="",N($E40)=0),"",$E40*MAX(0,MIN($D40+1,EDATE(BC$4,1))-MAX($C40,BC$4))/MAX(1,$D40+1-$C40))</f>
        <v/>
      </c>
      <c r="BD40" s="56" t="str">
        <f aca="false">IF(OR(BD$4="",$C40="",$D40="",N($E40)=0),"",$E40*MAX(0,MIN($D40+1,EDATE(BD$4,1))-MAX($C40,BD$4))/MAX(1,$D40+1-$C40))</f>
        <v/>
      </c>
      <c r="BE40" s="56" t="str">
        <f aca="false">IF(OR(BE$4="",$C40="",$D40="",N($E40)=0),"",$E40*MAX(0,MIN($D40+1,EDATE(BE$4,1))-MAX($C40,BE$4))/MAX(1,$D40+1-$C40))</f>
        <v/>
      </c>
      <c r="BF40" s="56" t="str">
        <f aca="false">IF(OR(BF$4="",$C40="",$D40="",N($E40)=0),"",$E40*MAX(0,MIN($D40+1,EDATE(BF$4,1))-MAX($C40,BF$4))/MAX(1,$D40+1-$C40))</f>
        <v/>
      </c>
      <c r="BG40" s="56" t="str">
        <f aca="false">IF(OR(BG$4="",$C40="",$D40="",N($E40)=0),"",$E40*MAX(0,MIN($D40+1,EDATE(BG$4,1))-MAX($C40,BG$4))/MAX(1,$D40+1-$C40))</f>
        <v/>
      </c>
      <c r="BH40" s="56" t="str">
        <f aca="false">IF(OR(BH$4="",$C40="",$D40="",N($E40)=0),"",$E40*MAX(0,MIN($D40+1,EDATE(BH$4,1))-MAX($C40,BH$4))/MAX(1,$D40+1-$C40))</f>
        <v/>
      </c>
      <c r="BI40" s="56" t="str">
        <f aca="false">IF(OR(BI$4="",$C40="",$D40="",N($E40)=0),"",$E40*MAX(0,MIN($D40+1,EDATE(BI$4,1))-MAX($C40,BI$4))/MAX(1,$D40+1-$C40))</f>
        <v/>
      </c>
      <c r="BJ40" s="56" t="str">
        <f aca="false">IF(OR(BJ$4="",$C40="",$D40="",N($E40)=0),"",$E40*MAX(0,MIN($D40+1,EDATE(BJ$4,1))-MAX($C40,BJ$4))/MAX(1,$D40+1-$C40))</f>
        <v/>
      </c>
      <c r="BK40" s="56" t="str">
        <f aca="false">IF(OR(BK$4="",$C40="",$D40="",N($E40)=0),"",$E40*MAX(0,MIN($D40+1,EDATE(BK$4,1))-MAX($C40,BK$4))/MAX(1,$D40+1-$C40))</f>
        <v/>
      </c>
      <c r="BL40" s="56" t="str">
        <f aca="false">IF(OR(BL$4="",$C40="",$D40="",N($E40)=0),"",$E40*MAX(0,MIN($D40+1,EDATE(BL$4,1))-MAX($C40,BL$4))/MAX(1,$D40+1-$C40))</f>
        <v/>
      </c>
      <c r="BM40" s="56" t="str">
        <f aca="false">IF(OR(BM$4="",$C40="",$D40="",N($E40)=0),"",$E40*MAX(0,MIN($D40+1,EDATE(BM$4,1))-MAX($C40,BM$4))/MAX(1,$D40+1-$C40))</f>
        <v/>
      </c>
      <c r="BN40" s="56" t="str">
        <f aca="false">IF(OR(BN$4="",$C40="",$D40="",N($E40)=0),"",$E40*MAX(0,MIN($D40+1,EDATE(BN$4,1))-MAX($C40,BN$4))/MAX(1,$D40+1-$C40))</f>
        <v/>
      </c>
      <c r="BO40" s="56" t="str">
        <f aca="false">IF(OR(BO$4="",$C40="",$D40="",N($E40)=0),"",$E40*MAX(0,MIN($D40+1,EDATE(BO$4,1))-MAX($C40,BO$4))/MAX(1,$D40+1-$C40))</f>
        <v/>
      </c>
      <c r="BP40" s="56" t="str">
        <f aca="false">IF(OR(BP$4="",$C40="",$D40="",N($E40)=0),"",$E40*MAX(0,MIN($D40+1,EDATE(BP$4,1))-MAX($C40,BP$4))/MAX(1,$D40+1-$C40))</f>
        <v/>
      </c>
      <c r="BQ40" s="56" t="str">
        <f aca="false">IF(OR(BQ$4="",$C40="",$D40="",N($E40)=0),"",$E40*MAX(0,MIN($D40+1,EDATE(BQ$4,1))-MAX($C40,BQ$4))/MAX(1,$D40+1-$C40))</f>
        <v/>
      </c>
      <c r="BR40" s="56" t="str">
        <f aca="false">IF(OR(BR$4="",$C40="",$D40="",N($E40)=0),"",$E40*MAX(0,MIN($D40+1,EDATE(BR$4,1))-MAX($C40,BR$4))/MAX(1,$D40+1-$C40))</f>
        <v/>
      </c>
      <c r="BS40" s="56" t="str">
        <f aca="false">IF(OR(BS$4="",$C40="",$D40="",N($E40)=0),"",$E40*MAX(0,MIN($D40+1,EDATE(BS$4,1))-MAX($C40,BS$4))/MAX(1,$D40+1-$C40))</f>
        <v/>
      </c>
      <c r="BT40" s="56" t="str">
        <f aca="false">IF(OR(BT$4="",$C40="",$D40="",N($E40)=0),"",$E40*MAX(0,MIN($D40+1,EDATE(BT$4,1))-MAX($C40,BT$4))/MAX(1,$D40+1-$C40))</f>
        <v/>
      </c>
      <c r="BU40" s="56" t="str">
        <f aca="false">IF(OR(BU$4="",$C40="",$D40="",N($E40)=0),"",$E40*MAX(0,MIN($D40+1,EDATE(BU$4,1))-MAX($C40,BU$4))/MAX(1,$D40+1-$C40))</f>
        <v/>
      </c>
      <c r="BV40" s="56" t="str">
        <f aca="false">IF(OR(BV$4="",$C40="",$D40="",N($E40)=0),"",$E40*MAX(0,MIN($D40+1,EDATE(BV$4,1))-MAX($C40,BV$4))/MAX(1,$D40+1-$C40))</f>
        <v/>
      </c>
      <c r="BW40" s="56" t="str">
        <f aca="false">IF(OR(BW$4="",$C40="",$D40="",N($E40)=0),"",$E40*MAX(0,MIN($D40+1,EDATE(BW$4,1))-MAX($C40,BW$4))/MAX(1,$D40+1-$C40))</f>
        <v/>
      </c>
      <c r="BX40" s="56" t="str">
        <f aca="false">IF(OR(BX$4="",$C40="",$D40="",N($E40)=0),"",$E40*MAX(0,MIN($D40+1,EDATE(BX$4,1))-MAX($C40,BX$4))/MAX(1,$D40+1-$C40))</f>
        <v/>
      </c>
      <c r="BY40" s="56" t="str">
        <f aca="false">IF(OR(BY$4="",$C40="",$D40="",N($E40)=0),"",$E40*MAX(0,MIN($D40+1,EDATE(BY$4,1))-MAX($C40,BY$4))/MAX(1,$D40+1-$C40))</f>
        <v/>
      </c>
    </row>
    <row r="41" customFormat="false" ht="15" hidden="false" customHeight="false" outlineLevel="0" collapsed="false">
      <c r="A41" s="53" t="str">
        <f aca="false">IF(BOE!$A42="","",BOE!$A42)</f>
        <v/>
      </c>
      <c r="B41" s="53" t="str">
        <f aca="false">IF(BOE!$A42="","",BOE!$C42)</f>
        <v/>
      </c>
      <c r="C41" s="54" t="str">
        <f aca="false">IF(BOE!$O42="","",BOE!$O42)</f>
        <v/>
      </c>
      <c r="D41" s="54" t="str">
        <f aca="false">IF(BOE!$P42="","",BOE!$P42)</f>
        <v/>
      </c>
      <c r="E41" s="55" t="n">
        <f aca="false">IF(Inputs!$B$7="P90",BOE!$T42,BOE!$R42)</f>
        <v>0</v>
      </c>
      <c r="F41" s="56" t="str">
        <f aca="false">IF(OR(F$4="",$C41="",$D41="",N($E41)=0),"",$E41*MAX(0,MIN($D41+1,EDATE(F$4,1))-MAX($C41,F$4))/MAX(1,$D41+1-$C41))</f>
        <v/>
      </c>
      <c r="G41" s="56" t="str">
        <f aca="false">IF(OR(G$4="",$C41="",$D41="",N($E41)=0),"",$E41*MAX(0,MIN($D41+1,EDATE(G$4,1))-MAX($C41,G$4))/MAX(1,$D41+1-$C41))</f>
        <v/>
      </c>
      <c r="H41" s="56" t="str">
        <f aca="false">IF(OR(H$4="",$C41="",$D41="",N($E41)=0),"",$E41*MAX(0,MIN($D41+1,EDATE(H$4,1))-MAX($C41,H$4))/MAX(1,$D41+1-$C41))</f>
        <v/>
      </c>
      <c r="I41" s="56" t="str">
        <f aca="false">IF(OR(I$4="",$C41="",$D41="",N($E41)=0),"",$E41*MAX(0,MIN($D41+1,EDATE(I$4,1))-MAX($C41,I$4))/MAX(1,$D41+1-$C41))</f>
        <v/>
      </c>
      <c r="J41" s="56" t="str">
        <f aca="false">IF(OR(J$4="",$C41="",$D41="",N($E41)=0),"",$E41*MAX(0,MIN($D41+1,EDATE(J$4,1))-MAX($C41,J$4))/MAX(1,$D41+1-$C41))</f>
        <v/>
      </c>
      <c r="K41" s="56" t="str">
        <f aca="false">IF(OR(K$4="",$C41="",$D41="",N($E41)=0),"",$E41*MAX(0,MIN($D41+1,EDATE(K$4,1))-MAX($C41,K$4))/MAX(1,$D41+1-$C41))</f>
        <v/>
      </c>
      <c r="L41" s="56" t="str">
        <f aca="false">IF(OR(L$4="",$C41="",$D41="",N($E41)=0),"",$E41*MAX(0,MIN($D41+1,EDATE(L$4,1))-MAX($C41,L$4))/MAX(1,$D41+1-$C41))</f>
        <v/>
      </c>
      <c r="M41" s="56" t="str">
        <f aca="false">IF(OR(M$4="",$C41="",$D41="",N($E41)=0),"",$E41*MAX(0,MIN($D41+1,EDATE(M$4,1))-MAX($C41,M$4))/MAX(1,$D41+1-$C41))</f>
        <v/>
      </c>
      <c r="N41" s="56" t="str">
        <f aca="false">IF(OR(N$4="",$C41="",$D41="",N($E41)=0),"",$E41*MAX(0,MIN($D41+1,EDATE(N$4,1))-MAX($C41,N$4))/MAX(1,$D41+1-$C41))</f>
        <v/>
      </c>
      <c r="O41" s="56" t="str">
        <f aca="false">IF(OR(O$4="",$C41="",$D41="",N($E41)=0),"",$E41*MAX(0,MIN($D41+1,EDATE(O$4,1))-MAX($C41,O$4))/MAX(1,$D41+1-$C41))</f>
        <v/>
      </c>
      <c r="P41" s="56" t="str">
        <f aca="false">IF(OR(P$4="",$C41="",$D41="",N($E41)=0),"",$E41*MAX(0,MIN($D41+1,EDATE(P$4,1))-MAX($C41,P$4))/MAX(1,$D41+1-$C41))</f>
        <v/>
      </c>
      <c r="Q41" s="56" t="str">
        <f aca="false">IF(OR(Q$4="",$C41="",$D41="",N($E41)=0),"",$E41*MAX(0,MIN($D41+1,EDATE(Q$4,1))-MAX($C41,Q$4))/MAX(1,$D41+1-$C41))</f>
        <v/>
      </c>
      <c r="R41" s="56" t="str">
        <f aca="false">IF(OR(R$4="",$C41="",$D41="",N($E41)=0),"",$E41*MAX(0,MIN($D41+1,EDATE(R$4,1))-MAX($C41,R$4))/MAX(1,$D41+1-$C41))</f>
        <v/>
      </c>
      <c r="S41" s="56" t="str">
        <f aca="false">IF(OR(S$4="",$C41="",$D41="",N($E41)=0),"",$E41*MAX(0,MIN($D41+1,EDATE(S$4,1))-MAX($C41,S$4))/MAX(1,$D41+1-$C41))</f>
        <v/>
      </c>
      <c r="T41" s="56" t="str">
        <f aca="false">IF(OR(T$4="",$C41="",$D41="",N($E41)=0),"",$E41*MAX(0,MIN($D41+1,EDATE(T$4,1))-MAX($C41,T$4))/MAX(1,$D41+1-$C41))</f>
        <v/>
      </c>
      <c r="U41" s="56" t="str">
        <f aca="false">IF(OR(U$4="",$C41="",$D41="",N($E41)=0),"",$E41*MAX(0,MIN($D41+1,EDATE(U$4,1))-MAX($C41,U$4))/MAX(1,$D41+1-$C41))</f>
        <v/>
      </c>
      <c r="V41" s="56" t="str">
        <f aca="false">IF(OR(V$4="",$C41="",$D41="",N($E41)=0),"",$E41*MAX(0,MIN($D41+1,EDATE(V$4,1))-MAX($C41,V$4))/MAX(1,$D41+1-$C41))</f>
        <v/>
      </c>
      <c r="W41" s="56" t="str">
        <f aca="false">IF(OR(W$4="",$C41="",$D41="",N($E41)=0),"",$E41*MAX(0,MIN($D41+1,EDATE(W$4,1))-MAX($C41,W$4))/MAX(1,$D41+1-$C41))</f>
        <v/>
      </c>
      <c r="X41" s="56" t="str">
        <f aca="false">IF(OR(X$4="",$C41="",$D41="",N($E41)=0),"",$E41*MAX(0,MIN($D41+1,EDATE(X$4,1))-MAX($C41,X$4))/MAX(1,$D41+1-$C41))</f>
        <v/>
      </c>
      <c r="Y41" s="56" t="str">
        <f aca="false">IF(OR(Y$4="",$C41="",$D41="",N($E41)=0),"",$E41*MAX(0,MIN($D41+1,EDATE(Y$4,1))-MAX($C41,Y$4))/MAX(1,$D41+1-$C41))</f>
        <v/>
      </c>
      <c r="Z41" s="56" t="str">
        <f aca="false">IF(OR(Z$4="",$C41="",$D41="",N($E41)=0),"",$E41*MAX(0,MIN($D41+1,EDATE(Z$4,1))-MAX($C41,Z$4))/MAX(1,$D41+1-$C41))</f>
        <v/>
      </c>
      <c r="AA41" s="56" t="str">
        <f aca="false">IF(OR(AA$4="",$C41="",$D41="",N($E41)=0),"",$E41*MAX(0,MIN($D41+1,EDATE(AA$4,1))-MAX($C41,AA$4))/MAX(1,$D41+1-$C41))</f>
        <v/>
      </c>
      <c r="AB41" s="56" t="str">
        <f aca="false">IF(OR(AB$4="",$C41="",$D41="",N($E41)=0),"",$E41*MAX(0,MIN($D41+1,EDATE(AB$4,1))-MAX($C41,AB$4))/MAX(1,$D41+1-$C41))</f>
        <v/>
      </c>
      <c r="AC41" s="56" t="str">
        <f aca="false">IF(OR(AC$4="",$C41="",$D41="",N($E41)=0),"",$E41*MAX(0,MIN($D41+1,EDATE(AC$4,1))-MAX($C41,AC$4))/MAX(1,$D41+1-$C41))</f>
        <v/>
      </c>
      <c r="AD41" s="56" t="str">
        <f aca="false">IF(OR(AD$4="",$C41="",$D41="",N($E41)=0),"",$E41*MAX(0,MIN($D41+1,EDATE(AD$4,1))-MAX($C41,AD$4))/MAX(1,$D41+1-$C41))</f>
        <v/>
      </c>
      <c r="AE41" s="56" t="str">
        <f aca="false">IF(OR(AE$4="",$C41="",$D41="",N($E41)=0),"",$E41*MAX(0,MIN($D41+1,EDATE(AE$4,1))-MAX($C41,AE$4))/MAX(1,$D41+1-$C41))</f>
        <v/>
      </c>
      <c r="AF41" s="56" t="str">
        <f aca="false">IF(OR(AF$4="",$C41="",$D41="",N($E41)=0),"",$E41*MAX(0,MIN($D41+1,EDATE(AF$4,1))-MAX($C41,AF$4))/MAX(1,$D41+1-$C41))</f>
        <v/>
      </c>
      <c r="AG41" s="56" t="str">
        <f aca="false">IF(OR(AG$4="",$C41="",$D41="",N($E41)=0),"",$E41*MAX(0,MIN($D41+1,EDATE(AG$4,1))-MAX($C41,AG$4))/MAX(1,$D41+1-$C41))</f>
        <v/>
      </c>
      <c r="AH41" s="56" t="str">
        <f aca="false">IF(OR(AH$4="",$C41="",$D41="",N($E41)=0),"",$E41*MAX(0,MIN($D41+1,EDATE(AH$4,1))-MAX($C41,AH$4))/MAX(1,$D41+1-$C41))</f>
        <v/>
      </c>
      <c r="AI41" s="56" t="str">
        <f aca="false">IF(OR(AI$4="",$C41="",$D41="",N($E41)=0),"",$E41*MAX(0,MIN($D41+1,EDATE(AI$4,1))-MAX($C41,AI$4))/MAX(1,$D41+1-$C41))</f>
        <v/>
      </c>
      <c r="AJ41" s="56" t="str">
        <f aca="false">IF(OR(AJ$4="",$C41="",$D41="",N($E41)=0),"",$E41*MAX(0,MIN($D41+1,EDATE(AJ$4,1))-MAX($C41,AJ$4))/MAX(1,$D41+1-$C41))</f>
        <v/>
      </c>
      <c r="AK41" s="56" t="str">
        <f aca="false">IF(OR(AK$4="",$C41="",$D41="",N($E41)=0),"",$E41*MAX(0,MIN($D41+1,EDATE(AK$4,1))-MAX($C41,AK$4))/MAX(1,$D41+1-$C41))</f>
        <v/>
      </c>
      <c r="AL41" s="56" t="str">
        <f aca="false">IF(OR(AL$4="",$C41="",$D41="",N($E41)=0),"",$E41*MAX(0,MIN($D41+1,EDATE(AL$4,1))-MAX($C41,AL$4))/MAX(1,$D41+1-$C41))</f>
        <v/>
      </c>
      <c r="AM41" s="56" t="str">
        <f aca="false">IF(OR(AM$4="",$C41="",$D41="",N($E41)=0),"",$E41*MAX(0,MIN($D41+1,EDATE(AM$4,1))-MAX($C41,AM$4))/MAX(1,$D41+1-$C41))</f>
        <v/>
      </c>
      <c r="AN41" s="56" t="str">
        <f aca="false">IF(OR(AN$4="",$C41="",$D41="",N($E41)=0),"",$E41*MAX(0,MIN($D41+1,EDATE(AN$4,1))-MAX($C41,AN$4))/MAX(1,$D41+1-$C41))</f>
        <v/>
      </c>
      <c r="AO41" s="56" t="str">
        <f aca="false">IF(OR(AO$4="",$C41="",$D41="",N($E41)=0),"",$E41*MAX(0,MIN($D41+1,EDATE(AO$4,1))-MAX($C41,AO$4))/MAX(1,$D41+1-$C41))</f>
        <v/>
      </c>
      <c r="AP41" s="56" t="str">
        <f aca="false">IF(OR(AP$4="",$C41="",$D41="",N($E41)=0),"",$E41*MAX(0,MIN($D41+1,EDATE(AP$4,1))-MAX($C41,AP$4))/MAX(1,$D41+1-$C41))</f>
        <v/>
      </c>
      <c r="AQ41" s="56" t="str">
        <f aca="false">IF(OR(AQ$4="",$C41="",$D41="",N($E41)=0),"",$E41*MAX(0,MIN($D41+1,EDATE(AQ$4,1))-MAX($C41,AQ$4))/MAX(1,$D41+1-$C41))</f>
        <v/>
      </c>
      <c r="AR41" s="56" t="str">
        <f aca="false">IF(OR(AR$4="",$C41="",$D41="",N($E41)=0),"",$E41*MAX(0,MIN($D41+1,EDATE(AR$4,1))-MAX($C41,AR$4))/MAX(1,$D41+1-$C41))</f>
        <v/>
      </c>
      <c r="AS41" s="56" t="str">
        <f aca="false">IF(OR(AS$4="",$C41="",$D41="",N($E41)=0),"",$E41*MAX(0,MIN($D41+1,EDATE(AS$4,1))-MAX($C41,AS$4))/MAX(1,$D41+1-$C41))</f>
        <v/>
      </c>
      <c r="AT41" s="56" t="str">
        <f aca="false">IF(OR(AT$4="",$C41="",$D41="",N($E41)=0),"",$E41*MAX(0,MIN($D41+1,EDATE(AT$4,1))-MAX($C41,AT$4))/MAX(1,$D41+1-$C41))</f>
        <v/>
      </c>
      <c r="AU41" s="56" t="str">
        <f aca="false">IF(OR(AU$4="",$C41="",$D41="",N($E41)=0),"",$E41*MAX(0,MIN($D41+1,EDATE(AU$4,1))-MAX($C41,AU$4))/MAX(1,$D41+1-$C41))</f>
        <v/>
      </c>
      <c r="AV41" s="56" t="str">
        <f aca="false">IF(OR(AV$4="",$C41="",$D41="",N($E41)=0),"",$E41*MAX(0,MIN($D41+1,EDATE(AV$4,1))-MAX($C41,AV$4))/MAX(1,$D41+1-$C41))</f>
        <v/>
      </c>
      <c r="AW41" s="56" t="str">
        <f aca="false">IF(OR(AW$4="",$C41="",$D41="",N($E41)=0),"",$E41*MAX(0,MIN($D41+1,EDATE(AW$4,1))-MAX($C41,AW$4))/MAX(1,$D41+1-$C41))</f>
        <v/>
      </c>
      <c r="AX41" s="56" t="str">
        <f aca="false">IF(OR(AX$4="",$C41="",$D41="",N($E41)=0),"",$E41*MAX(0,MIN($D41+1,EDATE(AX$4,1))-MAX($C41,AX$4))/MAX(1,$D41+1-$C41))</f>
        <v/>
      </c>
      <c r="AY41" s="56" t="str">
        <f aca="false">IF(OR(AY$4="",$C41="",$D41="",N($E41)=0),"",$E41*MAX(0,MIN($D41+1,EDATE(AY$4,1))-MAX($C41,AY$4))/MAX(1,$D41+1-$C41))</f>
        <v/>
      </c>
      <c r="AZ41" s="56" t="str">
        <f aca="false">IF(OR(AZ$4="",$C41="",$D41="",N($E41)=0),"",$E41*MAX(0,MIN($D41+1,EDATE(AZ$4,1))-MAX($C41,AZ$4))/MAX(1,$D41+1-$C41))</f>
        <v/>
      </c>
      <c r="BA41" s="56" t="str">
        <f aca="false">IF(OR(BA$4="",$C41="",$D41="",N($E41)=0),"",$E41*MAX(0,MIN($D41+1,EDATE(BA$4,1))-MAX($C41,BA$4))/MAX(1,$D41+1-$C41))</f>
        <v/>
      </c>
      <c r="BB41" s="56" t="str">
        <f aca="false">IF(OR(BB$4="",$C41="",$D41="",N($E41)=0),"",$E41*MAX(0,MIN($D41+1,EDATE(BB$4,1))-MAX($C41,BB$4))/MAX(1,$D41+1-$C41))</f>
        <v/>
      </c>
      <c r="BC41" s="56" t="str">
        <f aca="false">IF(OR(BC$4="",$C41="",$D41="",N($E41)=0),"",$E41*MAX(0,MIN($D41+1,EDATE(BC$4,1))-MAX($C41,BC$4))/MAX(1,$D41+1-$C41))</f>
        <v/>
      </c>
      <c r="BD41" s="56" t="str">
        <f aca="false">IF(OR(BD$4="",$C41="",$D41="",N($E41)=0),"",$E41*MAX(0,MIN($D41+1,EDATE(BD$4,1))-MAX($C41,BD$4))/MAX(1,$D41+1-$C41))</f>
        <v/>
      </c>
      <c r="BE41" s="56" t="str">
        <f aca="false">IF(OR(BE$4="",$C41="",$D41="",N($E41)=0),"",$E41*MAX(0,MIN($D41+1,EDATE(BE$4,1))-MAX($C41,BE$4))/MAX(1,$D41+1-$C41))</f>
        <v/>
      </c>
      <c r="BF41" s="56" t="str">
        <f aca="false">IF(OR(BF$4="",$C41="",$D41="",N($E41)=0),"",$E41*MAX(0,MIN($D41+1,EDATE(BF$4,1))-MAX($C41,BF$4))/MAX(1,$D41+1-$C41))</f>
        <v/>
      </c>
      <c r="BG41" s="56" t="str">
        <f aca="false">IF(OR(BG$4="",$C41="",$D41="",N($E41)=0),"",$E41*MAX(0,MIN($D41+1,EDATE(BG$4,1))-MAX($C41,BG$4))/MAX(1,$D41+1-$C41))</f>
        <v/>
      </c>
      <c r="BH41" s="56" t="str">
        <f aca="false">IF(OR(BH$4="",$C41="",$D41="",N($E41)=0),"",$E41*MAX(0,MIN($D41+1,EDATE(BH$4,1))-MAX($C41,BH$4))/MAX(1,$D41+1-$C41))</f>
        <v/>
      </c>
      <c r="BI41" s="56" t="str">
        <f aca="false">IF(OR(BI$4="",$C41="",$D41="",N($E41)=0),"",$E41*MAX(0,MIN($D41+1,EDATE(BI$4,1))-MAX($C41,BI$4))/MAX(1,$D41+1-$C41))</f>
        <v/>
      </c>
      <c r="BJ41" s="56" t="str">
        <f aca="false">IF(OR(BJ$4="",$C41="",$D41="",N($E41)=0),"",$E41*MAX(0,MIN($D41+1,EDATE(BJ$4,1))-MAX($C41,BJ$4))/MAX(1,$D41+1-$C41))</f>
        <v/>
      </c>
      <c r="BK41" s="56" t="str">
        <f aca="false">IF(OR(BK$4="",$C41="",$D41="",N($E41)=0),"",$E41*MAX(0,MIN($D41+1,EDATE(BK$4,1))-MAX($C41,BK$4))/MAX(1,$D41+1-$C41))</f>
        <v/>
      </c>
      <c r="BL41" s="56" t="str">
        <f aca="false">IF(OR(BL$4="",$C41="",$D41="",N($E41)=0),"",$E41*MAX(0,MIN($D41+1,EDATE(BL$4,1))-MAX($C41,BL$4))/MAX(1,$D41+1-$C41))</f>
        <v/>
      </c>
      <c r="BM41" s="56" t="str">
        <f aca="false">IF(OR(BM$4="",$C41="",$D41="",N($E41)=0),"",$E41*MAX(0,MIN($D41+1,EDATE(BM$4,1))-MAX($C41,BM$4))/MAX(1,$D41+1-$C41))</f>
        <v/>
      </c>
      <c r="BN41" s="56" t="str">
        <f aca="false">IF(OR(BN$4="",$C41="",$D41="",N($E41)=0),"",$E41*MAX(0,MIN($D41+1,EDATE(BN$4,1))-MAX($C41,BN$4))/MAX(1,$D41+1-$C41))</f>
        <v/>
      </c>
      <c r="BO41" s="56" t="str">
        <f aca="false">IF(OR(BO$4="",$C41="",$D41="",N($E41)=0),"",$E41*MAX(0,MIN($D41+1,EDATE(BO$4,1))-MAX($C41,BO$4))/MAX(1,$D41+1-$C41))</f>
        <v/>
      </c>
      <c r="BP41" s="56" t="str">
        <f aca="false">IF(OR(BP$4="",$C41="",$D41="",N($E41)=0),"",$E41*MAX(0,MIN($D41+1,EDATE(BP$4,1))-MAX($C41,BP$4))/MAX(1,$D41+1-$C41))</f>
        <v/>
      </c>
      <c r="BQ41" s="56" t="str">
        <f aca="false">IF(OR(BQ$4="",$C41="",$D41="",N($E41)=0),"",$E41*MAX(0,MIN($D41+1,EDATE(BQ$4,1))-MAX($C41,BQ$4))/MAX(1,$D41+1-$C41))</f>
        <v/>
      </c>
      <c r="BR41" s="56" t="str">
        <f aca="false">IF(OR(BR$4="",$C41="",$D41="",N($E41)=0),"",$E41*MAX(0,MIN($D41+1,EDATE(BR$4,1))-MAX($C41,BR$4))/MAX(1,$D41+1-$C41))</f>
        <v/>
      </c>
      <c r="BS41" s="56" t="str">
        <f aca="false">IF(OR(BS$4="",$C41="",$D41="",N($E41)=0),"",$E41*MAX(0,MIN($D41+1,EDATE(BS$4,1))-MAX($C41,BS$4))/MAX(1,$D41+1-$C41))</f>
        <v/>
      </c>
      <c r="BT41" s="56" t="str">
        <f aca="false">IF(OR(BT$4="",$C41="",$D41="",N($E41)=0),"",$E41*MAX(0,MIN($D41+1,EDATE(BT$4,1))-MAX($C41,BT$4))/MAX(1,$D41+1-$C41))</f>
        <v/>
      </c>
      <c r="BU41" s="56" t="str">
        <f aca="false">IF(OR(BU$4="",$C41="",$D41="",N($E41)=0),"",$E41*MAX(0,MIN($D41+1,EDATE(BU$4,1))-MAX($C41,BU$4))/MAX(1,$D41+1-$C41))</f>
        <v/>
      </c>
      <c r="BV41" s="56" t="str">
        <f aca="false">IF(OR(BV$4="",$C41="",$D41="",N($E41)=0),"",$E41*MAX(0,MIN($D41+1,EDATE(BV$4,1))-MAX($C41,BV$4))/MAX(1,$D41+1-$C41))</f>
        <v/>
      </c>
      <c r="BW41" s="56" t="str">
        <f aca="false">IF(OR(BW$4="",$C41="",$D41="",N($E41)=0),"",$E41*MAX(0,MIN($D41+1,EDATE(BW$4,1))-MAX($C41,BW$4))/MAX(1,$D41+1-$C41))</f>
        <v/>
      </c>
      <c r="BX41" s="56" t="str">
        <f aca="false">IF(OR(BX$4="",$C41="",$D41="",N($E41)=0),"",$E41*MAX(0,MIN($D41+1,EDATE(BX$4,1))-MAX($C41,BX$4))/MAX(1,$D41+1-$C41))</f>
        <v/>
      </c>
      <c r="BY41" s="56" t="str">
        <f aca="false">IF(OR(BY$4="",$C41="",$D41="",N($E41)=0),"",$E41*MAX(0,MIN($D41+1,EDATE(BY$4,1))-MAX($C41,BY$4))/MAX(1,$D41+1-$C41))</f>
        <v/>
      </c>
    </row>
    <row r="42" customFormat="false" ht="15" hidden="false" customHeight="false" outlineLevel="0" collapsed="false">
      <c r="A42" s="53" t="str">
        <f aca="false">IF(BOE!$A43="","",BOE!$A43)</f>
        <v/>
      </c>
      <c r="B42" s="53" t="str">
        <f aca="false">IF(BOE!$A43="","",BOE!$C43)</f>
        <v/>
      </c>
      <c r="C42" s="54" t="str">
        <f aca="false">IF(BOE!$O43="","",BOE!$O43)</f>
        <v/>
      </c>
      <c r="D42" s="54" t="str">
        <f aca="false">IF(BOE!$P43="","",BOE!$P43)</f>
        <v/>
      </c>
      <c r="E42" s="55" t="n">
        <f aca="false">IF(Inputs!$B$7="P90",BOE!$T43,BOE!$R43)</f>
        <v>0</v>
      </c>
      <c r="F42" s="56" t="str">
        <f aca="false">IF(OR(F$4="",$C42="",$D42="",N($E42)=0),"",$E42*MAX(0,MIN($D42+1,EDATE(F$4,1))-MAX($C42,F$4))/MAX(1,$D42+1-$C42))</f>
        <v/>
      </c>
      <c r="G42" s="56" t="str">
        <f aca="false">IF(OR(G$4="",$C42="",$D42="",N($E42)=0),"",$E42*MAX(0,MIN($D42+1,EDATE(G$4,1))-MAX($C42,G$4))/MAX(1,$D42+1-$C42))</f>
        <v/>
      </c>
      <c r="H42" s="56" t="str">
        <f aca="false">IF(OR(H$4="",$C42="",$D42="",N($E42)=0),"",$E42*MAX(0,MIN($D42+1,EDATE(H$4,1))-MAX($C42,H$4))/MAX(1,$D42+1-$C42))</f>
        <v/>
      </c>
      <c r="I42" s="56" t="str">
        <f aca="false">IF(OR(I$4="",$C42="",$D42="",N($E42)=0),"",$E42*MAX(0,MIN($D42+1,EDATE(I$4,1))-MAX($C42,I$4))/MAX(1,$D42+1-$C42))</f>
        <v/>
      </c>
      <c r="J42" s="56" t="str">
        <f aca="false">IF(OR(J$4="",$C42="",$D42="",N($E42)=0),"",$E42*MAX(0,MIN($D42+1,EDATE(J$4,1))-MAX($C42,J$4))/MAX(1,$D42+1-$C42))</f>
        <v/>
      </c>
      <c r="K42" s="56" t="str">
        <f aca="false">IF(OR(K$4="",$C42="",$D42="",N($E42)=0),"",$E42*MAX(0,MIN($D42+1,EDATE(K$4,1))-MAX($C42,K$4))/MAX(1,$D42+1-$C42))</f>
        <v/>
      </c>
      <c r="L42" s="56" t="str">
        <f aca="false">IF(OR(L$4="",$C42="",$D42="",N($E42)=0),"",$E42*MAX(0,MIN($D42+1,EDATE(L$4,1))-MAX($C42,L$4))/MAX(1,$D42+1-$C42))</f>
        <v/>
      </c>
      <c r="M42" s="56" t="str">
        <f aca="false">IF(OR(M$4="",$C42="",$D42="",N($E42)=0),"",$E42*MAX(0,MIN($D42+1,EDATE(M$4,1))-MAX($C42,M$4))/MAX(1,$D42+1-$C42))</f>
        <v/>
      </c>
      <c r="N42" s="56" t="str">
        <f aca="false">IF(OR(N$4="",$C42="",$D42="",N($E42)=0),"",$E42*MAX(0,MIN($D42+1,EDATE(N$4,1))-MAX($C42,N$4))/MAX(1,$D42+1-$C42))</f>
        <v/>
      </c>
      <c r="O42" s="56" t="str">
        <f aca="false">IF(OR(O$4="",$C42="",$D42="",N($E42)=0),"",$E42*MAX(0,MIN($D42+1,EDATE(O$4,1))-MAX($C42,O$4))/MAX(1,$D42+1-$C42))</f>
        <v/>
      </c>
      <c r="P42" s="56" t="str">
        <f aca="false">IF(OR(P$4="",$C42="",$D42="",N($E42)=0),"",$E42*MAX(0,MIN($D42+1,EDATE(P$4,1))-MAX($C42,P$4))/MAX(1,$D42+1-$C42))</f>
        <v/>
      </c>
      <c r="Q42" s="56" t="str">
        <f aca="false">IF(OR(Q$4="",$C42="",$D42="",N($E42)=0),"",$E42*MAX(0,MIN($D42+1,EDATE(Q$4,1))-MAX($C42,Q$4))/MAX(1,$D42+1-$C42))</f>
        <v/>
      </c>
      <c r="R42" s="56" t="str">
        <f aca="false">IF(OR(R$4="",$C42="",$D42="",N($E42)=0),"",$E42*MAX(0,MIN($D42+1,EDATE(R$4,1))-MAX($C42,R$4))/MAX(1,$D42+1-$C42))</f>
        <v/>
      </c>
      <c r="S42" s="56" t="str">
        <f aca="false">IF(OR(S$4="",$C42="",$D42="",N($E42)=0),"",$E42*MAX(0,MIN($D42+1,EDATE(S$4,1))-MAX($C42,S$4))/MAX(1,$D42+1-$C42))</f>
        <v/>
      </c>
      <c r="T42" s="56" t="str">
        <f aca="false">IF(OR(T$4="",$C42="",$D42="",N($E42)=0),"",$E42*MAX(0,MIN($D42+1,EDATE(T$4,1))-MAX($C42,T$4))/MAX(1,$D42+1-$C42))</f>
        <v/>
      </c>
      <c r="U42" s="56" t="str">
        <f aca="false">IF(OR(U$4="",$C42="",$D42="",N($E42)=0),"",$E42*MAX(0,MIN($D42+1,EDATE(U$4,1))-MAX($C42,U$4))/MAX(1,$D42+1-$C42))</f>
        <v/>
      </c>
      <c r="V42" s="56" t="str">
        <f aca="false">IF(OR(V$4="",$C42="",$D42="",N($E42)=0),"",$E42*MAX(0,MIN($D42+1,EDATE(V$4,1))-MAX($C42,V$4))/MAX(1,$D42+1-$C42))</f>
        <v/>
      </c>
      <c r="W42" s="56" t="str">
        <f aca="false">IF(OR(W$4="",$C42="",$D42="",N($E42)=0),"",$E42*MAX(0,MIN($D42+1,EDATE(W$4,1))-MAX($C42,W$4))/MAX(1,$D42+1-$C42))</f>
        <v/>
      </c>
      <c r="X42" s="56" t="str">
        <f aca="false">IF(OR(X$4="",$C42="",$D42="",N($E42)=0),"",$E42*MAX(0,MIN($D42+1,EDATE(X$4,1))-MAX($C42,X$4))/MAX(1,$D42+1-$C42))</f>
        <v/>
      </c>
      <c r="Y42" s="56" t="str">
        <f aca="false">IF(OR(Y$4="",$C42="",$D42="",N($E42)=0),"",$E42*MAX(0,MIN($D42+1,EDATE(Y$4,1))-MAX($C42,Y$4))/MAX(1,$D42+1-$C42))</f>
        <v/>
      </c>
      <c r="Z42" s="56" t="str">
        <f aca="false">IF(OR(Z$4="",$C42="",$D42="",N($E42)=0),"",$E42*MAX(0,MIN($D42+1,EDATE(Z$4,1))-MAX($C42,Z$4))/MAX(1,$D42+1-$C42))</f>
        <v/>
      </c>
      <c r="AA42" s="56" t="str">
        <f aca="false">IF(OR(AA$4="",$C42="",$D42="",N($E42)=0),"",$E42*MAX(0,MIN($D42+1,EDATE(AA$4,1))-MAX($C42,AA$4))/MAX(1,$D42+1-$C42))</f>
        <v/>
      </c>
      <c r="AB42" s="56" t="str">
        <f aca="false">IF(OR(AB$4="",$C42="",$D42="",N($E42)=0),"",$E42*MAX(0,MIN($D42+1,EDATE(AB$4,1))-MAX($C42,AB$4))/MAX(1,$D42+1-$C42))</f>
        <v/>
      </c>
      <c r="AC42" s="56" t="str">
        <f aca="false">IF(OR(AC$4="",$C42="",$D42="",N($E42)=0),"",$E42*MAX(0,MIN($D42+1,EDATE(AC$4,1))-MAX($C42,AC$4))/MAX(1,$D42+1-$C42))</f>
        <v/>
      </c>
      <c r="AD42" s="56" t="str">
        <f aca="false">IF(OR(AD$4="",$C42="",$D42="",N($E42)=0),"",$E42*MAX(0,MIN($D42+1,EDATE(AD$4,1))-MAX($C42,AD$4))/MAX(1,$D42+1-$C42))</f>
        <v/>
      </c>
      <c r="AE42" s="56" t="str">
        <f aca="false">IF(OR(AE$4="",$C42="",$D42="",N($E42)=0),"",$E42*MAX(0,MIN($D42+1,EDATE(AE$4,1))-MAX($C42,AE$4))/MAX(1,$D42+1-$C42))</f>
        <v/>
      </c>
      <c r="AF42" s="56" t="str">
        <f aca="false">IF(OR(AF$4="",$C42="",$D42="",N($E42)=0),"",$E42*MAX(0,MIN($D42+1,EDATE(AF$4,1))-MAX($C42,AF$4))/MAX(1,$D42+1-$C42))</f>
        <v/>
      </c>
      <c r="AG42" s="56" t="str">
        <f aca="false">IF(OR(AG$4="",$C42="",$D42="",N($E42)=0),"",$E42*MAX(0,MIN($D42+1,EDATE(AG$4,1))-MAX($C42,AG$4))/MAX(1,$D42+1-$C42))</f>
        <v/>
      </c>
      <c r="AH42" s="56" t="str">
        <f aca="false">IF(OR(AH$4="",$C42="",$D42="",N($E42)=0),"",$E42*MAX(0,MIN($D42+1,EDATE(AH$4,1))-MAX($C42,AH$4))/MAX(1,$D42+1-$C42))</f>
        <v/>
      </c>
      <c r="AI42" s="56" t="str">
        <f aca="false">IF(OR(AI$4="",$C42="",$D42="",N($E42)=0),"",$E42*MAX(0,MIN($D42+1,EDATE(AI$4,1))-MAX($C42,AI$4))/MAX(1,$D42+1-$C42))</f>
        <v/>
      </c>
      <c r="AJ42" s="56" t="str">
        <f aca="false">IF(OR(AJ$4="",$C42="",$D42="",N($E42)=0),"",$E42*MAX(0,MIN($D42+1,EDATE(AJ$4,1))-MAX($C42,AJ$4))/MAX(1,$D42+1-$C42))</f>
        <v/>
      </c>
      <c r="AK42" s="56" t="str">
        <f aca="false">IF(OR(AK$4="",$C42="",$D42="",N($E42)=0),"",$E42*MAX(0,MIN($D42+1,EDATE(AK$4,1))-MAX($C42,AK$4))/MAX(1,$D42+1-$C42))</f>
        <v/>
      </c>
      <c r="AL42" s="56" t="str">
        <f aca="false">IF(OR(AL$4="",$C42="",$D42="",N($E42)=0),"",$E42*MAX(0,MIN($D42+1,EDATE(AL$4,1))-MAX($C42,AL$4))/MAX(1,$D42+1-$C42))</f>
        <v/>
      </c>
      <c r="AM42" s="56" t="str">
        <f aca="false">IF(OR(AM$4="",$C42="",$D42="",N($E42)=0),"",$E42*MAX(0,MIN($D42+1,EDATE(AM$4,1))-MAX($C42,AM$4))/MAX(1,$D42+1-$C42))</f>
        <v/>
      </c>
      <c r="AN42" s="56" t="str">
        <f aca="false">IF(OR(AN$4="",$C42="",$D42="",N($E42)=0),"",$E42*MAX(0,MIN($D42+1,EDATE(AN$4,1))-MAX($C42,AN$4))/MAX(1,$D42+1-$C42))</f>
        <v/>
      </c>
      <c r="AO42" s="56" t="str">
        <f aca="false">IF(OR(AO$4="",$C42="",$D42="",N($E42)=0),"",$E42*MAX(0,MIN($D42+1,EDATE(AO$4,1))-MAX($C42,AO$4))/MAX(1,$D42+1-$C42))</f>
        <v/>
      </c>
      <c r="AP42" s="56" t="str">
        <f aca="false">IF(OR(AP$4="",$C42="",$D42="",N($E42)=0),"",$E42*MAX(0,MIN($D42+1,EDATE(AP$4,1))-MAX($C42,AP$4))/MAX(1,$D42+1-$C42))</f>
        <v/>
      </c>
      <c r="AQ42" s="56" t="str">
        <f aca="false">IF(OR(AQ$4="",$C42="",$D42="",N($E42)=0),"",$E42*MAX(0,MIN($D42+1,EDATE(AQ$4,1))-MAX($C42,AQ$4))/MAX(1,$D42+1-$C42))</f>
        <v/>
      </c>
      <c r="AR42" s="56" t="str">
        <f aca="false">IF(OR(AR$4="",$C42="",$D42="",N($E42)=0),"",$E42*MAX(0,MIN($D42+1,EDATE(AR$4,1))-MAX($C42,AR$4))/MAX(1,$D42+1-$C42))</f>
        <v/>
      </c>
      <c r="AS42" s="56" t="str">
        <f aca="false">IF(OR(AS$4="",$C42="",$D42="",N($E42)=0),"",$E42*MAX(0,MIN($D42+1,EDATE(AS$4,1))-MAX($C42,AS$4))/MAX(1,$D42+1-$C42))</f>
        <v/>
      </c>
      <c r="AT42" s="56" t="str">
        <f aca="false">IF(OR(AT$4="",$C42="",$D42="",N($E42)=0),"",$E42*MAX(0,MIN($D42+1,EDATE(AT$4,1))-MAX($C42,AT$4))/MAX(1,$D42+1-$C42))</f>
        <v/>
      </c>
      <c r="AU42" s="56" t="str">
        <f aca="false">IF(OR(AU$4="",$C42="",$D42="",N($E42)=0),"",$E42*MAX(0,MIN($D42+1,EDATE(AU$4,1))-MAX($C42,AU$4))/MAX(1,$D42+1-$C42))</f>
        <v/>
      </c>
      <c r="AV42" s="56" t="str">
        <f aca="false">IF(OR(AV$4="",$C42="",$D42="",N($E42)=0),"",$E42*MAX(0,MIN($D42+1,EDATE(AV$4,1))-MAX($C42,AV$4))/MAX(1,$D42+1-$C42))</f>
        <v/>
      </c>
      <c r="AW42" s="56" t="str">
        <f aca="false">IF(OR(AW$4="",$C42="",$D42="",N($E42)=0),"",$E42*MAX(0,MIN($D42+1,EDATE(AW$4,1))-MAX($C42,AW$4))/MAX(1,$D42+1-$C42))</f>
        <v/>
      </c>
      <c r="AX42" s="56" t="str">
        <f aca="false">IF(OR(AX$4="",$C42="",$D42="",N($E42)=0),"",$E42*MAX(0,MIN($D42+1,EDATE(AX$4,1))-MAX($C42,AX$4))/MAX(1,$D42+1-$C42))</f>
        <v/>
      </c>
      <c r="AY42" s="56" t="str">
        <f aca="false">IF(OR(AY$4="",$C42="",$D42="",N($E42)=0),"",$E42*MAX(0,MIN($D42+1,EDATE(AY$4,1))-MAX($C42,AY$4))/MAX(1,$D42+1-$C42))</f>
        <v/>
      </c>
      <c r="AZ42" s="56" t="str">
        <f aca="false">IF(OR(AZ$4="",$C42="",$D42="",N($E42)=0),"",$E42*MAX(0,MIN($D42+1,EDATE(AZ$4,1))-MAX($C42,AZ$4))/MAX(1,$D42+1-$C42))</f>
        <v/>
      </c>
      <c r="BA42" s="56" t="str">
        <f aca="false">IF(OR(BA$4="",$C42="",$D42="",N($E42)=0),"",$E42*MAX(0,MIN($D42+1,EDATE(BA$4,1))-MAX($C42,BA$4))/MAX(1,$D42+1-$C42))</f>
        <v/>
      </c>
      <c r="BB42" s="56" t="str">
        <f aca="false">IF(OR(BB$4="",$C42="",$D42="",N($E42)=0),"",$E42*MAX(0,MIN($D42+1,EDATE(BB$4,1))-MAX($C42,BB$4))/MAX(1,$D42+1-$C42))</f>
        <v/>
      </c>
      <c r="BC42" s="56" t="str">
        <f aca="false">IF(OR(BC$4="",$C42="",$D42="",N($E42)=0),"",$E42*MAX(0,MIN($D42+1,EDATE(BC$4,1))-MAX($C42,BC$4))/MAX(1,$D42+1-$C42))</f>
        <v/>
      </c>
      <c r="BD42" s="56" t="str">
        <f aca="false">IF(OR(BD$4="",$C42="",$D42="",N($E42)=0),"",$E42*MAX(0,MIN($D42+1,EDATE(BD$4,1))-MAX($C42,BD$4))/MAX(1,$D42+1-$C42))</f>
        <v/>
      </c>
      <c r="BE42" s="56" t="str">
        <f aca="false">IF(OR(BE$4="",$C42="",$D42="",N($E42)=0),"",$E42*MAX(0,MIN($D42+1,EDATE(BE$4,1))-MAX($C42,BE$4))/MAX(1,$D42+1-$C42))</f>
        <v/>
      </c>
      <c r="BF42" s="56" t="str">
        <f aca="false">IF(OR(BF$4="",$C42="",$D42="",N($E42)=0),"",$E42*MAX(0,MIN($D42+1,EDATE(BF$4,1))-MAX($C42,BF$4))/MAX(1,$D42+1-$C42))</f>
        <v/>
      </c>
      <c r="BG42" s="56" t="str">
        <f aca="false">IF(OR(BG$4="",$C42="",$D42="",N($E42)=0),"",$E42*MAX(0,MIN($D42+1,EDATE(BG$4,1))-MAX($C42,BG$4))/MAX(1,$D42+1-$C42))</f>
        <v/>
      </c>
      <c r="BH42" s="56" t="str">
        <f aca="false">IF(OR(BH$4="",$C42="",$D42="",N($E42)=0),"",$E42*MAX(0,MIN($D42+1,EDATE(BH$4,1))-MAX($C42,BH$4))/MAX(1,$D42+1-$C42))</f>
        <v/>
      </c>
      <c r="BI42" s="56" t="str">
        <f aca="false">IF(OR(BI$4="",$C42="",$D42="",N($E42)=0),"",$E42*MAX(0,MIN($D42+1,EDATE(BI$4,1))-MAX($C42,BI$4))/MAX(1,$D42+1-$C42))</f>
        <v/>
      </c>
      <c r="BJ42" s="56" t="str">
        <f aca="false">IF(OR(BJ$4="",$C42="",$D42="",N($E42)=0),"",$E42*MAX(0,MIN($D42+1,EDATE(BJ$4,1))-MAX($C42,BJ$4))/MAX(1,$D42+1-$C42))</f>
        <v/>
      </c>
      <c r="BK42" s="56" t="str">
        <f aca="false">IF(OR(BK$4="",$C42="",$D42="",N($E42)=0),"",$E42*MAX(0,MIN($D42+1,EDATE(BK$4,1))-MAX($C42,BK$4))/MAX(1,$D42+1-$C42))</f>
        <v/>
      </c>
      <c r="BL42" s="56" t="str">
        <f aca="false">IF(OR(BL$4="",$C42="",$D42="",N($E42)=0),"",$E42*MAX(0,MIN($D42+1,EDATE(BL$4,1))-MAX($C42,BL$4))/MAX(1,$D42+1-$C42))</f>
        <v/>
      </c>
      <c r="BM42" s="56" t="str">
        <f aca="false">IF(OR(BM$4="",$C42="",$D42="",N($E42)=0),"",$E42*MAX(0,MIN($D42+1,EDATE(BM$4,1))-MAX($C42,BM$4))/MAX(1,$D42+1-$C42))</f>
        <v/>
      </c>
      <c r="BN42" s="56" t="str">
        <f aca="false">IF(OR(BN$4="",$C42="",$D42="",N($E42)=0),"",$E42*MAX(0,MIN($D42+1,EDATE(BN$4,1))-MAX($C42,BN$4))/MAX(1,$D42+1-$C42))</f>
        <v/>
      </c>
      <c r="BO42" s="56" t="str">
        <f aca="false">IF(OR(BO$4="",$C42="",$D42="",N($E42)=0),"",$E42*MAX(0,MIN($D42+1,EDATE(BO$4,1))-MAX($C42,BO$4))/MAX(1,$D42+1-$C42))</f>
        <v/>
      </c>
      <c r="BP42" s="56" t="str">
        <f aca="false">IF(OR(BP$4="",$C42="",$D42="",N($E42)=0),"",$E42*MAX(0,MIN($D42+1,EDATE(BP$4,1))-MAX($C42,BP$4))/MAX(1,$D42+1-$C42))</f>
        <v/>
      </c>
      <c r="BQ42" s="56" t="str">
        <f aca="false">IF(OR(BQ$4="",$C42="",$D42="",N($E42)=0),"",$E42*MAX(0,MIN($D42+1,EDATE(BQ$4,1))-MAX($C42,BQ$4))/MAX(1,$D42+1-$C42))</f>
        <v/>
      </c>
      <c r="BR42" s="56" t="str">
        <f aca="false">IF(OR(BR$4="",$C42="",$D42="",N($E42)=0),"",$E42*MAX(0,MIN($D42+1,EDATE(BR$4,1))-MAX($C42,BR$4))/MAX(1,$D42+1-$C42))</f>
        <v/>
      </c>
      <c r="BS42" s="56" t="str">
        <f aca="false">IF(OR(BS$4="",$C42="",$D42="",N($E42)=0),"",$E42*MAX(0,MIN($D42+1,EDATE(BS$4,1))-MAX($C42,BS$4))/MAX(1,$D42+1-$C42))</f>
        <v/>
      </c>
      <c r="BT42" s="56" t="str">
        <f aca="false">IF(OR(BT$4="",$C42="",$D42="",N($E42)=0),"",$E42*MAX(0,MIN($D42+1,EDATE(BT$4,1))-MAX($C42,BT$4))/MAX(1,$D42+1-$C42))</f>
        <v/>
      </c>
      <c r="BU42" s="56" t="str">
        <f aca="false">IF(OR(BU$4="",$C42="",$D42="",N($E42)=0),"",$E42*MAX(0,MIN($D42+1,EDATE(BU$4,1))-MAX($C42,BU$4))/MAX(1,$D42+1-$C42))</f>
        <v/>
      </c>
      <c r="BV42" s="56" t="str">
        <f aca="false">IF(OR(BV$4="",$C42="",$D42="",N($E42)=0),"",$E42*MAX(0,MIN($D42+1,EDATE(BV$4,1))-MAX($C42,BV$4))/MAX(1,$D42+1-$C42))</f>
        <v/>
      </c>
      <c r="BW42" s="56" t="str">
        <f aca="false">IF(OR(BW$4="",$C42="",$D42="",N($E42)=0),"",$E42*MAX(0,MIN($D42+1,EDATE(BW$4,1))-MAX($C42,BW$4))/MAX(1,$D42+1-$C42))</f>
        <v/>
      </c>
      <c r="BX42" s="56" t="str">
        <f aca="false">IF(OR(BX$4="",$C42="",$D42="",N($E42)=0),"",$E42*MAX(0,MIN($D42+1,EDATE(BX$4,1))-MAX($C42,BX$4))/MAX(1,$D42+1-$C42))</f>
        <v/>
      </c>
      <c r="BY42" s="56" t="str">
        <f aca="false">IF(OR(BY$4="",$C42="",$D42="",N($E42)=0),"",$E42*MAX(0,MIN($D42+1,EDATE(BY$4,1))-MAX($C42,BY$4))/MAX(1,$D42+1-$C42))</f>
        <v/>
      </c>
    </row>
    <row r="43" customFormat="false" ht="15" hidden="false" customHeight="false" outlineLevel="0" collapsed="false">
      <c r="A43" s="53" t="str">
        <f aca="false">IF(BOE!$A44="","",BOE!$A44)</f>
        <v/>
      </c>
      <c r="B43" s="53" t="str">
        <f aca="false">IF(BOE!$A44="","",BOE!$C44)</f>
        <v/>
      </c>
      <c r="C43" s="54" t="str">
        <f aca="false">IF(BOE!$O44="","",BOE!$O44)</f>
        <v/>
      </c>
      <c r="D43" s="54" t="str">
        <f aca="false">IF(BOE!$P44="","",BOE!$P44)</f>
        <v/>
      </c>
      <c r="E43" s="55" t="n">
        <f aca="false">IF(Inputs!$B$7="P90",BOE!$T44,BOE!$R44)</f>
        <v>0</v>
      </c>
      <c r="F43" s="56" t="str">
        <f aca="false">IF(OR(F$4="",$C43="",$D43="",N($E43)=0),"",$E43*MAX(0,MIN($D43+1,EDATE(F$4,1))-MAX($C43,F$4))/MAX(1,$D43+1-$C43))</f>
        <v/>
      </c>
      <c r="G43" s="56" t="str">
        <f aca="false">IF(OR(G$4="",$C43="",$D43="",N($E43)=0),"",$E43*MAX(0,MIN($D43+1,EDATE(G$4,1))-MAX($C43,G$4))/MAX(1,$D43+1-$C43))</f>
        <v/>
      </c>
      <c r="H43" s="56" t="str">
        <f aca="false">IF(OR(H$4="",$C43="",$D43="",N($E43)=0),"",$E43*MAX(0,MIN($D43+1,EDATE(H$4,1))-MAX($C43,H$4))/MAX(1,$D43+1-$C43))</f>
        <v/>
      </c>
      <c r="I43" s="56" t="str">
        <f aca="false">IF(OR(I$4="",$C43="",$D43="",N($E43)=0),"",$E43*MAX(0,MIN($D43+1,EDATE(I$4,1))-MAX($C43,I$4))/MAX(1,$D43+1-$C43))</f>
        <v/>
      </c>
      <c r="J43" s="56" t="str">
        <f aca="false">IF(OR(J$4="",$C43="",$D43="",N($E43)=0),"",$E43*MAX(0,MIN($D43+1,EDATE(J$4,1))-MAX($C43,J$4))/MAX(1,$D43+1-$C43))</f>
        <v/>
      </c>
      <c r="K43" s="56" t="str">
        <f aca="false">IF(OR(K$4="",$C43="",$D43="",N($E43)=0),"",$E43*MAX(0,MIN($D43+1,EDATE(K$4,1))-MAX($C43,K$4))/MAX(1,$D43+1-$C43))</f>
        <v/>
      </c>
      <c r="L43" s="56" t="str">
        <f aca="false">IF(OR(L$4="",$C43="",$D43="",N($E43)=0),"",$E43*MAX(0,MIN($D43+1,EDATE(L$4,1))-MAX($C43,L$4))/MAX(1,$D43+1-$C43))</f>
        <v/>
      </c>
      <c r="M43" s="56" t="str">
        <f aca="false">IF(OR(M$4="",$C43="",$D43="",N($E43)=0),"",$E43*MAX(0,MIN($D43+1,EDATE(M$4,1))-MAX($C43,M$4))/MAX(1,$D43+1-$C43))</f>
        <v/>
      </c>
      <c r="N43" s="56" t="str">
        <f aca="false">IF(OR(N$4="",$C43="",$D43="",N($E43)=0),"",$E43*MAX(0,MIN($D43+1,EDATE(N$4,1))-MAX($C43,N$4))/MAX(1,$D43+1-$C43))</f>
        <v/>
      </c>
      <c r="O43" s="56" t="str">
        <f aca="false">IF(OR(O$4="",$C43="",$D43="",N($E43)=0),"",$E43*MAX(0,MIN($D43+1,EDATE(O$4,1))-MAX($C43,O$4))/MAX(1,$D43+1-$C43))</f>
        <v/>
      </c>
      <c r="P43" s="56" t="str">
        <f aca="false">IF(OR(P$4="",$C43="",$D43="",N($E43)=0),"",$E43*MAX(0,MIN($D43+1,EDATE(P$4,1))-MAX($C43,P$4))/MAX(1,$D43+1-$C43))</f>
        <v/>
      </c>
      <c r="Q43" s="56" t="str">
        <f aca="false">IF(OR(Q$4="",$C43="",$D43="",N($E43)=0),"",$E43*MAX(0,MIN($D43+1,EDATE(Q$4,1))-MAX($C43,Q$4))/MAX(1,$D43+1-$C43))</f>
        <v/>
      </c>
      <c r="R43" s="56" t="str">
        <f aca="false">IF(OR(R$4="",$C43="",$D43="",N($E43)=0),"",$E43*MAX(0,MIN($D43+1,EDATE(R$4,1))-MAX($C43,R$4))/MAX(1,$D43+1-$C43))</f>
        <v/>
      </c>
      <c r="S43" s="56" t="str">
        <f aca="false">IF(OR(S$4="",$C43="",$D43="",N($E43)=0),"",$E43*MAX(0,MIN($D43+1,EDATE(S$4,1))-MAX($C43,S$4))/MAX(1,$D43+1-$C43))</f>
        <v/>
      </c>
      <c r="T43" s="56" t="str">
        <f aca="false">IF(OR(T$4="",$C43="",$D43="",N($E43)=0),"",$E43*MAX(0,MIN($D43+1,EDATE(T$4,1))-MAX($C43,T$4))/MAX(1,$D43+1-$C43))</f>
        <v/>
      </c>
      <c r="U43" s="56" t="str">
        <f aca="false">IF(OR(U$4="",$C43="",$D43="",N($E43)=0),"",$E43*MAX(0,MIN($D43+1,EDATE(U$4,1))-MAX($C43,U$4))/MAX(1,$D43+1-$C43))</f>
        <v/>
      </c>
      <c r="V43" s="56" t="str">
        <f aca="false">IF(OR(V$4="",$C43="",$D43="",N($E43)=0),"",$E43*MAX(0,MIN($D43+1,EDATE(V$4,1))-MAX($C43,V$4))/MAX(1,$D43+1-$C43))</f>
        <v/>
      </c>
      <c r="W43" s="56" t="str">
        <f aca="false">IF(OR(W$4="",$C43="",$D43="",N($E43)=0),"",$E43*MAX(0,MIN($D43+1,EDATE(W$4,1))-MAX($C43,W$4))/MAX(1,$D43+1-$C43))</f>
        <v/>
      </c>
      <c r="X43" s="56" t="str">
        <f aca="false">IF(OR(X$4="",$C43="",$D43="",N($E43)=0),"",$E43*MAX(0,MIN($D43+1,EDATE(X$4,1))-MAX($C43,X$4))/MAX(1,$D43+1-$C43))</f>
        <v/>
      </c>
      <c r="Y43" s="56" t="str">
        <f aca="false">IF(OR(Y$4="",$C43="",$D43="",N($E43)=0),"",$E43*MAX(0,MIN($D43+1,EDATE(Y$4,1))-MAX($C43,Y$4))/MAX(1,$D43+1-$C43))</f>
        <v/>
      </c>
      <c r="Z43" s="56" t="str">
        <f aca="false">IF(OR(Z$4="",$C43="",$D43="",N($E43)=0),"",$E43*MAX(0,MIN($D43+1,EDATE(Z$4,1))-MAX($C43,Z$4))/MAX(1,$D43+1-$C43))</f>
        <v/>
      </c>
      <c r="AA43" s="56" t="str">
        <f aca="false">IF(OR(AA$4="",$C43="",$D43="",N($E43)=0),"",$E43*MAX(0,MIN($D43+1,EDATE(AA$4,1))-MAX($C43,AA$4))/MAX(1,$D43+1-$C43))</f>
        <v/>
      </c>
      <c r="AB43" s="56" t="str">
        <f aca="false">IF(OR(AB$4="",$C43="",$D43="",N($E43)=0),"",$E43*MAX(0,MIN($D43+1,EDATE(AB$4,1))-MAX($C43,AB$4))/MAX(1,$D43+1-$C43))</f>
        <v/>
      </c>
      <c r="AC43" s="56" t="str">
        <f aca="false">IF(OR(AC$4="",$C43="",$D43="",N($E43)=0),"",$E43*MAX(0,MIN($D43+1,EDATE(AC$4,1))-MAX($C43,AC$4))/MAX(1,$D43+1-$C43))</f>
        <v/>
      </c>
      <c r="AD43" s="56" t="str">
        <f aca="false">IF(OR(AD$4="",$C43="",$D43="",N($E43)=0),"",$E43*MAX(0,MIN($D43+1,EDATE(AD$4,1))-MAX($C43,AD$4))/MAX(1,$D43+1-$C43))</f>
        <v/>
      </c>
      <c r="AE43" s="56" t="str">
        <f aca="false">IF(OR(AE$4="",$C43="",$D43="",N($E43)=0),"",$E43*MAX(0,MIN($D43+1,EDATE(AE$4,1))-MAX($C43,AE$4))/MAX(1,$D43+1-$C43))</f>
        <v/>
      </c>
      <c r="AF43" s="56" t="str">
        <f aca="false">IF(OR(AF$4="",$C43="",$D43="",N($E43)=0),"",$E43*MAX(0,MIN($D43+1,EDATE(AF$4,1))-MAX($C43,AF$4))/MAX(1,$D43+1-$C43))</f>
        <v/>
      </c>
      <c r="AG43" s="56" t="str">
        <f aca="false">IF(OR(AG$4="",$C43="",$D43="",N($E43)=0),"",$E43*MAX(0,MIN($D43+1,EDATE(AG$4,1))-MAX($C43,AG$4))/MAX(1,$D43+1-$C43))</f>
        <v/>
      </c>
      <c r="AH43" s="56" t="str">
        <f aca="false">IF(OR(AH$4="",$C43="",$D43="",N($E43)=0),"",$E43*MAX(0,MIN($D43+1,EDATE(AH$4,1))-MAX($C43,AH$4))/MAX(1,$D43+1-$C43))</f>
        <v/>
      </c>
      <c r="AI43" s="56" t="str">
        <f aca="false">IF(OR(AI$4="",$C43="",$D43="",N($E43)=0),"",$E43*MAX(0,MIN($D43+1,EDATE(AI$4,1))-MAX($C43,AI$4))/MAX(1,$D43+1-$C43))</f>
        <v/>
      </c>
      <c r="AJ43" s="56" t="str">
        <f aca="false">IF(OR(AJ$4="",$C43="",$D43="",N($E43)=0),"",$E43*MAX(0,MIN($D43+1,EDATE(AJ$4,1))-MAX($C43,AJ$4))/MAX(1,$D43+1-$C43))</f>
        <v/>
      </c>
      <c r="AK43" s="56" t="str">
        <f aca="false">IF(OR(AK$4="",$C43="",$D43="",N($E43)=0),"",$E43*MAX(0,MIN($D43+1,EDATE(AK$4,1))-MAX($C43,AK$4))/MAX(1,$D43+1-$C43))</f>
        <v/>
      </c>
      <c r="AL43" s="56" t="str">
        <f aca="false">IF(OR(AL$4="",$C43="",$D43="",N($E43)=0),"",$E43*MAX(0,MIN($D43+1,EDATE(AL$4,1))-MAX($C43,AL$4))/MAX(1,$D43+1-$C43))</f>
        <v/>
      </c>
      <c r="AM43" s="56" t="str">
        <f aca="false">IF(OR(AM$4="",$C43="",$D43="",N($E43)=0),"",$E43*MAX(0,MIN($D43+1,EDATE(AM$4,1))-MAX($C43,AM$4))/MAX(1,$D43+1-$C43))</f>
        <v/>
      </c>
      <c r="AN43" s="56" t="str">
        <f aca="false">IF(OR(AN$4="",$C43="",$D43="",N($E43)=0),"",$E43*MAX(0,MIN($D43+1,EDATE(AN$4,1))-MAX($C43,AN$4))/MAX(1,$D43+1-$C43))</f>
        <v/>
      </c>
      <c r="AO43" s="56" t="str">
        <f aca="false">IF(OR(AO$4="",$C43="",$D43="",N($E43)=0),"",$E43*MAX(0,MIN($D43+1,EDATE(AO$4,1))-MAX($C43,AO$4))/MAX(1,$D43+1-$C43))</f>
        <v/>
      </c>
      <c r="AP43" s="56" t="str">
        <f aca="false">IF(OR(AP$4="",$C43="",$D43="",N($E43)=0),"",$E43*MAX(0,MIN($D43+1,EDATE(AP$4,1))-MAX($C43,AP$4))/MAX(1,$D43+1-$C43))</f>
        <v/>
      </c>
      <c r="AQ43" s="56" t="str">
        <f aca="false">IF(OR(AQ$4="",$C43="",$D43="",N($E43)=0),"",$E43*MAX(0,MIN($D43+1,EDATE(AQ$4,1))-MAX($C43,AQ$4))/MAX(1,$D43+1-$C43))</f>
        <v/>
      </c>
      <c r="AR43" s="56" t="str">
        <f aca="false">IF(OR(AR$4="",$C43="",$D43="",N($E43)=0),"",$E43*MAX(0,MIN($D43+1,EDATE(AR$4,1))-MAX($C43,AR$4))/MAX(1,$D43+1-$C43))</f>
        <v/>
      </c>
      <c r="AS43" s="56" t="str">
        <f aca="false">IF(OR(AS$4="",$C43="",$D43="",N($E43)=0),"",$E43*MAX(0,MIN($D43+1,EDATE(AS$4,1))-MAX($C43,AS$4))/MAX(1,$D43+1-$C43))</f>
        <v/>
      </c>
      <c r="AT43" s="56" t="str">
        <f aca="false">IF(OR(AT$4="",$C43="",$D43="",N($E43)=0),"",$E43*MAX(0,MIN($D43+1,EDATE(AT$4,1))-MAX($C43,AT$4))/MAX(1,$D43+1-$C43))</f>
        <v/>
      </c>
      <c r="AU43" s="56" t="str">
        <f aca="false">IF(OR(AU$4="",$C43="",$D43="",N($E43)=0),"",$E43*MAX(0,MIN($D43+1,EDATE(AU$4,1))-MAX($C43,AU$4))/MAX(1,$D43+1-$C43))</f>
        <v/>
      </c>
      <c r="AV43" s="56" t="str">
        <f aca="false">IF(OR(AV$4="",$C43="",$D43="",N($E43)=0),"",$E43*MAX(0,MIN($D43+1,EDATE(AV$4,1))-MAX($C43,AV$4))/MAX(1,$D43+1-$C43))</f>
        <v/>
      </c>
      <c r="AW43" s="56" t="str">
        <f aca="false">IF(OR(AW$4="",$C43="",$D43="",N($E43)=0),"",$E43*MAX(0,MIN($D43+1,EDATE(AW$4,1))-MAX($C43,AW$4))/MAX(1,$D43+1-$C43))</f>
        <v/>
      </c>
      <c r="AX43" s="56" t="str">
        <f aca="false">IF(OR(AX$4="",$C43="",$D43="",N($E43)=0),"",$E43*MAX(0,MIN($D43+1,EDATE(AX$4,1))-MAX($C43,AX$4))/MAX(1,$D43+1-$C43))</f>
        <v/>
      </c>
      <c r="AY43" s="56" t="str">
        <f aca="false">IF(OR(AY$4="",$C43="",$D43="",N($E43)=0),"",$E43*MAX(0,MIN($D43+1,EDATE(AY$4,1))-MAX($C43,AY$4))/MAX(1,$D43+1-$C43))</f>
        <v/>
      </c>
      <c r="AZ43" s="56" t="str">
        <f aca="false">IF(OR(AZ$4="",$C43="",$D43="",N($E43)=0),"",$E43*MAX(0,MIN($D43+1,EDATE(AZ$4,1))-MAX($C43,AZ$4))/MAX(1,$D43+1-$C43))</f>
        <v/>
      </c>
      <c r="BA43" s="56" t="str">
        <f aca="false">IF(OR(BA$4="",$C43="",$D43="",N($E43)=0),"",$E43*MAX(0,MIN($D43+1,EDATE(BA$4,1))-MAX($C43,BA$4))/MAX(1,$D43+1-$C43))</f>
        <v/>
      </c>
      <c r="BB43" s="56" t="str">
        <f aca="false">IF(OR(BB$4="",$C43="",$D43="",N($E43)=0),"",$E43*MAX(0,MIN($D43+1,EDATE(BB$4,1))-MAX($C43,BB$4))/MAX(1,$D43+1-$C43))</f>
        <v/>
      </c>
      <c r="BC43" s="56" t="str">
        <f aca="false">IF(OR(BC$4="",$C43="",$D43="",N($E43)=0),"",$E43*MAX(0,MIN($D43+1,EDATE(BC$4,1))-MAX($C43,BC$4))/MAX(1,$D43+1-$C43))</f>
        <v/>
      </c>
      <c r="BD43" s="56" t="str">
        <f aca="false">IF(OR(BD$4="",$C43="",$D43="",N($E43)=0),"",$E43*MAX(0,MIN($D43+1,EDATE(BD$4,1))-MAX($C43,BD$4))/MAX(1,$D43+1-$C43))</f>
        <v/>
      </c>
      <c r="BE43" s="56" t="str">
        <f aca="false">IF(OR(BE$4="",$C43="",$D43="",N($E43)=0),"",$E43*MAX(0,MIN($D43+1,EDATE(BE$4,1))-MAX($C43,BE$4))/MAX(1,$D43+1-$C43))</f>
        <v/>
      </c>
      <c r="BF43" s="56" t="str">
        <f aca="false">IF(OR(BF$4="",$C43="",$D43="",N($E43)=0),"",$E43*MAX(0,MIN($D43+1,EDATE(BF$4,1))-MAX($C43,BF$4))/MAX(1,$D43+1-$C43))</f>
        <v/>
      </c>
      <c r="BG43" s="56" t="str">
        <f aca="false">IF(OR(BG$4="",$C43="",$D43="",N($E43)=0),"",$E43*MAX(0,MIN($D43+1,EDATE(BG$4,1))-MAX($C43,BG$4))/MAX(1,$D43+1-$C43))</f>
        <v/>
      </c>
      <c r="BH43" s="56" t="str">
        <f aca="false">IF(OR(BH$4="",$C43="",$D43="",N($E43)=0),"",$E43*MAX(0,MIN($D43+1,EDATE(BH$4,1))-MAX($C43,BH$4))/MAX(1,$D43+1-$C43))</f>
        <v/>
      </c>
      <c r="BI43" s="56" t="str">
        <f aca="false">IF(OR(BI$4="",$C43="",$D43="",N($E43)=0),"",$E43*MAX(0,MIN($D43+1,EDATE(BI$4,1))-MAX($C43,BI$4))/MAX(1,$D43+1-$C43))</f>
        <v/>
      </c>
      <c r="BJ43" s="56" t="str">
        <f aca="false">IF(OR(BJ$4="",$C43="",$D43="",N($E43)=0),"",$E43*MAX(0,MIN($D43+1,EDATE(BJ$4,1))-MAX($C43,BJ$4))/MAX(1,$D43+1-$C43))</f>
        <v/>
      </c>
      <c r="BK43" s="56" t="str">
        <f aca="false">IF(OR(BK$4="",$C43="",$D43="",N($E43)=0),"",$E43*MAX(0,MIN($D43+1,EDATE(BK$4,1))-MAX($C43,BK$4))/MAX(1,$D43+1-$C43))</f>
        <v/>
      </c>
      <c r="BL43" s="56" t="str">
        <f aca="false">IF(OR(BL$4="",$C43="",$D43="",N($E43)=0),"",$E43*MAX(0,MIN($D43+1,EDATE(BL$4,1))-MAX($C43,BL$4))/MAX(1,$D43+1-$C43))</f>
        <v/>
      </c>
      <c r="BM43" s="56" t="str">
        <f aca="false">IF(OR(BM$4="",$C43="",$D43="",N($E43)=0),"",$E43*MAX(0,MIN($D43+1,EDATE(BM$4,1))-MAX($C43,BM$4))/MAX(1,$D43+1-$C43))</f>
        <v/>
      </c>
      <c r="BN43" s="56" t="str">
        <f aca="false">IF(OR(BN$4="",$C43="",$D43="",N($E43)=0),"",$E43*MAX(0,MIN($D43+1,EDATE(BN$4,1))-MAX($C43,BN$4))/MAX(1,$D43+1-$C43))</f>
        <v/>
      </c>
      <c r="BO43" s="56" t="str">
        <f aca="false">IF(OR(BO$4="",$C43="",$D43="",N($E43)=0),"",$E43*MAX(0,MIN($D43+1,EDATE(BO$4,1))-MAX($C43,BO$4))/MAX(1,$D43+1-$C43))</f>
        <v/>
      </c>
      <c r="BP43" s="56" t="str">
        <f aca="false">IF(OR(BP$4="",$C43="",$D43="",N($E43)=0),"",$E43*MAX(0,MIN($D43+1,EDATE(BP$4,1))-MAX($C43,BP$4))/MAX(1,$D43+1-$C43))</f>
        <v/>
      </c>
      <c r="BQ43" s="56" t="str">
        <f aca="false">IF(OR(BQ$4="",$C43="",$D43="",N($E43)=0),"",$E43*MAX(0,MIN($D43+1,EDATE(BQ$4,1))-MAX($C43,BQ$4))/MAX(1,$D43+1-$C43))</f>
        <v/>
      </c>
      <c r="BR43" s="56" t="str">
        <f aca="false">IF(OR(BR$4="",$C43="",$D43="",N($E43)=0),"",$E43*MAX(0,MIN($D43+1,EDATE(BR$4,1))-MAX($C43,BR$4))/MAX(1,$D43+1-$C43))</f>
        <v/>
      </c>
      <c r="BS43" s="56" t="str">
        <f aca="false">IF(OR(BS$4="",$C43="",$D43="",N($E43)=0),"",$E43*MAX(0,MIN($D43+1,EDATE(BS$4,1))-MAX($C43,BS$4))/MAX(1,$D43+1-$C43))</f>
        <v/>
      </c>
      <c r="BT43" s="56" t="str">
        <f aca="false">IF(OR(BT$4="",$C43="",$D43="",N($E43)=0),"",$E43*MAX(0,MIN($D43+1,EDATE(BT$4,1))-MAX($C43,BT$4))/MAX(1,$D43+1-$C43))</f>
        <v/>
      </c>
      <c r="BU43" s="56" t="str">
        <f aca="false">IF(OR(BU$4="",$C43="",$D43="",N($E43)=0),"",$E43*MAX(0,MIN($D43+1,EDATE(BU$4,1))-MAX($C43,BU$4))/MAX(1,$D43+1-$C43))</f>
        <v/>
      </c>
      <c r="BV43" s="56" t="str">
        <f aca="false">IF(OR(BV$4="",$C43="",$D43="",N($E43)=0),"",$E43*MAX(0,MIN($D43+1,EDATE(BV$4,1))-MAX($C43,BV$4))/MAX(1,$D43+1-$C43))</f>
        <v/>
      </c>
      <c r="BW43" s="56" t="str">
        <f aca="false">IF(OR(BW$4="",$C43="",$D43="",N($E43)=0),"",$E43*MAX(0,MIN($D43+1,EDATE(BW$4,1))-MAX($C43,BW$4))/MAX(1,$D43+1-$C43))</f>
        <v/>
      </c>
      <c r="BX43" s="56" t="str">
        <f aca="false">IF(OR(BX$4="",$C43="",$D43="",N($E43)=0),"",$E43*MAX(0,MIN($D43+1,EDATE(BX$4,1))-MAX($C43,BX$4))/MAX(1,$D43+1-$C43))</f>
        <v/>
      </c>
      <c r="BY43" s="56" t="str">
        <f aca="false">IF(OR(BY$4="",$C43="",$D43="",N($E43)=0),"",$E43*MAX(0,MIN($D43+1,EDATE(BY$4,1))-MAX($C43,BY$4))/MAX(1,$D43+1-$C43))</f>
        <v/>
      </c>
    </row>
    <row r="44" customFormat="false" ht="15" hidden="false" customHeight="false" outlineLevel="0" collapsed="false">
      <c r="A44" s="53" t="str">
        <f aca="false">IF(BOE!$A45="","",BOE!$A45)</f>
        <v/>
      </c>
      <c r="B44" s="53" t="str">
        <f aca="false">IF(BOE!$A45="","",BOE!$C45)</f>
        <v/>
      </c>
      <c r="C44" s="54" t="str">
        <f aca="false">IF(BOE!$O45="","",BOE!$O45)</f>
        <v/>
      </c>
      <c r="D44" s="54" t="str">
        <f aca="false">IF(BOE!$P45="","",BOE!$P45)</f>
        <v/>
      </c>
      <c r="E44" s="55" t="n">
        <f aca="false">IF(Inputs!$B$7="P90",BOE!$T45,BOE!$R45)</f>
        <v>0</v>
      </c>
      <c r="F44" s="56" t="str">
        <f aca="false">IF(OR(F$4="",$C44="",$D44="",N($E44)=0),"",$E44*MAX(0,MIN($D44+1,EDATE(F$4,1))-MAX($C44,F$4))/MAX(1,$D44+1-$C44))</f>
        <v/>
      </c>
      <c r="G44" s="56" t="str">
        <f aca="false">IF(OR(G$4="",$C44="",$D44="",N($E44)=0),"",$E44*MAX(0,MIN($D44+1,EDATE(G$4,1))-MAX($C44,G$4))/MAX(1,$D44+1-$C44))</f>
        <v/>
      </c>
      <c r="H44" s="56" t="str">
        <f aca="false">IF(OR(H$4="",$C44="",$D44="",N($E44)=0),"",$E44*MAX(0,MIN($D44+1,EDATE(H$4,1))-MAX($C44,H$4))/MAX(1,$D44+1-$C44))</f>
        <v/>
      </c>
      <c r="I44" s="56" t="str">
        <f aca="false">IF(OR(I$4="",$C44="",$D44="",N($E44)=0),"",$E44*MAX(0,MIN($D44+1,EDATE(I$4,1))-MAX($C44,I$4))/MAX(1,$D44+1-$C44))</f>
        <v/>
      </c>
      <c r="J44" s="56" t="str">
        <f aca="false">IF(OR(J$4="",$C44="",$D44="",N($E44)=0),"",$E44*MAX(0,MIN($D44+1,EDATE(J$4,1))-MAX($C44,J$4))/MAX(1,$D44+1-$C44))</f>
        <v/>
      </c>
      <c r="K44" s="56" t="str">
        <f aca="false">IF(OR(K$4="",$C44="",$D44="",N($E44)=0),"",$E44*MAX(0,MIN($D44+1,EDATE(K$4,1))-MAX($C44,K$4))/MAX(1,$D44+1-$C44))</f>
        <v/>
      </c>
      <c r="L44" s="56" t="str">
        <f aca="false">IF(OR(L$4="",$C44="",$D44="",N($E44)=0),"",$E44*MAX(0,MIN($D44+1,EDATE(L$4,1))-MAX($C44,L$4))/MAX(1,$D44+1-$C44))</f>
        <v/>
      </c>
      <c r="M44" s="56" t="str">
        <f aca="false">IF(OR(M$4="",$C44="",$D44="",N($E44)=0),"",$E44*MAX(0,MIN($D44+1,EDATE(M$4,1))-MAX($C44,M$4))/MAX(1,$D44+1-$C44))</f>
        <v/>
      </c>
      <c r="N44" s="56" t="str">
        <f aca="false">IF(OR(N$4="",$C44="",$D44="",N($E44)=0),"",$E44*MAX(0,MIN($D44+1,EDATE(N$4,1))-MAX($C44,N$4))/MAX(1,$D44+1-$C44))</f>
        <v/>
      </c>
      <c r="O44" s="56" t="str">
        <f aca="false">IF(OR(O$4="",$C44="",$D44="",N($E44)=0),"",$E44*MAX(0,MIN($D44+1,EDATE(O$4,1))-MAX($C44,O$4))/MAX(1,$D44+1-$C44))</f>
        <v/>
      </c>
      <c r="P44" s="56" t="str">
        <f aca="false">IF(OR(P$4="",$C44="",$D44="",N($E44)=0),"",$E44*MAX(0,MIN($D44+1,EDATE(P$4,1))-MAX($C44,P$4))/MAX(1,$D44+1-$C44))</f>
        <v/>
      </c>
      <c r="Q44" s="56" t="str">
        <f aca="false">IF(OR(Q$4="",$C44="",$D44="",N($E44)=0),"",$E44*MAX(0,MIN($D44+1,EDATE(Q$4,1))-MAX($C44,Q$4))/MAX(1,$D44+1-$C44))</f>
        <v/>
      </c>
      <c r="R44" s="56" t="str">
        <f aca="false">IF(OR(R$4="",$C44="",$D44="",N($E44)=0),"",$E44*MAX(0,MIN($D44+1,EDATE(R$4,1))-MAX($C44,R$4))/MAX(1,$D44+1-$C44))</f>
        <v/>
      </c>
      <c r="S44" s="56" t="str">
        <f aca="false">IF(OR(S$4="",$C44="",$D44="",N($E44)=0),"",$E44*MAX(0,MIN($D44+1,EDATE(S$4,1))-MAX($C44,S$4))/MAX(1,$D44+1-$C44))</f>
        <v/>
      </c>
      <c r="T44" s="56" t="str">
        <f aca="false">IF(OR(T$4="",$C44="",$D44="",N($E44)=0),"",$E44*MAX(0,MIN($D44+1,EDATE(T$4,1))-MAX($C44,T$4))/MAX(1,$D44+1-$C44))</f>
        <v/>
      </c>
      <c r="U44" s="56" t="str">
        <f aca="false">IF(OR(U$4="",$C44="",$D44="",N($E44)=0),"",$E44*MAX(0,MIN($D44+1,EDATE(U$4,1))-MAX($C44,U$4))/MAX(1,$D44+1-$C44))</f>
        <v/>
      </c>
      <c r="V44" s="56" t="str">
        <f aca="false">IF(OR(V$4="",$C44="",$D44="",N($E44)=0),"",$E44*MAX(0,MIN($D44+1,EDATE(V$4,1))-MAX($C44,V$4))/MAX(1,$D44+1-$C44))</f>
        <v/>
      </c>
      <c r="W44" s="56" t="str">
        <f aca="false">IF(OR(W$4="",$C44="",$D44="",N($E44)=0),"",$E44*MAX(0,MIN($D44+1,EDATE(W$4,1))-MAX($C44,W$4))/MAX(1,$D44+1-$C44))</f>
        <v/>
      </c>
      <c r="X44" s="56" t="str">
        <f aca="false">IF(OR(X$4="",$C44="",$D44="",N($E44)=0),"",$E44*MAX(0,MIN($D44+1,EDATE(X$4,1))-MAX($C44,X$4))/MAX(1,$D44+1-$C44))</f>
        <v/>
      </c>
      <c r="Y44" s="56" t="str">
        <f aca="false">IF(OR(Y$4="",$C44="",$D44="",N($E44)=0),"",$E44*MAX(0,MIN($D44+1,EDATE(Y$4,1))-MAX($C44,Y$4))/MAX(1,$D44+1-$C44))</f>
        <v/>
      </c>
      <c r="Z44" s="56" t="str">
        <f aca="false">IF(OR(Z$4="",$C44="",$D44="",N($E44)=0),"",$E44*MAX(0,MIN($D44+1,EDATE(Z$4,1))-MAX($C44,Z$4))/MAX(1,$D44+1-$C44))</f>
        <v/>
      </c>
      <c r="AA44" s="56" t="str">
        <f aca="false">IF(OR(AA$4="",$C44="",$D44="",N($E44)=0),"",$E44*MAX(0,MIN($D44+1,EDATE(AA$4,1))-MAX($C44,AA$4))/MAX(1,$D44+1-$C44))</f>
        <v/>
      </c>
      <c r="AB44" s="56" t="str">
        <f aca="false">IF(OR(AB$4="",$C44="",$D44="",N($E44)=0),"",$E44*MAX(0,MIN($D44+1,EDATE(AB$4,1))-MAX($C44,AB$4))/MAX(1,$D44+1-$C44))</f>
        <v/>
      </c>
      <c r="AC44" s="56" t="str">
        <f aca="false">IF(OR(AC$4="",$C44="",$D44="",N($E44)=0),"",$E44*MAX(0,MIN($D44+1,EDATE(AC$4,1))-MAX($C44,AC$4))/MAX(1,$D44+1-$C44))</f>
        <v/>
      </c>
      <c r="AD44" s="56" t="str">
        <f aca="false">IF(OR(AD$4="",$C44="",$D44="",N($E44)=0),"",$E44*MAX(0,MIN($D44+1,EDATE(AD$4,1))-MAX($C44,AD$4))/MAX(1,$D44+1-$C44))</f>
        <v/>
      </c>
      <c r="AE44" s="56" t="str">
        <f aca="false">IF(OR(AE$4="",$C44="",$D44="",N($E44)=0),"",$E44*MAX(0,MIN($D44+1,EDATE(AE$4,1))-MAX($C44,AE$4))/MAX(1,$D44+1-$C44))</f>
        <v/>
      </c>
      <c r="AF44" s="56" t="str">
        <f aca="false">IF(OR(AF$4="",$C44="",$D44="",N($E44)=0),"",$E44*MAX(0,MIN($D44+1,EDATE(AF$4,1))-MAX($C44,AF$4))/MAX(1,$D44+1-$C44))</f>
        <v/>
      </c>
      <c r="AG44" s="56" t="str">
        <f aca="false">IF(OR(AG$4="",$C44="",$D44="",N($E44)=0),"",$E44*MAX(0,MIN($D44+1,EDATE(AG$4,1))-MAX($C44,AG$4))/MAX(1,$D44+1-$C44))</f>
        <v/>
      </c>
      <c r="AH44" s="56" t="str">
        <f aca="false">IF(OR(AH$4="",$C44="",$D44="",N($E44)=0),"",$E44*MAX(0,MIN($D44+1,EDATE(AH$4,1))-MAX($C44,AH$4))/MAX(1,$D44+1-$C44))</f>
        <v/>
      </c>
      <c r="AI44" s="56" t="str">
        <f aca="false">IF(OR(AI$4="",$C44="",$D44="",N($E44)=0),"",$E44*MAX(0,MIN($D44+1,EDATE(AI$4,1))-MAX($C44,AI$4))/MAX(1,$D44+1-$C44))</f>
        <v/>
      </c>
      <c r="AJ44" s="56" t="str">
        <f aca="false">IF(OR(AJ$4="",$C44="",$D44="",N($E44)=0),"",$E44*MAX(0,MIN($D44+1,EDATE(AJ$4,1))-MAX($C44,AJ$4))/MAX(1,$D44+1-$C44))</f>
        <v/>
      </c>
      <c r="AK44" s="56" t="str">
        <f aca="false">IF(OR(AK$4="",$C44="",$D44="",N($E44)=0),"",$E44*MAX(0,MIN($D44+1,EDATE(AK$4,1))-MAX($C44,AK$4))/MAX(1,$D44+1-$C44))</f>
        <v/>
      </c>
      <c r="AL44" s="56" t="str">
        <f aca="false">IF(OR(AL$4="",$C44="",$D44="",N($E44)=0),"",$E44*MAX(0,MIN($D44+1,EDATE(AL$4,1))-MAX($C44,AL$4))/MAX(1,$D44+1-$C44))</f>
        <v/>
      </c>
      <c r="AM44" s="56" t="str">
        <f aca="false">IF(OR(AM$4="",$C44="",$D44="",N($E44)=0),"",$E44*MAX(0,MIN($D44+1,EDATE(AM$4,1))-MAX($C44,AM$4))/MAX(1,$D44+1-$C44))</f>
        <v/>
      </c>
      <c r="AN44" s="56" t="str">
        <f aca="false">IF(OR(AN$4="",$C44="",$D44="",N($E44)=0),"",$E44*MAX(0,MIN($D44+1,EDATE(AN$4,1))-MAX($C44,AN$4))/MAX(1,$D44+1-$C44))</f>
        <v/>
      </c>
      <c r="AO44" s="56" t="str">
        <f aca="false">IF(OR(AO$4="",$C44="",$D44="",N($E44)=0),"",$E44*MAX(0,MIN($D44+1,EDATE(AO$4,1))-MAX($C44,AO$4))/MAX(1,$D44+1-$C44))</f>
        <v/>
      </c>
      <c r="AP44" s="56" t="str">
        <f aca="false">IF(OR(AP$4="",$C44="",$D44="",N($E44)=0),"",$E44*MAX(0,MIN($D44+1,EDATE(AP$4,1))-MAX($C44,AP$4))/MAX(1,$D44+1-$C44))</f>
        <v/>
      </c>
      <c r="AQ44" s="56" t="str">
        <f aca="false">IF(OR(AQ$4="",$C44="",$D44="",N($E44)=0),"",$E44*MAX(0,MIN($D44+1,EDATE(AQ$4,1))-MAX($C44,AQ$4))/MAX(1,$D44+1-$C44))</f>
        <v/>
      </c>
      <c r="AR44" s="56" t="str">
        <f aca="false">IF(OR(AR$4="",$C44="",$D44="",N($E44)=0),"",$E44*MAX(0,MIN($D44+1,EDATE(AR$4,1))-MAX($C44,AR$4))/MAX(1,$D44+1-$C44))</f>
        <v/>
      </c>
      <c r="AS44" s="56" t="str">
        <f aca="false">IF(OR(AS$4="",$C44="",$D44="",N($E44)=0),"",$E44*MAX(0,MIN($D44+1,EDATE(AS$4,1))-MAX($C44,AS$4))/MAX(1,$D44+1-$C44))</f>
        <v/>
      </c>
      <c r="AT44" s="56" t="str">
        <f aca="false">IF(OR(AT$4="",$C44="",$D44="",N($E44)=0),"",$E44*MAX(0,MIN($D44+1,EDATE(AT$4,1))-MAX($C44,AT$4))/MAX(1,$D44+1-$C44))</f>
        <v/>
      </c>
      <c r="AU44" s="56" t="str">
        <f aca="false">IF(OR(AU$4="",$C44="",$D44="",N($E44)=0),"",$E44*MAX(0,MIN($D44+1,EDATE(AU$4,1))-MAX($C44,AU$4))/MAX(1,$D44+1-$C44))</f>
        <v/>
      </c>
      <c r="AV44" s="56" t="str">
        <f aca="false">IF(OR(AV$4="",$C44="",$D44="",N($E44)=0),"",$E44*MAX(0,MIN($D44+1,EDATE(AV$4,1))-MAX($C44,AV$4))/MAX(1,$D44+1-$C44))</f>
        <v/>
      </c>
      <c r="AW44" s="56" t="str">
        <f aca="false">IF(OR(AW$4="",$C44="",$D44="",N($E44)=0),"",$E44*MAX(0,MIN($D44+1,EDATE(AW$4,1))-MAX($C44,AW$4))/MAX(1,$D44+1-$C44))</f>
        <v/>
      </c>
      <c r="AX44" s="56" t="str">
        <f aca="false">IF(OR(AX$4="",$C44="",$D44="",N($E44)=0),"",$E44*MAX(0,MIN($D44+1,EDATE(AX$4,1))-MAX($C44,AX$4))/MAX(1,$D44+1-$C44))</f>
        <v/>
      </c>
      <c r="AY44" s="56" t="str">
        <f aca="false">IF(OR(AY$4="",$C44="",$D44="",N($E44)=0),"",$E44*MAX(0,MIN($D44+1,EDATE(AY$4,1))-MAX($C44,AY$4))/MAX(1,$D44+1-$C44))</f>
        <v/>
      </c>
      <c r="AZ44" s="56" t="str">
        <f aca="false">IF(OR(AZ$4="",$C44="",$D44="",N($E44)=0),"",$E44*MAX(0,MIN($D44+1,EDATE(AZ$4,1))-MAX($C44,AZ$4))/MAX(1,$D44+1-$C44))</f>
        <v/>
      </c>
      <c r="BA44" s="56" t="str">
        <f aca="false">IF(OR(BA$4="",$C44="",$D44="",N($E44)=0),"",$E44*MAX(0,MIN($D44+1,EDATE(BA$4,1))-MAX($C44,BA$4))/MAX(1,$D44+1-$C44))</f>
        <v/>
      </c>
      <c r="BB44" s="56" t="str">
        <f aca="false">IF(OR(BB$4="",$C44="",$D44="",N($E44)=0),"",$E44*MAX(0,MIN($D44+1,EDATE(BB$4,1))-MAX($C44,BB$4))/MAX(1,$D44+1-$C44))</f>
        <v/>
      </c>
      <c r="BC44" s="56" t="str">
        <f aca="false">IF(OR(BC$4="",$C44="",$D44="",N($E44)=0),"",$E44*MAX(0,MIN($D44+1,EDATE(BC$4,1))-MAX($C44,BC$4))/MAX(1,$D44+1-$C44))</f>
        <v/>
      </c>
      <c r="BD44" s="56" t="str">
        <f aca="false">IF(OR(BD$4="",$C44="",$D44="",N($E44)=0),"",$E44*MAX(0,MIN($D44+1,EDATE(BD$4,1))-MAX($C44,BD$4))/MAX(1,$D44+1-$C44))</f>
        <v/>
      </c>
      <c r="BE44" s="56" t="str">
        <f aca="false">IF(OR(BE$4="",$C44="",$D44="",N($E44)=0),"",$E44*MAX(0,MIN($D44+1,EDATE(BE$4,1))-MAX($C44,BE$4))/MAX(1,$D44+1-$C44))</f>
        <v/>
      </c>
      <c r="BF44" s="56" t="str">
        <f aca="false">IF(OR(BF$4="",$C44="",$D44="",N($E44)=0),"",$E44*MAX(0,MIN($D44+1,EDATE(BF$4,1))-MAX($C44,BF$4))/MAX(1,$D44+1-$C44))</f>
        <v/>
      </c>
      <c r="BG44" s="56" t="str">
        <f aca="false">IF(OR(BG$4="",$C44="",$D44="",N($E44)=0),"",$E44*MAX(0,MIN($D44+1,EDATE(BG$4,1))-MAX($C44,BG$4))/MAX(1,$D44+1-$C44))</f>
        <v/>
      </c>
      <c r="BH44" s="56" t="str">
        <f aca="false">IF(OR(BH$4="",$C44="",$D44="",N($E44)=0),"",$E44*MAX(0,MIN($D44+1,EDATE(BH$4,1))-MAX($C44,BH$4))/MAX(1,$D44+1-$C44))</f>
        <v/>
      </c>
      <c r="BI44" s="56" t="str">
        <f aca="false">IF(OR(BI$4="",$C44="",$D44="",N($E44)=0),"",$E44*MAX(0,MIN($D44+1,EDATE(BI$4,1))-MAX($C44,BI$4))/MAX(1,$D44+1-$C44))</f>
        <v/>
      </c>
      <c r="BJ44" s="56" t="str">
        <f aca="false">IF(OR(BJ$4="",$C44="",$D44="",N($E44)=0),"",$E44*MAX(0,MIN($D44+1,EDATE(BJ$4,1))-MAX($C44,BJ$4))/MAX(1,$D44+1-$C44))</f>
        <v/>
      </c>
      <c r="BK44" s="56" t="str">
        <f aca="false">IF(OR(BK$4="",$C44="",$D44="",N($E44)=0),"",$E44*MAX(0,MIN($D44+1,EDATE(BK$4,1))-MAX($C44,BK$4))/MAX(1,$D44+1-$C44))</f>
        <v/>
      </c>
      <c r="BL44" s="56" t="str">
        <f aca="false">IF(OR(BL$4="",$C44="",$D44="",N($E44)=0),"",$E44*MAX(0,MIN($D44+1,EDATE(BL$4,1))-MAX($C44,BL$4))/MAX(1,$D44+1-$C44))</f>
        <v/>
      </c>
      <c r="BM44" s="56" t="str">
        <f aca="false">IF(OR(BM$4="",$C44="",$D44="",N($E44)=0),"",$E44*MAX(0,MIN($D44+1,EDATE(BM$4,1))-MAX($C44,BM$4))/MAX(1,$D44+1-$C44))</f>
        <v/>
      </c>
      <c r="BN44" s="56" t="str">
        <f aca="false">IF(OR(BN$4="",$C44="",$D44="",N($E44)=0),"",$E44*MAX(0,MIN($D44+1,EDATE(BN$4,1))-MAX($C44,BN$4))/MAX(1,$D44+1-$C44))</f>
        <v/>
      </c>
      <c r="BO44" s="56" t="str">
        <f aca="false">IF(OR(BO$4="",$C44="",$D44="",N($E44)=0),"",$E44*MAX(0,MIN($D44+1,EDATE(BO$4,1))-MAX($C44,BO$4))/MAX(1,$D44+1-$C44))</f>
        <v/>
      </c>
      <c r="BP44" s="56" t="str">
        <f aca="false">IF(OR(BP$4="",$C44="",$D44="",N($E44)=0),"",$E44*MAX(0,MIN($D44+1,EDATE(BP$4,1))-MAX($C44,BP$4))/MAX(1,$D44+1-$C44))</f>
        <v/>
      </c>
      <c r="BQ44" s="56" t="str">
        <f aca="false">IF(OR(BQ$4="",$C44="",$D44="",N($E44)=0),"",$E44*MAX(0,MIN($D44+1,EDATE(BQ$4,1))-MAX($C44,BQ$4))/MAX(1,$D44+1-$C44))</f>
        <v/>
      </c>
      <c r="BR44" s="56" t="str">
        <f aca="false">IF(OR(BR$4="",$C44="",$D44="",N($E44)=0),"",$E44*MAX(0,MIN($D44+1,EDATE(BR$4,1))-MAX($C44,BR$4))/MAX(1,$D44+1-$C44))</f>
        <v/>
      </c>
      <c r="BS44" s="56" t="str">
        <f aca="false">IF(OR(BS$4="",$C44="",$D44="",N($E44)=0),"",$E44*MAX(0,MIN($D44+1,EDATE(BS$4,1))-MAX($C44,BS$4))/MAX(1,$D44+1-$C44))</f>
        <v/>
      </c>
      <c r="BT44" s="56" t="str">
        <f aca="false">IF(OR(BT$4="",$C44="",$D44="",N($E44)=0),"",$E44*MAX(0,MIN($D44+1,EDATE(BT$4,1))-MAX($C44,BT$4))/MAX(1,$D44+1-$C44))</f>
        <v/>
      </c>
      <c r="BU44" s="56" t="str">
        <f aca="false">IF(OR(BU$4="",$C44="",$D44="",N($E44)=0),"",$E44*MAX(0,MIN($D44+1,EDATE(BU$4,1))-MAX($C44,BU$4))/MAX(1,$D44+1-$C44))</f>
        <v/>
      </c>
      <c r="BV44" s="56" t="str">
        <f aca="false">IF(OR(BV$4="",$C44="",$D44="",N($E44)=0),"",$E44*MAX(0,MIN($D44+1,EDATE(BV$4,1))-MAX($C44,BV$4))/MAX(1,$D44+1-$C44))</f>
        <v/>
      </c>
      <c r="BW44" s="56" t="str">
        <f aca="false">IF(OR(BW$4="",$C44="",$D44="",N($E44)=0),"",$E44*MAX(0,MIN($D44+1,EDATE(BW$4,1))-MAX($C44,BW$4))/MAX(1,$D44+1-$C44))</f>
        <v/>
      </c>
      <c r="BX44" s="56" t="str">
        <f aca="false">IF(OR(BX$4="",$C44="",$D44="",N($E44)=0),"",$E44*MAX(0,MIN($D44+1,EDATE(BX$4,1))-MAX($C44,BX$4))/MAX(1,$D44+1-$C44))</f>
        <v/>
      </c>
      <c r="BY44" s="56" t="str">
        <f aca="false">IF(OR(BY$4="",$C44="",$D44="",N($E44)=0),"",$E44*MAX(0,MIN($D44+1,EDATE(BY$4,1))-MAX($C44,BY$4))/MAX(1,$D44+1-$C44))</f>
        <v/>
      </c>
    </row>
    <row r="45" customFormat="false" ht="15" hidden="false" customHeight="false" outlineLevel="0" collapsed="false">
      <c r="A45" s="53" t="str">
        <f aca="false">IF(BOE!$A46="","",BOE!$A46)</f>
        <v/>
      </c>
      <c r="B45" s="53" t="str">
        <f aca="false">IF(BOE!$A46="","",BOE!$C46)</f>
        <v/>
      </c>
      <c r="C45" s="54" t="str">
        <f aca="false">IF(BOE!$O46="","",BOE!$O46)</f>
        <v/>
      </c>
      <c r="D45" s="54" t="str">
        <f aca="false">IF(BOE!$P46="","",BOE!$P46)</f>
        <v/>
      </c>
      <c r="E45" s="55" t="n">
        <f aca="false">IF(Inputs!$B$7="P90",BOE!$T46,BOE!$R46)</f>
        <v>0</v>
      </c>
      <c r="F45" s="56" t="str">
        <f aca="false">IF(OR(F$4="",$C45="",$D45="",N($E45)=0),"",$E45*MAX(0,MIN($D45+1,EDATE(F$4,1))-MAX($C45,F$4))/MAX(1,$D45+1-$C45))</f>
        <v/>
      </c>
      <c r="G45" s="56" t="str">
        <f aca="false">IF(OR(G$4="",$C45="",$D45="",N($E45)=0),"",$E45*MAX(0,MIN($D45+1,EDATE(G$4,1))-MAX($C45,G$4))/MAX(1,$D45+1-$C45))</f>
        <v/>
      </c>
      <c r="H45" s="56" t="str">
        <f aca="false">IF(OR(H$4="",$C45="",$D45="",N($E45)=0),"",$E45*MAX(0,MIN($D45+1,EDATE(H$4,1))-MAX($C45,H$4))/MAX(1,$D45+1-$C45))</f>
        <v/>
      </c>
      <c r="I45" s="56" t="str">
        <f aca="false">IF(OR(I$4="",$C45="",$D45="",N($E45)=0),"",$E45*MAX(0,MIN($D45+1,EDATE(I$4,1))-MAX($C45,I$4))/MAX(1,$D45+1-$C45))</f>
        <v/>
      </c>
      <c r="J45" s="56" t="str">
        <f aca="false">IF(OR(J$4="",$C45="",$D45="",N($E45)=0),"",$E45*MAX(0,MIN($D45+1,EDATE(J$4,1))-MAX($C45,J$4))/MAX(1,$D45+1-$C45))</f>
        <v/>
      </c>
      <c r="K45" s="56" t="str">
        <f aca="false">IF(OR(K$4="",$C45="",$D45="",N($E45)=0),"",$E45*MAX(0,MIN($D45+1,EDATE(K$4,1))-MAX($C45,K$4))/MAX(1,$D45+1-$C45))</f>
        <v/>
      </c>
      <c r="L45" s="56" t="str">
        <f aca="false">IF(OR(L$4="",$C45="",$D45="",N($E45)=0),"",$E45*MAX(0,MIN($D45+1,EDATE(L$4,1))-MAX($C45,L$4))/MAX(1,$D45+1-$C45))</f>
        <v/>
      </c>
      <c r="M45" s="56" t="str">
        <f aca="false">IF(OR(M$4="",$C45="",$D45="",N($E45)=0),"",$E45*MAX(0,MIN($D45+1,EDATE(M$4,1))-MAX($C45,M$4))/MAX(1,$D45+1-$C45))</f>
        <v/>
      </c>
      <c r="N45" s="56" t="str">
        <f aca="false">IF(OR(N$4="",$C45="",$D45="",N($E45)=0),"",$E45*MAX(0,MIN($D45+1,EDATE(N$4,1))-MAX($C45,N$4))/MAX(1,$D45+1-$C45))</f>
        <v/>
      </c>
      <c r="O45" s="56" t="str">
        <f aca="false">IF(OR(O$4="",$C45="",$D45="",N($E45)=0),"",$E45*MAX(0,MIN($D45+1,EDATE(O$4,1))-MAX($C45,O$4))/MAX(1,$D45+1-$C45))</f>
        <v/>
      </c>
      <c r="P45" s="56" t="str">
        <f aca="false">IF(OR(P$4="",$C45="",$D45="",N($E45)=0),"",$E45*MAX(0,MIN($D45+1,EDATE(P$4,1))-MAX($C45,P$4))/MAX(1,$D45+1-$C45))</f>
        <v/>
      </c>
      <c r="Q45" s="56" t="str">
        <f aca="false">IF(OR(Q$4="",$C45="",$D45="",N($E45)=0),"",$E45*MAX(0,MIN($D45+1,EDATE(Q$4,1))-MAX($C45,Q$4))/MAX(1,$D45+1-$C45))</f>
        <v/>
      </c>
      <c r="R45" s="56" t="str">
        <f aca="false">IF(OR(R$4="",$C45="",$D45="",N($E45)=0),"",$E45*MAX(0,MIN($D45+1,EDATE(R$4,1))-MAX($C45,R$4))/MAX(1,$D45+1-$C45))</f>
        <v/>
      </c>
      <c r="S45" s="56" t="str">
        <f aca="false">IF(OR(S$4="",$C45="",$D45="",N($E45)=0),"",$E45*MAX(0,MIN($D45+1,EDATE(S$4,1))-MAX($C45,S$4))/MAX(1,$D45+1-$C45))</f>
        <v/>
      </c>
      <c r="T45" s="56" t="str">
        <f aca="false">IF(OR(T$4="",$C45="",$D45="",N($E45)=0),"",$E45*MAX(0,MIN($D45+1,EDATE(T$4,1))-MAX($C45,T$4))/MAX(1,$D45+1-$C45))</f>
        <v/>
      </c>
      <c r="U45" s="56" t="str">
        <f aca="false">IF(OR(U$4="",$C45="",$D45="",N($E45)=0),"",$E45*MAX(0,MIN($D45+1,EDATE(U$4,1))-MAX($C45,U$4))/MAX(1,$D45+1-$C45))</f>
        <v/>
      </c>
      <c r="V45" s="56" t="str">
        <f aca="false">IF(OR(V$4="",$C45="",$D45="",N($E45)=0),"",$E45*MAX(0,MIN($D45+1,EDATE(V$4,1))-MAX($C45,V$4))/MAX(1,$D45+1-$C45))</f>
        <v/>
      </c>
      <c r="W45" s="56" t="str">
        <f aca="false">IF(OR(W$4="",$C45="",$D45="",N($E45)=0),"",$E45*MAX(0,MIN($D45+1,EDATE(W$4,1))-MAX($C45,W$4))/MAX(1,$D45+1-$C45))</f>
        <v/>
      </c>
      <c r="X45" s="56" t="str">
        <f aca="false">IF(OR(X$4="",$C45="",$D45="",N($E45)=0),"",$E45*MAX(0,MIN($D45+1,EDATE(X$4,1))-MAX($C45,X$4))/MAX(1,$D45+1-$C45))</f>
        <v/>
      </c>
      <c r="Y45" s="56" t="str">
        <f aca="false">IF(OR(Y$4="",$C45="",$D45="",N($E45)=0),"",$E45*MAX(0,MIN($D45+1,EDATE(Y$4,1))-MAX($C45,Y$4))/MAX(1,$D45+1-$C45))</f>
        <v/>
      </c>
      <c r="Z45" s="56" t="str">
        <f aca="false">IF(OR(Z$4="",$C45="",$D45="",N($E45)=0),"",$E45*MAX(0,MIN($D45+1,EDATE(Z$4,1))-MAX($C45,Z$4))/MAX(1,$D45+1-$C45))</f>
        <v/>
      </c>
      <c r="AA45" s="56" t="str">
        <f aca="false">IF(OR(AA$4="",$C45="",$D45="",N($E45)=0),"",$E45*MAX(0,MIN($D45+1,EDATE(AA$4,1))-MAX($C45,AA$4))/MAX(1,$D45+1-$C45))</f>
        <v/>
      </c>
      <c r="AB45" s="56" t="str">
        <f aca="false">IF(OR(AB$4="",$C45="",$D45="",N($E45)=0),"",$E45*MAX(0,MIN($D45+1,EDATE(AB$4,1))-MAX($C45,AB$4))/MAX(1,$D45+1-$C45))</f>
        <v/>
      </c>
      <c r="AC45" s="56" t="str">
        <f aca="false">IF(OR(AC$4="",$C45="",$D45="",N($E45)=0),"",$E45*MAX(0,MIN($D45+1,EDATE(AC$4,1))-MAX($C45,AC$4))/MAX(1,$D45+1-$C45))</f>
        <v/>
      </c>
      <c r="AD45" s="56" t="str">
        <f aca="false">IF(OR(AD$4="",$C45="",$D45="",N($E45)=0),"",$E45*MAX(0,MIN($D45+1,EDATE(AD$4,1))-MAX($C45,AD$4))/MAX(1,$D45+1-$C45))</f>
        <v/>
      </c>
      <c r="AE45" s="56" t="str">
        <f aca="false">IF(OR(AE$4="",$C45="",$D45="",N($E45)=0),"",$E45*MAX(0,MIN($D45+1,EDATE(AE$4,1))-MAX($C45,AE$4))/MAX(1,$D45+1-$C45))</f>
        <v/>
      </c>
      <c r="AF45" s="56" t="str">
        <f aca="false">IF(OR(AF$4="",$C45="",$D45="",N($E45)=0),"",$E45*MAX(0,MIN($D45+1,EDATE(AF$4,1))-MAX($C45,AF$4))/MAX(1,$D45+1-$C45))</f>
        <v/>
      </c>
      <c r="AG45" s="56" t="str">
        <f aca="false">IF(OR(AG$4="",$C45="",$D45="",N($E45)=0),"",$E45*MAX(0,MIN($D45+1,EDATE(AG$4,1))-MAX($C45,AG$4))/MAX(1,$D45+1-$C45))</f>
        <v/>
      </c>
      <c r="AH45" s="56" t="str">
        <f aca="false">IF(OR(AH$4="",$C45="",$D45="",N($E45)=0),"",$E45*MAX(0,MIN($D45+1,EDATE(AH$4,1))-MAX($C45,AH$4))/MAX(1,$D45+1-$C45))</f>
        <v/>
      </c>
      <c r="AI45" s="56" t="str">
        <f aca="false">IF(OR(AI$4="",$C45="",$D45="",N($E45)=0),"",$E45*MAX(0,MIN($D45+1,EDATE(AI$4,1))-MAX($C45,AI$4))/MAX(1,$D45+1-$C45))</f>
        <v/>
      </c>
      <c r="AJ45" s="56" t="str">
        <f aca="false">IF(OR(AJ$4="",$C45="",$D45="",N($E45)=0),"",$E45*MAX(0,MIN($D45+1,EDATE(AJ$4,1))-MAX($C45,AJ$4))/MAX(1,$D45+1-$C45))</f>
        <v/>
      </c>
      <c r="AK45" s="56" t="str">
        <f aca="false">IF(OR(AK$4="",$C45="",$D45="",N($E45)=0),"",$E45*MAX(0,MIN($D45+1,EDATE(AK$4,1))-MAX($C45,AK$4))/MAX(1,$D45+1-$C45))</f>
        <v/>
      </c>
      <c r="AL45" s="56" t="str">
        <f aca="false">IF(OR(AL$4="",$C45="",$D45="",N($E45)=0),"",$E45*MAX(0,MIN($D45+1,EDATE(AL$4,1))-MAX($C45,AL$4))/MAX(1,$D45+1-$C45))</f>
        <v/>
      </c>
      <c r="AM45" s="56" t="str">
        <f aca="false">IF(OR(AM$4="",$C45="",$D45="",N($E45)=0),"",$E45*MAX(0,MIN($D45+1,EDATE(AM$4,1))-MAX($C45,AM$4))/MAX(1,$D45+1-$C45))</f>
        <v/>
      </c>
      <c r="AN45" s="56" t="str">
        <f aca="false">IF(OR(AN$4="",$C45="",$D45="",N($E45)=0),"",$E45*MAX(0,MIN($D45+1,EDATE(AN$4,1))-MAX($C45,AN$4))/MAX(1,$D45+1-$C45))</f>
        <v/>
      </c>
      <c r="AO45" s="56" t="str">
        <f aca="false">IF(OR(AO$4="",$C45="",$D45="",N($E45)=0),"",$E45*MAX(0,MIN($D45+1,EDATE(AO$4,1))-MAX($C45,AO$4))/MAX(1,$D45+1-$C45))</f>
        <v/>
      </c>
      <c r="AP45" s="56" t="str">
        <f aca="false">IF(OR(AP$4="",$C45="",$D45="",N($E45)=0),"",$E45*MAX(0,MIN($D45+1,EDATE(AP$4,1))-MAX($C45,AP$4))/MAX(1,$D45+1-$C45))</f>
        <v/>
      </c>
      <c r="AQ45" s="56" t="str">
        <f aca="false">IF(OR(AQ$4="",$C45="",$D45="",N($E45)=0),"",$E45*MAX(0,MIN($D45+1,EDATE(AQ$4,1))-MAX($C45,AQ$4))/MAX(1,$D45+1-$C45))</f>
        <v/>
      </c>
      <c r="AR45" s="56" t="str">
        <f aca="false">IF(OR(AR$4="",$C45="",$D45="",N($E45)=0),"",$E45*MAX(0,MIN($D45+1,EDATE(AR$4,1))-MAX($C45,AR$4))/MAX(1,$D45+1-$C45))</f>
        <v/>
      </c>
      <c r="AS45" s="56" t="str">
        <f aca="false">IF(OR(AS$4="",$C45="",$D45="",N($E45)=0),"",$E45*MAX(0,MIN($D45+1,EDATE(AS$4,1))-MAX($C45,AS$4))/MAX(1,$D45+1-$C45))</f>
        <v/>
      </c>
      <c r="AT45" s="56" t="str">
        <f aca="false">IF(OR(AT$4="",$C45="",$D45="",N($E45)=0),"",$E45*MAX(0,MIN($D45+1,EDATE(AT$4,1))-MAX($C45,AT$4))/MAX(1,$D45+1-$C45))</f>
        <v/>
      </c>
      <c r="AU45" s="56" t="str">
        <f aca="false">IF(OR(AU$4="",$C45="",$D45="",N($E45)=0),"",$E45*MAX(0,MIN($D45+1,EDATE(AU$4,1))-MAX($C45,AU$4))/MAX(1,$D45+1-$C45))</f>
        <v/>
      </c>
      <c r="AV45" s="56" t="str">
        <f aca="false">IF(OR(AV$4="",$C45="",$D45="",N($E45)=0),"",$E45*MAX(0,MIN($D45+1,EDATE(AV$4,1))-MAX($C45,AV$4))/MAX(1,$D45+1-$C45))</f>
        <v/>
      </c>
      <c r="AW45" s="56" t="str">
        <f aca="false">IF(OR(AW$4="",$C45="",$D45="",N($E45)=0),"",$E45*MAX(0,MIN($D45+1,EDATE(AW$4,1))-MAX($C45,AW$4))/MAX(1,$D45+1-$C45))</f>
        <v/>
      </c>
      <c r="AX45" s="56" t="str">
        <f aca="false">IF(OR(AX$4="",$C45="",$D45="",N($E45)=0),"",$E45*MAX(0,MIN($D45+1,EDATE(AX$4,1))-MAX($C45,AX$4))/MAX(1,$D45+1-$C45))</f>
        <v/>
      </c>
      <c r="AY45" s="56" t="str">
        <f aca="false">IF(OR(AY$4="",$C45="",$D45="",N($E45)=0),"",$E45*MAX(0,MIN($D45+1,EDATE(AY$4,1))-MAX($C45,AY$4))/MAX(1,$D45+1-$C45))</f>
        <v/>
      </c>
      <c r="AZ45" s="56" t="str">
        <f aca="false">IF(OR(AZ$4="",$C45="",$D45="",N($E45)=0),"",$E45*MAX(0,MIN($D45+1,EDATE(AZ$4,1))-MAX($C45,AZ$4))/MAX(1,$D45+1-$C45))</f>
        <v/>
      </c>
      <c r="BA45" s="56" t="str">
        <f aca="false">IF(OR(BA$4="",$C45="",$D45="",N($E45)=0),"",$E45*MAX(0,MIN($D45+1,EDATE(BA$4,1))-MAX($C45,BA$4))/MAX(1,$D45+1-$C45))</f>
        <v/>
      </c>
      <c r="BB45" s="56" t="str">
        <f aca="false">IF(OR(BB$4="",$C45="",$D45="",N($E45)=0),"",$E45*MAX(0,MIN($D45+1,EDATE(BB$4,1))-MAX($C45,BB$4))/MAX(1,$D45+1-$C45))</f>
        <v/>
      </c>
      <c r="BC45" s="56" t="str">
        <f aca="false">IF(OR(BC$4="",$C45="",$D45="",N($E45)=0),"",$E45*MAX(0,MIN($D45+1,EDATE(BC$4,1))-MAX($C45,BC$4))/MAX(1,$D45+1-$C45))</f>
        <v/>
      </c>
      <c r="BD45" s="56" t="str">
        <f aca="false">IF(OR(BD$4="",$C45="",$D45="",N($E45)=0),"",$E45*MAX(0,MIN($D45+1,EDATE(BD$4,1))-MAX($C45,BD$4))/MAX(1,$D45+1-$C45))</f>
        <v/>
      </c>
      <c r="BE45" s="56" t="str">
        <f aca="false">IF(OR(BE$4="",$C45="",$D45="",N($E45)=0),"",$E45*MAX(0,MIN($D45+1,EDATE(BE$4,1))-MAX($C45,BE$4))/MAX(1,$D45+1-$C45))</f>
        <v/>
      </c>
      <c r="BF45" s="56" t="str">
        <f aca="false">IF(OR(BF$4="",$C45="",$D45="",N($E45)=0),"",$E45*MAX(0,MIN($D45+1,EDATE(BF$4,1))-MAX($C45,BF$4))/MAX(1,$D45+1-$C45))</f>
        <v/>
      </c>
      <c r="BG45" s="56" t="str">
        <f aca="false">IF(OR(BG$4="",$C45="",$D45="",N($E45)=0),"",$E45*MAX(0,MIN($D45+1,EDATE(BG$4,1))-MAX($C45,BG$4))/MAX(1,$D45+1-$C45))</f>
        <v/>
      </c>
      <c r="BH45" s="56" t="str">
        <f aca="false">IF(OR(BH$4="",$C45="",$D45="",N($E45)=0),"",$E45*MAX(0,MIN($D45+1,EDATE(BH$4,1))-MAX($C45,BH$4))/MAX(1,$D45+1-$C45))</f>
        <v/>
      </c>
      <c r="BI45" s="56" t="str">
        <f aca="false">IF(OR(BI$4="",$C45="",$D45="",N($E45)=0),"",$E45*MAX(0,MIN($D45+1,EDATE(BI$4,1))-MAX($C45,BI$4))/MAX(1,$D45+1-$C45))</f>
        <v/>
      </c>
      <c r="BJ45" s="56" t="str">
        <f aca="false">IF(OR(BJ$4="",$C45="",$D45="",N($E45)=0),"",$E45*MAX(0,MIN($D45+1,EDATE(BJ$4,1))-MAX($C45,BJ$4))/MAX(1,$D45+1-$C45))</f>
        <v/>
      </c>
      <c r="BK45" s="56" t="str">
        <f aca="false">IF(OR(BK$4="",$C45="",$D45="",N($E45)=0),"",$E45*MAX(0,MIN($D45+1,EDATE(BK$4,1))-MAX($C45,BK$4))/MAX(1,$D45+1-$C45))</f>
        <v/>
      </c>
      <c r="BL45" s="56" t="str">
        <f aca="false">IF(OR(BL$4="",$C45="",$D45="",N($E45)=0),"",$E45*MAX(0,MIN($D45+1,EDATE(BL$4,1))-MAX($C45,BL$4))/MAX(1,$D45+1-$C45))</f>
        <v/>
      </c>
      <c r="BM45" s="56" t="str">
        <f aca="false">IF(OR(BM$4="",$C45="",$D45="",N($E45)=0),"",$E45*MAX(0,MIN($D45+1,EDATE(BM$4,1))-MAX($C45,BM$4))/MAX(1,$D45+1-$C45))</f>
        <v/>
      </c>
      <c r="BN45" s="56" t="str">
        <f aca="false">IF(OR(BN$4="",$C45="",$D45="",N($E45)=0),"",$E45*MAX(0,MIN($D45+1,EDATE(BN$4,1))-MAX($C45,BN$4))/MAX(1,$D45+1-$C45))</f>
        <v/>
      </c>
      <c r="BO45" s="56" t="str">
        <f aca="false">IF(OR(BO$4="",$C45="",$D45="",N($E45)=0),"",$E45*MAX(0,MIN($D45+1,EDATE(BO$4,1))-MAX($C45,BO$4))/MAX(1,$D45+1-$C45))</f>
        <v/>
      </c>
      <c r="BP45" s="56" t="str">
        <f aca="false">IF(OR(BP$4="",$C45="",$D45="",N($E45)=0),"",$E45*MAX(0,MIN($D45+1,EDATE(BP$4,1))-MAX($C45,BP$4))/MAX(1,$D45+1-$C45))</f>
        <v/>
      </c>
      <c r="BQ45" s="56" t="str">
        <f aca="false">IF(OR(BQ$4="",$C45="",$D45="",N($E45)=0),"",$E45*MAX(0,MIN($D45+1,EDATE(BQ$4,1))-MAX($C45,BQ$4))/MAX(1,$D45+1-$C45))</f>
        <v/>
      </c>
      <c r="BR45" s="56" t="str">
        <f aca="false">IF(OR(BR$4="",$C45="",$D45="",N($E45)=0),"",$E45*MAX(0,MIN($D45+1,EDATE(BR$4,1))-MAX($C45,BR$4))/MAX(1,$D45+1-$C45))</f>
        <v/>
      </c>
      <c r="BS45" s="56" t="str">
        <f aca="false">IF(OR(BS$4="",$C45="",$D45="",N($E45)=0),"",$E45*MAX(0,MIN($D45+1,EDATE(BS$4,1))-MAX($C45,BS$4))/MAX(1,$D45+1-$C45))</f>
        <v/>
      </c>
      <c r="BT45" s="56" t="str">
        <f aca="false">IF(OR(BT$4="",$C45="",$D45="",N($E45)=0),"",$E45*MAX(0,MIN($D45+1,EDATE(BT$4,1))-MAX($C45,BT$4))/MAX(1,$D45+1-$C45))</f>
        <v/>
      </c>
      <c r="BU45" s="56" t="str">
        <f aca="false">IF(OR(BU$4="",$C45="",$D45="",N($E45)=0),"",$E45*MAX(0,MIN($D45+1,EDATE(BU$4,1))-MAX($C45,BU$4))/MAX(1,$D45+1-$C45))</f>
        <v/>
      </c>
      <c r="BV45" s="56" t="str">
        <f aca="false">IF(OR(BV$4="",$C45="",$D45="",N($E45)=0),"",$E45*MAX(0,MIN($D45+1,EDATE(BV$4,1))-MAX($C45,BV$4))/MAX(1,$D45+1-$C45))</f>
        <v/>
      </c>
      <c r="BW45" s="56" t="str">
        <f aca="false">IF(OR(BW$4="",$C45="",$D45="",N($E45)=0),"",$E45*MAX(0,MIN($D45+1,EDATE(BW$4,1))-MAX($C45,BW$4))/MAX(1,$D45+1-$C45))</f>
        <v/>
      </c>
      <c r="BX45" s="56" t="str">
        <f aca="false">IF(OR(BX$4="",$C45="",$D45="",N($E45)=0),"",$E45*MAX(0,MIN($D45+1,EDATE(BX$4,1))-MAX($C45,BX$4))/MAX(1,$D45+1-$C45))</f>
        <v/>
      </c>
      <c r="BY45" s="56" t="str">
        <f aca="false">IF(OR(BY$4="",$C45="",$D45="",N($E45)=0),"",$E45*MAX(0,MIN($D45+1,EDATE(BY$4,1))-MAX($C45,BY$4))/MAX(1,$D45+1-$C45))</f>
        <v/>
      </c>
    </row>
    <row r="46" customFormat="false" ht="15" hidden="false" customHeight="false" outlineLevel="0" collapsed="false">
      <c r="A46" s="53" t="str">
        <f aca="false">IF(BOE!$A47="","",BOE!$A47)</f>
        <v/>
      </c>
      <c r="B46" s="53" t="str">
        <f aca="false">IF(BOE!$A47="","",BOE!$C47)</f>
        <v/>
      </c>
      <c r="C46" s="54" t="str">
        <f aca="false">IF(BOE!$O47="","",BOE!$O47)</f>
        <v/>
      </c>
      <c r="D46" s="54" t="str">
        <f aca="false">IF(BOE!$P47="","",BOE!$P47)</f>
        <v/>
      </c>
      <c r="E46" s="55" t="n">
        <f aca="false">IF(Inputs!$B$7="P90",BOE!$T47,BOE!$R47)</f>
        <v>0</v>
      </c>
      <c r="F46" s="56" t="str">
        <f aca="false">IF(OR(F$4="",$C46="",$D46="",N($E46)=0),"",$E46*MAX(0,MIN($D46+1,EDATE(F$4,1))-MAX($C46,F$4))/MAX(1,$D46+1-$C46))</f>
        <v/>
      </c>
      <c r="G46" s="56" t="str">
        <f aca="false">IF(OR(G$4="",$C46="",$D46="",N($E46)=0),"",$E46*MAX(0,MIN($D46+1,EDATE(G$4,1))-MAX($C46,G$4))/MAX(1,$D46+1-$C46))</f>
        <v/>
      </c>
      <c r="H46" s="56" t="str">
        <f aca="false">IF(OR(H$4="",$C46="",$D46="",N($E46)=0),"",$E46*MAX(0,MIN($D46+1,EDATE(H$4,1))-MAX($C46,H$4))/MAX(1,$D46+1-$C46))</f>
        <v/>
      </c>
      <c r="I46" s="56" t="str">
        <f aca="false">IF(OR(I$4="",$C46="",$D46="",N($E46)=0),"",$E46*MAX(0,MIN($D46+1,EDATE(I$4,1))-MAX($C46,I$4))/MAX(1,$D46+1-$C46))</f>
        <v/>
      </c>
      <c r="J46" s="56" t="str">
        <f aca="false">IF(OR(J$4="",$C46="",$D46="",N($E46)=0),"",$E46*MAX(0,MIN($D46+1,EDATE(J$4,1))-MAX($C46,J$4))/MAX(1,$D46+1-$C46))</f>
        <v/>
      </c>
      <c r="K46" s="56" t="str">
        <f aca="false">IF(OR(K$4="",$C46="",$D46="",N($E46)=0),"",$E46*MAX(0,MIN($D46+1,EDATE(K$4,1))-MAX($C46,K$4))/MAX(1,$D46+1-$C46))</f>
        <v/>
      </c>
      <c r="L46" s="56" t="str">
        <f aca="false">IF(OR(L$4="",$C46="",$D46="",N($E46)=0),"",$E46*MAX(0,MIN($D46+1,EDATE(L$4,1))-MAX($C46,L$4))/MAX(1,$D46+1-$C46))</f>
        <v/>
      </c>
      <c r="M46" s="56" t="str">
        <f aca="false">IF(OR(M$4="",$C46="",$D46="",N($E46)=0),"",$E46*MAX(0,MIN($D46+1,EDATE(M$4,1))-MAX($C46,M$4))/MAX(1,$D46+1-$C46))</f>
        <v/>
      </c>
      <c r="N46" s="56" t="str">
        <f aca="false">IF(OR(N$4="",$C46="",$D46="",N($E46)=0),"",$E46*MAX(0,MIN($D46+1,EDATE(N$4,1))-MAX($C46,N$4))/MAX(1,$D46+1-$C46))</f>
        <v/>
      </c>
      <c r="O46" s="56" t="str">
        <f aca="false">IF(OR(O$4="",$C46="",$D46="",N($E46)=0),"",$E46*MAX(0,MIN($D46+1,EDATE(O$4,1))-MAX($C46,O$4))/MAX(1,$D46+1-$C46))</f>
        <v/>
      </c>
      <c r="P46" s="56" t="str">
        <f aca="false">IF(OR(P$4="",$C46="",$D46="",N($E46)=0),"",$E46*MAX(0,MIN($D46+1,EDATE(P$4,1))-MAX($C46,P$4))/MAX(1,$D46+1-$C46))</f>
        <v/>
      </c>
      <c r="Q46" s="56" t="str">
        <f aca="false">IF(OR(Q$4="",$C46="",$D46="",N($E46)=0),"",$E46*MAX(0,MIN($D46+1,EDATE(Q$4,1))-MAX($C46,Q$4))/MAX(1,$D46+1-$C46))</f>
        <v/>
      </c>
      <c r="R46" s="56" t="str">
        <f aca="false">IF(OR(R$4="",$C46="",$D46="",N($E46)=0),"",$E46*MAX(0,MIN($D46+1,EDATE(R$4,1))-MAX($C46,R$4))/MAX(1,$D46+1-$C46))</f>
        <v/>
      </c>
      <c r="S46" s="56" t="str">
        <f aca="false">IF(OR(S$4="",$C46="",$D46="",N($E46)=0),"",$E46*MAX(0,MIN($D46+1,EDATE(S$4,1))-MAX($C46,S$4))/MAX(1,$D46+1-$C46))</f>
        <v/>
      </c>
      <c r="T46" s="56" t="str">
        <f aca="false">IF(OR(T$4="",$C46="",$D46="",N($E46)=0),"",$E46*MAX(0,MIN($D46+1,EDATE(T$4,1))-MAX($C46,T$4))/MAX(1,$D46+1-$C46))</f>
        <v/>
      </c>
      <c r="U46" s="56" t="str">
        <f aca="false">IF(OR(U$4="",$C46="",$D46="",N($E46)=0),"",$E46*MAX(0,MIN($D46+1,EDATE(U$4,1))-MAX($C46,U$4))/MAX(1,$D46+1-$C46))</f>
        <v/>
      </c>
      <c r="V46" s="56" t="str">
        <f aca="false">IF(OR(V$4="",$C46="",$D46="",N($E46)=0),"",$E46*MAX(0,MIN($D46+1,EDATE(V$4,1))-MAX($C46,V$4))/MAX(1,$D46+1-$C46))</f>
        <v/>
      </c>
      <c r="W46" s="56" t="str">
        <f aca="false">IF(OR(W$4="",$C46="",$D46="",N($E46)=0),"",$E46*MAX(0,MIN($D46+1,EDATE(W$4,1))-MAX($C46,W$4))/MAX(1,$D46+1-$C46))</f>
        <v/>
      </c>
      <c r="X46" s="56" t="str">
        <f aca="false">IF(OR(X$4="",$C46="",$D46="",N($E46)=0),"",$E46*MAX(0,MIN($D46+1,EDATE(X$4,1))-MAX($C46,X$4))/MAX(1,$D46+1-$C46))</f>
        <v/>
      </c>
      <c r="Y46" s="56" t="str">
        <f aca="false">IF(OR(Y$4="",$C46="",$D46="",N($E46)=0),"",$E46*MAX(0,MIN($D46+1,EDATE(Y$4,1))-MAX($C46,Y$4))/MAX(1,$D46+1-$C46))</f>
        <v/>
      </c>
      <c r="Z46" s="56" t="str">
        <f aca="false">IF(OR(Z$4="",$C46="",$D46="",N($E46)=0),"",$E46*MAX(0,MIN($D46+1,EDATE(Z$4,1))-MAX($C46,Z$4))/MAX(1,$D46+1-$C46))</f>
        <v/>
      </c>
      <c r="AA46" s="56" t="str">
        <f aca="false">IF(OR(AA$4="",$C46="",$D46="",N($E46)=0),"",$E46*MAX(0,MIN($D46+1,EDATE(AA$4,1))-MAX($C46,AA$4))/MAX(1,$D46+1-$C46))</f>
        <v/>
      </c>
      <c r="AB46" s="56" t="str">
        <f aca="false">IF(OR(AB$4="",$C46="",$D46="",N($E46)=0),"",$E46*MAX(0,MIN($D46+1,EDATE(AB$4,1))-MAX($C46,AB$4))/MAX(1,$D46+1-$C46))</f>
        <v/>
      </c>
      <c r="AC46" s="56" t="str">
        <f aca="false">IF(OR(AC$4="",$C46="",$D46="",N($E46)=0),"",$E46*MAX(0,MIN($D46+1,EDATE(AC$4,1))-MAX($C46,AC$4))/MAX(1,$D46+1-$C46))</f>
        <v/>
      </c>
      <c r="AD46" s="56" t="str">
        <f aca="false">IF(OR(AD$4="",$C46="",$D46="",N($E46)=0),"",$E46*MAX(0,MIN($D46+1,EDATE(AD$4,1))-MAX($C46,AD$4))/MAX(1,$D46+1-$C46))</f>
        <v/>
      </c>
      <c r="AE46" s="56" t="str">
        <f aca="false">IF(OR(AE$4="",$C46="",$D46="",N($E46)=0),"",$E46*MAX(0,MIN($D46+1,EDATE(AE$4,1))-MAX($C46,AE$4))/MAX(1,$D46+1-$C46))</f>
        <v/>
      </c>
      <c r="AF46" s="56" t="str">
        <f aca="false">IF(OR(AF$4="",$C46="",$D46="",N($E46)=0),"",$E46*MAX(0,MIN($D46+1,EDATE(AF$4,1))-MAX($C46,AF$4))/MAX(1,$D46+1-$C46))</f>
        <v/>
      </c>
      <c r="AG46" s="56" t="str">
        <f aca="false">IF(OR(AG$4="",$C46="",$D46="",N($E46)=0),"",$E46*MAX(0,MIN($D46+1,EDATE(AG$4,1))-MAX($C46,AG$4))/MAX(1,$D46+1-$C46))</f>
        <v/>
      </c>
      <c r="AH46" s="56" t="str">
        <f aca="false">IF(OR(AH$4="",$C46="",$D46="",N($E46)=0),"",$E46*MAX(0,MIN($D46+1,EDATE(AH$4,1))-MAX($C46,AH$4))/MAX(1,$D46+1-$C46))</f>
        <v/>
      </c>
      <c r="AI46" s="56" t="str">
        <f aca="false">IF(OR(AI$4="",$C46="",$D46="",N($E46)=0),"",$E46*MAX(0,MIN($D46+1,EDATE(AI$4,1))-MAX($C46,AI$4))/MAX(1,$D46+1-$C46))</f>
        <v/>
      </c>
      <c r="AJ46" s="56" t="str">
        <f aca="false">IF(OR(AJ$4="",$C46="",$D46="",N($E46)=0),"",$E46*MAX(0,MIN($D46+1,EDATE(AJ$4,1))-MAX($C46,AJ$4))/MAX(1,$D46+1-$C46))</f>
        <v/>
      </c>
      <c r="AK46" s="56" t="str">
        <f aca="false">IF(OR(AK$4="",$C46="",$D46="",N($E46)=0),"",$E46*MAX(0,MIN($D46+1,EDATE(AK$4,1))-MAX($C46,AK$4))/MAX(1,$D46+1-$C46))</f>
        <v/>
      </c>
      <c r="AL46" s="56" t="str">
        <f aca="false">IF(OR(AL$4="",$C46="",$D46="",N($E46)=0),"",$E46*MAX(0,MIN($D46+1,EDATE(AL$4,1))-MAX($C46,AL$4))/MAX(1,$D46+1-$C46))</f>
        <v/>
      </c>
      <c r="AM46" s="56" t="str">
        <f aca="false">IF(OR(AM$4="",$C46="",$D46="",N($E46)=0),"",$E46*MAX(0,MIN($D46+1,EDATE(AM$4,1))-MAX($C46,AM$4))/MAX(1,$D46+1-$C46))</f>
        <v/>
      </c>
      <c r="AN46" s="56" t="str">
        <f aca="false">IF(OR(AN$4="",$C46="",$D46="",N($E46)=0),"",$E46*MAX(0,MIN($D46+1,EDATE(AN$4,1))-MAX($C46,AN$4))/MAX(1,$D46+1-$C46))</f>
        <v/>
      </c>
      <c r="AO46" s="56" t="str">
        <f aca="false">IF(OR(AO$4="",$C46="",$D46="",N($E46)=0),"",$E46*MAX(0,MIN($D46+1,EDATE(AO$4,1))-MAX($C46,AO$4))/MAX(1,$D46+1-$C46))</f>
        <v/>
      </c>
      <c r="AP46" s="56" t="str">
        <f aca="false">IF(OR(AP$4="",$C46="",$D46="",N($E46)=0),"",$E46*MAX(0,MIN($D46+1,EDATE(AP$4,1))-MAX($C46,AP$4))/MAX(1,$D46+1-$C46))</f>
        <v/>
      </c>
      <c r="AQ46" s="56" t="str">
        <f aca="false">IF(OR(AQ$4="",$C46="",$D46="",N($E46)=0),"",$E46*MAX(0,MIN($D46+1,EDATE(AQ$4,1))-MAX($C46,AQ$4))/MAX(1,$D46+1-$C46))</f>
        <v/>
      </c>
      <c r="AR46" s="56" t="str">
        <f aca="false">IF(OR(AR$4="",$C46="",$D46="",N($E46)=0),"",$E46*MAX(0,MIN($D46+1,EDATE(AR$4,1))-MAX($C46,AR$4))/MAX(1,$D46+1-$C46))</f>
        <v/>
      </c>
      <c r="AS46" s="56" t="str">
        <f aca="false">IF(OR(AS$4="",$C46="",$D46="",N($E46)=0),"",$E46*MAX(0,MIN($D46+1,EDATE(AS$4,1))-MAX($C46,AS$4))/MAX(1,$D46+1-$C46))</f>
        <v/>
      </c>
      <c r="AT46" s="56" t="str">
        <f aca="false">IF(OR(AT$4="",$C46="",$D46="",N($E46)=0),"",$E46*MAX(0,MIN($D46+1,EDATE(AT$4,1))-MAX($C46,AT$4))/MAX(1,$D46+1-$C46))</f>
        <v/>
      </c>
      <c r="AU46" s="56" t="str">
        <f aca="false">IF(OR(AU$4="",$C46="",$D46="",N($E46)=0),"",$E46*MAX(0,MIN($D46+1,EDATE(AU$4,1))-MAX($C46,AU$4))/MAX(1,$D46+1-$C46))</f>
        <v/>
      </c>
      <c r="AV46" s="56" t="str">
        <f aca="false">IF(OR(AV$4="",$C46="",$D46="",N($E46)=0),"",$E46*MAX(0,MIN($D46+1,EDATE(AV$4,1))-MAX($C46,AV$4))/MAX(1,$D46+1-$C46))</f>
        <v/>
      </c>
      <c r="AW46" s="56" t="str">
        <f aca="false">IF(OR(AW$4="",$C46="",$D46="",N($E46)=0),"",$E46*MAX(0,MIN($D46+1,EDATE(AW$4,1))-MAX($C46,AW$4))/MAX(1,$D46+1-$C46))</f>
        <v/>
      </c>
      <c r="AX46" s="56" t="str">
        <f aca="false">IF(OR(AX$4="",$C46="",$D46="",N($E46)=0),"",$E46*MAX(0,MIN($D46+1,EDATE(AX$4,1))-MAX($C46,AX$4))/MAX(1,$D46+1-$C46))</f>
        <v/>
      </c>
      <c r="AY46" s="56" t="str">
        <f aca="false">IF(OR(AY$4="",$C46="",$D46="",N($E46)=0),"",$E46*MAX(0,MIN($D46+1,EDATE(AY$4,1))-MAX($C46,AY$4))/MAX(1,$D46+1-$C46))</f>
        <v/>
      </c>
      <c r="AZ46" s="56" t="str">
        <f aca="false">IF(OR(AZ$4="",$C46="",$D46="",N($E46)=0),"",$E46*MAX(0,MIN($D46+1,EDATE(AZ$4,1))-MAX($C46,AZ$4))/MAX(1,$D46+1-$C46))</f>
        <v/>
      </c>
      <c r="BA46" s="56" t="str">
        <f aca="false">IF(OR(BA$4="",$C46="",$D46="",N($E46)=0),"",$E46*MAX(0,MIN($D46+1,EDATE(BA$4,1))-MAX($C46,BA$4))/MAX(1,$D46+1-$C46))</f>
        <v/>
      </c>
      <c r="BB46" s="56" t="str">
        <f aca="false">IF(OR(BB$4="",$C46="",$D46="",N($E46)=0),"",$E46*MAX(0,MIN($D46+1,EDATE(BB$4,1))-MAX($C46,BB$4))/MAX(1,$D46+1-$C46))</f>
        <v/>
      </c>
      <c r="BC46" s="56" t="str">
        <f aca="false">IF(OR(BC$4="",$C46="",$D46="",N($E46)=0),"",$E46*MAX(0,MIN($D46+1,EDATE(BC$4,1))-MAX($C46,BC$4))/MAX(1,$D46+1-$C46))</f>
        <v/>
      </c>
      <c r="BD46" s="56" t="str">
        <f aca="false">IF(OR(BD$4="",$C46="",$D46="",N($E46)=0),"",$E46*MAX(0,MIN($D46+1,EDATE(BD$4,1))-MAX($C46,BD$4))/MAX(1,$D46+1-$C46))</f>
        <v/>
      </c>
      <c r="BE46" s="56" t="str">
        <f aca="false">IF(OR(BE$4="",$C46="",$D46="",N($E46)=0),"",$E46*MAX(0,MIN($D46+1,EDATE(BE$4,1))-MAX($C46,BE$4))/MAX(1,$D46+1-$C46))</f>
        <v/>
      </c>
      <c r="BF46" s="56" t="str">
        <f aca="false">IF(OR(BF$4="",$C46="",$D46="",N($E46)=0),"",$E46*MAX(0,MIN($D46+1,EDATE(BF$4,1))-MAX($C46,BF$4))/MAX(1,$D46+1-$C46))</f>
        <v/>
      </c>
      <c r="BG46" s="56" t="str">
        <f aca="false">IF(OR(BG$4="",$C46="",$D46="",N($E46)=0),"",$E46*MAX(0,MIN($D46+1,EDATE(BG$4,1))-MAX($C46,BG$4))/MAX(1,$D46+1-$C46))</f>
        <v/>
      </c>
      <c r="BH46" s="56" t="str">
        <f aca="false">IF(OR(BH$4="",$C46="",$D46="",N($E46)=0),"",$E46*MAX(0,MIN($D46+1,EDATE(BH$4,1))-MAX($C46,BH$4))/MAX(1,$D46+1-$C46))</f>
        <v/>
      </c>
      <c r="BI46" s="56" t="str">
        <f aca="false">IF(OR(BI$4="",$C46="",$D46="",N($E46)=0),"",$E46*MAX(0,MIN($D46+1,EDATE(BI$4,1))-MAX($C46,BI$4))/MAX(1,$D46+1-$C46))</f>
        <v/>
      </c>
      <c r="BJ46" s="56" t="str">
        <f aca="false">IF(OR(BJ$4="",$C46="",$D46="",N($E46)=0),"",$E46*MAX(0,MIN($D46+1,EDATE(BJ$4,1))-MAX($C46,BJ$4))/MAX(1,$D46+1-$C46))</f>
        <v/>
      </c>
      <c r="BK46" s="56" t="str">
        <f aca="false">IF(OR(BK$4="",$C46="",$D46="",N($E46)=0),"",$E46*MAX(0,MIN($D46+1,EDATE(BK$4,1))-MAX($C46,BK$4))/MAX(1,$D46+1-$C46))</f>
        <v/>
      </c>
      <c r="BL46" s="56" t="str">
        <f aca="false">IF(OR(BL$4="",$C46="",$D46="",N($E46)=0),"",$E46*MAX(0,MIN($D46+1,EDATE(BL$4,1))-MAX($C46,BL$4))/MAX(1,$D46+1-$C46))</f>
        <v/>
      </c>
      <c r="BM46" s="56" t="str">
        <f aca="false">IF(OR(BM$4="",$C46="",$D46="",N($E46)=0),"",$E46*MAX(0,MIN($D46+1,EDATE(BM$4,1))-MAX($C46,BM$4))/MAX(1,$D46+1-$C46))</f>
        <v/>
      </c>
      <c r="BN46" s="56" t="str">
        <f aca="false">IF(OR(BN$4="",$C46="",$D46="",N($E46)=0),"",$E46*MAX(0,MIN($D46+1,EDATE(BN$4,1))-MAX($C46,BN$4))/MAX(1,$D46+1-$C46))</f>
        <v/>
      </c>
      <c r="BO46" s="56" t="str">
        <f aca="false">IF(OR(BO$4="",$C46="",$D46="",N($E46)=0),"",$E46*MAX(0,MIN($D46+1,EDATE(BO$4,1))-MAX($C46,BO$4))/MAX(1,$D46+1-$C46))</f>
        <v/>
      </c>
      <c r="BP46" s="56" t="str">
        <f aca="false">IF(OR(BP$4="",$C46="",$D46="",N($E46)=0),"",$E46*MAX(0,MIN($D46+1,EDATE(BP$4,1))-MAX($C46,BP$4))/MAX(1,$D46+1-$C46))</f>
        <v/>
      </c>
      <c r="BQ46" s="56" t="str">
        <f aca="false">IF(OR(BQ$4="",$C46="",$D46="",N($E46)=0),"",$E46*MAX(0,MIN($D46+1,EDATE(BQ$4,1))-MAX($C46,BQ$4))/MAX(1,$D46+1-$C46))</f>
        <v/>
      </c>
      <c r="BR46" s="56" t="str">
        <f aca="false">IF(OR(BR$4="",$C46="",$D46="",N($E46)=0),"",$E46*MAX(0,MIN($D46+1,EDATE(BR$4,1))-MAX($C46,BR$4))/MAX(1,$D46+1-$C46))</f>
        <v/>
      </c>
      <c r="BS46" s="56" t="str">
        <f aca="false">IF(OR(BS$4="",$C46="",$D46="",N($E46)=0),"",$E46*MAX(0,MIN($D46+1,EDATE(BS$4,1))-MAX($C46,BS$4))/MAX(1,$D46+1-$C46))</f>
        <v/>
      </c>
      <c r="BT46" s="56" t="str">
        <f aca="false">IF(OR(BT$4="",$C46="",$D46="",N($E46)=0),"",$E46*MAX(0,MIN($D46+1,EDATE(BT$4,1))-MAX($C46,BT$4))/MAX(1,$D46+1-$C46))</f>
        <v/>
      </c>
      <c r="BU46" s="56" t="str">
        <f aca="false">IF(OR(BU$4="",$C46="",$D46="",N($E46)=0),"",$E46*MAX(0,MIN($D46+1,EDATE(BU$4,1))-MAX($C46,BU$4))/MAX(1,$D46+1-$C46))</f>
        <v/>
      </c>
      <c r="BV46" s="56" t="str">
        <f aca="false">IF(OR(BV$4="",$C46="",$D46="",N($E46)=0),"",$E46*MAX(0,MIN($D46+1,EDATE(BV$4,1))-MAX($C46,BV$4))/MAX(1,$D46+1-$C46))</f>
        <v/>
      </c>
      <c r="BW46" s="56" t="str">
        <f aca="false">IF(OR(BW$4="",$C46="",$D46="",N($E46)=0),"",$E46*MAX(0,MIN($D46+1,EDATE(BW$4,1))-MAX($C46,BW$4))/MAX(1,$D46+1-$C46))</f>
        <v/>
      </c>
      <c r="BX46" s="56" t="str">
        <f aca="false">IF(OR(BX$4="",$C46="",$D46="",N($E46)=0),"",$E46*MAX(0,MIN($D46+1,EDATE(BX$4,1))-MAX($C46,BX$4))/MAX(1,$D46+1-$C46))</f>
        <v/>
      </c>
      <c r="BY46" s="56" t="str">
        <f aca="false">IF(OR(BY$4="",$C46="",$D46="",N($E46)=0),"",$E46*MAX(0,MIN($D46+1,EDATE(BY$4,1))-MAX($C46,BY$4))/MAX(1,$D46+1-$C46))</f>
        <v/>
      </c>
    </row>
    <row r="47" customFormat="false" ht="15" hidden="false" customHeight="false" outlineLevel="0" collapsed="false">
      <c r="A47" s="53" t="str">
        <f aca="false">IF(BOE!$A48="","",BOE!$A48)</f>
        <v/>
      </c>
      <c r="B47" s="53" t="str">
        <f aca="false">IF(BOE!$A48="","",BOE!$C48)</f>
        <v/>
      </c>
      <c r="C47" s="54" t="str">
        <f aca="false">IF(BOE!$O48="","",BOE!$O48)</f>
        <v/>
      </c>
      <c r="D47" s="54" t="str">
        <f aca="false">IF(BOE!$P48="","",BOE!$P48)</f>
        <v/>
      </c>
      <c r="E47" s="55" t="n">
        <f aca="false">IF(Inputs!$B$7="P90",BOE!$T48,BOE!$R48)</f>
        <v>0</v>
      </c>
      <c r="F47" s="56" t="str">
        <f aca="false">IF(OR(F$4="",$C47="",$D47="",N($E47)=0),"",$E47*MAX(0,MIN($D47+1,EDATE(F$4,1))-MAX($C47,F$4))/MAX(1,$D47+1-$C47))</f>
        <v/>
      </c>
      <c r="G47" s="56" t="str">
        <f aca="false">IF(OR(G$4="",$C47="",$D47="",N($E47)=0),"",$E47*MAX(0,MIN($D47+1,EDATE(G$4,1))-MAX($C47,G$4))/MAX(1,$D47+1-$C47))</f>
        <v/>
      </c>
      <c r="H47" s="56" t="str">
        <f aca="false">IF(OR(H$4="",$C47="",$D47="",N($E47)=0),"",$E47*MAX(0,MIN($D47+1,EDATE(H$4,1))-MAX($C47,H$4))/MAX(1,$D47+1-$C47))</f>
        <v/>
      </c>
      <c r="I47" s="56" t="str">
        <f aca="false">IF(OR(I$4="",$C47="",$D47="",N($E47)=0),"",$E47*MAX(0,MIN($D47+1,EDATE(I$4,1))-MAX($C47,I$4))/MAX(1,$D47+1-$C47))</f>
        <v/>
      </c>
      <c r="J47" s="56" t="str">
        <f aca="false">IF(OR(J$4="",$C47="",$D47="",N($E47)=0),"",$E47*MAX(0,MIN($D47+1,EDATE(J$4,1))-MAX($C47,J$4))/MAX(1,$D47+1-$C47))</f>
        <v/>
      </c>
      <c r="K47" s="56" t="str">
        <f aca="false">IF(OR(K$4="",$C47="",$D47="",N($E47)=0),"",$E47*MAX(0,MIN($D47+1,EDATE(K$4,1))-MAX($C47,K$4))/MAX(1,$D47+1-$C47))</f>
        <v/>
      </c>
      <c r="L47" s="56" t="str">
        <f aca="false">IF(OR(L$4="",$C47="",$D47="",N($E47)=0),"",$E47*MAX(0,MIN($D47+1,EDATE(L$4,1))-MAX($C47,L$4))/MAX(1,$D47+1-$C47))</f>
        <v/>
      </c>
      <c r="M47" s="56" t="str">
        <f aca="false">IF(OR(M$4="",$C47="",$D47="",N($E47)=0),"",$E47*MAX(0,MIN($D47+1,EDATE(M$4,1))-MAX($C47,M$4))/MAX(1,$D47+1-$C47))</f>
        <v/>
      </c>
      <c r="N47" s="56" t="str">
        <f aca="false">IF(OR(N$4="",$C47="",$D47="",N($E47)=0),"",$E47*MAX(0,MIN($D47+1,EDATE(N$4,1))-MAX($C47,N$4))/MAX(1,$D47+1-$C47))</f>
        <v/>
      </c>
      <c r="O47" s="56" t="str">
        <f aca="false">IF(OR(O$4="",$C47="",$D47="",N($E47)=0),"",$E47*MAX(0,MIN($D47+1,EDATE(O$4,1))-MAX($C47,O$4))/MAX(1,$D47+1-$C47))</f>
        <v/>
      </c>
      <c r="P47" s="56" t="str">
        <f aca="false">IF(OR(P$4="",$C47="",$D47="",N($E47)=0),"",$E47*MAX(0,MIN($D47+1,EDATE(P$4,1))-MAX($C47,P$4))/MAX(1,$D47+1-$C47))</f>
        <v/>
      </c>
      <c r="Q47" s="56" t="str">
        <f aca="false">IF(OR(Q$4="",$C47="",$D47="",N($E47)=0),"",$E47*MAX(0,MIN($D47+1,EDATE(Q$4,1))-MAX($C47,Q$4))/MAX(1,$D47+1-$C47))</f>
        <v/>
      </c>
      <c r="R47" s="56" t="str">
        <f aca="false">IF(OR(R$4="",$C47="",$D47="",N($E47)=0),"",$E47*MAX(0,MIN($D47+1,EDATE(R$4,1))-MAX($C47,R$4))/MAX(1,$D47+1-$C47))</f>
        <v/>
      </c>
      <c r="S47" s="56" t="str">
        <f aca="false">IF(OR(S$4="",$C47="",$D47="",N($E47)=0),"",$E47*MAX(0,MIN($D47+1,EDATE(S$4,1))-MAX($C47,S$4))/MAX(1,$D47+1-$C47))</f>
        <v/>
      </c>
      <c r="T47" s="56" t="str">
        <f aca="false">IF(OR(T$4="",$C47="",$D47="",N($E47)=0),"",$E47*MAX(0,MIN($D47+1,EDATE(T$4,1))-MAX($C47,T$4))/MAX(1,$D47+1-$C47))</f>
        <v/>
      </c>
      <c r="U47" s="56" t="str">
        <f aca="false">IF(OR(U$4="",$C47="",$D47="",N($E47)=0),"",$E47*MAX(0,MIN($D47+1,EDATE(U$4,1))-MAX($C47,U$4))/MAX(1,$D47+1-$C47))</f>
        <v/>
      </c>
      <c r="V47" s="56" t="str">
        <f aca="false">IF(OR(V$4="",$C47="",$D47="",N($E47)=0),"",$E47*MAX(0,MIN($D47+1,EDATE(V$4,1))-MAX($C47,V$4))/MAX(1,$D47+1-$C47))</f>
        <v/>
      </c>
      <c r="W47" s="56" t="str">
        <f aca="false">IF(OR(W$4="",$C47="",$D47="",N($E47)=0),"",$E47*MAX(0,MIN($D47+1,EDATE(W$4,1))-MAX($C47,W$4))/MAX(1,$D47+1-$C47))</f>
        <v/>
      </c>
      <c r="X47" s="56" t="str">
        <f aca="false">IF(OR(X$4="",$C47="",$D47="",N($E47)=0),"",$E47*MAX(0,MIN($D47+1,EDATE(X$4,1))-MAX($C47,X$4))/MAX(1,$D47+1-$C47))</f>
        <v/>
      </c>
      <c r="Y47" s="56" t="str">
        <f aca="false">IF(OR(Y$4="",$C47="",$D47="",N($E47)=0),"",$E47*MAX(0,MIN($D47+1,EDATE(Y$4,1))-MAX($C47,Y$4))/MAX(1,$D47+1-$C47))</f>
        <v/>
      </c>
      <c r="Z47" s="56" t="str">
        <f aca="false">IF(OR(Z$4="",$C47="",$D47="",N($E47)=0),"",$E47*MAX(0,MIN($D47+1,EDATE(Z$4,1))-MAX($C47,Z$4))/MAX(1,$D47+1-$C47))</f>
        <v/>
      </c>
      <c r="AA47" s="56" t="str">
        <f aca="false">IF(OR(AA$4="",$C47="",$D47="",N($E47)=0),"",$E47*MAX(0,MIN($D47+1,EDATE(AA$4,1))-MAX($C47,AA$4))/MAX(1,$D47+1-$C47))</f>
        <v/>
      </c>
      <c r="AB47" s="56" t="str">
        <f aca="false">IF(OR(AB$4="",$C47="",$D47="",N($E47)=0),"",$E47*MAX(0,MIN($D47+1,EDATE(AB$4,1))-MAX($C47,AB$4))/MAX(1,$D47+1-$C47))</f>
        <v/>
      </c>
      <c r="AC47" s="56" t="str">
        <f aca="false">IF(OR(AC$4="",$C47="",$D47="",N($E47)=0),"",$E47*MAX(0,MIN($D47+1,EDATE(AC$4,1))-MAX($C47,AC$4))/MAX(1,$D47+1-$C47))</f>
        <v/>
      </c>
      <c r="AD47" s="56" t="str">
        <f aca="false">IF(OR(AD$4="",$C47="",$D47="",N($E47)=0),"",$E47*MAX(0,MIN($D47+1,EDATE(AD$4,1))-MAX($C47,AD$4))/MAX(1,$D47+1-$C47))</f>
        <v/>
      </c>
      <c r="AE47" s="56" t="str">
        <f aca="false">IF(OR(AE$4="",$C47="",$D47="",N($E47)=0),"",$E47*MAX(0,MIN($D47+1,EDATE(AE$4,1))-MAX($C47,AE$4))/MAX(1,$D47+1-$C47))</f>
        <v/>
      </c>
      <c r="AF47" s="56" t="str">
        <f aca="false">IF(OR(AF$4="",$C47="",$D47="",N($E47)=0),"",$E47*MAX(0,MIN($D47+1,EDATE(AF$4,1))-MAX($C47,AF$4))/MAX(1,$D47+1-$C47))</f>
        <v/>
      </c>
      <c r="AG47" s="56" t="str">
        <f aca="false">IF(OR(AG$4="",$C47="",$D47="",N($E47)=0),"",$E47*MAX(0,MIN($D47+1,EDATE(AG$4,1))-MAX($C47,AG$4))/MAX(1,$D47+1-$C47))</f>
        <v/>
      </c>
      <c r="AH47" s="56" t="str">
        <f aca="false">IF(OR(AH$4="",$C47="",$D47="",N($E47)=0),"",$E47*MAX(0,MIN($D47+1,EDATE(AH$4,1))-MAX($C47,AH$4))/MAX(1,$D47+1-$C47))</f>
        <v/>
      </c>
      <c r="AI47" s="56" t="str">
        <f aca="false">IF(OR(AI$4="",$C47="",$D47="",N($E47)=0),"",$E47*MAX(0,MIN($D47+1,EDATE(AI$4,1))-MAX($C47,AI$4))/MAX(1,$D47+1-$C47))</f>
        <v/>
      </c>
      <c r="AJ47" s="56" t="str">
        <f aca="false">IF(OR(AJ$4="",$C47="",$D47="",N($E47)=0),"",$E47*MAX(0,MIN($D47+1,EDATE(AJ$4,1))-MAX($C47,AJ$4))/MAX(1,$D47+1-$C47))</f>
        <v/>
      </c>
      <c r="AK47" s="56" t="str">
        <f aca="false">IF(OR(AK$4="",$C47="",$D47="",N($E47)=0),"",$E47*MAX(0,MIN($D47+1,EDATE(AK$4,1))-MAX($C47,AK$4))/MAX(1,$D47+1-$C47))</f>
        <v/>
      </c>
      <c r="AL47" s="56" t="str">
        <f aca="false">IF(OR(AL$4="",$C47="",$D47="",N($E47)=0),"",$E47*MAX(0,MIN($D47+1,EDATE(AL$4,1))-MAX($C47,AL$4))/MAX(1,$D47+1-$C47))</f>
        <v/>
      </c>
      <c r="AM47" s="56" t="str">
        <f aca="false">IF(OR(AM$4="",$C47="",$D47="",N($E47)=0),"",$E47*MAX(0,MIN($D47+1,EDATE(AM$4,1))-MAX($C47,AM$4))/MAX(1,$D47+1-$C47))</f>
        <v/>
      </c>
      <c r="AN47" s="56" t="str">
        <f aca="false">IF(OR(AN$4="",$C47="",$D47="",N($E47)=0),"",$E47*MAX(0,MIN($D47+1,EDATE(AN$4,1))-MAX($C47,AN$4))/MAX(1,$D47+1-$C47))</f>
        <v/>
      </c>
      <c r="AO47" s="56" t="str">
        <f aca="false">IF(OR(AO$4="",$C47="",$D47="",N($E47)=0),"",$E47*MAX(0,MIN($D47+1,EDATE(AO$4,1))-MAX($C47,AO$4))/MAX(1,$D47+1-$C47))</f>
        <v/>
      </c>
      <c r="AP47" s="56" t="str">
        <f aca="false">IF(OR(AP$4="",$C47="",$D47="",N($E47)=0),"",$E47*MAX(0,MIN($D47+1,EDATE(AP$4,1))-MAX($C47,AP$4))/MAX(1,$D47+1-$C47))</f>
        <v/>
      </c>
      <c r="AQ47" s="56" t="str">
        <f aca="false">IF(OR(AQ$4="",$C47="",$D47="",N($E47)=0),"",$E47*MAX(0,MIN($D47+1,EDATE(AQ$4,1))-MAX($C47,AQ$4))/MAX(1,$D47+1-$C47))</f>
        <v/>
      </c>
      <c r="AR47" s="56" t="str">
        <f aca="false">IF(OR(AR$4="",$C47="",$D47="",N($E47)=0),"",$E47*MAX(0,MIN($D47+1,EDATE(AR$4,1))-MAX($C47,AR$4))/MAX(1,$D47+1-$C47))</f>
        <v/>
      </c>
      <c r="AS47" s="56" t="str">
        <f aca="false">IF(OR(AS$4="",$C47="",$D47="",N($E47)=0),"",$E47*MAX(0,MIN($D47+1,EDATE(AS$4,1))-MAX($C47,AS$4))/MAX(1,$D47+1-$C47))</f>
        <v/>
      </c>
      <c r="AT47" s="56" t="str">
        <f aca="false">IF(OR(AT$4="",$C47="",$D47="",N($E47)=0),"",$E47*MAX(0,MIN($D47+1,EDATE(AT$4,1))-MAX($C47,AT$4))/MAX(1,$D47+1-$C47))</f>
        <v/>
      </c>
      <c r="AU47" s="56" t="str">
        <f aca="false">IF(OR(AU$4="",$C47="",$D47="",N($E47)=0),"",$E47*MAX(0,MIN($D47+1,EDATE(AU$4,1))-MAX($C47,AU$4))/MAX(1,$D47+1-$C47))</f>
        <v/>
      </c>
      <c r="AV47" s="56" t="str">
        <f aca="false">IF(OR(AV$4="",$C47="",$D47="",N($E47)=0),"",$E47*MAX(0,MIN($D47+1,EDATE(AV$4,1))-MAX($C47,AV$4))/MAX(1,$D47+1-$C47))</f>
        <v/>
      </c>
      <c r="AW47" s="56" t="str">
        <f aca="false">IF(OR(AW$4="",$C47="",$D47="",N($E47)=0),"",$E47*MAX(0,MIN($D47+1,EDATE(AW$4,1))-MAX($C47,AW$4))/MAX(1,$D47+1-$C47))</f>
        <v/>
      </c>
      <c r="AX47" s="56" t="str">
        <f aca="false">IF(OR(AX$4="",$C47="",$D47="",N($E47)=0),"",$E47*MAX(0,MIN($D47+1,EDATE(AX$4,1))-MAX($C47,AX$4))/MAX(1,$D47+1-$C47))</f>
        <v/>
      </c>
      <c r="AY47" s="56" t="str">
        <f aca="false">IF(OR(AY$4="",$C47="",$D47="",N($E47)=0),"",$E47*MAX(0,MIN($D47+1,EDATE(AY$4,1))-MAX($C47,AY$4))/MAX(1,$D47+1-$C47))</f>
        <v/>
      </c>
      <c r="AZ47" s="56" t="str">
        <f aca="false">IF(OR(AZ$4="",$C47="",$D47="",N($E47)=0),"",$E47*MAX(0,MIN($D47+1,EDATE(AZ$4,1))-MAX($C47,AZ$4))/MAX(1,$D47+1-$C47))</f>
        <v/>
      </c>
      <c r="BA47" s="56" t="str">
        <f aca="false">IF(OR(BA$4="",$C47="",$D47="",N($E47)=0),"",$E47*MAX(0,MIN($D47+1,EDATE(BA$4,1))-MAX($C47,BA$4))/MAX(1,$D47+1-$C47))</f>
        <v/>
      </c>
      <c r="BB47" s="56" t="str">
        <f aca="false">IF(OR(BB$4="",$C47="",$D47="",N($E47)=0),"",$E47*MAX(0,MIN($D47+1,EDATE(BB$4,1))-MAX($C47,BB$4))/MAX(1,$D47+1-$C47))</f>
        <v/>
      </c>
      <c r="BC47" s="56" t="str">
        <f aca="false">IF(OR(BC$4="",$C47="",$D47="",N($E47)=0),"",$E47*MAX(0,MIN($D47+1,EDATE(BC$4,1))-MAX($C47,BC$4))/MAX(1,$D47+1-$C47))</f>
        <v/>
      </c>
      <c r="BD47" s="56" t="str">
        <f aca="false">IF(OR(BD$4="",$C47="",$D47="",N($E47)=0),"",$E47*MAX(0,MIN($D47+1,EDATE(BD$4,1))-MAX($C47,BD$4))/MAX(1,$D47+1-$C47))</f>
        <v/>
      </c>
      <c r="BE47" s="56" t="str">
        <f aca="false">IF(OR(BE$4="",$C47="",$D47="",N($E47)=0),"",$E47*MAX(0,MIN($D47+1,EDATE(BE$4,1))-MAX($C47,BE$4))/MAX(1,$D47+1-$C47))</f>
        <v/>
      </c>
      <c r="BF47" s="56" t="str">
        <f aca="false">IF(OR(BF$4="",$C47="",$D47="",N($E47)=0),"",$E47*MAX(0,MIN($D47+1,EDATE(BF$4,1))-MAX($C47,BF$4))/MAX(1,$D47+1-$C47))</f>
        <v/>
      </c>
      <c r="BG47" s="56" t="str">
        <f aca="false">IF(OR(BG$4="",$C47="",$D47="",N($E47)=0),"",$E47*MAX(0,MIN($D47+1,EDATE(BG$4,1))-MAX($C47,BG$4))/MAX(1,$D47+1-$C47))</f>
        <v/>
      </c>
      <c r="BH47" s="56" t="str">
        <f aca="false">IF(OR(BH$4="",$C47="",$D47="",N($E47)=0),"",$E47*MAX(0,MIN($D47+1,EDATE(BH$4,1))-MAX($C47,BH$4))/MAX(1,$D47+1-$C47))</f>
        <v/>
      </c>
      <c r="BI47" s="56" t="str">
        <f aca="false">IF(OR(BI$4="",$C47="",$D47="",N($E47)=0),"",$E47*MAX(0,MIN($D47+1,EDATE(BI$4,1))-MAX($C47,BI$4))/MAX(1,$D47+1-$C47))</f>
        <v/>
      </c>
      <c r="BJ47" s="56" t="str">
        <f aca="false">IF(OR(BJ$4="",$C47="",$D47="",N($E47)=0),"",$E47*MAX(0,MIN($D47+1,EDATE(BJ$4,1))-MAX($C47,BJ$4))/MAX(1,$D47+1-$C47))</f>
        <v/>
      </c>
      <c r="BK47" s="56" t="str">
        <f aca="false">IF(OR(BK$4="",$C47="",$D47="",N($E47)=0),"",$E47*MAX(0,MIN($D47+1,EDATE(BK$4,1))-MAX($C47,BK$4))/MAX(1,$D47+1-$C47))</f>
        <v/>
      </c>
      <c r="BL47" s="56" t="str">
        <f aca="false">IF(OR(BL$4="",$C47="",$D47="",N($E47)=0),"",$E47*MAX(0,MIN($D47+1,EDATE(BL$4,1))-MAX($C47,BL$4))/MAX(1,$D47+1-$C47))</f>
        <v/>
      </c>
      <c r="BM47" s="56" t="str">
        <f aca="false">IF(OR(BM$4="",$C47="",$D47="",N($E47)=0),"",$E47*MAX(0,MIN($D47+1,EDATE(BM$4,1))-MAX($C47,BM$4))/MAX(1,$D47+1-$C47))</f>
        <v/>
      </c>
      <c r="BN47" s="56" t="str">
        <f aca="false">IF(OR(BN$4="",$C47="",$D47="",N($E47)=0),"",$E47*MAX(0,MIN($D47+1,EDATE(BN$4,1))-MAX($C47,BN$4))/MAX(1,$D47+1-$C47))</f>
        <v/>
      </c>
      <c r="BO47" s="56" t="str">
        <f aca="false">IF(OR(BO$4="",$C47="",$D47="",N($E47)=0),"",$E47*MAX(0,MIN($D47+1,EDATE(BO$4,1))-MAX($C47,BO$4))/MAX(1,$D47+1-$C47))</f>
        <v/>
      </c>
      <c r="BP47" s="56" t="str">
        <f aca="false">IF(OR(BP$4="",$C47="",$D47="",N($E47)=0),"",$E47*MAX(0,MIN($D47+1,EDATE(BP$4,1))-MAX($C47,BP$4))/MAX(1,$D47+1-$C47))</f>
        <v/>
      </c>
      <c r="BQ47" s="56" t="str">
        <f aca="false">IF(OR(BQ$4="",$C47="",$D47="",N($E47)=0),"",$E47*MAX(0,MIN($D47+1,EDATE(BQ$4,1))-MAX($C47,BQ$4))/MAX(1,$D47+1-$C47))</f>
        <v/>
      </c>
      <c r="BR47" s="56" t="str">
        <f aca="false">IF(OR(BR$4="",$C47="",$D47="",N($E47)=0),"",$E47*MAX(0,MIN($D47+1,EDATE(BR$4,1))-MAX($C47,BR$4))/MAX(1,$D47+1-$C47))</f>
        <v/>
      </c>
      <c r="BS47" s="56" t="str">
        <f aca="false">IF(OR(BS$4="",$C47="",$D47="",N($E47)=0),"",$E47*MAX(0,MIN($D47+1,EDATE(BS$4,1))-MAX($C47,BS$4))/MAX(1,$D47+1-$C47))</f>
        <v/>
      </c>
      <c r="BT47" s="56" t="str">
        <f aca="false">IF(OR(BT$4="",$C47="",$D47="",N($E47)=0),"",$E47*MAX(0,MIN($D47+1,EDATE(BT$4,1))-MAX($C47,BT$4))/MAX(1,$D47+1-$C47))</f>
        <v/>
      </c>
      <c r="BU47" s="56" t="str">
        <f aca="false">IF(OR(BU$4="",$C47="",$D47="",N($E47)=0),"",$E47*MAX(0,MIN($D47+1,EDATE(BU$4,1))-MAX($C47,BU$4))/MAX(1,$D47+1-$C47))</f>
        <v/>
      </c>
      <c r="BV47" s="56" t="str">
        <f aca="false">IF(OR(BV$4="",$C47="",$D47="",N($E47)=0),"",$E47*MAX(0,MIN($D47+1,EDATE(BV$4,1))-MAX($C47,BV$4))/MAX(1,$D47+1-$C47))</f>
        <v/>
      </c>
      <c r="BW47" s="56" t="str">
        <f aca="false">IF(OR(BW$4="",$C47="",$D47="",N($E47)=0),"",$E47*MAX(0,MIN($D47+1,EDATE(BW$4,1))-MAX($C47,BW$4))/MAX(1,$D47+1-$C47))</f>
        <v/>
      </c>
      <c r="BX47" s="56" t="str">
        <f aca="false">IF(OR(BX$4="",$C47="",$D47="",N($E47)=0),"",$E47*MAX(0,MIN($D47+1,EDATE(BX$4,1))-MAX($C47,BX$4))/MAX(1,$D47+1-$C47))</f>
        <v/>
      </c>
      <c r="BY47" s="56" t="str">
        <f aca="false">IF(OR(BY$4="",$C47="",$D47="",N($E47)=0),"",$E47*MAX(0,MIN($D47+1,EDATE(BY$4,1))-MAX($C47,BY$4))/MAX(1,$D47+1-$C47))</f>
        <v/>
      </c>
    </row>
    <row r="48" customFormat="false" ht="15" hidden="false" customHeight="false" outlineLevel="0" collapsed="false">
      <c r="A48" s="53" t="str">
        <f aca="false">IF(BOE!$A49="","",BOE!$A49)</f>
        <v/>
      </c>
      <c r="B48" s="53" t="str">
        <f aca="false">IF(BOE!$A49="","",BOE!$C49)</f>
        <v/>
      </c>
      <c r="C48" s="54" t="str">
        <f aca="false">IF(BOE!$O49="","",BOE!$O49)</f>
        <v/>
      </c>
      <c r="D48" s="54" t="str">
        <f aca="false">IF(BOE!$P49="","",BOE!$P49)</f>
        <v/>
      </c>
      <c r="E48" s="55" t="n">
        <f aca="false">IF(Inputs!$B$7="P90",BOE!$T49,BOE!$R49)</f>
        <v>0</v>
      </c>
      <c r="F48" s="56" t="str">
        <f aca="false">IF(OR(F$4="",$C48="",$D48="",N($E48)=0),"",$E48*MAX(0,MIN($D48+1,EDATE(F$4,1))-MAX($C48,F$4))/MAX(1,$D48+1-$C48))</f>
        <v/>
      </c>
      <c r="G48" s="56" t="str">
        <f aca="false">IF(OR(G$4="",$C48="",$D48="",N($E48)=0),"",$E48*MAX(0,MIN($D48+1,EDATE(G$4,1))-MAX($C48,G$4))/MAX(1,$D48+1-$C48))</f>
        <v/>
      </c>
      <c r="H48" s="56" t="str">
        <f aca="false">IF(OR(H$4="",$C48="",$D48="",N($E48)=0),"",$E48*MAX(0,MIN($D48+1,EDATE(H$4,1))-MAX($C48,H$4))/MAX(1,$D48+1-$C48))</f>
        <v/>
      </c>
      <c r="I48" s="56" t="str">
        <f aca="false">IF(OR(I$4="",$C48="",$D48="",N($E48)=0),"",$E48*MAX(0,MIN($D48+1,EDATE(I$4,1))-MAX($C48,I$4))/MAX(1,$D48+1-$C48))</f>
        <v/>
      </c>
      <c r="J48" s="56" t="str">
        <f aca="false">IF(OR(J$4="",$C48="",$D48="",N($E48)=0),"",$E48*MAX(0,MIN($D48+1,EDATE(J$4,1))-MAX($C48,J$4))/MAX(1,$D48+1-$C48))</f>
        <v/>
      </c>
      <c r="K48" s="56" t="str">
        <f aca="false">IF(OR(K$4="",$C48="",$D48="",N($E48)=0),"",$E48*MAX(0,MIN($D48+1,EDATE(K$4,1))-MAX($C48,K$4))/MAX(1,$D48+1-$C48))</f>
        <v/>
      </c>
      <c r="L48" s="56" t="str">
        <f aca="false">IF(OR(L$4="",$C48="",$D48="",N($E48)=0),"",$E48*MAX(0,MIN($D48+1,EDATE(L$4,1))-MAX($C48,L$4))/MAX(1,$D48+1-$C48))</f>
        <v/>
      </c>
      <c r="M48" s="56" t="str">
        <f aca="false">IF(OR(M$4="",$C48="",$D48="",N($E48)=0),"",$E48*MAX(0,MIN($D48+1,EDATE(M$4,1))-MAX($C48,M$4))/MAX(1,$D48+1-$C48))</f>
        <v/>
      </c>
      <c r="N48" s="56" t="str">
        <f aca="false">IF(OR(N$4="",$C48="",$D48="",N($E48)=0),"",$E48*MAX(0,MIN($D48+1,EDATE(N$4,1))-MAX($C48,N$4))/MAX(1,$D48+1-$C48))</f>
        <v/>
      </c>
      <c r="O48" s="56" t="str">
        <f aca="false">IF(OR(O$4="",$C48="",$D48="",N($E48)=0),"",$E48*MAX(0,MIN($D48+1,EDATE(O$4,1))-MAX($C48,O$4))/MAX(1,$D48+1-$C48))</f>
        <v/>
      </c>
      <c r="P48" s="56" t="str">
        <f aca="false">IF(OR(P$4="",$C48="",$D48="",N($E48)=0),"",$E48*MAX(0,MIN($D48+1,EDATE(P$4,1))-MAX($C48,P$4))/MAX(1,$D48+1-$C48))</f>
        <v/>
      </c>
      <c r="Q48" s="56" t="str">
        <f aca="false">IF(OR(Q$4="",$C48="",$D48="",N($E48)=0),"",$E48*MAX(0,MIN($D48+1,EDATE(Q$4,1))-MAX($C48,Q$4))/MAX(1,$D48+1-$C48))</f>
        <v/>
      </c>
      <c r="R48" s="56" t="str">
        <f aca="false">IF(OR(R$4="",$C48="",$D48="",N($E48)=0),"",$E48*MAX(0,MIN($D48+1,EDATE(R$4,1))-MAX($C48,R$4))/MAX(1,$D48+1-$C48))</f>
        <v/>
      </c>
      <c r="S48" s="56" t="str">
        <f aca="false">IF(OR(S$4="",$C48="",$D48="",N($E48)=0),"",$E48*MAX(0,MIN($D48+1,EDATE(S$4,1))-MAX($C48,S$4))/MAX(1,$D48+1-$C48))</f>
        <v/>
      </c>
      <c r="T48" s="56" t="str">
        <f aca="false">IF(OR(T$4="",$C48="",$D48="",N($E48)=0),"",$E48*MAX(0,MIN($D48+1,EDATE(T$4,1))-MAX($C48,T$4))/MAX(1,$D48+1-$C48))</f>
        <v/>
      </c>
      <c r="U48" s="56" t="str">
        <f aca="false">IF(OR(U$4="",$C48="",$D48="",N($E48)=0),"",$E48*MAX(0,MIN($D48+1,EDATE(U$4,1))-MAX($C48,U$4))/MAX(1,$D48+1-$C48))</f>
        <v/>
      </c>
      <c r="V48" s="56" t="str">
        <f aca="false">IF(OR(V$4="",$C48="",$D48="",N($E48)=0),"",$E48*MAX(0,MIN($D48+1,EDATE(V$4,1))-MAX($C48,V$4))/MAX(1,$D48+1-$C48))</f>
        <v/>
      </c>
      <c r="W48" s="56" t="str">
        <f aca="false">IF(OR(W$4="",$C48="",$D48="",N($E48)=0),"",$E48*MAX(0,MIN($D48+1,EDATE(W$4,1))-MAX($C48,W$4))/MAX(1,$D48+1-$C48))</f>
        <v/>
      </c>
      <c r="X48" s="56" t="str">
        <f aca="false">IF(OR(X$4="",$C48="",$D48="",N($E48)=0),"",$E48*MAX(0,MIN($D48+1,EDATE(X$4,1))-MAX($C48,X$4))/MAX(1,$D48+1-$C48))</f>
        <v/>
      </c>
      <c r="Y48" s="56" t="str">
        <f aca="false">IF(OR(Y$4="",$C48="",$D48="",N($E48)=0),"",$E48*MAX(0,MIN($D48+1,EDATE(Y$4,1))-MAX($C48,Y$4))/MAX(1,$D48+1-$C48))</f>
        <v/>
      </c>
      <c r="Z48" s="56" t="str">
        <f aca="false">IF(OR(Z$4="",$C48="",$D48="",N($E48)=0),"",$E48*MAX(0,MIN($D48+1,EDATE(Z$4,1))-MAX($C48,Z$4))/MAX(1,$D48+1-$C48))</f>
        <v/>
      </c>
      <c r="AA48" s="56" t="str">
        <f aca="false">IF(OR(AA$4="",$C48="",$D48="",N($E48)=0),"",$E48*MAX(0,MIN($D48+1,EDATE(AA$4,1))-MAX($C48,AA$4))/MAX(1,$D48+1-$C48))</f>
        <v/>
      </c>
      <c r="AB48" s="56" t="str">
        <f aca="false">IF(OR(AB$4="",$C48="",$D48="",N($E48)=0),"",$E48*MAX(0,MIN($D48+1,EDATE(AB$4,1))-MAX($C48,AB$4))/MAX(1,$D48+1-$C48))</f>
        <v/>
      </c>
      <c r="AC48" s="56" t="str">
        <f aca="false">IF(OR(AC$4="",$C48="",$D48="",N($E48)=0),"",$E48*MAX(0,MIN($D48+1,EDATE(AC$4,1))-MAX($C48,AC$4))/MAX(1,$D48+1-$C48))</f>
        <v/>
      </c>
      <c r="AD48" s="56" t="str">
        <f aca="false">IF(OR(AD$4="",$C48="",$D48="",N($E48)=0),"",$E48*MAX(0,MIN($D48+1,EDATE(AD$4,1))-MAX($C48,AD$4))/MAX(1,$D48+1-$C48))</f>
        <v/>
      </c>
      <c r="AE48" s="56" t="str">
        <f aca="false">IF(OR(AE$4="",$C48="",$D48="",N($E48)=0),"",$E48*MAX(0,MIN($D48+1,EDATE(AE$4,1))-MAX($C48,AE$4))/MAX(1,$D48+1-$C48))</f>
        <v/>
      </c>
      <c r="AF48" s="56" t="str">
        <f aca="false">IF(OR(AF$4="",$C48="",$D48="",N($E48)=0),"",$E48*MAX(0,MIN($D48+1,EDATE(AF$4,1))-MAX($C48,AF$4))/MAX(1,$D48+1-$C48))</f>
        <v/>
      </c>
      <c r="AG48" s="56" t="str">
        <f aca="false">IF(OR(AG$4="",$C48="",$D48="",N($E48)=0),"",$E48*MAX(0,MIN($D48+1,EDATE(AG$4,1))-MAX($C48,AG$4))/MAX(1,$D48+1-$C48))</f>
        <v/>
      </c>
      <c r="AH48" s="56" t="str">
        <f aca="false">IF(OR(AH$4="",$C48="",$D48="",N($E48)=0),"",$E48*MAX(0,MIN($D48+1,EDATE(AH$4,1))-MAX($C48,AH$4))/MAX(1,$D48+1-$C48))</f>
        <v/>
      </c>
      <c r="AI48" s="56" t="str">
        <f aca="false">IF(OR(AI$4="",$C48="",$D48="",N($E48)=0),"",$E48*MAX(0,MIN($D48+1,EDATE(AI$4,1))-MAX($C48,AI$4))/MAX(1,$D48+1-$C48))</f>
        <v/>
      </c>
      <c r="AJ48" s="56" t="str">
        <f aca="false">IF(OR(AJ$4="",$C48="",$D48="",N($E48)=0),"",$E48*MAX(0,MIN($D48+1,EDATE(AJ$4,1))-MAX($C48,AJ$4))/MAX(1,$D48+1-$C48))</f>
        <v/>
      </c>
      <c r="AK48" s="56" t="str">
        <f aca="false">IF(OR(AK$4="",$C48="",$D48="",N($E48)=0),"",$E48*MAX(0,MIN($D48+1,EDATE(AK$4,1))-MAX($C48,AK$4))/MAX(1,$D48+1-$C48))</f>
        <v/>
      </c>
      <c r="AL48" s="56" t="str">
        <f aca="false">IF(OR(AL$4="",$C48="",$D48="",N($E48)=0),"",$E48*MAX(0,MIN($D48+1,EDATE(AL$4,1))-MAX($C48,AL$4))/MAX(1,$D48+1-$C48))</f>
        <v/>
      </c>
      <c r="AM48" s="56" t="str">
        <f aca="false">IF(OR(AM$4="",$C48="",$D48="",N($E48)=0),"",$E48*MAX(0,MIN($D48+1,EDATE(AM$4,1))-MAX($C48,AM$4))/MAX(1,$D48+1-$C48))</f>
        <v/>
      </c>
      <c r="AN48" s="56" t="str">
        <f aca="false">IF(OR(AN$4="",$C48="",$D48="",N($E48)=0),"",$E48*MAX(0,MIN($D48+1,EDATE(AN$4,1))-MAX($C48,AN$4))/MAX(1,$D48+1-$C48))</f>
        <v/>
      </c>
      <c r="AO48" s="56" t="str">
        <f aca="false">IF(OR(AO$4="",$C48="",$D48="",N($E48)=0),"",$E48*MAX(0,MIN($D48+1,EDATE(AO$4,1))-MAX($C48,AO$4))/MAX(1,$D48+1-$C48))</f>
        <v/>
      </c>
      <c r="AP48" s="56" t="str">
        <f aca="false">IF(OR(AP$4="",$C48="",$D48="",N($E48)=0),"",$E48*MAX(0,MIN($D48+1,EDATE(AP$4,1))-MAX($C48,AP$4))/MAX(1,$D48+1-$C48))</f>
        <v/>
      </c>
      <c r="AQ48" s="56" t="str">
        <f aca="false">IF(OR(AQ$4="",$C48="",$D48="",N($E48)=0),"",$E48*MAX(0,MIN($D48+1,EDATE(AQ$4,1))-MAX($C48,AQ$4))/MAX(1,$D48+1-$C48))</f>
        <v/>
      </c>
      <c r="AR48" s="56" t="str">
        <f aca="false">IF(OR(AR$4="",$C48="",$D48="",N($E48)=0),"",$E48*MAX(0,MIN($D48+1,EDATE(AR$4,1))-MAX($C48,AR$4))/MAX(1,$D48+1-$C48))</f>
        <v/>
      </c>
      <c r="AS48" s="56" t="str">
        <f aca="false">IF(OR(AS$4="",$C48="",$D48="",N($E48)=0),"",$E48*MAX(0,MIN($D48+1,EDATE(AS$4,1))-MAX($C48,AS$4))/MAX(1,$D48+1-$C48))</f>
        <v/>
      </c>
      <c r="AT48" s="56" t="str">
        <f aca="false">IF(OR(AT$4="",$C48="",$D48="",N($E48)=0),"",$E48*MAX(0,MIN($D48+1,EDATE(AT$4,1))-MAX($C48,AT$4))/MAX(1,$D48+1-$C48))</f>
        <v/>
      </c>
      <c r="AU48" s="56" t="str">
        <f aca="false">IF(OR(AU$4="",$C48="",$D48="",N($E48)=0),"",$E48*MAX(0,MIN($D48+1,EDATE(AU$4,1))-MAX($C48,AU$4))/MAX(1,$D48+1-$C48))</f>
        <v/>
      </c>
      <c r="AV48" s="56" t="str">
        <f aca="false">IF(OR(AV$4="",$C48="",$D48="",N($E48)=0),"",$E48*MAX(0,MIN($D48+1,EDATE(AV$4,1))-MAX($C48,AV$4))/MAX(1,$D48+1-$C48))</f>
        <v/>
      </c>
      <c r="AW48" s="56" t="str">
        <f aca="false">IF(OR(AW$4="",$C48="",$D48="",N($E48)=0),"",$E48*MAX(0,MIN($D48+1,EDATE(AW$4,1))-MAX($C48,AW$4))/MAX(1,$D48+1-$C48))</f>
        <v/>
      </c>
      <c r="AX48" s="56" t="str">
        <f aca="false">IF(OR(AX$4="",$C48="",$D48="",N($E48)=0),"",$E48*MAX(0,MIN($D48+1,EDATE(AX$4,1))-MAX($C48,AX$4))/MAX(1,$D48+1-$C48))</f>
        <v/>
      </c>
      <c r="AY48" s="56" t="str">
        <f aca="false">IF(OR(AY$4="",$C48="",$D48="",N($E48)=0),"",$E48*MAX(0,MIN($D48+1,EDATE(AY$4,1))-MAX($C48,AY$4))/MAX(1,$D48+1-$C48))</f>
        <v/>
      </c>
      <c r="AZ48" s="56" t="str">
        <f aca="false">IF(OR(AZ$4="",$C48="",$D48="",N($E48)=0),"",$E48*MAX(0,MIN($D48+1,EDATE(AZ$4,1))-MAX($C48,AZ$4))/MAX(1,$D48+1-$C48))</f>
        <v/>
      </c>
      <c r="BA48" s="56" t="str">
        <f aca="false">IF(OR(BA$4="",$C48="",$D48="",N($E48)=0),"",$E48*MAX(0,MIN($D48+1,EDATE(BA$4,1))-MAX($C48,BA$4))/MAX(1,$D48+1-$C48))</f>
        <v/>
      </c>
      <c r="BB48" s="56" t="str">
        <f aca="false">IF(OR(BB$4="",$C48="",$D48="",N($E48)=0),"",$E48*MAX(0,MIN($D48+1,EDATE(BB$4,1))-MAX($C48,BB$4))/MAX(1,$D48+1-$C48))</f>
        <v/>
      </c>
      <c r="BC48" s="56" t="str">
        <f aca="false">IF(OR(BC$4="",$C48="",$D48="",N($E48)=0),"",$E48*MAX(0,MIN($D48+1,EDATE(BC$4,1))-MAX($C48,BC$4))/MAX(1,$D48+1-$C48))</f>
        <v/>
      </c>
      <c r="BD48" s="56" t="str">
        <f aca="false">IF(OR(BD$4="",$C48="",$D48="",N($E48)=0),"",$E48*MAX(0,MIN($D48+1,EDATE(BD$4,1))-MAX($C48,BD$4))/MAX(1,$D48+1-$C48))</f>
        <v/>
      </c>
      <c r="BE48" s="56" t="str">
        <f aca="false">IF(OR(BE$4="",$C48="",$D48="",N($E48)=0),"",$E48*MAX(0,MIN($D48+1,EDATE(BE$4,1))-MAX($C48,BE$4))/MAX(1,$D48+1-$C48))</f>
        <v/>
      </c>
      <c r="BF48" s="56" t="str">
        <f aca="false">IF(OR(BF$4="",$C48="",$D48="",N($E48)=0),"",$E48*MAX(0,MIN($D48+1,EDATE(BF$4,1))-MAX($C48,BF$4))/MAX(1,$D48+1-$C48))</f>
        <v/>
      </c>
      <c r="BG48" s="56" t="str">
        <f aca="false">IF(OR(BG$4="",$C48="",$D48="",N($E48)=0),"",$E48*MAX(0,MIN($D48+1,EDATE(BG$4,1))-MAX($C48,BG$4))/MAX(1,$D48+1-$C48))</f>
        <v/>
      </c>
      <c r="BH48" s="56" t="str">
        <f aca="false">IF(OR(BH$4="",$C48="",$D48="",N($E48)=0),"",$E48*MAX(0,MIN($D48+1,EDATE(BH$4,1))-MAX($C48,BH$4))/MAX(1,$D48+1-$C48))</f>
        <v/>
      </c>
      <c r="BI48" s="56" t="str">
        <f aca="false">IF(OR(BI$4="",$C48="",$D48="",N($E48)=0),"",$E48*MAX(0,MIN($D48+1,EDATE(BI$4,1))-MAX($C48,BI$4))/MAX(1,$D48+1-$C48))</f>
        <v/>
      </c>
      <c r="BJ48" s="56" t="str">
        <f aca="false">IF(OR(BJ$4="",$C48="",$D48="",N($E48)=0),"",$E48*MAX(0,MIN($D48+1,EDATE(BJ$4,1))-MAX($C48,BJ$4))/MAX(1,$D48+1-$C48))</f>
        <v/>
      </c>
      <c r="BK48" s="56" t="str">
        <f aca="false">IF(OR(BK$4="",$C48="",$D48="",N($E48)=0),"",$E48*MAX(0,MIN($D48+1,EDATE(BK$4,1))-MAX($C48,BK$4))/MAX(1,$D48+1-$C48))</f>
        <v/>
      </c>
      <c r="BL48" s="56" t="str">
        <f aca="false">IF(OR(BL$4="",$C48="",$D48="",N($E48)=0),"",$E48*MAX(0,MIN($D48+1,EDATE(BL$4,1))-MAX($C48,BL$4))/MAX(1,$D48+1-$C48))</f>
        <v/>
      </c>
      <c r="BM48" s="56" t="str">
        <f aca="false">IF(OR(BM$4="",$C48="",$D48="",N($E48)=0),"",$E48*MAX(0,MIN($D48+1,EDATE(BM$4,1))-MAX($C48,BM$4))/MAX(1,$D48+1-$C48))</f>
        <v/>
      </c>
      <c r="BN48" s="56" t="str">
        <f aca="false">IF(OR(BN$4="",$C48="",$D48="",N($E48)=0),"",$E48*MAX(0,MIN($D48+1,EDATE(BN$4,1))-MAX($C48,BN$4))/MAX(1,$D48+1-$C48))</f>
        <v/>
      </c>
      <c r="BO48" s="56" t="str">
        <f aca="false">IF(OR(BO$4="",$C48="",$D48="",N($E48)=0),"",$E48*MAX(0,MIN($D48+1,EDATE(BO$4,1))-MAX($C48,BO$4))/MAX(1,$D48+1-$C48))</f>
        <v/>
      </c>
      <c r="BP48" s="56" t="str">
        <f aca="false">IF(OR(BP$4="",$C48="",$D48="",N($E48)=0),"",$E48*MAX(0,MIN($D48+1,EDATE(BP$4,1))-MAX($C48,BP$4))/MAX(1,$D48+1-$C48))</f>
        <v/>
      </c>
      <c r="BQ48" s="56" t="str">
        <f aca="false">IF(OR(BQ$4="",$C48="",$D48="",N($E48)=0),"",$E48*MAX(0,MIN($D48+1,EDATE(BQ$4,1))-MAX($C48,BQ$4))/MAX(1,$D48+1-$C48))</f>
        <v/>
      </c>
      <c r="BR48" s="56" t="str">
        <f aca="false">IF(OR(BR$4="",$C48="",$D48="",N($E48)=0),"",$E48*MAX(0,MIN($D48+1,EDATE(BR$4,1))-MAX($C48,BR$4))/MAX(1,$D48+1-$C48))</f>
        <v/>
      </c>
      <c r="BS48" s="56" t="str">
        <f aca="false">IF(OR(BS$4="",$C48="",$D48="",N($E48)=0),"",$E48*MAX(0,MIN($D48+1,EDATE(BS$4,1))-MAX($C48,BS$4))/MAX(1,$D48+1-$C48))</f>
        <v/>
      </c>
      <c r="BT48" s="56" t="str">
        <f aca="false">IF(OR(BT$4="",$C48="",$D48="",N($E48)=0),"",$E48*MAX(0,MIN($D48+1,EDATE(BT$4,1))-MAX($C48,BT$4))/MAX(1,$D48+1-$C48))</f>
        <v/>
      </c>
      <c r="BU48" s="56" t="str">
        <f aca="false">IF(OR(BU$4="",$C48="",$D48="",N($E48)=0),"",$E48*MAX(0,MIN($D48+1,EDATE(BU$4,1))-MAX($C48,BU$4))/MAX(1,$D48+1-$C48))</f>
        <v/>
      </c>
      <c r="BV48" s="56" t="str">
        <f aca="false">IF(OR(BV$4="",$C48="",$D48="",N($E48)=0),"",$E48*MAX(0,MIN($D48+1,EDATE(BV$4,1))-MAX($C48,BV$4))/MAX(1,$D48+1-$C48))</f>
        <v/>
      </c>
      <c r="BW48" s="56" t="str">
        <f aca="false">IF(OR(BW$4="",$C48="",$D48="",N($E48)=0),"",$E48*MAX(0,MIN($D48+1,EDATE(BW$4,1))-MAX($C48,BW$4))/MAX(1,$D48+1-$C48))</f>
        <v/>
      </c>
      <c r="BX48" s="56" t="str">
        <f aca="false">IF(OR(BX$4="",$C48="",$D48="",N($E48)=0),"",$E48*MAX(0,MIN($D48+1,EDATE(BX$4,1))-MAX($C48,BX$4))/MAX(1,$D48+1-$C48))</f>
        <v/>
      </c>
      <c r="BY48" s="56" t="str">
        <f aca="false">IF(OR(BY$4="",$C48="",$D48="",N($E48)=0),"",$E48*MAX(0,MIN($D48+1,EDATE(BY$4,1))-MAX($C48,BY$4))/MAX(1,$D48+1-$C48))</f>
        <v/>
      </c>
    </row>
    <row r="49" customFormat="false" ht="15" hidden="false" customHeight="false" outlineLevel="0" collapsed="false">
      <c r="A49" s="53" t="str">
        <f aca="false">IF(BOE!$A50="","",BOE!$A50)</f>
        <v/>
      </c>
      <c r="B49" s="53" t="str">
        <f aca="false">IF(BOE!$A50="","",BOE!$C50)</f>
        <v/>
      </c>
      <c r="C49" s="54" t="str">
        <f aca="false">IF(BOE!$O50="","",BOE!$O50)</f>
        <v/>
      </c>
      <c r="D49" s="54" t="str">
        <f aca="false">IF(BOE!$P50="","",BOE!$P50)</f>
        <v/>
      </c>
      <c r="E49" s="55" t="n">
        <f aca="false">IF(Inputs!$B$7="P90",BOE!$T50,BOE!$R50)</f>
        <v>0</v>
      </c>
      <c r="F49" s="56" t="str">
        <f aca="false">IF(OR(F$4="",$C49="",$D49="",N($E49)=0),"",$E49*MAX(0,MIN($D49+1,EDATE(F$4,1))-MAX($C49,F$4))/MAX(1,$D49+1-$C49))</f>
        <v/>
      </c>
      <c r="G49" s="56" t="str">
        <f aca="false">IF(OR(G$4="",$C49="",$D49="",N($E49)=0),"",$E49*MAX(0,MIN($D49+1,EDATE(G$4,1))-MAX($C49,G$4))/MAX(1,$D49+1-$C49))</f>
        <v/>
      </c>
      <c r="H49" s="56" t="str">
        <f aca="false">IF(OR(H$4="",$C49="",$D49="",N($E49)=0),"",$E49*MAX(0,MIN($D49+1,EDATE(H$4,1))-MAX($C49,H$4))/MAX(1,$D49+1-$C49))</f>
        <v/>
      </c>
      <c r="I49" s="56" t="str">
        <f aca="false">IF(OR(I$4="",$C49="",$D49="",N($E49)=0),"",$E49*MAX(0,MIN($D49+1,EDATE(I$4,1))-MAX($C49,I$4))/MAX(1,$D49+1-$C49))</f>
        <v/>
      </c>
      <c r="J49" s="56" t="str">
        <f aca="false">IF(OR(J$4="",$C49="",$D49="",N($E49)=0),"",$E49*MAX(0,MIN($D49+1,EDATE(J$4,1))-MAX($C49,J$4))/MAX(1,$D49+1-$C49))</f>
        <v/>
      </c>
      <c r="K49" s="56" t="str">
        <f aca="false">IF(OR(K$4="",$C49="",$D49="",N($E49)=0),"",$E49*MAX(0,MIN($D49+1,EDATE(K$4,1))-MAX($C49,K$4))/MAX(1,$D49+1-$C49))</f>
        <v/>
      </c>
      <c r="L49" s="56" t="str">
        <f aca="false">IF(OR(L$4="",$C49="",$D49="",N($E49)=0),"",$E49*MAX(0,MIN($D49+1,EDATE(L$4,1))-MAX($C49,L$4))/MAX(1,$D49+1-$C49))</f>
        <v/>
      </c>
      <c r="M49" s="56" t="str">
        <f aca="false">IF(OR(M$4="",$C49="",$D49="",N($E49)=0),"",$E49*MAX(0,MIN($D49+1,EDATE(M$4,1))-MAX($C49,M$4))/MAX(1,$D49+1-$C49))</f>
        <v/>
      </c>
      <c r="N49" s="56" t="str">
        <f aca="false">IF(OR(N$4="",$C49="",$D49="",N($E49)=0),"",$E49*MAX(0,MIN($D49+1,EDATE(N$4,1))-MAX($C49,N$4))/MAX(1,$D49+1-$C49))</f>
        <v/>
      </c>
      <c r="O49" s="56" t="str">
        <f aca="false">IF(OR(O$4="",$C49="",$D49="",N($E49)=0),"",$E49*MAX(0,MIN($D49+1,EDATE(O$4,1))-MAX($C49,O$4))/MAX(1,$D49+1-$C49))</f>
        <v/>
      </c>
      <c r="P49" s="56" t="str">
        <f aca="false">IF(OR(P$4="",$C49="",$D49="",N($E49)=0),"",$E49*MAX(0,MIN($D49+1,EDATE(P$4,1))-MAX($C49,P$4))/MAX(1,$D49+1-$C49))</f>
        <v/>
      </c>
      <c r="Q49" s="56" t="str">
        <f aca="false">IF(OR(Q$4="",$C49="",$D49="",N($E49)=0),"",$E49*MAX(0,MIN($D49+1,EDATE(Q$4,1))-MAX($C49,Q$4))/MAX(1,$D49+1-$C49))</f>
        <v/>
      </c>
      <c r="R49" s="56" t="str">
        <f aca="false">IF(OR(R$4="",$C49="",$D49="",N($E49)=0),"",$E49*MAX(0,MIN($D49+1,EDATE(R$4,1))-MAX($C49,R$4))/MAX(1,$D49+1-$C49))</f>
        <v/>
      </c>
      <c r="S49" s="56" t="str">
        <f aca="false">IF(OR(S$4="",$C49="",$D49="",N($E49)=0),"",$E49*MAX(0,MIN($D49+1,EDATE(S$4,1))-MAX($C49,S$4))/MAX(1,$D49+1-$C49))</f>
        <v/>
      </c>
      <c r="T49" s="56" t="str">
        <f aca="false">IF(OR(T$4="",$C49="",$D49="",N($E49)=0),"",$E49*MAX(0,MIN($D49+1,EDATE(T$4,1))-MAX($C49,T$4))/MAX(1,$D49+1-$C49))</f>
        <v/>
      </c>
      <c r="U49" s="56" t="str">
        <f aca="false">IF(OR(U$4="",$C49="",$D49="",N($E49)=0),"",$E49*MAX(0,MIN($D49+1,EDATE(U$4,1))-MAX($C49,U$4))/MAX(1,$D49+1-$C49))</f>
        <v/>
      </c>
      <c r="V49" s="56" t="str">
        <f aca="false">IF(OR(V$4="",$C49="",$D49="",N($E49)=0),"",$E49*MAX(0,MIN($D49+1,EDATE(V$4,1))-MAX($C49,V$4))/MAX(1,$D49+1-$C49))</f>
        <v/>
      </c>
      <c r="W49" s="56" t="str">
        <f aca="false">IF(OR(W$4="",$C49="",$D49="",N($E49)=0),"",$E49*MAX(0,MIN($D49+1,EDATE(W$4,1))-MAX($C49,W$4))/MAX(1,$D49+1-$C49))</f>
        <v/>
      </c>
      <c r="X49" s="56" t="str">
        <f aca="false">IF(OR(X$4="",$C49="",$D49="",N($E49)=0),"",$E49*MAX(0,MIN($D49+1,EDATE(X$4,1))-MAX($C49,X$4))/MAX(1,$D49+1-$C49))</f>
        <v/>
      </c>
      <c r="Y49" s="56" t="str">
        <f aca="false">IF(OR(Y$4="",$C49="",$D49="",N($E49)=0),"",$E49*MAX(0,MIN($D49+1,EDATE(Y$4,1))-MAX($C49,Y$4))/MAX(1,$D49+1-$C49))</f>
        <v/>
      </c>
      <c r="Z49" s="56" t="str">
        <f aca="false">IF(OR(Z$4="",$C49="",$D49="",N($E49)=0),"",$E49*MAX(0,MIN($D49+1,EDATE(Z$4,1))-MAX($C49,Z$4))/MAX(1,$D49+1-$C49))</f>
        <v/>
      </c>
      <c r="AA49" s="56" t="str">
        <f aca="false">IF(OR(AA$4="",$C49="",$D49="",N($E49)=0),"",$E49*MAX(0,MIN($D49+1,EDATE(AA$4,1))-MAX($C49,AA$4))/MAX(1,$D49+1-$C49))</f>
        <v/>
      </c>
      <c r="AB49" s="56" t="str">
        <f aca="false">IF(OR(AB$4="",$C49="",$D49="",N($E49)=0),"",$E49*MAX(0,MIN($D49+1,EDATE(AB$4,1))-MAX($C49,AB$4))/MAX(1,$D49+1-$C49))</f>
        <v/>
      </c>
      <c r="AC49" s="56" t="str">
        <f aca="false">IF(OR(AC$4="",$C49="",$D49="",N($E49)=0),"",$E49*MAX(0,MIN($D49+1,EDATE(AC$4,1))-MAX($C49,AC$4))/MAX(1,$D49+1-$C49))</f>
        <v/>
      </c>
      <c r="AD49" s="56" t="str">
        <f aca="false">IF(OR(AD$4="",$C49="",$D49="",N($E49)=0),"",$E49*MAX(0,MIN($D49+1,EDATE(AD$4,1))-MAX($C49,AD$4))/MAX(1,$D49+1-$C49))</f>
        <v/>
      </c>
      <c r="AE49" s="56" t="str">
        <f aca="false">IF(OR(AE$4="",$C49="",$D49="",N($E49)=0),"",$E49*MAX(0,MIN($D49+1,EDATE(AE$4,1))-MAX($C49,AE$4))/MAX(1,$D49+1-$C49))</f>
        <v/>
      </c>
      <c r="AF49" s="56" t="str">
        <f aca="false">IF(OR(AF$4="",$C49="",$D49="",N($E49)=0),"",$E49*MAX(0,MIN($D49+1,EDATE(AF$4,1))-MAX($C49,AF$4))/MAX(1,$D49+1-$C49))</f>
        <v/>
      </c>
      <c r="AG49" s="56" t="str">
        <f aca="false">IF(OR(AG$4="",$C49="",$D49="",N($E49)=0),"",$E49*MAX(0,MIN($D49+1,EDATE(AG$4,1))-MAX($C49,AG$4))/MAX(1,$D49+1-$C49))</f>
        <v/>
      </c>
      <c r="AH49" s="56" t="str">
        <f aca="false">IF(OR(AH$4="",$C49="",$D49="",N($E49)=0),"",$E49*MAX(0,MIN($D49+1,EDATE(AH$4,1))-MAX($C49,AH$4))/MAX(1,$D49+1-$C49))</f>
        <v/>
      </c>
      <c r="AI49" s="56" t="str">
        <f aca="false">IF(OR(AI$4="",$C49="",$D49="",N($E49)=0),"",$E49*MAX(0,MIN($D49+1,EDATE(AI$4,1))-MAX($C49,AI$4))/MAX(1,$D49+1-$C49))</f>
        <v/>
      </c>
      <c r="AJ49" s="56" t="str">
        <f aca="false">IF(OR(AJ$4="",$C49="",$D49="",N($E49)=0),"",$E49*MAX(0,MIN($D49+1,EDATE(AJ$4,1))-MAX($C49,AJ$4))/MAX(1,$D49+1-$C49))</f>
        <v/>
      </c>
      <c r="AK49" s="56" t="str">
        <f aca="false">IF(OR(AK$4="",$C49="",$D49="",N($E49)=0),"",$E49*MAX(0,MIN($D49+1,EDATE(AK$4,1))-MAX($C49,AK$4))/MAX(1,$D49+1-$C49))</f>
        <v/>
      </c>
      <c r="AL49" s="56" t="str">
        <f aca="false">IF(OR(AL$4="",$C49="",$D49="",N($E49)=0),"",$E49*MAX(0,MIN($D49+1,EDATE(AL$4,1))-MAX($C49,AL$4))/MAX(1,$D49+1-$C49))</f>
        <v/>
      </c>
      <c r="AM49" s="56" t="str">
        <f aca="false">IF(OR(AM$4="",$C49="",$D49="",N($E49)=0),"",$E49*MAX(0,MIN($D49+1,EDATE(AM$4,1))-MAX($C49,AM$4))/MAX(1,$D49+1-$C49))</f>
        <v/>
      </c>
      <c r="AN49" s="56" t="str">
        <f aca="false">IF(OR(AN$4="",$C49="",$D49="",N($E49)=0),"",$E49*MAX(0,MIN($D49+1,EDATE(AN$4,1))-MAX($C49,AN$4))/MAX(1,$D49+1-$C49))</f>
        <v/>
      </c>
      <c r="AO49" s="56" t="str">
        <f aca="false">IF(OR(AO$4="",$C49="",$D49="",N($E49)=0),"",$E49*MAX(0,MIN($D49+1,EDATE(AO$4,1))-MAX($C49,AO$4))/MAX(1,$D49+1-$C49))</f>
        <v/>
      </c>
      <c r="AP49" s="56" t="str">
        <f aca="false">IF(OR(AP$4="",$C49="",$D49="",N($E49)=0),"",$E49*MAX(0,MIN($D49+1,EDATE(AP$4,1))-MAX($C49,AP$4))/MAX(1,$D49+1-$C49))</f>
        <v/>
      </c>
      <c r="AQ49" s="56" t="str">
        <f aca="false">IF(OR(AQ$4="",$C49="",$D49="",N($E49)=0),"",$E49*MAX(0,MIN($D49+1,EDATE(AQ$4,1))-MAX($C49,AQ$4))/MAX(1,$D49+1-$C49))</f>
        <v/>
      </c>
      <c r="AR49" s="56" t="str">
        <f aca="false">IF(OR(AR$4="",$C49="",$D49="",N($E49)=0),"",$E49*MAX(0,MIN($D49+1,EDATE(AR$4,1))-MAX($C49,AR$4))/MAX(1,$D49+1-$C49))</f>
        <v/>
      </c>
      <c r="AS49" s="56" t="str">
        <f aca="false">IF(OR(AS$4="",$C49="",$D49="",N($E49)=0),"",$E49*MAX(0,MIN($D49+1,EDATE(AS$4,1))-MAX($C49,AS$4))/MAX(1,$D49+1-$C49))</f>
        <v/>
      </c>
      <c r="AT49" s="56" t="str">
        <f aca="false">IF(OR(AT$4="",$C49="",$D49="",N($E49)=0),"",$E49*MAX(0,MIN($D49+1,EDATE(AT$4,1))-MAX($C49,AT$4))/MAX(1,$D49+1-$C49))</f>
        <v/>
      </c>
      <c r="AU49" s="56" t="str">
        <f aca="false">IF(OR(AU$4="",$C49="",$D49="",N($E49)=0),"",$E49*MAX(0,MIN($D49+1,EDATE(AU$4,1))-MAX($C49,AU$4))/MAX(1,$D49+1-$C49))</f>
        <v/>
      </c>
      <c r="AV49" s="56" t="str">
        <f aca="false">IF(OR(AV$4="",$C49="",$D49="",N($E49)=0),"",$E49*MAX(0,MIN($D49+1,EDATE(AV$4,1))-MAX($C49,AV$4))/MAX(1,$D49+1-$C49))</f>
        <v/>
      </c>
      <c r="AW49" s="56" t="str">
        <f aca="false">IF(OR(AW$4="",$C49="",$D49="",N($E49)=0),"",$E49*MAX(0,MIN($D49+1,EDATE(AW$4,1))-MAX($C49,AW$4))/MAX(1,$D49+1-$C49))</f>
        <v/>
      </c>
      <c r="AX49" s="56" t="str">
        <f aca="false">IF(OR(AX$4="",$C49="",$D49="",N($E49)=0),"",$E49*MAX(0,MIN($D49+1,EDATE(AX$4,1))-MAX($C49,AX$4))/MAX(1,$D49+1-$C49))</f>
        <v/>
      </c>
      <c r="AY49" s="56" t="str">
        <f aca="false">IF(OR(AY$4="",$C49="",$D49="",N($E49)=0),"",$E49*MAX(0,MIN($D49+1,EDATE(AY$4,1))-MAX($C49,AY$4))/MAX(1,$D49+1-$C49))</f>
        <v/>
      </c>
      <c r="AZ49" s="56" t="str">
        <f aca="false">IF(OR(AZ$4="",$C49="",$D49="",N($E49)=0),"",$E49*MAX(0,MIN($D49+1,EDATE(AZ$4,1))-MAX($C49,AZ$4))/MAX(1,$D49+1-$C49))</f>
        <v/>
      </c>
      <c r="BA49" s="56" t="str">
        <f aca="false">IF(OR(BA$4="",$C49="",$D49="",N($E49)=0),"",$E49*MAX(0,MIN($D49+1,EDATE(BA$4,1))-MAX($C49,BA$4))/MAX(1,$D49+1-$C49))</f>
        <v/>
      </c>
      <c r="BB49" s="56" t="str">
        <f aca="false">IF(OR(BB$4="",$C49="",$D49="",N($E49)=0),"",$E49*MAX(0,MIN($D49+1,EDATE(BB$4,1))-MAX($C49,BB$4))/MAX(1,$D49+1-$C49))</f>
        <v/>
      </c>
      <c r="BC49" s="56" t="str">
        <f aca="false">IF(OR(BC$4="",$C49="",$D49="",N($E49)=0),"",$E49*MAX(0,MIN($D49+1,EDATE(BC$4,1))-MAX($C49,BC$4))/MAX(1,$D49+1-$C49))</f>
        <v/>
      </c>
      <c r="BD49" s="56" t="str">
        <f aca="false">IF(OR(BD$4="",$C49="",$D49="",N($E49)=0),"",$E49*MAX(0,MIN($D49+1,EDATE(BD$4,1))-MAX($C49,BD$4))/MAX(1,$D49+1-$C49))</f>
        <v/>
      </c>
      <c r="BE49" s="56" t="str">
        <f aca="false">IF(OR(BE$4="",$C49="",$D49="",N($E49)=0),"",$E49*MAX(0,MIN($D49+1,EDATE(BE$4,1))-MAX($C49,BE$4))/MAX(1,$D49+1-$C49))</f>
        <v/>
      </c>
      <c r="BF49" s="56" t="str">
        <f aca="false">IF(OR(BF$4="",$C49="",$D49="",N($E49)=0),"",$E49*MAX(0,MIN($D49+1,EDATE(BF$4,1))-MAX($C49,BF$4))/MAX(1,$D49+1-$C49))</f>
        <v/>
      </c>
      <c r="BG49" s="56" t="str">
        <f aca="false">IF(OR(BG$4="",$C49="",$D49="",N($E49)=0),"",$E49*MAX(0,MIN($D49+1,EDATE(BG$4,1))-MAX($C49,BG$4))/MAX(1,$D49+1-$C49))</f>
        <v/>
      </c>
      <c r="BH49" s="56" t="str">
        <f aca="false">IF(OR(BH$4="",$C49="",$D49="",N($E49)=0),"",$E49*MAX(0,MIN($D49+1,EDATE(BH$4,1))-MAX($C49,BH$4))/MAX(1,$D49+1-$C49))</f>
        <v/>
      </c>
      <c r="BI49" s="56" t="str">
        <f aca="false">IF(OR(BI$4="",$C49="",$D49="",N($E49)=0),"",$E49*MAX(0,MIN($D49+1,EDATE(BI$4,1))-MAX($C49,BI$4))/MAX(1,$D49+1-$C49))</f>
        <v/>
      </c>
      <c r="BJ49" s="56" t="str">
        <f aca="false">IF(OR(BJ$4="",$C49="",$D49="",N($E49)=0),"",$E49*MAX(0,MIN($D49+1,EDATE(BJ$4,1))-MAX($C49,BJ$4))/MAX(1,$D49+1-$C49))</f>
        <v/>
      </c>
      <c r="BK49" s="56" t="str">
        <f aca="false">IF(OR(BK$4="",$C49="",$D49="",N($E49)=0),"",$E49*MAX(0,MIN($D49+1,EDATE(BK$4,1))-MAX($C49,BK$4))/MAX(1,$D49+1-$C49))</f>
        <v/>
      </c>
      <c r="BL49" s="56" t="str">
        <f aca="false">IF(OR(BL$4="",$C49="",$D49="",N($E49)=0),"",$E49*MAX(0,MIN($D49+1,EDATE(BL$4,1))-MAX($C49,BL$4))/MAX(1,$D49+1-$C49))</f>
        <v/>
      </c>
      <c r="BM49" s="56" t="str">
        <f aca="false">IF(OR(BM$4="",$C49="",$D49="",N($E49)=0),"",$E49*MAX(0,MIN($D49+1,EDATE(BM$4,1))-MAX($C49,BM$4))/MAX(1,$D49+1-$C49))</f>
        <v/>
      </c>
      <c r="BN49" s="56" t="str">
        <f aca="false">IF(OR(BN$4="",$C49="",$D49="",N($E49)=0),"",$E49*MAX(0,MIN($D49+1,EDATE(BN$4,1))-MAX($C49,BN$4))/MAX(1,$D49+1-$C49))</f>
        <v/>
      </c>
      <c r="BO49" s="56" t="str">
        <f aca="false">IF(OR(BO$4="",$C49="",$D49="",N($E49)=0),"",$E49*MAX(0,MIN($D49+1,EDATE(BO$4,1))-MAX($C49,BO$4))/MAX(1,$D49+1-$C49))</f>
        <v/>
      </c>
      <c r="BP49" s="56" t="str">
        <f aca="false">IF(OR(BP$4="",$C49="",$D49="",N($E49)=0),"",$E49*MAX(0,MIN($D49+1,EDATE(BP$4,1))-MAX($C49,BP$4))/MAX(1,$D49+1-$C49))</f>
        <v/>
      </c>
      <c r="BQ49" s="56" t="str">
        <f aca="false">IF(OR(BQ$4="",$C49="",$D49="",N($E49)=0),"",$E49*MAX(0,MIN($D49+1,EDATE(BQ$4,1))-MAX($C49,BQ$4))/MAX(1,$D49+1-$C49))</f>
        <v/>
      </c>
      <c r="BR49" s="56" t="str">
        <f aca="false">IF(OR(BR$4="",$C49="",$D49="",N($E49)=0),"",$E49*MAX(0,MIN($D49+1,EDATE(BR$4,1))-MAX($C49,BR$4))/MAX(1,$D49+1-$C49))</f>
        <v/>
      </c>
      <c r="BS49" s="56" t="str">
        <f aca="false">IF(OR(BS$4="",$C49="",$D49="",N($E49)=0),"",$E49*MAX(0,MIN($D49+1,EDATE(BS$4,1))-MAX($C49,BS$4))/MAX(1,$D49+1-$C49))</f>
        <v/>
      </c>
      <c r="BT49" s="56" t="str">
        <f aca="false">IF(OR(BT$4="",$C49="",$D49="",N($E49)=0),"",$E49*MAX(0,MIN($D49+1,EDATE(BT$4,1))-MAX($C49,BT$4))/MAX(1,$D49+1-$C49))</f>
        <v/>
      </c>
      <c r="BU49" s="56" t="str">
        <f aca="false">IF(OR(BU$4="",$C49="",$D49="",N($E49)=0),"",$E49*MAX(0,MIN($D49+1,EDATE(BU$4,1))-MAX($C49,BU$4))/MAX(1,$D49+1-$C49))</f>
        <v/>
      </c>
      <c r="BV49" s="56" t="str">
        <f aca="false">IF(OR(BV$4="",$C49="",$D49="",N($E49)=0),"",$E49*MAX(0,MIN($D49+1,EDATE(BV$4,1))-MAX($C49,BV$4))/MAX(1,$D49+1-$C49))</f>
        <v/>
      </c>
      <c r="BW49" s="56" t="str">
        <f aca="false">IF(OR(BW$4="",$C49="",$D49="",N($E49)=0),"",$E49*MAX(0,MIN($D49+1,EDATE(BW$4,1))-MAX($C49,BW$4))/MAX(1,$D49+1-$C49))</f>
        <v/>
      </c>
      <c r="BX49" s="56" t="str">
        <f aca="false">IF(OR(BX$4="",$C49="",$D49="",N($E49)=0),"",$E49*MAX(0,MIN($D49+1,EDATE(BX$4,1))-MAX($C49,BX$4))/MAX(1,$D49+1-$C49))</f>
        <v/>
      </c>
      <c r="BY49" s="56" t="str">
        <f aca="false">IF(OR(BY$4="",$C49="",$D49="",N($E49)=0),"",$E49*MAX(0,MIN($D49+1,EDATE(BY$4,1))-MAX($C49,BY$4))/MAX(1,$D49+1-$C49))</f>
        <v/>
      </c>
    </row>
    <row r="50" customFormat="false" ht="15" hidden="false" customHeight="false" outlineLevel="0" collapsed="false">
      <c r="A50" s="53" t="str">
        <f aca="false">IF(BOE!$A51="","",BOE!$A51)</f>
        <v/>
      </c>
      <c r="B50" s="53" t="str">
        <f aca="false">IF(BOE!$A51="","",BOE!$C51)</f>
        <v/>
      </c>
      <c r="C50" s="54" t="str">
        <f aca="false">IF(BOE!$O51="","",BOE!$O51)</f>
        <v/>
      </c>
      <c r="D50" s="54" t="str">
        <f aca="false">IF(BOE!$P51="","",BOE!$P51)</f>
        <v/>
      </c>
      <c r="E50" s="55" t="n">
        <f aca="false">IF(Inputs!$B$7="P90",BOE!$T51,BOE!$R51)</f>
        <v>0</v>
      </c>
      <c r="F50" s="56" t="str">
        <f aca="false">IF(OR(F$4="",$C50="",$D50="",N($E50)=0),"",$E50*MAX(0,MIN($D50+1,EDATE(F$4,1))-MAX($C50,F$4))/MAX(1,$D50+1-$C50))</f>
        <v/>
      </c>
      <c r="G50" s="56" t="str">
        <f aca="false">IF(OR(G$4="",$C50="",$D50="",N($E50)=0),"",$E50*MAX(0,MIN($D50+1,EDATE(G$4,1))-MAX($C50,G$4))/MAX(1,$D50+1-$C50))</f>
        <v/>
      </c>
      <c r="H50" s="56" t="str">
        <f aca="false">IF(OR(H$4="",$C50="",$D50="",N($E50)=0),"",$E50*MAX(0,MIN($D50+1,EDATE(H$4,1))-MAX($C50,H$4))/MAX(1,$D50+1-$C50))</f>
        <v/>
      </c>
      <c r="I50" s="56" t="str">
        <f aca="false">IF(OR(I$4="",$C50="",$D50="",N($E50)=0),"",$E50*MAX(0,MIN($D50+1,EDATE(I$4,1))-MAX($C50,I$4))/MAX(1,$D50+1-$C50))</f>
        <v/>
      </c>
      <c r="J50" s="56" t="str">
        <f aca="false">IF(OR(J$4="",$C50="",$D50="",N($E50)=0),"",$E50*MAX(0,MIN($D50+1,EDATE(J$4,1))-MAX($C50,J$4))/MAX(1,$D50+1-$C50))</f>
        <v/>
      </c>
      <c r="K50" s="56" t="str">
        <f aca="false">IF(OR(K$4="",$C50="",$D50="",N($E50)=0),"",$E50*MAX(0,MIN($D50+1,EDATE(K$4,1))-MAX($C50,K$4))/MAX(1,$D50+1-$C50))</f>
        <v/>
      </c>
      <c r="L50" s="56" t="str">
        <f aca="false">IF(OR(L$4="",$C50="",$D50="",N($E50)=0),"",$E50*MAX(0,MIN($D50+1,EDATE(L$4,1))-MAX($C50,L$4))/MAX(1,$D50+1-$C50))</f>
        <v/>
      </c>
      <c r="M50" s="56" t="str">
        <f aca="false">IF(OR(M$4="",$C50="",$D50="",N($E50)=0),"",$E50*MAX(0,MIN($D50+1,EDATE(M$4,1))-MAX($C50,M$4))/MAX(1,$D50+1-$C50))</f>
        <v/>
      </c>
      <c r="N50" s="56" t="str">
        <f aca="false">IF(OR(N$4="",$C50="",$D50="",N($E50)=0),"",$E50*MAX(0,MIN($D50+1,EDATE(N$4,1))-MAX($C50,N$4))/MAX(1,$D50+1-$C50))</f>
        <v/>
      </c>
      <c r="O50" s="56" t="str">
        <f aca="false">IF(OR(O$4="",$C50="",$D50="",N($E50)=0),"",$E50*MAX(0,MIN($D50+1,EDATE(O$4,1))-MAX($C50,O$4))/MAX(1,$D50+1-$C50))</f>
        <v/>
      </c>
      <c r="P50" s="56" t="str">
        <f aca="false">IF(OR(P$4="",$C50="",$D50="",N($E50)=0),"",$E50*MAX(0,MIN($D50+1,EDATE(P$4,1))-MAX($C50,P$4))/MAX(1,$D50+1-$C50))</f>
        <v/>
      </c>
      <c r="Q50" s="56" t="str">
        <f aca="false">IF(OR(Q$4="",$C50="",$D50="",N($E50)=0),"",$E50*MAX(0,MIN($D50+1,EDATE(Q$4,1))-MAX($C50,Q$4))/MAX(1,$D50+1-$C50))</f>
        <v/>
      </c>
      <c r="R50" s="56" t="str">
        <f aca="false">IF(OR(R$4="",$C50="",$D50="",N($E50)=0),"",$E50*MAX(0,MIN($D50+1,EDATE(R$4,1))-MAX($C50,R$4))/MAX(1,$D50+1-$C50))</f>
        <v/>
      </c>
      <c r="S50" s="56" t="str">
        <f aca="false">IF(OR(S$4="",$C50="",$D50="",N($E50)=0),"",$E50*MAX(0,MIN($D50+1,EDATE(S$4,1))-MAX($C50,S$4))/MAX(1,$D50+1-$C50))</f>
        <v/>
      </c>
      <c r="T50" s="56" t="str">
        <f aca="false">IF(OR(T$4="",$C50="",$D50="",N($E50)=0),"",$E50*MAX(0,MIN($D50+1,EDATE(T$4,1))-MAX($C50,T$4))/MAX(1,$D50+1-$C50))</f>
        <v/>
      </c>
      <c r="U50" s="56" t="str">
        <f aca="false">IF(OR(U$4="",$C50="",$D50="",N($E50)=0),"",$E50*MAX(0,MIN($D50+1,EDATE(U$4,1))-MAX($C50,U$4))/MAX(1,$D50+1-$C50))</f>
        <v/>
      </c>
      <c r="V50" s="56" t="str">
        <f aca="false">IF(OR(V$4="",$C50="",$D50="",N($E50)=0),"",$E50*MAX(0,MIN($D50+1,EDATE(V$4,1))-MAX($C50,V$4))/MAX(1,$D50+1-$C50))</f>
        <v/>
      </c>
      <c r="W50" s="56" t="str">
        <f aca="false">IF(OR(W$4="",$C50="",$D50="",N($E50)=0),"",$E50*MAX(0,MIN($D50+1,EDATE(W$4,1))-MAX($C50,W$4))/MAX(1,$D50+1-$C50))</f>
        <v/>
      </c>
      <c r="X50" s="56" t="str">
        <f aca="false">IF(OR(X$4="",$C50="",$D50="",N($E50)=0),"",$E50*MAX(0,MIN($D50+1,EDATE(X$4,1))-MAX($C50,X$4))/MAX(1,$D50+1-$C50))</f>
        <v/>
      </c>
      <c r="Y50" s="56" t="str">
        <f aca="false">IF(OR(Y$4="",$C50="",$D50="",N($E50)=0),"",$E50*MAX(0,MIN($D50+1,EDATE(Y$4,1))-MAX($C50,Y$4))/MAX(1,$D50+1-$C50))</f>
        <v/>
      </c>
      <c r="Z50" s="56" t="str">
        <f aca="false">IF(OR(Z$4="",$C50="",$D50="",N($E50)=0),"",$E50*MAX(0,MIN($D50+1,EDATE(Z$4,1))-MAX($C50,Z$4))/MAX(1,$D50+1-$C50))</f>
        <v/>
      </c>
      <c r="AA50" s="56" t="str">
        <f aca="false">IF(OR(AA$4="",$C50="",$D50="",N($E50)=0),"",$E50*MAX(0,MIN($D50+1,EDATE(AA$4,1))-MAX($C50,AA$4))/MAX(1,$D50+1-$C50))</f>
        <v/>
      </c>
      <c r="AB50" s="56" t="str">
        <f aca="false">IF(OR(AB$4="",$C50="",$D50="",N($E50)=0),"",$E50*MAX(0,MIN($D50+1,EDATE(AB$4,1))-MAX($C50,AB$4))/MAX(1,$D50+1-$C50))</f>
        <v/>
      </c>
      <c r="AC50" s="56" t="str">
        <f aca="false">IF(OR(AC$4="",$C50="",$D50="",N($E50)=0),"",$E50*MAX(0,MIN($D50+1,EDATE(AC$4,1))-MAX($C50,AC$4))/MAX(1,$D50+1-$C50))</f>
        <v/>
      </c>
      <c r="AD50" s="56" t="str">
        <f aca="false">IF(OR(AD$4="",$C50="",$D50="",N($E50)=0),"",$E50*MAX(0,MIN($D50+1,EDATE(AD$4,1))-MAX($C50,AD$4))/MAX(1,$D50+1-$C50))</f>
        <v/>
      </c>
      <c r="AE50" s="56" t="str">
        <f aca="false">IF(OR(AE$4="",$C50="",$D50="",N($E50)=0),"",$E50*MAX(0,MIN($D50+1,EDATE(AE$4,1))-MAX($C50,AE$4))/MAX(1,$D50+1-$C50))</f>
        <v/>
      </c>
      <c r="AF50" s="56" t="str">
        <f aca="false">IF(OR(AF$4="",$C50="",$D50="",N($E50)=0),"",$E50*MAX(0,MIN($D50+1,EDATE(AF$4,1))-MAX($C50,AF$4))/MAX(1,$D50+1-$C50))</f>
        <v/>
      </c>
      <c r="AG50" s="56" t="str">
        <f aca="false">IF(OR(AG$4="",$C50="",$D50="",N($E50)=0),"",$E50*MAX(0,MIN($D50+1,EDATE(AG$4,1))-MAX($C50,AG$4))/MAX(1,$D50+1-$C50))</f>
        <v/>
      </c>
      <c r="AH50" s="56" t="str">
        <f aca="false">IF(OR(AH$4="",$C50="",$D50="",N($E50)=0),"",$E50*MAX(0,MIN($D50+1,EDATE(AH$4,1))-MAX($C50,AH$4))/MAX(1,$D50+1-$C50))</f>
        <v/>
      </c>
      <c r="AI50" s="56" t="str">
        <f aca="false">IF(OR(AI$4="",$C50="",$D50="",N($E50)=0),"",$E50*MAX(0,MIN($D50+1,EDATE(AI$4,1))-MAX($C50,AI$4))/MAX(1,$D50+1-$C50))</f>
        <v/>
      </c>
      <c r="AJ50" s="56" t="str">
        <f aca="false">IF(OR(AJ$4="",$C50="",$D50="",N($E50)=0),"",$E50*MAX(0,MIN($D50+1,EDATE(AJ$4,1))-MAX($C50,AJ$4))/MAX(1,$D50+1-$C50))</f>
        <v/>
      </c>
      <c r="AK50" s="56" t="str">
        <f aca="false">IF(OR(AK$4="",$C50="",$D50="",N($E50)=0),"",$E50*MAX(0,MIN($D50+1,EDATE(AK$4,1))-MAX($C50,AK$4))/MAX(1,$D50+1-$C50))</f>
        <v/>
      </c>
      <c r="AL50" s="56" t="str">
        <f aca="false">IF(OR(AL$4="",$C50="",$D50="",N($E50)=0),"",$E50*MAX(0,MIN($D50+1,EDATE(AL$4,1))-MAX($C50,AL$4))/MAX(1,$D50+1-$C50))</f>
        <v/>
      </c>
      <c r="AM50" s="56" t="str">
        <f aca="false">IF(OR(AM$4="",$C50="",$D50="",N($E50)=0),"",$E50*MAX(0,MIN($D50+1,EDATE(AM$4,1))-MAX($C50,AM$4))/MAX(1,$D50+1-$C50))</f>
        <v/>
      </c>
      <c r="AN50" s="56" t="str">
        <f aca="false">IF(OR(AN$4="",$C50="",$D50="",N($E50)=0),"",$E50*MAX(0,MIN($D50+1,EDATE(AN$4,1))-MAX($C50,AN$4))/MAX(1,$D50+1-$C50))</f>
        <v/>
      </c>
      <c r="AO50" s="56" t="str">
        <f aca="false">IF(OR(AO$4="",$C50="",$D50="",N($E50)=0),"",$E50*MAX(0,MIN($D50+1,EDATE(AO$4,1))-MAX($C50,AO$4))/MAX(1,$D50+1-$C50))</f>
        <v/>
      </c>
      <c r="AP50" s="56" t="str">
        <f aca="false">IF(OR(AP$4="",$C50="",$D50="",N($E50)=0),"",$E50*MAX(0,MIN($D50+1,EDATE(AP$4,1))-MAX($C50,AP$4))/MAX(1,$D50+1-$C50))</f>
        <v/>
      </c>
      <c r="AQ50" s="56" t="str">
        <f aca="false">IF(OR(AQ$4="",$C50="",$D50="",N($E50)=0),"",$E50*MAX(0,MIN($D50+1,EDATE(AQ$4,1))-MAX($C50,AQ$4))/MAX(1,$D50+1-$C50))</f>
        <v/>
      </c>
      <c r="AR50" s="56" t="str">
        <f aca="false">IF(OR(AR$4="",$C50="",$D50="",N($E50)=0),"",$E50*MAX(0,MIN($D50+1,EDATE(AR$4,1))-MAX($C50,AR$4))/MAX(1,$D50+1-$C50))</f>
        <v/>
      </c>
      <c r="AS50" s="56" t="str">
        <f aca="false">IF(OR(AS$4="",$C50="",$D50="",N($E50)=0),"",$E50*MAX(0,MIN($D50+1,EDATE(AS$4,1))-MAX($C50,AS$4))/MAX(1,$D50+1-$C50))</f>
        <v/>
      </c>
      <c r="AT50" s="56" t="str">
        <f aca="false">IF(OR(AT$4="",$C50="",$D50="",N($E50)=0),"",$E50*MAX(0,MIN($D50+1,EDATE(AT$4,1))-MAX($C50,AT$4))/MAX(1,$D50+1-$C50))</f>
        <v/>
      </c>
      <c r="AU50" s="56" t="str">
        <f aca="false">IF(OR(AU$4="",$C50="",$D50="",N($E50)=0),"",$E50*MAX(0,MIN($D50+1,EDATE(AU$4,1))-MAX($C50,AU$4))/MAX(1,$D50+1-$C50))</f>
        <v/>
      </c>
      <c r="AV50" s="56" t="str">
        <f aca="false">IF(OR(AV$4="",$C50="",$D50="",N($E50)=0),"",$E50*MAX(0,MIN($D50+1,EDATE(AV$4,1))-MAX($C50,AV$4))/MAX(1,$D50+1-$C50))</f>
        <v/>
      </c>
      <c r="AW50" s="56" t="str">
        <f aca="false">IF(OR(AW$4="",$C50="",$D50="",N($E50)=0),"",$E50*MAX(0,MIN($D50+1,EDATE(AW$4,1))-MAX($C50,AW$4))/MAX(1,$D50+1-$C50))</f>
        <v/>
      </c>
      <c r="AX50" s="56" t="str">
        <f aca="false">IF(OR(AX$4="",$C50="",$D50="",N($E50)=0),"",$E50*MAX(0,MIN($D50+1,EDATE(AX$4,1))-MAX($C50,AX$4))/MAX(1,$D50+1-$C50))</f>
        <v/>
      </c>
      <c r="AY50" s="56" t="str">
        <f aca="false">IF(OR(AY$4="",$C50="",$D50="",N($E50)=0),"",$E50*MAX(0,MIN($D50+1,EDATE(AY$4,1))-MAX($C50,AY$4))/MAX(1,$D50+1-$C50))</f>
        <v/>
      </c>
      <c r="AZ50" s="56" t="str">
        <f aca="false">IF(OR(AZ$4="",$C50="",$D50="",N($E50)=0),"",$E50*MAX(0,MIN($D50+1,EDATE(AZ$4,1))-MAX($C50,AZ$4))/MAX(1,$D50+1-$C50))</f>
        <v/>
      </c>
      <c r="BA50" s="56" t="str">
        <f aca="false">IF(OR(BA$4="",$C50="",$D50="",N($E50)=0),"",$E50*MAX(0,MIN($D50+1,EDATE(BA$4,1))-MAX($C50,BA$4))/MAX(1,$D50+1-$C50))</f>
        <v/>
      </c>
      <c r="BB50" s="56" t="str">
        <f aca="false">IF(OR(BB$4="",$C50="",$D50="",N($E50)=0),"",$E50*MAX(0,MIN($D50+1,EDATE(BB$4,1))-MAX($C50,BB$4))/MAX(1,$D50+1-$C50))</f>
        <v/>
      </c>
      <c r="BC50" s="56" t="str">
        <f aca="false">IF(OR(BC$4="",$C50="",$D50="",N($E50)=0),"",$E50*MAX(0,MIN($D50+1,EDATE(BC$4,1))-MAX($C50,BC$4))/MAX(1,$D50+1-$C50))</f>
        <v/>
      </c>
      <c r="BD50" s="56" t="str">
        <f aca="false">IF(OR(BD$4="",$C50="",$D50="",N($E50)=0),"",$E50*MAX(0,MIN($D50+1,EDATE(BD$4,1))-MAX($C50,BD$4))/MAX(1,$D50+1-$C50))</f>
        <v/>
      </c>
      <c r="BE50" s="56" t="str">
        <f aca="false">IF(OR(BE$4="",$C50="",$D50="",N($E50)=0),"",$E50*MAX(0,MIN($D50+1,EDATE(BE$4,1))-MAX($C50,BE$4))/MAX(1,$D50+1-$C50))</f>
        <v/>
      </c>
      <c r="BF50" s="56" t="str">
        <f aca="false">IF(OR(BF$4="",$C50="",$D50="",N($E50)=0),"",$E50*MAX(0,MIN($D50+1,EDATE(BF$4,1))-MAX($C50,BF$4))/MAX(1,$D50+1-$C50))</f>
        <v/>
      </c>
      <c r="BG50" s="56" t="str">
        <f aca="false">IF(OR(BG$4="",$C50="",$D50="",N($E50)=0),"",$E50*MAX(0,MIN($D50+1,EDATE(BG$4,1))-MAX($C50,BG$4))/MAX(1,$D50+1-$C50))</f>
        <v/>
      </c>
      <c r="BH50" s="56" t="str">
        <f aca="false">IF(OR(BH$4="",$C50="",$D50="",N($E50)=0),"",$E50*MAX(0,MIN($D50+1,EDATE(BH$4,1))-MAX($C50,BH$4))/MAX(1,$D50+1-$C50))</f>
        <v/>
      </c>
      <c r="BI50" s="56" t="str">
        <f aca="false">IF(OR(BI$4="",$C50="",$D50="",N($E50)=0),"",$E50*MAX(0,MIN($D50+1,EDATE(BI$4,1))-MAX($C50,BI$4))/MAX(1,$D50+1-$C50))</f>
        <v/>
      </c>
      <c r="BJ50" s="56" t="str">
        <f aca="false">IF(OR(BJ$4="",$C50="",$D50="",N($E50)=0),"",$E50*MAX(0,MIN($D50+1,EDATE(BJ$4,1))-MAX($C50,BJ$4))/MAX(1,$D50+1-$C50))</f>
        <v/>
      </c>
      <c r="BK50" s="56" t="str">
        <f aca="false">IF(OR(BK$4="",$C50="",$D50="",N($E50)=0),"",$E50*MAX(0,MIN($D50+1,EDATE(BK$4,1))-MAX($C50,BK$4))/MAX(1,$D50+1-$C50))</f>
        <v/>
      </c>
      <c r="BL50" s="56" t="str">
        <f aca="false">IF(OR(BL$4="",$C50="",$D50="",N($E50)=0),"",$E50*MAX(0,MIN($D50+1,EDATE(BL$4,1))-MAX($C50,BL$4))/MAX(1,$D50+1-$C50))</f>
        <v/>
      </c>
      <c r="BM50" s="56" t="str">
        <f aca="false">IF(OR(BM$4="",$C50="",$D50="",N($E50)=0),"",$E50*MAX(0,MIN($D50+1,EDATE(BM$4,1))-MAX($C50,BM$4))/MAX(1,$D50+1-$C50))</f>
        <v/>
      </c>
      <c r="BN50" s="56" t="str">
        <f aca="false">IF(OR(BN$4="",$C50="",$D50="",N($E50)=0),"",$E50*MAX(0,MIN($D50+1,EDATE(BN$4,1))-MAX($C50,BN$4))/MAX(1,$D50+1-$C50))</f>
        <v/>
      </c>
      <c r="BO50" s="56" t="str">
        <f aca="false">IF(OR(BO$4="",$C50="",$D50="",N($E50)=0),"",$E50*MAX(0,MIN($D50+1,EDATE(BO$4,1))-MAX($C50,BO$4))/MAX(1,$D50+1-$C50))</f>
        <v/>
      </c>
      <c r="BP50" s="56" t="str">
        <f aca="false">IF(OR(BP$4="",$C50="",$D50="",N($E50)=0),"",$E50*MAX(0,MIN($D50+1,EDATE(BP$4,1))-MAX($C50,BP$4))/MAX(1,$D50+1-$C50))</f>
        <v/>
      </c>
      <c r="BQ50" s="56" t="str">
        <f aca="false">IF(OR(BQ$4="",$C50="",$D50="",N($E50)=0),"",$E50*MAX(0,MIN($D50+1,EDATE(BQ$4,1))-MAX($C50,BQ$4))/MAX(1,$D50+1-$C50))</f>
        <v/>
      </c>
      <c r="BR50" s="56" t="str">
        <f aca="false">IF(OR(BR$4="",$C50="",$D50="",N($E50)=0),"",$E50*MAX(0,MIN($D50+1,EDATE(BR$4,1))-MAX($C50,BR$4))/MAX(1,$D50+1-$C50))</f>
        <v/>
      </c>
      <c r="BS50" s="56" t="str">
        <f aca="false">IF(OR(BS$4="",$C50="",$D50="",N($E50)=0),"",$E50*MAX(0,MIN($D50+1,EDATE(BS$4,1))-MAX($C50,BS$4))/MAX(1,$D50+1-$C50))</f>
        <v/>
      </c>
      <c r="BT50" s="56" t="str">
        <f aca="false">IF(OR(BT$4="",$C50="",$D50="",N($E50)=0),"",$E50*MAX(0,MIN($D50+1,EDATE(BT$4,1))-MAX($C50,BT$4))/MAX(1,$D50+1-$C50))</f>
        <v/>
      </c>
      <c r="BU50" s="56" t="str">
        <f aca="false">IF(OR(BU$4="",$C50="",$D50="",N($E50)=0),"",$E50*MAX(0,MIN($D50+1,EDATE(BU$4,1))-MAX($C50,BU$4))/MAX(1,$D50+1-$C50))</f>
        <v/>
      </c>
      <c r="BV50" s="56" t="str">
        <f aca="false">IF(OR(BV$4="",$C50="",$D50="",N($E50)=0),"",$E50*MAX(0,MIN($D50+1,EDATE(BV$4,1))-MAX($C50,BV$4))/MAX(1,$D50+1-$C50))</f>
        <v/>
      </c>
      <c r="BW50" s="56" t="str">
        <f aca="false">IF(OR(BW$4="",$C50="",$D50="",N($E50)=0),"",$E50*MAX(0,MIN($D50+1,EDATE(BW$4,1))-MAX($C50,BW$4))/MAX(1,$D50+1-$C50))</f>
        <v/>
      </c>
      <c r="BX50" s="56" t="str">
        <f aca="false">IF(OR(BX$4="",$C50="",$D50="",N($E50)=0),"",$E50*MAX(0,MIN($D50+1,EDATE(BX$4,1))-MAX($C50,BX$4))/MAX(1,$D50+1-$C50))</f>
        <v/>
      </c>
      <c r="BY50" s="56" t="str">
        <f aca="false">IF(OR(BY$4="",$C50="",$D50="",N($E50)=0),"",$E50*MAX(0,MIN($D50+1,EDATE(BY$4,1))-MAX($C50,BY$4))/MAX(1,$D50+1-$C50))</f>
        <v/>
      </c>
    </row>
    <row r="51" customFormat="false" ht="15" hidden="false" customHeight="false" outlineLevel="0" collapsed="false">
      <c r="A51" s="53" t="str">
        <f aca="false">IF(BOE!$A52="","",BOE!$A52)</f>
        <v/>
      </c>
      <c r="B51" s="53" t="str">
        <f aca="false">IF(BOE!$A52="","",BOE!$C52)</f>
        <v/>
      </c>
      <c r="C51" s="54" t="str">
        <f aca="false">IF(BOE!$O52="","",BOE!$O52)</f>
        <v/>
      </c>
      <c r="D51" s="54" t="str">
        <f aca="false">IF(BOE!$P52="","",BOE!$P52)</f>
        <v/>
      </c>
      <c r="E51" s="55" t="n">
        <f aca="false">IF(Inputs!$B$7="P90",BOE!$T52,BOE!$R52)</f>
        <v>0</v>
      </c>
      <c r="F51" s="56" t="str">
        <f aca="false">IF(OR(F$4="",$C51="",$D51="",N($E51)=0),"",$E51*MAX(0,MIN($D51+1,EDATE(F$4,1))-MAX($C51,F$4))/MAX(1,$D51+1-$C51))</f>
        <v/>
      </c>
      <c r="G51" s="56" t="str">
        <f aca="false">IF(OR(G$4="",$C51="",$D51="",N($E51)=0),"",$E51*MAX(0,MIN($D51+1,EDATE(G$4,1))-MAX($C51,G$4))/MAX(1,$D51+1-$C51))</f>
        <v/>
      </c>
      <c r="H51" s="56" t="str">
        <f aca="false">IF(OR(H$4="",$C51="",$D51="",N($E51)=0),"",$E51*MAX(0,MIN($D51+1,EDATE(H$4,1))-MAX($C51,H$4))/MAX(1,$D51+1-$C51))</f>
        <v/>
      </c>
      <c r="I51" s="56" t="str">
        <f aca="false">IF(OR(I$4="",$C51="",$D51="",N($E51)=0),"",$E51*MAX(0,MIN($D51+1,EDATE(I$4,1))-MAX($C51,I$4))/MAX(1,$D51+1-$C51))</f>
        <v/>
      </c>
      <c r="J51" s="56" t="str">
        <f aca="false">IF(OR(J$4="",$C51="",$D51="",N($E51)=0),"",$E51*MAX(0,MIN($D51+1,EDATE(J$4,1))-MAX($C51,J$4))/MAX(1,$D51+1-$C51))</f>
        <v/>
      </c>
      <c r="K51" s="56" t="str">
        <f aca="false">IF(OR(K$4="",$C51="",$D51="",N($E51)=0),"",$E51*MAX(0,MIN($D51+1,EDATE(K$4,1))-MAX($C51,K$4))/MAX(1,$D51+1-$C51))</f>
        <v/>
      </c>
      <c r="L51" s="56" t="str">
        <f aca="false">IF(OR(L$4="",$C51="",$D51="",N($E51)=0),"",$E51*MAX(0,MIN($D51+1,EDATE(L$4,1))-MAX($C51,L$4))/MAX(1,$D51+1-$C51))</f>
        <v/>
      </c>
      <c r="M51" s="56" t="str">
        <f aca="false">IF(OR(M$4="",$C51="",$D51="",N($E51)=0),"",$E51*MAX(0,MIN($D51+1,EDATE(M$4,1))-MAX($C51,M$4))/MAX(1,$D51+1-$C51))</f>
        <v/>
      </c>
      <c r="N51" s="56" t="str">
        <f aca="false">IF(OR(N$4="",$C51="",$D51="",N($E51)=0),"",$E51*MAX(0,MIN($D51+1,EDATE(N$4,1))-MAX($C51,N$4))/MAX(1,$D51+1-$C51))</f>
        <v/>
      </c>
      <c r="O51" s="56" t="str">
        <f aca="false">IF(OR(O$4="",$C51="",$D51="",N($E51)=0),"",$E51*MAX(0,MIN($D51+1,EDATE(O$4,1))-MAX($C51,O$4))/MAX(1,$D51+1-$C51))</f>
        <v/>
      </c>
      <c r="P51" s="56" t="str">
        <f aca="false">IF(OR(P$4="",$C51="",$D51="",N($E51)=0),"",$E51*MAX(0,MIN($D51+1,EDATE(P$4,1))-MAX($C51,P$4))/MAX(1,$D51+1-$C51))</f>
        <v/>
      </c>
      <c r="Q51" s="56" t="str">
        <f aca="false">IF(OR(Q$4="",$C51="",$D51="",N($E51)=0),"",$E51*MAX(0,MIN($D51+1,EDATE(Q$4,1))-MAX($C51,Q$4))/MAX(1,$D51+1-$C51))</f>
        <v/>
      </c>
      <c r="R51" s="56" t="str">
        <f aca="false">IF(OR(R$4="",$C51="",$D51="",N($E51)=0),"",$E51*MAX(0,MIN($D51+1,EDATE(R$4,1))-MAX($C51,R$4))/MAX(1,$D51+1-$C51))</f>
        <v/>
      </c>
      <c r="S51" s="56" t="str">
        <f aca="false">IF(OR(S$4="",$C51="",$D51="",N($E51)=0),"",$E51*MAX(0,MIN($D51+1,EDATE(S$4,1))-MAX($C51,S$4))/MAX(1,$D51+1-$C51))</f>
        <v/>
      </c>
      <c r="T51" s="56" t="str">
        <f aca="false">IF(OR(T$4="",$C51="",$D51="",N($E51)=0),"",$E51*MAX(0,MIN($D51+1,EDATE(T$4,1))-MAX($C51,T$4))/MAX(1,$D51+1-$C51))</f>
        <v/>
      </c>
      <c r="U51" s="56" t="str">
        <f aca="false">IF(OR(U$4="",$C51="",$D51="",N($E51)=0),"",$E51*MAX(0,MIN($D51+1,EDATE(U$4,1))-MAX($C51,U$4))/MAX(1,$D51+1-$C51))</f>
        <v/>
      </c>
      <c r="V51" s="56" t="str">
        <f aca="false">IF(OR(V$4="",$C51="",$D51="",N($E51)=0),"",$E51*MAX(0,MIN($D51+1,EDATE(V$4,1))-MAX($C51,V$4))/MAX(1,$D51+1-$C51))</f>
        <v/>
      </c>
      <c r="W51" s="56" t="str">
        <f aca="false">IF(OR(W$4="",$C51="",$D51="",N($E51)=0),"",$E51*MAX(0,MIN($D51+1,EDATE(W$4,1))-MAX($C51,W$4))/MAX(1,$D51+1-$C51))</f>
        <v/>
      </c>
      <c r="X51" s="56" t="str">
        <f aca="false">IF(OR(X$4="",$C51="",$D51="",N($E51)=0),"",$E51*MAX(0,MIN($D51+1,EDATE(X$4,1))-MAX($C51,X$4))/MAX(1,$D51+1-$C51))</f>
        <v/>
      </c>
      <c r="Y51" s="56" t="str">
        <f aca="false">IF(OR(Y$4="",$C51="",$D51="",N($E51)=0),"",$E51*MAX(0,MIN($D51+1,EDATE(Y$4,1))-MAX($C51,Y$4))/MAX(1,$D51+1-$C51))</f>
        <v/>
      </c>
      <c r="Z51" s="56" t="str">
        <f aca="false">IF(OR(Z$4="",$C51="",$D51="",N($E51)=0),"",$E51*MAX(0,MIN($D51+1,EDATE(Z$4,1))-MAX($C51,Z$4))/MAX(1,$D51+1-$C51))</f>
        <v/>
      </c>
      <c r="AA51" s="56" t="str">
        <f aca="false">IF(OR(AA$4="",$C51="",$D51="",N($E51)=0),"",$E51*MAX(0,MIN($D51+1,EDATE(AA$4,1))-MAX($C51,AA$4))/MAX(1,$D51+1-$C51))</f>
        <v/>
      </c>
      <c r="AB51" s="56" t="str">
        <f aca="false">IF(OR(AB$4="",$C51="",$D51="",N($E51)=0),"",$E51*MAX(0,MIN($D51+1,EDATE(AB$4,1))-MAX($C51,AB$4))/MAX(1,$D51+1-$C51))</f>
        <v/>
      </c>
      <c r="AC51" s="56" t="str">
        <f aca="false">IF(OR(AC$4="",$C51="",$D51="",N($E51)=0),"",$E51*MAX(0,MIN($D51+1,EDATE(AC$4,1))-MAX($C51,AC$4))/MAX(1,$D51+1-$C51))</f>
        <v/>
      </c>
      <c r="AD51" s="56" t="str">
        <f aca="false">IF(OR(AD$4="",$C51="",$D51="",N($E51)=0),"",$E51*MAX(0,MIN($D51+1,EDATE(AD$4,1))-MAX($C51,AD$4))/MAX(1,$D51+1-$C51))</f>
        <v/>
      </c>
      <c r="AE51" s="56" t="str">
        <f aca="false">IF(OR(AE$4="",$C51="",$D51="",N($E51)=0),"",$E51*MAX(0,MIN($D51+1,EDATE(AE$4,1))-MAX($C51,AE$4))/MAX(1,$D51+1-$C51))</f>
        <v/>
      </c>
      <c r="AF51" s="56" t="str">
        <f aca="false">IF(OR(AF$4="",$C51="",$D51="",N($E51)=0),"",$E51*MAX(0,MIN($D51+1,EDATE(AF$4,1))-MAX($C51,AF$4))/MAX(1,$D51+1-$C51))</f>
        <v/>
      </c>
      <c r="AG51" s="56" t="str">
        <f aca="false">IF(OR(AG$4="",$C51="",$D51="",N($E51)=0),"",$E51*MAX(0,MIN($D51+1,EDATE(AG$4,1))-MAX($C51,AG$4))/MAX(1,$D51+1-$C51))</f>
        <v/>
      </c>
      <c r="AH51" s="56" t="str">
        <f aca="false">IF(OR(AH$4="",$C51="",$D51="",N($E51)=0),"",$E51*MAX(0,MIN($D51+1,EDATE(AH$4,1))-MAX($C51,AH$4))/MAX(1,$D51+1-$C51))</f>
        <v/>
      </c>
      <c r="AI51" s="56" t="str">
        <f aca="false">IF(OR(AI$4="",$C51="",$D51="",N($E51)=0),"",$E51*MAX(0,MIN($D51+1,EDATE(AI$4,1))-MAX($C51,AI$4))/MAX(1,$D51+1-$C51))</f>
        <v/>
      </c>
      <c r="AJ51" s="56" t="str">
        <f aca="false">IF(OR(AJ$4="",$C51="",$D51="",N($E51)=0),"",$E51*MAX(0,MIN($D51+1,EDATE(AJ$4,1))-MAX($C51,AJ$4))/MAX(1,$D51+1-$C51))</f>
        <v/>
      </c>
      <c r="AK51" s="56" t="str">
        <f aca="false">IF(OR(AK$4="",$C51="",$D51="",N($E51)=0),"",$E51*MAX(0,MIN($D51+1,EDATE(AK$4,1))-MAX($C51,AK$4))/MAX(1,$D51+1-$C51))</f>
        <v/>
      </c>
      <c r="AL51" s="56" t="str">
        <f aca="false">IF(OR(AL$4="",$C51="",$D51="",N($E51)=0),"",$E51*MAX(0,MIN($D51+1,EDATE(AL$4,1))-MAX($C51,AL$4))/MAX(1,$D51+1-$C51))</f>
        <v/>
      </c>
      <c r="AM51" s="56" t="str">
        <f aca="false">IF(OR(AM$4="",$C51="",$D51="",N($E51)=0),"",$E51*MAX(0,MIN($D51+1,EDATE(AM$4,1))-MAX($C51,AM$4))/MAX(1,$D51+1-$C51))</f>
        <v/>
      </c>
      <c r="AN51" s="56" t="str">
        <f aca="false">IF(OR(AN$4="",$C51="",$D51="",N($E51)=0),"",$E51*MAX(0,MIN($D51+1,EDATE(AN$4,1))-MAX($C51,AN$4))/MAX(1,$D51+1-$C51))</f>
        <v/>
      </c>
      <c r="AO51" s="56" t="str">
        <f aca="false">IF(OR(AO$4="",$C51="",$D51="",N($E51)=0),"",$E51*MAX(0,MIN($D51+1,EDATE(AO$4,1))-MAX($C51,AO$4))/MAX(1,$D51+1-$C51))</f>
        <v/>
      </c>
      <c r="AP51" s="56" t="str">
        <f aca="false">IF(OR(AP$4="",$C51="",$D51="",N($E51)=0),"",$E51*MAX(0,MIN($D51+1,EDATE(AP$4,1))-MAX($C51,AP$4))/MAX(1,$D51+1-$C51))</f>
        <v/>
      </c>
      <c r="AQ51" s="56" t="str">
        <f aca="false">IF(OR(AQ$4="",$C51="",$D51="",N($E51)=0),"",$E51*MAX(0,MIN($D51+1,EDATE(AQ$4,1))-MAX($C51,AQ$4))/MAX(1,$D51+1-$C51))</f>
        <v/>
      </c>
      <c r="AR51" s="56" t="str">
        <f aca="false">IF(OR(AR$4="",$C51="",$D51="",N($E51)=0),"",$E51*MAX(0,MIN($D51+1,EDATE(AR$4,1))-MAX($C51,AR$4))/MAX(1,$D51+1-$C51))</f>
        <v/>
      </c>
      <c r="AS51" s="56" t="str">
        <f aca="false">IF(OR(AS$4="",$C51="",$D51="",N($E51)=0),"",$E51*MAX(0,MIN($D51+1,EDATE(AS$4,1))-MAX($C51,AS$4))/MAX(1,$D51+1-$C51))</f>
        <v/>
      </c>
      <c r="AT51" s="56" t="str">
        <f aca="false">IF(OR(AT$4="",$C51="",$D51="",N($E51)=0),"",$E51*MAX(0,MIN($D51+1,EDATE(AT$4,1))-MAX($C51,AT$4))/MAX(1,$D51+1-$C51))</f>
        <v/>
      </c>
      <c r="AU51" s="56" t="str">
        <f aca="false">IF(OR(AU$4="",$C51="",$D51="",N($E51)=0),"",$E51*MAX(0,MIN($D51+1,EDATE(AU$4,1))-MAX($C51,AU$4))/MAX(1,$D51+1-$C51))</f>
        <v/>
      </c>
      <c r="AV51" s="56" t="str">
        <f aca="false">IF(OR(AV$4="",$C51="",$D51="",N($E51)=0),"",$E51*MAX(0,MIN($D51+1,EDATE(AV$4,1))-MAX($C51,AV$4))/MAX(1,$D51+1-$C51))</f>
        <v/>
      </c>
      <c r="AW51" s="56" t="str">
        <f aca="false">IF(OR(AW$4="",$C51="",$D51="",N($E51)=0),"",$E51*MAX(0,MIN($D51+1,EDATE(AW$4,1))-MAX($C51,AW$4))/MAX(1,$D51+1-$C51))</f>
        <v/>
      </c>
      <c r="AX51" s="56" t="str">
        <f aca="false">IF(OR(AX$4="",$C51="",$D51="",N($E51)=0),"",$E51*MAX(0,MIN($D51+1,EDATE(AX$4,1))-MAX($C51,AX$4))/MAX(1,$D51+1-$C51))</f>
        <v/>
      </c>
      <c r="AY51" s="56" t="str">
        <f aca="false">IF(OR(AY$4="",$C51="",$D51="",N($E51)=0),"",$E51*MAX(0,MIN($D51+1,EDATE(AY$4,1))-MAX($C51,AY$4))/MAX(1,$D51+1-$C51))</f>
        <v/>
      </c>
      <c r="AZ51" s="56" t="str">
        <f aca="false">IF(OR(AZ$4="",$C51="",$D51="",N($E51)=0),"",$E51*MAX(0,MIN($D51+1,EDATE(AZ$4,1))-MAX($C51,AZ$4))/MAX(1,$D51+1-$C51))</f>
        <v/>
      </c>
      <c r="BA51" s="56" t="str">
        <f aca="false">IF(OR(BA$4="",$C51="",$D51="",N($E51)=0),"",$E51*MAX(0,MIN($D51+1,EDATE(BA$4,1))-MAX($C51,BA$4))/MAX(1,$D51+1-$C51))</f>
        <v/>
      </c>
      <c r="BB51" s="56" t="str">
        <f aca="false">IF(OR(BB$4="",$C51="",$D51="",N($E51)=0),"",$E51*MAX(0,MIN($D51+1,EDATE(BB$4,1))-MAX($C51,BB$4))/MAX(1,$D51+1-$C51))</f>
        <v/>
      </c>
      <c r="BC51" s="56" t="str">
        <f aca="false">IF(OR(BC$4="",$C51="",$D51="",N($E51)=0),"",$E51*MAX(0,MIN($D51+1,EDATE(BC$4,1))-MAX($C51,BC$4))/MAX(1,$D51+1-$C51))</f>
        <v/>
      </c>
      <c r="BD51" s="56" t="str">
        <f aca="false">IF(OR(BD$4="",$C51="",$D51="",N($E51)=0),"",$E51*MAX(0,MIN($D51+1,EDATE(BD$4,1))-MAX($C51,BD$4))/MAX(1,$D51+1-$C51))</f>
        <v/>
      </c>
      <c r="BE51" s="56" t="str">
        <f aca="false">IF(OR(BE$4="",$C51="",$D51="",N($E51)=0),"",$E51*MAX(0,MIN($D51+1,EDATE(BE$4,1))-MAX($C51,BE$4))/MAX(1,$D51+1-$C51))</f>
        <v/>
      </c>
      <c r="BF51" s="56" t="str">
        <f aca="false">IF(OR(BF$4="",$C51="",$D51="",N($E51)=0),"",$E51*MAX(0,MIN($D51+1,EDATE(BF$4,1))-MAX($C51,BF$4))/MAX(1,$D51+1-$C51))</f>
        <v/>
      </c>
      <c r="BG51" s="56" t="str">
        <f aca="false">IF(OR(BG$4="",$C51="",$D51="",N($E51)=0),"",$E51*MAX(0,MIN($D51+1,EDATE(BG$4,1))-MAX($C51,BG$4))/MAX(1,$D51+1-$C51))</f>
        <v/>
      </c>
      <c r="BH51" s="56" t="str">
        <f aca="false">IF(OR(BH$4="",$C51="",$D51="",N($E51)=0),"",$E51*MAX(0,MIN($D51+1,EDATE(BH$4,1))-MAX($C51,BH$4))/MAX(1,$D51+1-$C51))</f>
        <v/>
      </c>
      <c r="BI51" s="56" t="str">
        <f aca="false">IF(OR(BI$4="",$C51="",$D51="",N($E51)=0),"",$E51*MAX(0,MIN($D51+1,EDATE(BI$4,1))-MAX($C51,BI$4))/MAX(1,$D51+1-$C51))</f>
        <v/>
      </c>
      <c r="BJ51" s="56" t="str">
        <f aca="false">IF(OR(BJ$4="",$C51="",$D51="",N($E51)=0),"",$E51*MAX(0,MIN($D51+1,EDATE(BJ$4,1))-MAX($C51,BJ$4))/MAX(1,$D51+1-$C51))</f>
        <v/>
      </c>
      <c r="BK51" s="56" t="str">
        <f aca="false">IF(OR(BK$4="",$C51="",$D51="",N($E51)=0),"",$E51*MAX(0,MIN($D51+1,EDATE(BK$4,1))-MAX($C51,BK$4))/MAX(1,$D51+1-$C51))</f>
        <v/>
      </c>
      <c r="BL51" s="56" t="str">
        <f aca="false">IF(OR(BL$4="",$C51="",$D51="",N($E51)=0),"",$E51*MAX(0,MIN($D51+1,EDATE(BL$4,1))-MAX($C51,BL$4))/MAX(1,$D51+1-$C51))</f>
        <v/>
      </c>
      <c r="BM51" s="56" t="str">
        <f aca="false">IF(OR(BM$4="",$C51="",$D51="",N($E51)=0),"",$E51*MAX(0,MIN($D51+1,EDATE(BM$4,1))-MAX($C51,BM$4))/MAX(1,$D51+1-$C51))</f>
        <v/>
      </c>
      <c r="BN51" s="56" t="str">
        <f aca="false">IF(OR(BN$4="",$C51="",$D51="",N($E51)=0),"",$E51*MAX(0,MIN($D51+1,EDATE(BN$4,1))-MAX($C51,BN$4))/MAX(1,$D51+1-$C51))</f>
        <v/>
      </c>
      <c r="BO51" s="56" t="str">
        <f aca="false">IF(OR(BO$4="",$C51="",$D51="",N($E51)=0),"",$E51*MAX(0,MIN($D51+1,EDATE(BO$4,1))-MAX($C51,BO$4))/MAX(1,$D51+1-$C51))</f>
        <v/>
      </c>
      <c r="BP51" s="56" t="str">
        <f aca="false">IF(OR(BP$4="",$C51="",$D51="",N($E51)=0),"",$E51*MAX(0,MIN($D51+1,EDATE(BP$4,1))-MAX($C51,BP$4))/MAX(1,$D51+1-$C51))</f>
        <v/>
      </c>
      <c r="BQ51" s="56" t="str">
        <f aca="false">IF(OR(BQ$4="",$C51="",$D51="",N($E51)=0),"",$E51*MAX(0,MIN($D51+1,EDATE(BQ$4,1))-MAX($C51,BQ$4))/MAX(1,$D51+1-$C51))</f>
        <v/>
      </c>
      <c r="BR51" s="56" t="str">
        <f aca="false">IF(OR(BR$4="",$C51="",$D51="",N($E51)=0),"",$E51*MAX(0,MIN($D51+1,EDATE(BR$4,1))-MAX($C51,BR$4))/MAX(1,$D51+1-$C51))</f>
        <v/>
      </c>
      <c r="BS51" s="56" t="str">
        <f aca="false">IF(OR(BS$4="",$C51="",$D51="",N($E51)=0),"",$E51*MAX(0,MIN($D51+1,EDATE(BS$4,1))-MAX($C51,BS$4))/MAX(1,$D51+1-$C51))</f>
        <v/>
      </c>
      <c r="BT51" s="56" t="str">
        <f aca="false">IF(OR(BT$4="",$C51="",$D51="",N($E51)=0),"",$E51*MAX(0,MIN($D51+1,EDATE(BT$4,1))-MAX($C51,BT$4))/MAX(1,$D51+1-$C51))</f>
        <v/>
      </c>
      <c r="BU51" s="56" t="str">
        <f aca="false">IF(OR(BU$4="",$C51="",$D51="",N($E51)=0),"",$E51*MAX(0,MIN($D51+1,EDATE(BU$4,1))-MAX($C51,BU$4))/MAX(1,$D51+1-$C51))</f>
        <v/>
      </c>
      <c r="BV51" s="56" t="str">
        <f aca="false">IF(OR(BV$4="",$C51="",$D51="",N($E51)=0),"",$E51*MAX(0,MIN($D51+1,EDATE(BV$4,1))-MAX($C51,BV$4))/MAX(1,$D51+1-$C51))</f>
        <v/>
      </c>
      <c r="BW51" s="56" t="str">
        <f aca="false">IF(OR(BW$4="",$C51="",$D51="",N($E51)=0),"",$E51*MAX(0,MIN($D51+1,EDATE(BW$4,1))-MAX($C51,BW$4))/MAX(1,$D51+1-$C51))</f>
        <v/>
      </c>
      <c r="BX51" s="56" t="str">
        <f aca="false">IF(OR(BX$4="",$C51="",$D51="",N($E51)=0),"",$E51*MAX(0,MIN($D51+1,EDATE(BX$4,1))-MAX($C51,BX$4))/MAX(1,$D51+1-$C51))</f>
        <v/>
      </c>
      <c r="BY51" s="56" t="str">
        <f aca="false">IF(OR(BY$4="",$C51="",$D51="",N($E51)=0),"",$E51*MAX(0,MIN($D51+1,EDATE(BY$4,1))-MAX($C51,BY$4))/MAX(1,$D51+1-$C51))</f>
        <v/>
      </c>
    </row>
    <row r="52" customFormat="false" ht="15" hidden="false" customHeight="false" outlineLevel="0" collapsed="false">
      <c r="A52" s="53" t="str">
        <f aca="false">IF(BOE!$A53="","",BOE!$A53)</f>
        <v/>
      </c>
      <c r="B52" s="53" t="str">
        <f aca="false">IF(BOE!$A53="","",BOE!$C53)</f>
        <v/>
      </c>
      <c r="C52" s="54" t="str">
        <f aca="false">IF(BOE!$O53="","",BOE!$O53)</f>
        <v/>
      </c>
      <c r="D52" s="54" t="str">
        <f aca="false">IF(BOE!$P53="","",BOE!$P53)</f>
        <v/>
      </c>
      <c r="E52" s="55" t="n">
        <f aca="false">IF(Inputs!$B$7="P90",BOE!$T53,BOE!$R53)</f>
        <v>0</v>
      </c>
      <c r="F52" s="56" t="str">
        <f aca="false">IF(OR(F$4="",$C52="",$D52="",N($E52)=0),"",$E52*MAX(0,MIN($D52+1,EDATE(F$4,1))-MAX($C52,F$4))/MAX(1,$D52+1-$C52))</f>
        <v/>
      </c>
      <c r="G52" s="56" t="str">
        <f aca="false">IF(OR(G$4="",$C52="",$D52="",N($E52)=0),"",$E52*MAX(0,MIN($D52+1,EDATE(G$4,1))-MAX($C52,G$4))/MAX(1,$D52+1-$C52))</f>
        <v/>
      </c>
      <c r="H52" s="56" t="str">
        <f aca="false">IF(OR(H$4="",$C52="",$D52="",N($E52)=0),"",$E52*MAX(0,MIN($D52+1,EDATE(H$4,1))-MAX($C52,H$4))/MAX(1,$D52+1-$C52))</f>
        <v/>
      </c>
      <c r="I52" s="56" t="str">
        <f aca="false">IF(OR(I$4="",$C52="",$D52="",N($E52)=0),"",$E52*MAX(0,MIN($D52+1,EDATE(I$4,1))-MAX($C52,I$4))/MAX(1,$D52+1-$C52))</f>
        <v/>
      </c>
      <c r="J52" s="56" t="str">
        <f aca="false">IF(OR(J$4="",$C52="",$D52="",N($E52)=0),"",$E52*MAX(0,MIN($D52+1,EDATE(J$4,1))-MAX($C52,J$4))/MAX(1,$D52+1-$C52))</f>
        <v/>
      </c>
      <c r="K52" s="56" t="str">
        <f aca="false">IF(OR(K$4="",$C52="",$D52="",N($E52)=0),"",$E52*MAX(0,MIN($D52+1,EDATE(K$4,1))-MAX($C52,K$4))/MAX(1,$D52+1-$C52))</f>
        <v/>
      </c>
      <c r="L52" s="56" t="str">
        <f aca="false">IF(OR(L$4="",$C52="",$D52="",N($E52)=0),"",$E52*MAX(0,MIN($D52+1,EDATE(L$4,1))-MAX($C52,L$4))/MAX(1,$D52+1-$C52))</f>
        <v/>
      </c>
      <c r="M52" s="56" t="str">
        <f aca="false">IF(OR(M$4="",$C52="",$D52="",N($E52)=0),"",$E52*MAX(0,MIN($D52+1,EDATE(M$4,1))-MAX($C52,M$4))/MAX(1,$D52+1-$C52))</f>
        <v/>
      </c>
      <c r="N52" s="56" t="str">
        <f aca="false">IF(OR(N$4="",$C52="",$D52="",N($E52)=0),"",$E52*MAX(0,MIN($D52+1,EDATE(N$4,1))-MAX($C52,N$4))/MAX(1,$D52+1-$C52))</f>
        <v/>
      </c>
      <c r="O52" s="56" t="str">
        <f aca="false">IF(OR(O$4="",$C52="",$D52="",N($E52)=0),"",$E52*MAX(0,MIN($D52+1,EDATE(O$4,1))-MAX($C52,O$4))/MAX(1,$D52+1-$C52))</f>
        <v/>
      </c>
      <c r="P52" s="56" t="str">
        <f aca="false">IF(OR(P$4="",$C52="",$D52="",N($E52)=0),"",$E52*MAX(0,MIN($D52+1,EDATE(P$4,1))-MAX($C52,P$4))/MAX(1,$D52+1-$C52))</f>
        <v/>
      </c>
      <c r="Q52" s="56" t="str">
        <f aca="false">IF(OR(Q$4="",$C52="",$D52="",N($E52)=0),"",$E52*MAX(0,MIN($D52+1,EDATE(Q$4,1))-MAX($C52,Q$4))/MAX(1,$D52+1-$C52))</f>
        <v/>
      </c>
      <c r="R52" s="56" t="str">
        <f aca="false">IF(OR(R$4="",$C52="",$D52="",N($E52)=0),"",$E52*MAX(0,MIN($D52+1,EDATE(R$4,1))-MAX($C52,R$4))/MAX(1,$D52+1-$C52))</f>
        <v/>
      </c>
      <c r="S52" s="56" t="str">
        <f aca="false">IF(OR(S$4="",$C52="",$D52="",N($E52)=0),"",$E52*MAX(0,MIN($D52+1,EDATE(S$4,1))-MAX($C52,S$4))/MAX(1,$D52+1-$C52))</f>
        <v/>
      </c>
      <c r="T52" s="56" t="str">
        <f aca="false">IF(OR(T$4="",$C52="",$D52="",N($E52)=0),"",$E52*MAX(0,MIN($D52+1,EDATE(T$4,1))-MAX($C52,T$4))/MAX(1,$D52+1-$C52))</f>
        <v/>
      </c>
      <c r="U52" s="56" t="str">
        <f aca="false">IF(OR(U$4="",$C52="",$D52="",N($E52)=0),"",$E52*MAX(0,MIN($D52+1,EDATE(U$4,1))-MAX($C52,U$4))/MAX(1,$D52+1-$C52))</f>
        <v/>
      </c>
      <c r="V52" s="56" t="str">
        <f aca="false">IF(OR(V$4="",$C52="",$D52="",N($E52)=0),"",$E52*MAX(0,MIN($D52+1,EDATE(V$4,1))-MAX($C52,V$4))/MAX(1,$D52+1-$C52))</f>
        <v/>
      </c>
      <c r="W52" s="56" t="str">
        <f aca="false">IF(OR(W$4="",$C52="",$D52="",N($E52)=0),"",$E52*MAX(0,MIN($D52+1,EDATE(W$4,1))-MAX($C52,W$4))/MAX(1,$D52+1-$C52))</f>
        <v/>
      </c>
      <c r="X52" s="56" t="str">
        <f aca="false">IF(OR(X$4="",$C52="",$D52="",N($E52)=0),"",$E52*MAX(0,MIN($D52+1,EDATE(X$4,1))-MAX($C52,X$4))/MAX(1,$D52+1-$C52))</f>
        <v/>
      </c>
      <c r="Y52" s="56" t="str">
        <f aca="false">IF(OR(Y$4="",$C52="",$D52="",N($E52)=0),"",$E52*MAX(0,MIN($D52+1,EDATE(Y$4,1))-MAX($C52,Y$4))/MAX(1,$D52+1-$C52))</f>
        <v/>
      </c>
      <c r="Z52" s="56" t="str">
        <f aca="false">IF(OR(Z$4="",$C52="",$D52="",N($E52)=0),"",$E52*MAX(0,MIN($D52+1,EDATE(Z$4,1))-MAX($C52,Z$4))/MAX(1,$D52+1-$C52))</f>
        <v/>
      </c>
      <c r="AA52" s="56" t="str">
        <f aca="false">IF(OR(AA$4="",$C52="",$D52="",N($E52)=0),"",$E52*MAX(0,MIN($D52+1,EDATE(AA$4,1))-MAX($C52,AA$4))/MAX(1,$D52+1-$C52))</f>
        <v/>
      </c>
      <c r="AB52" s="56" t="str">
        <f aca="false">IF(OR(AB$4="",$C52="",$D52="",N($E52)=0),"",$E52*MAX(0,MIN($D52+1,EDATE(AB$4,1))-MAX($C52,AB$4))/MAX(1,$D52+1-$C52))</f>
        <v/>
      </c>
      <c r="AC52" s="56" t="str">
        <f aca="false">IF(OR(AC$4="",$C52="",$D52="",N($E52)=0),"",$E52*MAX(0,MIN($D52+1,EDATE(AC$4,1))-MAX($C52,AC$4))/MAX(1,$D52+1-$C52))</f>
        <v/>
      </c>
      <c r="AD52" s="56" t="str">
        <f aca="false">IF(OR(AD$4="",$C52="",$D52="",N($E52)=0),"",$E52*MAX(0,MIN($D52+1,EDATE(AD$4,1))-MAX($C52,AD$4))/MAX(1,$D52+1-$C52))</f>
        <v/>
      </c>
      <c r="AE52" s="56" t="str">
        <f aca="false">IF(OR(AE$4="",$C52="",$D52="",N($E52)=0),"",$E52*MAX(0,MIN($D52+1,EDATE(AE$4,1))-MAX($C52,AE$4))/MAX(1,$D52+1-$C52))</f>
        <v/>
      </c>
      <c r="AF52" s="56" t="str">
        <f aca="false">IF(OR(AF$4="",$C52="",$D52="",N($E52)=0),"",$E52*MAX(0,MIN($D52+1,EDATE(AF$4,1))-MAX($C52,AF$4))/MAX(1,$D52+1-$C52))</f>
        <v/>
      </c>
      <c r="AG52" s="56" t="str">
        <f aca="false">IF(OR(AG$4="",$C52="",$D52="",N($E52)=0),"",$E52*MAX(0,MIN($D52+1,EDATE(AG$4,1))-MAX($C52,AG$4))/MAX(1,$D52+1-$C52))</f>
        <v/>
      </c>
      <c r="AH52" s="56" t="str">
        <f aca="false">IF(OR(AH$4="",$C52="",$D52="",N($E52)=0),"",$E52*MAX(0,MIN($D52+1,EDATE(AH$4,1))-MAX($C52,AH$4))/MAX(1,$D52+1-$C52))</f>
        <v/>
      </c>
      <c r="AI52" s="56" t="str">
        <f aca="false">IF(OR(AI$4="",$C52="",$D52="",N($E52)=0),"",$E52*MAX(0,MIN($D52+1,EDATE(AI$4,1))-MAX($C52,AI$4))/MAX(1,$D52+1-$C52))</f>
        <v/>
      </c>
      <c r="AJ52" s="56" t="str">
        <f aca="false">IF(OR(AJ$4="",$C52="",$D52="",N($E52)=0),"",$E52*MAX(0,MIN($D52+1,EDATE(AJ$4,1))-MAX($C52,AJ$4))/MAX(1,$D52+1-$C52))</f>
        <v/>
      </c>
      <c r="AK52" s="56" t="str">
        <f aca="false">IF(OR(AK$4="",$C52="",$D52="",N($E52)=0),"",$E52*MAX(0,MIN($D52+1,EDATE(AK$4,1))-MAX($C52,AK$4))/MAX(1,$D52+1-$C52))</f>
        <v/>
      </c>
      <c r="AL52" s="56" t="str">
        <f aca="false">IF(OR(AL$4="",$C52="",$D52="",N($E52)=0),"",$E52*MAX(0,MIN($D52+1,EDATE(AL$4,1))-MAX($C52,AL$4))/MAX(1,$D52+1-$C52))</f>
        <v/>
      </c>
      <c r="AM52" s="56" t="str">
        <f aca="false">IF(OR(AM$4="",$C52="",$D52="",N($E52)=0),"",$E52*MAX(0,MIN($D52+1,EDATE(AM$4,1))-MAX($C52,AM$4))/MAX(1,$D52+1-$C52))</f>
        <v/>
      </c>
      <c r="AN52" s="56" t="str">
        <f aca="false">IF(OR(AN$4="",$C52="",$D52="",N($E52)=0),"",$E52*MAX(0,MIN($D52+1,EDATE(AN$4,1))-MAX($C52,AN$4))/MAX(1,$D52+1-$C52))</f>
        <v/>
      </c>
      <c r="AO52" s="56" t="str">
        <f aca="false">IF(OR(AO$4="",$C52="",$D52="",N($E52)=0),"",$E52*MAX(0,MIN($D52+1,EDATE(AO$4,1))-MAX($C52,AO$4))/MAX(1,$D52+1-$C52))</f>
        <v/>
      </c>
      <c r="AP52" s="56" t="str">
        <f aca="false">IF(OR(AP$4="",$C52="",$D52="",N($E52)=0),"",$E52*MAX(0,MIN($D52+1,EDATE(AP$4,1))-MAX($C52,AP$4))/MAX(1,$D52+1-$C52))</f>
        <v/>
      </c>
      <c r="AQ52" s="56" t="str">
        <f aca="false">IF(OR(AQ$4="",$C52="",$D52="",N($E52)=0),"",$E52*MAX(0,MIN($D52+1,EDATE(AQ$4,1))-MAX($C52,AQ$4))/MAX(1,$D52+1-$C52))</f>
        <v/>
      </c>
      <c r="AR52" s="56" t="str">
        <f aca="false">IF(OR(AR$4="",$C52="",$D52="",N($E52)=0),"",$E52*MAX(0,MIN($D52+1,EDATE(AR$4,1))-MAX($C52,AR$4))/MAX(1,$D52+1-$C52))</f>
        <v/>
      </c>
      <c r="AS52" s="56" t="str">
        <f aca="false">IF(OR(AS$4="",$C52="",$D52="",N($E52)=0),"",$E52*MAX(0,MIN($D52+1,EDATE(AS$4,1))-MAX($C52,AS$4))/MAX(1,$D52+1-$C52))</f>
        <v/>
      </c>
      <c r="AT52" s="56" t="str">
        <f aca="false">IF(OR(AT$4="",$C52="",$D52="",N($E52)=0),"",$E52*MAX(0,MIN($D52+1,EDATE(AT$4,1))-MAX($C52,AT$4))/MAX(1,$D52+1-$C52))</f>
        <v/>
      </c>
      <c r="AU52" s="56" t="str">
        <f aca="false">IF(OR(AU$4="",$C52="",$D52="",N($E52)=0),"",$E52*MAX(0,MIN($D52+1,EDATE(AU$4,1))-MAX($C52,AU$4))/MAX(1,$D52+1-$C52))</f>
        <v/>
      </c>
      <c r="AV52" s="56" t="str">
        <f aca="false">IF(OR(AV$4="",$C52="",$D52="",N($E52)=0),"",$E52*MAX(0,MIN($D52+1,EDATE(AV$4,1))-MAX($C52,AV$4))/MAX(1,$D52+1-$C52))</f>
        <v/>
      </c>
      <c r="AW52" s="56" t="str">
        <f aca="false">IF(OR(AW$4="",$C52="",$D52="",N($E52)=0),"",$E52*MAX(0,MIN($D52+1,EDATE(AW$4,1))-MAX($C52,AW$4))/MAX(1,$D52+1-$C52))</f>
        <v/>
      </c>
      <c r="AX52" s="56" t="str">
        <f aca="false">IF(OR(AX$4="",$C52="",$D52="",N($E52)=0),"",$E52*MAX(0,MIN($D52+1,EDATE(AX$4,1))-MAX($C52,AX$4))/MAX(1,$D52+1-$C52))</f>
        <v/>
      </c>
      <c r="AY52" s="56" t="str">
        <f aca="false">IF(OR(AY$4="",$C52="",$D52="",N($E52)=0),"",$E52*MAX(0,MIN($D52+1,EDATE(AY$4,1))-MAX($C52,AY$4))/MAX(1,$D52+1-$C52))</f>
        <v/>
      </c>
      <c r="AZ52" s="56" t="str">
        <f aca="false">IF(OR(AZ$4="",$C52="",$D52="",N($E52)=0),"",$E52*MAX(0,MIN($D52+1,EDATE(AZ$4,1))-MAX($C52,AZ$4))/MAX(1,$D52+1-$C52))</f>
        <v/>
      </c>
      <c r="BA52" s="56" t="str">
        <f aca="false">IF(OR(BA$4="",$C52="",$D52="",N($E52)=0),"",$E52*MAX(0,MIN($D52+1,EDATE(BA$4,1))-MAX($C52,BA$4))/MAX(1,$D52+1-$C52))</f>
        <v/>
      </c>
      <c r="BB52" s="56" t="str">
        <f aca="false">IF(OR(BB$4="",$C52="",$D52="",N($E52)=0),"",$E52*MAX(0,MIN($D52+1,EDATE(BB$4,1))-MAX($C52,BB$4))/MAX(1,$D52+1-$C52))</f>
        <v/>
      </c>
      <c r="BC52" s="56" t="str">
        <f aca="false">IF(OR(BC$4="",$C52="",$D52="",N($E52)=0),"",$E52*MAX(0,MIN($D52+1,EDATE(BC$4,1))-MAX($C52,BC$4))/MAX(1,$D52+1-$C52))</f>
        <v/>
      </c>
      <c r="BD52" s="56" t="str">
        <f aca="false">IF(OR(BD$4="",$C52="",$D52="",N($E52)=0),"",$E52*MAX(0,MIN($D52+1,EDATE(BD$4,1))-MAX($C52,BD$4))/MAX(1,$D52+1-$C52))</f>
        <v/>
      </c>
      <c r="BE52" s="56" t="str">
        <f aca="false">IF(OR(BE$4="",$C52="",$D52="",N($E52)=0),"",$E52*MAX(0,MIN($D52+1,EDATE(BE$4,1))-MAX($C52,BE$4))/MAX(1,$D52+1-$C52))</f>
        <v/>
      </c>
      <c r="BF52" s="56" t="str">
        <f aca="false">IF(OR(BF$4="",$C52="",$D52="",N($E52)=0),"",$E52*MAX(0,MIN($D52+1,EDATE(BF$4,1))-MAX($C52,BF$4))/MAX(1,$D52+1-$C52))</f>
        <v/>
      </c>
      <c r="BG52" s="56" t="str">
        <f aca="false">IF(OR(BG$4="",$C52="",$D52="",N($E52)=0),"",$E52*MAX(0,MIN($D52+1,EDATE(BG$4,1))-MAX($C52,BG$4))/MAX(1,$D52+1-$C52))</f>
        <v/>
      </c>
      <c r="BH52" s="56" t="str">
        <f aca="false">IF(OR(BH$4="",$C52="",$D52="",N($E52)=0),"",$E52*MAX(0,MIN($D52+1,EDATE(BH$4,1))-MAX($C52,BH$4))/MAX(1,$D52+1-$C52))</f>
        <v/>
      </c>
      <c r="BI52" s="56" t="str">
        <f aca="false">IF(OR(BI$4="",$C52="",$D52="",N($E52)=0),"",$E52*MAX(0,MIN($D52+1,EDATE(BI$4,1))-MAX($C52,BI$4))/MAX(1,$D52+1-$C52))</f>
        <v/>
      </c>
      <c r="BJ52" s="56" t="str">
        <f aca="false">IF(OR(BJ$4="",$C52="",$D52="",N($E52)=0),"",$E52*MAX(0,MIN($D52+1,EDATE(BJ$4,1))-MAX($C52,BJ$4))/MAX(1,$D52+1-$C52))</f>
        <v/>
      </c>
      <c r="BK52" s="56" t="str">
        <f aca="false">IF(OR(BK$4="",$C52="",$D52="",N($E52)=0),"",$E52*MAX(0,MIN($D52+1,EDATE(BK$4,1))-MAX($C52,BK$4))/MAX(1,$D52+1-$C52))</f>
        <v/>
      </c>
      <c r="BL52" s="56" t="str">
        <f aca="false">IF(OR(BL$4="",$C52="",$D52="",N($E52)=0),"",$E52*MAX(0,MIN($D52+1,EDATE(BL$4,1))-MAX($C52,BL$4))/MAX(1,$D52+1-$C52))</f>
        <v/>
      </c>
      <c r="BM52" s="56" t="str">
        <f aca="false">IF(OR(BM$4="",$C52="",$D52="",N($E52)=0),"",$E52*MAX(0,MIN($D52+1,EDATE(BM$4,1))-MAX($C52,BM$4))/MAX(1,$D52+1-$C52))</f>
        <v/>
      </c>
      <c r="BN52" s="56" t="str">
        <f aca="false">IF(OR(BN$4="",$C52="",$D52="",N($E52)=0),"",$E52*MAX(0,MIN($D52+1,EDATE(BN$4,1))-MAX($C52,BN$4))/MAX(1,$D52+1-$C52))</f>
        <v/>
      </c>
      <c r="BO52" s="56" t="str">
        <f aca="false">IF(OR(BO$4="",$C52="",$D52="",N($E52)=0),"",$E52*MAX(0,MIN($D52+1,EDATE(BO$4,1))-MAX($C52,BO$4))/MAX(1,$D52+1-$C52))</f>
        <v/>
      </c>
      <c r="BP52" s="56" t="str">
        <f aca="false">IF(OR(BP$4="",$C52="",$D52="",N($E52)=0),"",$E52*MAX(0,MIN($D52+1,EDATE(BP$4,1))-MAX($C52,BP$4))/MAX(1,$D52+1-$C52))</f>
        <v/>
      </c>
      <c r="BQ52" s="56" t="str">
        <f aca="false">IF(OR(BQ$4="",$C52="",$D52="",N($E52)=0),"",$E52*MAX(0,MIN($D52+1,EDATE(BQ$4,1))-MAX($C52,BQ$4))/MAX(1,$D52+1-$C52))</f>
        <v/>
      </c>
      <c r="BR52" s="56" t="str">
        <f aca="false">IF(OR(BR$4="",$C52="",$D52="",N($E52)=0),"",$E52*MAX(0,MIN($D52+1,EDATE(BR$4,1))-MAX($C52,BR$4))/MAX(1,$D52+1-$C52))</f>
        <v/>
      </c>
      <c r="BS52" s="56" t="str">
        <f aca="false">IF(OR(BS$4="",$C52="",$D52="",N($E52)=0),"",$E52*MAX(0,MIN($D52+1,EDATE(BS$4,1))-MAX($C52,BS$4))/MAX(1,$D52+1-$C52))</f>
        <v/>
      </c>
      <c r="BT52" s="56" t="str">
        <f aca="false">IF(OR(BT$4="",$C52="",$D52="",N($E52)=0),"",$E52*MAX(0,MIN($D52+1,EDATE(BT$4,1))-MAX($C52,BT$4))/MAX(1,$D52+1-$C52))</f>
        <v/>
      </c>
      <c r="BU52" s="56" t="str">
        <f aca="false">IF(OR(BU$4="",$C52="",$D52="",N($E52)=0),"",$E52*MAX(0,MIN($D52+1,EDATE(BU$4,1))-MAX($C52,BU$4))/MAX(1,$D52+1-$C52))</f>
        <v/>
      </c>
      <c r="BV52" s="56" t="str">
        <f aca="false">IF(OR(BV$4="",$C52="",$D52="",N($E52)=0),"",$E52*MAX(0,MIN($D52+1,EDATE(BV$4,1))-MAX($C52,BV$4))/MAX(1,$D52+1-$C52))</f>
        <v/>
      </c>
      <c r="BW52" s="56" t="str">
        <f aca="false">IF(OR(BW$4="",$C52="",$D52="",N($E52)=0),"",$E52*MAX(0,MIN($D52+1,EDATE(BW$4,1))-MAX($C52,BW$4))/MAX(1,$D52+1-$C52))</f>
        <v/>
      </c>
      <c r="BX52" s="56" t="str">
        <f aca="false">IF(OR(BX$4="",$C52="",$D52="",N($E52)=0),"",$E52*MAX(0,MIN($D52+1,EDATE(BX$4,1))-MAX($C52,BX$4))/MAX(1,$D52+1-$C52))</f>
        <v/>
      </c>
      <c r="BY52" s="56" t="str">
        <f aca="false">IF(OR(BY$4="",$C52="",$D52="",N($E52)=0),"",$E52*MAX(0,MIN($D52+1,EDATE(BY$4,1))-MAX($C52,BY$4))/MAX(1,$D52+1-$C52))</f>
        <v/>
      </c>
    </row>
    <row r="53" customFormat="false" ht="15" hidden="false" customHeight="false" outlineLevel="0" collapsed="false">
      <c r="A53" s="53" t="str">
        <f aca="false">IF(BOE!$A54="","",BOE!$A54)</f>
        <v/>
      </c>
      <c r="B53" s="53" t="str">
        <f aca="false">IF(BOE!$A54="","",BOE!$C54)</f>
        <v/>
      </c>
      <c r="C53" s="54" t="str">
        <f aca="false">IF(BOE!$O54="","",BOE!$O54)</f>
        <v/>
      </c>
      <c r="D53" s="54" t="str">
        <f aca="false">IF(BOE!$P54="","",BOE!$P54)</f>
        <v/>
      </c>
      <c r="E53" s="55" t="n">
        <f aca="false">IF(Inputs!$B$7="P90",BOE!$T54,BOE!$R54)</f>
        <v>0</v>
      </c>
      <c r="F53" s="56" t="str">
        <f aca="false">IF(OR(F$4="",$C53="",$D53="",N($E53)=0),"",$E53*MAX(0,MIN($D53+1,EDATE(F$4,1))-MAX($C53,F$4))/MAX(1,$D53+1-$C53))</f>
        <v/>
      </c>
      <c r="G53" s="56" t="str">
        <f aca="false">IF(OR(G$4="",$C53="",$D53="",N($E53)=0),"",$E53*MAX(0,MIN($D53+1,EDATE(G$4,1))-MAX($C53,G$4))/MAX(1,$D53+1-$C53))</f>
        <v/>
      </c>
      <c r="H53" s="56" t="str">
        <f aca="false">IF(OR(H$4="",$C53="",$D53="",N($E53)=0),"",$E53*MAX(0,MIN($D53+1,EDATE(H$4,1))-MAX($C53,H$4))/MAX(1,$D53+1-$C53))</f>
        <v/>
      </c>
      <c r="I53" s="56" t="str">
        <f aca="false">IF(OR(I$4="",$C53="",$D53="",N($E53)=0),"",$E53*MAX(0,MIN($D53+1,EDATE(I$4,1))-MAX($C53,I$4))/MAX(1,$D53+1-$C53))</f>
        <v/>
      </c>
      <c r="J53" s="56" t="str">
        <f aca="false">IF(OR(J$4="",$C53="",$D53="",N($E53)=0),"",$E53*MAX(0,MIN($D53+1,EDATE(J$4,1))-MAX($C53,J$4))/MAX(1,$D53+1-$C53))</f>
        <v/>
      </c>
      <c r="K53" s="56" t="str">
        <f aca="false">IF(OR(K$4="",$C53="",$D53="",N($E53)=0),"",$E53*MAX(0,MIN($D53+1,EDATE(K$4,1))-MAX($C53,K$4))/MAX(1,$D53+1-$C53))</f>
        <v/>
      </c>
      <c r="L53" s="56" t="str">
        <f aca="false">IF(OR(L$4="",$C53="",$D53="",N($E53)=0),"",$E53*MAX(0,MIN($D53+1,EDATE(L$4,1))-MAX($C53,L$4))/MAX(1,$D53+1-$C53))</f>
        <v/>
      </c>
      <c r="M53" s="56" t="str">
        <f aca="false">IF(OR(M$4="",$C53="",$D53="",N($E53)=0),"",$E53*MAX(0,MIN($D53+1,EDATE(M$4,1))-MAX($C53,M$4))/MAX(1,$D53+1-$C53))</f>
        <v/>
      </c>
      <c r="N53" s="56" t="str">
        <f aca="false">IF(OR(N$4="",$C53="",$D53="",N($E53)=0),"",$E53*MAX(0,MIN($D53+1,EDATE(N$4,1))-MAX($C53,N$4))/MAX(1,$D53+1-$C53))</f>
        <v/>
      </c>
      <c r="O53" s="56" t="str">
        <f aca="false">IF(OR(O$4="",$C53="",$D53="",N($E53)=0),"",$E53*MAX(0,MIN($D53+1,EDATE(O$4,1))-MAX($C53,O$4))/MAX(1,$D53+1-$C53))</f>
        <v/>
      </c>
      <c r="P53" s="56" t="str">
        <f aca="false">IF(OR(P$4="",$C53="",$D53="",N($E53)=0),"",$E53*MAX(0,MIN($D53+1,EDATE(P$4,1))-MAX($C53,P$4))/MAX(1,$D53+1-$C53))</f>
        <v/>
      </c>
      <c r="Q53" s="56" t="str">
        <f aca="false">IF(OR(Q$4="",$C53="",$D53="",N($E53)=0),"",$E53*MAX(0,MIN($D53+1,EDATE(Q$4,1))-MAX($C53,Q$4))/MAX(1,$D53+1-$C53))</f>
        <v/>
      </c>
      <c r="R53" s="56" t="str">
        <f aca="false">IF(OR(R$4="",$C53="",$D53="",N($E53)=0),"",$E53*MAX(0,MIN($D53+1,EDATE(R$4,1))-MAX($C53,R$4))/MAX(1,$D53+1-$C53))</f>
        <v/>
      </c>
      <c r="S53" s="56" t="str">
        <f aca="false">IF(OR(S$4="",$C53="",$D53="",N($E53)=0),"",$E53*MAX(0,MIN($D53+1,EDATE(S$4,1))-MAX($C53,S$4))/MAX(1,$D53+1-$C53))</f>
        <v/>
      </c>
      <c r="T53" s="56" t="str">
        <f aca="false">IF(OR(T$4="",$C53="",$D53="",N($E53)=0),"",$E53*MAX(0,MIN($D53+1,EDATE(T$4,1))-MAX($C53,T$4))/MAX(1,$D53+1-$C53))</f>
        <v/>
      </c>
      <c r="U53" s="56" t="str">
        <f aca="false">IF(OR(U$4="",$C53="",$D53="",N($E53)=0),"",$E53*MAX(0,MIN($D53+1,EDATE(U$4,1))-MAX($C53,U$4))/MAX(1,$D53+1-$C53))</f>
        <v/>
      </c>
      <c r="V53" s="56" t="str">
        <f aca="false">IF(OR(V$4="",$C53="",$D53="",N($E53)=0),"",$E53*MAX(0,MIN($D53+1,EDATE(V$4,1))-MAX($C53,V$4))/MAX(1,$D53+1-$C53))</f>
        <v/>
      </c>
      <c r="W53" s="56" t="str">
        <f aca="false">IF(OR(W$4="",$C53="",$D53="",N($E53)=0),"",$E53*MAX(0,MIN($D53+1,EDATE(W$4,1))-MAX($C53,W$4))/MAX(1,$D53+1-$C53))</f>
        <v/>
      </c>
      <c r="X53" s="56" t="str">
        <f aca="false">IF(OR(X$4="",$C53="",$D53="",N($E53)=0),"",$E53*MAX(0,MIN($D53+1,EDATE(X$4,1))-MAX($C53,X$4))/MAX(1,$D53+1-$C53))</f>
        <v/>
      </c>
      <c r="Y53" s="56" t="str">
        <f aca="false">IF(OR(Y$4="",$C53="",$D53="",N($E53)=0),"",$E53*MAX(0,MIN($D53+1,EDATE(Y$4,1))-MAX($C53,Y$4))/MAX(1,$D53+1-$C53))</f>
        <v/>
      </c>
      <c r="Z53" s="56" t="str">
        <f aca="false">IF(OR(Z$4="",$C53="",$D53="",N($E53)=0),"",$E53*MAX(0,MIN($D53+1,EDATE(Z$4,1))-MAX($C53,Z$4))/MAX(1,$D53+1-$C53))</f>
        <v/>
      </c>
      <c r="AA53" s="56" t="str">
        <f aca="false">IF(OR(AA$4="",$C53="",$D53="",N($E53)=0),"",$E53*MAX(0,MIN($D53+1,EDATE(AA$4,1))-MAX($C53,AA$4))/MAX(1,$D53+1-$C53))</f>
        <v/>
      </c>
      <c r="AB53" s="56" t="str">
        <f aca="false">IF(OR(AB$4="",$C53="",$D53="",N($E53)=0),"",$E53*MAX(0,MIN($D53+1,EDATE(AB$4,1))-MAX($C53,AB$4))/MAX(1,$D53+1-$C53))</f>
        <v/>
      </c>
      <c r="AC53" s="56" t="str">
        <f aca="false">IF(OR(AC$4="",$C53="",$D53="",N($E53)=0),"",$E53*MAX(0,MIN($D53+1,EDATE(AC$4,1))-MAX($C53,AC$4))/MAX(1,$D53+1-$C53))</f>
        <v/>
      </c>
      <c r="AD53" s="56" t="str">
        <f aca="false">IF(OR(AD$4="",$C53="",$D53="",N($E53)=0),"",$E53*MAX(0,MIN($D53+1,EDATE(AD$4,1))-MAX($C53,AD$4))/MAX(1,$D53+1-$C53))</f>
        <v/>
      </c>
      <c r="AE53" s="56" t="str">
        <f aca="false">IF(OR(AE$4="",$C53="",$D53="",N($E53)=0),"",$E53*MAX(0,MIN($D53+1,EDATE(AE$4,1))-MAX($C53,AE$4))/MAX(1,$D53+1-$C53))</f>
        <v/>
      </c>
      <c r="AF53" s="56" t="str">
        <f aca="false">IF(OR(AF$4="",$C53="",$D53="",N($E53)=0),"",$E53*MAX(0,MIN($D53+1,EDATE(AF$4,1))-MAX($C53,AF$4))/MAX(1,$D53+1-$C53))</f>
        <v/>
      </c>
      <c r="AG53" s="56" t="str">
        <f aca="false">IF(OR(AG$4="",$C53="",$D53="",N($E53)=0),"",$E53*MAX(0,MIN($D53+1,EDATE(AG$4,1))-MAX($C53,AG$4))/MAX(1,$D53+1-$C53))</f>
        <v/>
      </c>
      <c r="AH53" s="56" t="str">
        <f aca="false">IF(OR(AH$4="",$C53="",$D53="",N($E53)=0),"",$E53*MAX(0,MIN($D53+1,EDATE(AH$4,1))-MAX($C53,AH$4))/MAX(1,$D53+1-$C53))</f>
        <v/>
      </c>
      <c r="AI53" s="56" t="str">
        <f aca="false">IF(OR(AI$4="",$C53="",$D53="",N($E53)=0),"",$E53*MAX(0,MIN($D53+1,EDATE(AI$4,1))-MAX($C53,AI$4))/MAX(1,$D53+1-$C53))</f>
        <v/>
      </c>
      <c r="AJ53" s="56" t="str">
        <f aca="false">IF(OR(AJ$4="",$C53="",$D53="",N($E53)=0),"",$E53*MAX(0,MIN($D53+1,EDATE(AJ$4,1))-MAX($C53,AJ$4))/MAX(1,$D53+1-$C53))</f>
        <v/>
      </c>
      <c r="AK53" s="56" t="str">
        <f aca="false">IF(OR(AK$4="",$C53="",$D53="",N($E53)=0),"",$E53*MAX(0,MIN($D53+1,EDATE(AK$4,1))-MAX($C53,AK$4))/MAX(1,$D53+1-$C53))</f>
        <v/>
      </c>
      <c r="AL53" s="56" t="str">
        <f aca="false">IF(OR(AL$4="",$C53="",$D53="",N($E53)=0),"",$E53*MAX(0,MIN($D53+1,EDATE(AL$4,1))-MAX($C53,AL$4))/MAX(1,$D53+1-$C53))</f>
        <v/>
      </c>
      <c r="AM53" s="56" t="str">
        <f aca="false">IF(OR(AM$4="",$C53="",$D53="",N($E53)=0),"",$E53*MAX(0,MIN($D53+1,EDATE(AM$4,1))-MAX($C53,AM$4))/MAX(1,$D53+1-$C53))</f>
        <v/>
      </c>
      <c r="AN53" s="56" t="str">
        <f aca="false">IF(OR(AN$4="",$C53="",$D53="",N($E53)=0),"",$E53*MAX(0,MIN($D53+1,EDATE(AN$4,1))-MAX($C53,AN$4))/MAX(1,$D53+1-$C53))</f>
        <v/>
      </c>
      <c r="AO53" s="56" t="str">
        <f aca="false">IF(OR(AO$4="",$C53="",$D53="",N($E53)=0),"",$E53*MAX(0,MIN($D53+1,EDATE(AO$4,1))-MAX($C53,AO$4))/MAX(1,$D53+1-$C53))</f>
        <v/>
      </c>
      <c r="AP53" s="56" t="str">
        <f aca="false">IF(OR(AP$4="",$C53="",$D53="",N($E53)=0),"",$E53*MAX(0,MIN($D53+1,EDATE(AP$4,1))-MAX($C53,AP$4))/MAX(1,$D53+1-$C53))</f>
        <v/>
      </c>
      <c r="AQ53" s="56" t="str">
        <f aca="false">IF(OR(AQ$4="",$C53="",$D53="",N($E53)=0),"",$E53*MAX(0,MIN($D53+1,EDATE(AQ$4,1))-MAX($C53,AQ$4))/MAX(1,$D53+1-$C53))</f>
        <v/>
      </c>
      <c r="AR53" s="56" t="str">
        <f aca="false">IF(OR(AR$4="",$C53="",$D53="",N($E53)=0),"",$E53*MAX(0,MIN($D53+1,EDATE(AR$4,1))-MAX($C53,AR$4))/MAX(1,$D53+1-$C53))</f>
        <v/>
      </c>
      <c r="AS53" s="56" t="str">
        <f aca="false">IF(OR(AS$4="",$C53="",$D53="",N($E53)=0),"",$E53*MAX(0,MIN($D53+1,EDATE(AS$4,1))-MAX($C53,AS$4))/MAX(1,$D53+1-$C53))</f>
        <v/>
      </c>
      <c r="AT53" s="56" t="str">
        <f aca="false">IF(OR(AT$4="",$C53="",$D53="",N($E53)=0),"",$E53*MAX(0,MIN($D53+1,EDATE(AT$4,1))-MAX($C53,AT$4))/MAX(1,$D53+1-$C53))</f>
        <v/>
      </c>
      <c r="AU53" s="56" t="str">
        <f aca="false">IF(OR(AU$4="",$C53="",$D53="",N($E53)=0),"",$E53*MAX(0,MIN($D53+1,EDATE(AU$4,1))-MAX($C53,AU$4))/MAX(1,$D53+1-$C53))</f>
        <v/>
      </c>
      <c r="AV53" s="56" t="str">
        <f aca="false">IF(OR(AV$4="",$C53="",$D53="",N($E53)=0),"",$E53*MAX(0,MIN($D53+1,EDATE(AV$4,1))-MAX($C53,AV$4))/MAX(1,$D53+1-$C53))</f>
        <v/>
      </c>
      <c r="AW53" s="56" t="str">
        <f aca="false">IF(OR(AW$4="",$C53="",$D53="",N($E53)=0),"",$E53*MAX(0,MIN($D53+1,EDATE(AW$4,1))-MAX($C53,AW$4))/MAX(1,$D53+1-$C53))</f>
        <v/>
      </c>
      <c r="AX53" s="56" t="str">
        <f aca="false">IF(OR(AX$4="",$C53="",$D53="",N($E53)=0),"",$E53*MAX(0,MIN($D53+1,EDATE(AX$4,1))-MAX($C53,AX$4))/MAX(1,$D53+1-$C53))</f>
        <v/>
      </c>
      <c r="AY53" s="56" t="str">
        <f aca="false">IF(OR(AY$4="",$C53="",$D53="",N($E53)=0),"",$E53*MAX(0,MIN($D53+1,EDATE(AY$4,1))-MAX($C53,AY$4))/MAX(1,$D53+1-$C53))</f>
        <v/>
      </c>
      <c r="AZ53" s="56" t="str">
        <f aca="false">IF(OR(AZ$4="",$C53="",$D53="",N($E53)=0),"",$E53*MAX(0,MIN($D53+1,EDATE(AZ$4,1))-MAX($C53,AZ$4))/MAX(1,$D53+1-$C53))</f>
        <v/>
      </c>
      <c r="BA53" s="56" t="str">
        <f aca="false">IF(OR(BA$4="",$C53="",$D53="",N($E53)=0),"",$E53*MAX(0,MIN($D53+1,EDATE(BA$4,1))-MAX($C53,BA$4))/MAX(1,$D53+1-$C53))</f>
        <v/>
      </c>
      <c r="BB53" s="56" t="str">
        <f aca="false">IF(OR(BB$4="",$C53="",$D53="",N($E53)=0),"",$E53*MAX(0,MIN($D53+1,EDATE(BB$4,1))-MAX($C53,BB$4))/MAX(1,$D53+1-$C53))</f>
        <v/>
      </c>
      <c r="BC53" s="56" t="str">
        <f aca="false">IF(OR(BC$4="",$C53="",$D53="",N($E53)=0),"",$E53*MAX(0,MIN($D53+1,EDATE(BC$4,1))-MAX($C53,BC$4))/MAX(1,$D53+1-$C53))</f>
        <v/>
      </c>
      <c r="BD53" s="56" t="str">
        <f aca="false">IF(OR(BD$4="",$C53="",$D53="",N($E53)=0),"",$E53*MAX(0,MIN($D53+1,EDATE(BD$4,1))-MAX($C53,BD$4))/MAX(1,$D53+1-$C53))</f>
        <v/>
      </c>
      <c r="BE53" s="56" t="str">
        <f aca="false">IF(OR(BE$4="",$C53="",$D53="",N($E53)=0),"",$E53*MAX(0,MIN($D53+1,EDATE(BE$4,1))-MAX($C53,BE$4))/MAX(1,$D53+1-$C53))</f>
        <v/>
      </c>
      <c r="BF53" s="56" t="str">
        <f aca="false">IF(OR(BF$4="",$C53="",$D53="",N($E53)=0),"",$E53*MAX(0,MIN($D53+1,EDATE(BF$4,1))-MAX($C53,BF$4))/MAX(1,$D53+1-$C53))</f>
        <v/>
      </c>
      <c r="BG53" s="56" t="str">
        <f aca="false">IF(OR(BG$4="",$C53="",$D53="",N($E53)=0),"",$E53*MAX(0,MIN($D53+1,EDATE(BG$4,1))-MAX($C53,BG$4))/MAX(1,$D53+1-$C53))</f>
        <v/>
      </c>
      <c r="BH53" s="56" t="str">
        <f aca="false">IF(OR(BH$4="",$C53="",$D53="",N($E53)=0),"",$E53*MAX(0,MIN($D53+1,EDATE(BH$4,1))-MAX($C53,BH$4))/MAX(1,$D53+1-$C53))</f>
        <v/>
      </c>
      <c r="BI53" s="56" t="str">
        <f aca="false">IF(OR(BI$4="",$C53="",$D53="",N($E53)=0),"",$E53*MAX(0,MIN($D53+1,EDATE(BI$4,1))-MAX($C53,BI$4))/MAX(1,$D53+1-$C53))</f>
        <v/>
      </c>
      <c r="BJ53" s="56" t="str">
        <f aca="false">IF(OR(BJ$4="",$C53="",$D53="",N($E53)=0),"",$E53*MAX(0,MIN($D53+1,EDATE(BJ$4,1))-MAX($C53,BJ$4))/MAX(1,$D53+1-$C53))</f>
        <v/>
      </c>
      <c r="BK53" s="56" t="str">
        <f aca="false">IF(OR(BK$4="",$C53="",$D53="",N($E53)=0),"",$E53*MAX(0,MIN($D53+1,EDATE(BK$4,1))-MAX($C53,BK$4))/MAX(1,$D53+1-$C53))</f>
        <v/>
      </c>
      <c r="BL53" s="56" t="str">
        <f aca="false">IF(OR(BL$4="",$C53="",$D53="",N($E53)=0),"",$E53*MAX(0,MIN($D53+1,EDATE(BL$4,1))-MAX($C53,BL$4))/MAX(1,$D53+1-$C53))</f>
        <v/>
      </c>
      <c r="BM53" s="56" t="str">
        <f aca="false">IF(OR(BM$4="",$C53="",$D53="",N($E53)=0),"",$E53*MAX(0,MIN($D53+1,EDATE(BM$4,1))-MAX($C53,BM$4))/MAX(1,$D53+1-$C53))</f>
        <v/>
      </c>
      <c r="BN53" s="56" t="str">
        <f aca="false">IF(OR(BN$4="",$C53="",$D53="",N($E53)=0),"",$E53*MAX(0,MIN($D53+1,EDATE(BN$4,1))-MAX($C53,BN$4))/MAX(1,$D53+1-$C53))</f>
        <v/>
      </c>
      <c r="BO53" s="56" t="str">
        <f aca="false">IF(OR(BO$4="",$C53="",$D53="",N($E53)=0),"",$E53*MAX(0,MIN($D53+1,EDATE(BO$4,1))-MAX($C53,BO$4))/MAX(1,$D53+1-$C53))</f>
        <v/>
      </c>
      <c r="BP53" s="56" t="str">
        <f aca="false">IF(OR(BP$4="",$C53="",$D53="",N($E53)=0),"",$E53*MAX(0,MIN($D53+1,EDATE(BP$4,1))-MAX($C53,BP$4))/MAX(1,$D53+1-$C53))</f>
        <v/>
      </c>
      <c r="BQ53" s="56" t="str">
        <f aca="false">IF(OR(BQ$4="",$C53="",$D53="",N($E53)=0),"",$E53*MAX(0,MIN($D53+1,EDATE(BQ$4,1))-MAX($C53,BQ$4))/MAX(1,$D53+1-$C53))</f>
        <v/>
      </c>
      <c r="BR53" s="56" t="str">
        <f aca="false">IF(OR(BR$4="",$C53="",$D53="",N($E53)=0),"",$E53*MAX(0,MIN($D53+1,EDATE(BR$4,1))-MAX($C53,BR$4))/MAX(1,$D53+1-$C53))</f>
        <v/>
      </c>
      <c r="BS53" s="56" t="str">
        <f aca="false">IF(OR(BS$4="",$C53="",$D53="",N($E53)=0),"",$E53*MAX(0,MIN($D53+1,EDATE(BS$4,1))-MAX($C53,BS$4))/MAX(1,$D53+1-$C53))</f>
        <v/>
      </c>
      <c r="BT53" s="56" t="str">
        <f aca="false">IF(OR(BT$4="",$C53="",$D53="",N($E53)=0),"",$E53*MAX(0,MIN($D53+1,EDATE(BT$4,1))-MAX($C53,BT$4))/MAX(1,$D53+1-$C53))</f>
        <v/>
      </c>
      <c r="BU53" s="56" t="str">
        <f aca="false">IF(OR(BU$4="",$C53="",$D53="",N($E53)=0),"",$E53*MAX(0,MIN($D53+1,EDATE(BU$4,1))-MAX($C53,BU$4))/MAX(1,$D53+1-$C53))</f>
        <v/>
      </c>
      <c r="BV53" s="56" t="str">
        <f aca="false">IF(OR(BV$4="",$C53="",$D53="",N($E53)=0),"",$E53*MAX(0,MIN($D53+1,EDATE(BV$4,1))-MAX($C53,BV$4))/MAX(1,$D53+1-$C53))</f>
        <v/>
      </c>
      <c r="BW53" s="56" t="str">
        <f aca="false">IF(OR(BW$4="",$C53="",$D53="",N($E53)=0),"",$E53*MAX(0,MIN($D53+1,EDATE(BW$4,1))-MAX($C53,BW$4))/MAX(1,$D53+1-$C53))</f>
        <v/>
      </c>
      <c r="BX53" s="56" t="str">
        <f aca="false">IF(OR(BX$4="",$C53="",$D53="",N($E53)=0),"",$E53*MAX(0,MIN($D53+1,EDATE(BX$4,1))-MAX($C53,BX$4))/MAX(1,$D53+1-$C53))</f>
        <v/>
      </c>
      <c r="BY53" s="56" t="str">
        <f aca="false">IF(OR(BY$4="",$C53="",$D53="",N($E53)=0),"",$E53*MAX(0,MIN($D53+1,EDATE(BY$4,1))-MAX($C53,BY$4))/MAX(1,$D53+1-$C53))</f>
        <v/>
      </c>
    </row>
    <row r="54" customFormat="false" ht="15" hidden="false" customHeight="false" outlineLevel="0" collapsed="false">
      <c r="A54" s="53" t="str">
        <f aca="false">IF(BOE!$A55="","",BOE!$A55)</f>
        <v/>
      </c>
      <c r="B54" s="53" t="str">
        <f aca="false">IF(BOE!$A55="","",BOE!$C55)</f>
        <v/>
      </c>
      <c r="C54" s="54" t="str">
        <f aca="false">IF(BOE!$O55="","",BOE!$O55)</f>
        <v/>
      </c>
      <c r="D54" s="54" t="str">
        <f aca="false">IF(BOE!$P55="","",BOE!$P55)</f>
        <v/>
      </c>
      <c r="E54" s="55" t="n">
        <f aca="false">IF(Inputs!$B$7="P90",BOE!$T55,BOE!$R55)</f>
        <v>0</v>
      </c>
      <c r="F54" s="56" t="str">
        <f aca="false">IF(OR(F$4="",$C54="",$D54="",N($E54)=0),"",$E54*MAX(0,MIN($D54+1,EDATE(F$4,1))-MAX($C54,F$4))/MAX(1,$D54+1-$C54))</f>
        <v/>
      </c>
      <c r="G54" s="56" t="str">
        <f aca="false">IF(OR(G$4="",$C54="",$D54="",N($E54)=0),"",$E54*MAX(0,MIN($D54+1,EDATE(G$4,1))-MAX($C54,G$4))/MAX(1,$D54+1-$C54))</f>
        <v/>
      </c>
      <c r="H54" s="56" t="str">
        <f aca="false">IF(OR(H$4="",$C54="",$D54="",N($E54)=0),"",$E54*MAX(0,MIN($D54+1,EDATE(H$4,1))-MAX($C54,H$4))/MAX(1,$D54+1-$C54))</f>
        <v/>
      </c>
      <c r="I54" s="56" t="str">
        <f aca="false">IF(OR(I$4="",$C54="",$D54="",N($E54)=0),"",$E54*MAX(0,MIN($D54+1,EDATE(I$4,1))-MAX($C54,I$4))/MAX(1,$D54+1-$C54))</f>
        <v/>
      </c>
      <c r="J54" s="56" t="str">
        <f aca="false">IF(OR(J$4="",$C54="",$D54="",N($E54)=0),"",$E54*MAX(0,MIN($D54+1,EDATE(J$4,1))-MAX($C54,J$4))/MAX(1,$D54+1-$C54))</f>
        <v/>
      </c>
      <c r="K54" s="56" t="str">
        <f aca="false">IF(OR(K$4="",$C54="",$D54="",N($E54)=0),"",$E54*MAX(0,MIN($D54+1,EDATE(K$4,1))-MAX($C54,K$4))/MAX(1,$D54+1-$C54))</f>
        <v/>
      </c>
      <c r="L54" s="56" t="str">
        <f aca="false">IF(OR(L$4="",$C54="",$D54="",N($E54)=0),"",$E54*MAX(0,MIN($D54+1,EDATE(L$4,1))-MAX($C54,L$4))/MAX(1,$D54+1-$C54))</f>
        <v/>
      </c>
      <c r="M54" s="56" t="str">
        <f aca="false">IF(OR(M$4="",$C54="",$D54="",N($E54)=0),"",$E54*MAX(0,MIN($D54+1,EDATE(M$4,1))-MAX($C54,M$4))/MAX(1,$D54+1-$C54))</f>
        <v/>
      </c>
      <c r="N54" s="56" t="str">
        <f aca="false">IF(OR(N$4="",$C54="",$D54="",N($E54)=0),"",$E54*MAX(0,MIN($D54+1,EDATE(N$4,1))-MAX($C54,N$4))/MAX(1,$D54+1-$C54))</f>
        <v/>
      </c>
      <c r="O54" s="56" t="str">
        <f aca="false">IF(OR(O$4="",$C54="",$D54="",N($E54)=0),"",$E54*MAX(0,MIN($D54+1,EDATE(O$4,1))-MAX($C54,O$4))/MAX(1,$D54+1-$C54))</f>
        <v/>
      </c>
      <c r="P54" s="56" t="str">
        <f aca="false">IF(OR(P$4="",$C54="",$D54="",N($E54)=0),"",$E54*MAX(0,MIN($D54+1,EDATE(P$4,1))-MAX($C54,P$4))/MAX(1,$D54+1-$C54))</f>
        <v/>
      </c>
      <c r="Q54" s="56" t="str">
        <f aca="false">IF(OR(Q$4="",$C54="",$D54="",N($E54)=0),"",$E54*MAX(0,MIN($D54+1,EDATE(Q$4,1))-MAX($C54,Q$4))/MAX(1,$D54+1-$C54))</f>
        <v/>
      </c>
      <c r="R54" s="56" t="str">
        <f aca="false">IF(OR(R$4="",$C54="",$D54="",N($E54)=0),"",$E54*MAX(0,MIN($D54+1,EDATE(R$4,1))-MAX($C54,R$4))/MAX(1,$D54+1-$C54))</f>
        <v/>
      </c>
      <c r="S54" s="56" t="str">
        <f aca="false">IF(OR(S$4="",$C54="",$D54="",N($E54)=0),"",$E54*MAX(0,MIN($D54+1,EDATE(S$4,1))-MAX($C54,S$4))/MAX(1,$D54+1-$C54))</f>
        <v/>
      </c>
      <c r="T54" s="56" t="str">
        <f aca="false">IF(OR(T$4="",$C54="",$D54="",N($E54)=0),"",$E54*MAX(0,MIN($D54+1,EDATE(T$4,1))-MAX($C54,T$4))/MAX(1,$D54+1-$C54))</f>
        <v/>
      </c>
      <c r="U54" s="56" t="str">
        <f aca="false">IF(OR(U$4="",$C54="",$D54="",N($E54)=0),"",$E54*MAX(0,MIN($D54+1,EDATE(U$4,1))-MAX($C54,U$4))/MAX(1,$D54+1-$C54))</f>
        <v/>
      </c>
      <c r="V54" s="56" t="str">
        <f aca="false">IF(OR(V$4="",$C54="",$D54="",N($E54)=0),"",$E54*MAX(0,MIN($D54+1,EDATE(V$4,1))-MAX($C54,V$4))/MAX(1,$D54+1-$C54))</f>
        <v/>
      </c>
      <c r="W54" s="56" t="str">
        <f aca="false">IF(OR(W$4="",$C54="",$D54="",N($E54)=0),"",$E54*MAX(0,MIN($D54+1,EDATE(W$4,1))-MAX($C54,W$4))/MAX(1,$D54+1-$C54))</f>
        <v/>
      </c>
      <c r="X54" s="56" t="str">
        <f aca="false">IF(OR(X$4="",$C54="",$D54="",N($E54)=0),"",$E54*MAX(0,MIN($D54+1,EDATE(X$4,1))-MAX($C54,X$4))/MAX(1,$D54+1-$C54))</f>
        <v/>
      </c>
      <c r="Y54" s="56" t="str">
        <f aca="false">IF(OR(Y$4="",$C54="",$D54="",N($E54)=0),"",$E54*MAX(0,MIN($D54+1,EDATE(Y$4,1))-MAX($C54,Y$4))/MAX(1,$D54+1-$C54))</f>
        <v/>
      </c>
      <c r="Z54" s="56" t="str">
        <f aca="false">IF(OR(Z$4="",$C54="",$D54="",N($E54)=0),"",$E54*MAX(0,MIN($D54+1,EDATE(Z$4,1))-MAX($C54,Z$4))/MAX(1,$D54+1-$C54))</f>
        <v/>
      </c>
      <c r="AA54" s="56" t="str">
        <f aca="false">IF(OR(AA$4="",$C54="",$D54="",N($E54)=0),"",$E54*MAX(0,MIN($D54+1,EDATE(AA$4,1))-MAX($C54,AA$4))/MAX(1,$D54+1-$C54))</f>
        <v/>
      </c>
      <c r="AB54" s="56" t="str">
        <f aca="false">IF(OR(AB$4="",$C54="",$D54="",N($E54)=0),"",$E54*MAX(0,MIN($D54+1,EDATE(AB$4,1))-MAX($C54,AB$4))/MAX(1,$D54+1-$C54))</f>
        <v/>
      </c>
      <c r="AC54" s="56" t="str">
        <f aca="false">IF(OR(AC$4="",$C54="",$D54="",N($E54)=0),"",$E54*MAX(0,MIN($D54+1,EDATE(AC$4,1))-MAX($C54,AC$4))/MAX(1,$D54+1-$C54))</f>
        <v/>
      </c>
      <c r="AD54" s="56" t="str">
        <f aca="false">IF(OR(AD$4="",$C54="",$D54="",N($E54)=0),"",$E54*MAX(0,MIN($D54+1,EDATE(AD$4,1))-MAX($C54,AD$4))/MAX(1,$D54+1-$C54))</f>
        <v/>
      </c>
      <c r="AE54" s="56" t="str">
        <f aca="false">IF(OR(AE$4="",$C54="",$D54="",N($E54)=0),"",$E54*MAX(0,MIN($D54+1,EDATE(AE$4,1))-MAX($C54,AE$4))/MAX(1,$D54+1-$C54))</f>
        <v/>
      </c>
      <c r="AF54" s="56" t="str">
        <f aca="false">IF(OR(AF$4="",$C54="",$D54="",N($E54)=0),"",$E54*MAX(0,MIN($D54+1,EDATE(AF$4,1))-MAX($C54,AF$4))/MAX(1,$D54+1-$C54))</f>
        <v/>
      </c>
      <c r="AG54" s="56" t="str">
        <f aca="false">IF(OR(AG$4="",$C54="",$D54="",N($E54)=0),"",$E54*MAX(0,MIN($D54+1,EDATE(AG$4,1))-MAX($C54,AG$4))/MAX(1,$D54+1-$C54))</f>
        <v/>
      </c>
      <c r="AH54" s="56" t="str">
        <f aca="false">IF(OR(AH$4="",$C54="",$D54="",N($E54)=0),"",$E54*MAX(0,MIN($D54+1,EDATE(AH$4,1))-MAX($C54,AH$4))/MAX(1,$D54+1-$C54))</f>
        <v/>
      </c>
      <c r="AI54" s="56" t="str">
        <f aca="false">IF(OR(AI$4="",$C54="",$D54="",N($E54)=0),"",$E54*MAX(0,MIN($D54+1,EDATE(AI$4,1))-MAX($C54,AI$4))/MAX(1,$D54+1-$C54))</f>
        <v/>
      </c>
      <c r="AJ54" s="56" t="str">
        <f aca="false">IF(OR(AJ$4="",$C54="",$D54="",N($E54)=0),"",$E54*MAX(0,MIN($D54+1,EDATE(AJ$4,1))-MAX($C54,AJ$4))/MAX(1,$D54+1-$C54))</f>
        <v/>
      </c>
      <c r="AK54" s="56" t="str">
        <f aca="false">IF(OR(AK$4="",$C54="",$D54="",N($E54)=0),"",$E54*MAX(0,MIN($D54+1,EDATE(AK$4,1))-MAX($C54,AK$4))/MAX(1,$D54+1-$C54))</f>
        <v/>
      </c>
      <c r="AL54" s="56" t="str">
        <f aca="false">IF(OR(AL$4="",$C54="",$D54="",N($E54)=0),"",$E54*MAX(0,MIN($D54+1,EDATE(AL$4,1))-MAX($C54,AL$4))/MAX(1,$D54+1-$C54))</f>
        <v/>
      </c>
      <c r="AM54" s="56" t="str">
        <f aca="false">IF(OR(AM$4="",$C54="",$D54="",N($E54)=0),"",$E54*MAX(0,MIN($D54+1,EDATE(AM$4,1))-MAX($C54,AM$4))/MAX(1,$D54+1-$C54))</f>
        <v/>
      </c>
      <c r="AN54" s="56" t="str">
        <f aca="false">IF(OR(AN$4="",$C54="",$D54="",N($E54)=0),"",$E54*MAX(0,MIN($D54+1,EDATE(AN$4,1))-MAX($C54,AN$4))/MAX(1,$D54+1-$C54))</f>
        <v/>
      </c>
      <c r="AO54" s="56" t="str">
        <f aca="false">IF(OR(AO$4="",$C54="",$D54="",N($E54)=0),"",$E54*MAX(0,MIN($D54+1,EDATE(AO$4,1))-MAX($C54,AO$4))/MAX(1,$D54+1-$C54))</f>
        <v/>
      </c>
      <c r="AP54" s="56" t="str">
        <f aca="false">IF(OR(AP$4="",$C54="",$D54="",N($E54)=0),"",$E54*MAX(0,MIN($D54+1,EDATE(AP$4,1))-MAX($C54,AP$4))/MAX(1,$D54+1-$C54))</f>
        <v/>
      </c>
      <c r="AQ54" s="56" t="str">
        <f aca="false">IF(OR(AQ$4="",$C54="",$D54="",N($E54)=0),"",$E54*MAX(0,MIN($D54+1,EDATE(AQ$4,1))-MAX($C54,AQ$4))/MAX(1,$D54+1-$C54))</f>
        <v/>
      </c>
      <c r="AR54" s="56" t="str">
        <f aca="false">IF(OR(AR$4="",$C54="",$D54="",N($E54)=0),"",$E54*MAX(0,MIN($D54+1,EDATE(AR$4,1))-MAX($C54,AR$4))/MAX(1,$D54+1-$C54))</f>
        <v/>
      </c>
      <c r="AS54" s="56" t="str">
        <f aca="false">IF(OR(AS$4="",$C54="",$D54="",N($E54)=0),"",$E54*MAX(0,MIN($D54+1,EDATE(AS$4,1))-MAX($C54,AS$4))/MAX(1,$D54+1-$C54))</f>
        <v/>
      </c>
      <c r="AT54" s="56" t="str">
        <f aca="false">IF(OR(AT$4="",$C54="",$D54="",N($E54)=0),"",$E54*MAX(0,MIN($D54+1,EDATE(AT$4,1))-MAX($C54,AT$4))/MAX(1,$D54+1-$C54))</f>
        <v/>
      </c>
      <c r="AU54" s="56" t="str">
        <f aca="false">IF(OR(AU$4="",$C54="",$D54="",N($E54)=0),"",$E54*MAX(0,MIN($D54+1,EDATE(AU$4,1))-MAX($C54,AU$4))/MAX(1,$D54+1-$C54))</f>
        <v/>
      </c>
      <c r="AV54" s="56" t="str">
        <f aca="false">IF(OR(AV$4="",$C54="",$D54="",N($E54)=0),"",$E54*MAX(0,MIN($D54+1,EDATE(AV$4,1))-MAX($C54,AV$4))/MAX(1,$D54+1-$C54))</f>
        <v/>
      </c>
      <c r="AW54" s="56" t="str">
        <f aca="false">IF(OR(AW$4="",$C54="",$D54="",N($E54)=0),"",$E54*MAX(0,MIN($D54+1,EDATE(AW$4,1))-MAX($C54,AW$4))/MAX(1,$D54+1-$C54))</f>
        <v/>
      </c>
      <c r="AX54" s="56" t="str">
        <f aca="false">IF(OR(AX$4="",$C54="",$D54="",N($E54)=0),"",$E54*MAX(0,MIN($D54+1,EDATE(AX$4,1))-MAX($C54,AX$4))/MAX(1,$D54+1-$C54))</f>
        <v/>
      </c>
      <c r="AY54" s="56" t="str">
        <f aca="false">IF(OR(AY$4="",$C54="",$D54="",N($E54)=0),"",$E54*MAX(0,MIN($D54+1,EDATE(AY$4,1))-MAX($C54,AY$4))/MAX(1,$D54+1-$C54))</f>
        <v/>
      </c>
      <c r="AZ54" s="56" t="str">
        <f aca="false">IF(OR(AZ$4="",$C54="",$D54="",N($E54)=0),"",$E54*MAX(0,MIN($D54+1,EDATE(AZ$4,1))-MAX($C54,AZ$4))/MAX(1,$D54+1-$C54))</f>
        <v/>
      </c>
      <c r="BA54" s="56" t="str">
        <f aca="false">IF(OR(BA$4="",$C54="",$D54="",N($E54)=0),"",$E54*MAX(0,MIN($D54+1,EDATE(BA$4,1))-MAX($C54,BA$4))/MAX(1,$D54+1-$C54))</f>
        <v/>
      </c>
      <c r="BB54" s="56" t="str">
        <f aca="false">IF(OR(BB$4="",$C54="",$D54="",N($E54)=0),"",$E54*MAX(0,MIN($D54+1,EDATE(BB$4,1))-MAX($C54,BB$4))/MAX(1,$D54+1-$C54))</f>
        <v/>
      </c>
      <c r="BC54" s="56" t="str">
        <f aca="false">IF(OR(BC$4="",$C54="",$D54="",N($E54)=0),"",$E54*MAX(0,MIN($D54+1,EDATE(BC$4,1))-MAX($C54,BC$4))/MAX(1,$D54+1-$C54))</f>
        <v/>
      </c>
      <c r="BD54" s="56" t="str">
        <f aca="false">IF(OR(BD$4="",$C54="",$D54="",N($E54)=0),"",$E54*MAX(0,MIN($D54+1,EDATE(BD$4,1))-MAX($C54,BD$4))/MAX(1,$D54+1-$C54))</f>
        <v/>
      </c>
      <c r="BE54" s="56" t="str">
        <f aca="false">IF(OR(BE$4="",$C54="",$D54="",N($E54)=0),"",$E54*MAX(0,MIN($D54+1,EDATE(BE$4,1))-MAX($C54,BE$4))/MAX(1,$D54+1-$C54))</f>
        <v/>
      </c>
      <c r="BF54" s="56" t="str">
        <f aca="false">IF(OR(BF$4="",$C54="",$D54="",N($E54)=0),"",$E54*MAX(0,MIN($D54+1,EDATE(BF$4,1))-MAX($C54,BF$4))/MAX(1,$D54+1-$C54))</f>
        <v/>
      </c>
      <c r="BG54" s="56" t="str">
        <f aca="false">IF(OR(BG$4="",$C54="",$D54="",N($E54)=0),"",$E54*MAX(0,MIN($D54+1,EDATE(BG$4,1))-MAX($C54,BG$4))/MAX(1,$D54+1-$C54))</f>
        <v/>
      </c>
      <c r="BH54" s="56" t="str">
        <f aca="false">IF(OR(BH$4="",$C54="",$D54="",N($E54)=0),"",$E54*MAX(0,MIN($D54+1,EDATE(BH$4,1))-MAX($C54,BH$4))/MAX(1,$D54+1-$C54))</f>
        <v/>
      </c>
      <c r="BI54" s="56" t="str">
        <f aca="false">IF(OR(BI$4="",$C54="",$D54="",N($E54)=0),"",$E54*MAX(0,MIN($D54+1,EDATE(BI$4,1))-MAX($C54,BI$4))/MAX(1,$D54+1-$C54))</f>
        <v/>
      </c>
      <c r="BJ54" s="56" t="str">
        <f aca="false">IF(OR(BJ$4="",$C54="",$D54="",N($E54)=0),"",$E54*MAX(0,MIN($D54+1,EDATE(BJ$4,1))-MAX($C54,BJ$4))/MAX(1,$D54+1-$C54))</f>
        <v/>
      </c>
      <c r="BK54" s="56" t="str">
        <f aca="false">IF(OR(BK$4="",$C54="",$D54="",N($E54)=0),"",$E54*MAX(0,MIN($D54+1,EDATE(BK$4,1))-MAX($C54,BK$4))/MAX(1,$D54+1-$C54))</f>
        <v/>
      </c>
      <c r="BL54" s="56" t="str">
        <f aca="false">IF(OR(BL$4="",$C54="",$D54="",N($E54)=0),"",$E54*MAX(0,MIN($D54+1,EDATE(BL$4,1))-MAX($C54,BL$4))/MAX(1,$D54+1-$C54))</f>
        <v/>
      </c>
      <c r="BM54" s="56" t="str">
        <f aca="false">IF(OR(BM$4="",$C54="",$D54="",N($E54)=0),"",$E54*MAX(0,MIN($D54+1,EDATE(BM$4,1))-MAX($C54,BM$4))/MAX(1,$D54+1-$C54))</f>
        <v/>
      </c>
      <c r="BN54" s="56" t="str">
        <f aca="false">IF(OR(BN$4="",$C54="",$D54="",N($E54)=0),"",$E54*MAX(0,MIN($D54+1,EDATE(BN$4,1))-MAX($C54,BN$4))/MAX(1,$D54+1-$C54))</f>
        <v/>
      </c>
      <c r="BO54" s="56" t="str">
        <f aca="false">IF(OR(BO$4="",$C54="",$D54="",N($E54)=0),"",$E54*MAX(0,MIN($D54+1,EDATE(BO$4,1))-MAX($C54,BO$4))/MAX(1,$D54+1-$C54))</f>
        <v/>
      </c>
      <c r="BP54" s="56" t="str">
        <f aca="false">IF(OR(BP$4="",$C54="",$D54="",N($E54)=0),"",$E54*MAX(0,MIN($D54+1,EDATE(BP$4,1))-MAX($C54,BP$4))/MAX(1,$D54+1-$C54))</f>
        <v/>
      </c>
      <c r="BQ54" s="56" t="str">
        <f aca="false">IF(OR(BQ$4="",$C54="",$D54="",N($E54)=0),"",$E54*MAX(0,MIN($D54+1,EDATE(BQ$4,1))-MAX($C54,BQ$4))/MAX(1,$D54+1-$C54))</f>
        <v/>
      </c>
      <c r="BR54" s="56" t="str">
        <f aca="false">IF(OR(BR$4="",$C54="",$D54="",N($E54)=0),"",$E54*MAX(0,MIN($D54+1,EDATE(BR$4,1))-MAX($C54,BR$4))/MAX(1,$D54+1-$C54))</f>
        <v/>
      </c>
      <c r="BS54" s="56" t="str">
        <f aca="false">IF(OR(BS$4="",$C54="",$D54="",N($E54)=0),"",$E54*MAX(0,MIN($D54+1,EDATE(BS$4,1))-MAX($C54,BS$4))/MAX(1,$D54+1-$C54))</f>
        <v/>
      </c>
      <c r="BT54" s="56" t="str">
        <f aca="false">IF(OR(BT$4="",$C54="",$D54="",N($E54)=0),"",$E54*MAX(0,MIN($D54+1,EDATE(BT$4,1))-MAX($C54,BT$4))/MAX(1,$D54+1-$C54))</f>
        <v/>
      </c>
      <c r="BU54" s="56" t="str">
        <f aca="false">IF(OR(BU$4="",$C54="",$D54="",N($E54)=0),"",$E54*MAX(0,MIN($D54+1,EDATE(BU$4,1))-MAX($C54,BU$4))/MAX(1,$D54+1-$C54))</f>
        <v/>
      </c>
      <c r="BV54" s="56" t="str">
        <f aca="false">IF(OR(BV$4="",$C54="",$D54="",N($E54)=0),"",$E54*MAX(0,MIN($D54+1,EDATE(BV$4,1))-MAX($C54,BV$4))/MAX(1,$D54+1-$C54))</f>
        <v/>
      </c>
      <c r="BW54" s="56" t="str">
        <f aca="false">IF(OR(BW$4="",$C54="",$D54="",N($E54)=0),"",$E54*MAX(0,MIN($D54+1,EDATE(BW$4,1))-MAX($C54,BW$4))/MAX(1,$D54+1-$C54))</f>
        <v/>
      </c>
      <c r="BX54" s="56" t="str">
        <f aca="false">IF(OR(BX$4="",$C54="",$D54="",N($E54)=0),"",$E54*MAX(0,MIN($D54+1,EDATE(BX$4,1))-MAX($C54,BX$4))/MAX(1,$D54+1-$C54))</f>
        <v/>
      </c>
      <c r="BY54" s="56" t="str">
        <f aca="false">IF(OR(BY$4="",$C54="",$D54="",N($E54)=0),"",$E54*MAX(0,MIN($D54+1,EDATE(BY$4,1))-MAX($C54,BY$4))/MAX(1,$D54+1-$C54))</f>
        <v/>
      </c>
    </row>
    <row r="55" customFormat="false" ht="15" hidden="false" customHeight="false" outlineLevel="0" collapsed="false">
      <c r="A55" s="53" t="str">
        <f aca="false">IF(BOE!$A56="","",BOE!$A56)</f>
        <v/>
      </c>
      <c r="B55" s="53" t="str">
        <f aca="false">IF(BOE!$A56="","",BOE!$C56)</f>
        <v/>
      </c>
      <c r="C55" s="54" t="str">
        <f aca="false">IF(BOE!$O56="","",BOE!$O56)</f>
        <v/>
      </c>
      <c r="D55" s="54" t="str">
        <f aca="false">IF(BOE!$P56="","",BOE!$P56)</f>
        <v/>
      </c>
      <c r="E55" s="55" t="n">
        <f aca="false">IF(Inputs!$B$7="P90",BOE!$T56,BOE!$R56)</f>
        <v>0</v>
      </c>
      <c r="F55" s="56" t="str">
        <f aca="false">IF(OR(F$4="",$C55="",$D55="",N($E55)=0),"",$E55*MAX(0,MIN($D55+1,EDATE(F$4,1))-MAX($C55,F$4))/MAX(1,$D55+1-$C55))</f>
        <v/>
      </c>
      <c r="G55" s="56" t="str">
        <f aca="false">IF(OR(G$4="",$C55="",$D55="",N($E55)=0),"",$E55*MAX(0,MIN($D55+1,EDATE(G$4,1))-MAX($C55,G$4))/MAX(1,$D55+1-$C55))</f>
        <v/>
      </c>
      <c r="H55" s="56" t="str">
        <f aca="false">IF(OR(H$4="",$C55="",$D55="",N($E55)=0),"",$E55*MAX(0,MIN($D55+1,EDATE(H$4,1))-MAX($C55,H$4))/MAX(1,$D55+1-$C55))</f>
        <v/>
      </c>
      <c r="I55" s="56" t="str">
        <f aca="false">IF(OR(I$4="",$C55="",$D55="",N($E55)=0),"",$E55*MAX(0,MIN($D55+1,EDATE(I$4,1))-MAX($C55,I$4))/MAX(1,$D55+1-$C55))</f>
        <v/>
      </c>
      <c r="J55" s="56" t="str">
        <f aca="false">IF(OR(J$4="",$C55="",$D55="",N($E55)=0),"",$E55*MAX(0,MIN($D55+1,EDATE(J$4,1))-MAX($C55,J$4))/MAX(1,$D55+1-$C55))</f>
        <v/>
      </c>
      <c r="K55" s="56" t="str">
        <f aca="false">IF(OR(K$4="",$C55="",$D55="",N($E55)=0),"",$E55*MAX(0,MIN($D55+1,EDATE(K$4,1))-MAX($C55,K$4))/MAX(1,$D55+1-$C55))</f>
        <v/>
      </c>
      <c r="L55" s="56" t="str">
        <f aca="false">IF(OR(L$4="",$C55="",$D55="",N($E55)=0),"",$E55*MAX(0,MIN($D55+1,EDATE(L$4,1))-MAX($C55,L$4))/MAX(1,$D55+1-$C55))</f>
        <v/>
      </c>
      <c r="M55" s="56" t="str">
        <f aca="false">IF(OR(M$4="",$C55="",$D55="",N($E55)=0),"",$E55*MAX(0,MIN($D55+1,EDATE(M$4,1))-MAX($C55,M$4))/MAX(1,$D55+1-$C55))</f>
        <v/>
      </c>
      <c r="N55" s="56" t="str">
        <f aca="false">IF(OR(N$4="",$C55="",$D55="",N($E55)=0),"",$E55*MAX(0,MIN($D55+1,EDATE(N$4,1))-MAX($C55,N$4))/MAX(1,$D55+1-$C55))</f>
        <v/>
      </c>
      <c r="O55" s="56" t="str">
        <f aca="false">IF(OR(O$4="",$C55="",$D55="",N($E55)=0),"",$E55*MAX(0,MIN($D55+1,EDATE(O$4,1))-MAX($C55,O$4))/MAX(1,$D55+1-$C55))</f>
        <v/>
      </c>
      <c r="P55" s="56" t="str">
        <f aca="false">IF(OR(P$4="",$C55="",$D55="",N($E55)=0),"",$E55*MAX(0,MIN($D55+1,EDATE(P$4,1))-MAX($C55,P$4))/MAX(1,$D55+1-$C55))</f>
        <v/>
      </c>
      <c r="Q55" s="56" t="str">
        <f aca="false">IF(OR(Q$4="",$C55="",$D55="",N($E55)=0),"",$E55*MAX(0,MIN($D55+1,EDATE(Q$4,1))-MAX($C55,Q$4))/MAX(1,$D55+1-$C55))</f>
        <v/>
      </c>
      <c r="R55" s="56" t="str">
        <f aca="false">IF(OR(R$4="",$C55="",$D55="",N($E55)=0),"",$E55*MAX(0,MIN($D55+1,EDATE(R$4,1))-MAX($C55,R$4))/MAX(1,$D55+1-$C55))</f>
        <v/>
      </c>
      <c r="S55" s="56" t="str">
        <f aca="false">IF(OR(S$4="",$C55="",$D55="",N($E55)=0),"",$E55*MAX(0,MIN($D55+1,EDATE(S$4,1))-MAX($C55,S$4))/MAX(1,$D55+1-$C55))</f>
        <v/>
      </c>
      <c r="T55" s="56" t="str">
        <f aca="false">IF(OR(T$4="",$C55="",$D55="",N($E55)=0),"",$E55*MAX(0,MIN($D55+1,EDATE(T$4,1))-MAX($C55,T$4))/MAX(1,$D55+1-$C55))</f>
        <v/>
      </c>
      <c r="U55" s="56" t="str">
        <f aca="false">IF(OR(U$4="",$C55="",$D55="",N($E55)=0),"",$E55*MAX(0,MIN($D55+1,EDATE(U$4,1))-MAX($C55,U$4))/MAX(1,$D55+1-$C55))</f>
        <v/>
      </c>
      <c r="V55" s="56" t="str">
        <f aca="false">IF(OR(V$4="",$C55="",$D55="",N($E55)=0),"",$E55*MAX(0,MIN($D55+1,EDATE(V$4,1))-MAX($C55,V$4))/MAX(1,$D55+1-$C55))</f>
        <v/>
      </c>
      <c r="W55" s="56" t="str">
        <f aca="false">IF(OR(W$4="",$C55="",$D55="",N($E55)=0),"",$E55*MAX(0,MIN($D55+1,EDATE(W$4,1))-MAX($C55,W$4))/MAX(1,$D55+1-$C55))</f>
        <v/>
      </c>
      <c r="X55" s="56" t="str">
        <f aca="false">IF(OR(X$4="",$C55="",$D55="",N($E55)=0),"",$E55*MAX(0,MIN($D55+1,EDATE(X$4,1))-MAX($C55,X$4))/MAX(1,$D55+1-$C55))</f>
        <v/>
      </c>
      <c r="Y55" s="56" t="str">
        <f aca="false">IF(OR(Y$4="",$C55="",$D55="",N($E55)=0),"",$E55*MAX(0,MIN($D55+1,EDATE(Y$4,1))-MAX($C55,Y$4))/MAX(1,$D55+1-$C55))</f>
        <v/>
      </c>
      <c r="Z55" s="56" t="str">
        <f aca="false">IF(OR(Z$4="",$C55="",$D55="",N($E55)=0),"",$E55*MAX(0,MIN($D55+1,EDATE(Z$4,1))-MAX($C55,Z$4))/MAX(1,$D55+1-$C55))</f>
        <v/>
      </c>
      <c r="AA55" s="56" t="str">
        <f aca="false">IF(OR(AA$4="",$C55="",$D55="",N($E55)=0),"",$E55*MAX(0,MIN($D55+1,EDATE(AA$4,1))-MAX($C55,AA$4))/MAX(1,$D55+1-$C55))</f>
        <v/>
      </c>
      <c r="AB55" s="56" t="str">
        <f aca="false">IF(OR(AB$4="",$C55="",$D55="",N($E55)=0),"",$E55*MAX(0,MIN($D55+1,EDATE(AB$4,1))-MAX($C55,AB$4))/MAX(1,$D55+1-$C55))</f>
        <v/>
      </c>
      <c r="AC55" s="56" t="str">
        <f aca="false">IF(OR(AC$4="",$C55="",$D55="",N($E55)=0),"",$E55*MAX(0,MIN($D55+1,EDATE(AC$4,1))-MAX($C55,AC$4))/MAX(1,$D55+1-$C55))</f>
        <v/>
      </c>
      <c r="AD55" s="56" t="str">
        <f aca="false">IF(OR(AD$4="",$C55="",$D55="",N($E55)=0),"",$E55*MAX(0,MIN($D55+1,EDATE(AD$4,1))-MAX($C55,AD$4))/MAX(1,$D55+1-$C55))</f>
        <v/>
      </c>
      <c r="AE55" s="56" t="str">
        <f aca="false">IF(OR(AE$4="",$C55="",$D55="",N($E55)=0),"",$E55*MAX(0,MIN($D55+1,EDATE(AE$4,1))-MAX($C55,AE$4))/MAX(1,$D55+1-$C55))</f>
        <v/>
      </c>
      <c r="AF55" s="56" t="str">
        <f aca="false">IF(OR(AF$4="",$C55="",$D55="",N($E55)=0),"",$E55*MAX(0,MIN($D55+1,EDATE(AF$4,1))-MAX($C55,AF$4))/MAX(1,$D55+1-$C55))</f>
        <v/>
      </c>
      <c r="AG55" s="56" t="str">
        <f aca="false">IF(OR(AG$4="",$C55="",$D55="",N($E55)=0),"",$E55*MAX(0,MIN($D55+1,EDATE(AG$4,1))-MAX($C55,AG$4))/MAX(1,$D55+1-$C55))</f>
        <v/>
      </c>
      <c r="AH55" s="56" t="str">
        <f aca="false">IF(OR(AH$4="",$C55="",$D55="",N($E55)=0),"",$E55*MAX(0,MIN($D55+1,EDATE(AH$4,1))-MAX($C55,AH$4))/MAX(1,$D55+1-$C55))</f>
        <v/>
      </c>
      <c r="AI55" s="56" t="str">
        <f aca="false">IF(OR(AI$4="",$C55="",$D55="",N($E55)=0),"",$E55*MAX(0,MIN($D55+1,EDATE(AI$4,1))-MAX($C55,AI$4))/MAX(1,$D55+1-$C55))</f>
        <v/>
      </c>
      <c r="AJ55" s="56" t="str">
        <f aca="false">IF(OR(AJ$4="",$C55="",$D55="",N($E55)=0),"",$E55*MAX(0,MIN($D55+1,EDATE(AJ$4,1))-MAX($C55,AJ$4))/MAX(1,$D55+1-$C55))</f>
        <v/>
      </c>
      <c r="AK55" s="56" t="str">
        <f aca="false">IF(OR(AK$4="",$C55="",$D55="",N($E55)=0),"",$E55*MAX(0,MIN($D55+1,EDATE(AK$4,1))-MAX($C55,AK$4))/MAX(1,$D55+1-$C55))</f>
        <v/>
      </c>
      <c r="AL55" s="56" t="str">
        <f aca="false">IF(OR(AL$4="",$C55="",$D55="",N($E55)=0),"",$E55*MAX(0,MIN($D55+1,EDATE(AL$4,1))-MAX($C55,AL$4))/MAX(1,$D55+1-$C55))</f>
        <v/>
      </c>
      <c r="AM55" s="56" t="str">
        <f aca="false">IF(OR(AM$4="",$C55="",$D55="",N($E55)=0),"",$E55*MAX(0,MIN($D55+1,EDATE(AM$4,1))-MAX($C55,AM$4))/MAX(1,$D55+1-$C55))</f>
        <v/>
      </c>
      <c r="AN55" s="56" t="str">
        <f aca="false">IF(OR(AN$4="",$C55="",$D55="",N($E55)=0),"",$E55*MAX(0,MIN($D55+1,EDATE(AN$4,1))-MAX($C55,AN$4))/MAX(1,$D55+1-$C55))</f>
        <v/>
      </c>
      <c r="AO55" s="56" t="str">
        <f aca="false">IF(OR(AO$4="",$C55="",$D55="",N($E55)=0),"",$E55*MAX(0,MIN($D55+1,EDATE(AO$4,1))-MAX($C55,AO$4))/MAX(1,$D55+1-$C55))</f>
        <v/>
      </c>
      <c r="AP55" s="56" t="str">
        <f aca="false">IF(OR(AP$4="",$C55="",$D55="",N($E55)=0),"",$E55*MAX(0,MIN($D55+1,EDATE(AP$4,1))-MAX($C55,AP$4))/MAX(1,$D55+1-$C55))</f>
        <v/>
      </c>
      <c r="AQ55" s="56" t="str">
        <f aca="false">IF(OR(AQ$4="",$C55="",$D55="",N($E55)=0),"",$E55*MAX(0,MIN($D55+1,EDATE(AQ$4,1))-MAX($C55,AQ$4))/MAX(1,$D55+1-$C55))</f>
        <v/>
      </c>
      <c r="AR55" s="56" t="str">
        <f aca="false">IF(OR(AR$4="",$C55="",$D55="",N($E55)=0),"",$E55*MAX(0,MIN($D55+1,EDATE(AR$4,1))-MAX($C55,AR$4))/MAX(1,$D55+1-$C55))</f>
        <v/>
      </c>
      <c r="AS55" s="56" t="str">
        <f aca="false">IF(OR(AS$4="",$C55="",$D55="",N($E55)=0),"",$E55*MAX(0,MIN($D55+1,EDATE(AS$4,1))-MAX($C55,AS$4))/MAX(1,$D55+1-$C55))</f>
        <v/>
      </c>
      <c r="AT55" s="56" t="str">
        <f aca="false">IF(OR(AT$4="",$C55="",$D55="",N($E55)=0),"",$E55*MAX(0,MIN($D55+1,EDATE(AT$4,1))-MAX($C55,AT$4))/MAX(1,$D55+1-$C55))</f>
        <v/>
      </c>
      <c r="AU55" s="56" t="str">
        <f aca="false">IF(OR(AU$4="",$C55="",$D55="",N($E55)=0),"",$E55*MAX(0,MIN($D55+1,EDATE(AU$4,1))-MAX($C55,AU$4))/MAX(1,$D55+1-$C55))</f>
        <v/>
      </c>
      <c r="AV55" s="56" t="str">
        <f aca="false">IF(OR(AV$4="",$C55="",$D55="",N($E55)=0),"",$E55*MAX(0,MIN($D55+1,EDATE(AV$4,1))-MAX($C55,AV$4))/MAX(1,$D55+1-$C55))</f>
        <v/>
      </c>
      <c r="AW55" s="56" t="str">
        <f aca="false">IF(OR(AW$4="",$C55="",$D55="",N($E55)=0),"",$E55*MAX(0,MIN($D55+1,EDATE(AW$4,1))-MAX($C55,AW$4))/MAX(1,$D55+1-$C55))</f>
        <v/>
      </c>
      <c r="AX55" s="56" t="str">
        <f aca="false">IF(OR(AX$4="",$C55="",$D55="",N($E55)=0),"",$E55*MAX(0,MIN($D55+1,EDATE(AX$4,1))-MAX($C55,AX$4))/MAX(1,$D55+1-$C55))</f>
        <v/>
      </c>
      <c r="AY55" s="56" t="str">
        <f aca="false">IF(OR(AY$4="",$C55="",$D55="",N($E55)=0),"",$E55*MAX(0,MIN($D55+1,EDATE(AY$4,1))-MAX($C55,AY$4))/MAX(1,$D55+1-$C55))</f>
        <v/>
      </c>
      <c r="AZ55" s="56" t="str">
        <f aca="false">IF(OR(AZ$4="",$C55="",$D55="",N($E55)=0),"",$E55*MAX(0,MIN($D55+1,EDATE(AZ$4,1))-MAX($C55,AZ$4))/MAX(1,$D55+1-$C55))</f>
        <v/>
      </c>
      <c r="BA55" s="56" t="str">
        <f aca="false">IF(OR(BA$4="",$C55="",$D55="",N($E55)=0),"",$E55*MAX(0,MIN($D55+1,EDATE(BA$4,1))-MAX($C55,BA$4))/MAX(1,$D55+1-$C55))</f>
        <v/>
      </c>
      <c r="BB55" s="56" t="str">
        <f aca="false">IF(OR(BB$4="",$C55="",$D55="",N($E55)=0),"",$E55*MAX(0,MIN($D55+1,EDATE(BB$4,1))-MAX($C55,BB$4))/MAX(1,$D55+1-$C55))</f>
        <v/>
      </c>
      <c r="BC55" s="56" t="str">
        <f aca="false">IF(OR(BC$4="",$C55="",$D55="",N($E55)=0),"",$E55*MAX(0,MIN($D55+1,EDATE(BC$4,1))-MAX($C55,BC$4))/MAX(1,$D55+1-$C55))</f>
        <v/>
      </c>
      <c r="BD55" s="56" t="str">
        <f aca="false">IF(OR(BD$4="",$C55="",$D55="",N($E55)=0),"",$E55*MAX(0,MIN($D55+1,EDATE(BD$4,1))-MAX($C55,BD$4))/MAX(1,$D55+1-$C55))</f>
        <v/>
      </c>
      <c r="BE55" s="56" t="str">
        <f aca="false">IF(OR(BE$4="",$C55="",$D55="",N($E55)=0),"",$E55*MAX(0,MIN($D55+1,EDATE(BE$4,1))-MAX($C55,BE$4))/MAX(1,$D55+1-$C55))</f>
        <v/>
      </c>
      <c r="BF55" s="56" t="str">
        <f aca="false">IF(OR(BF$4="",$C55="",$D55="",N($E55)=0),"",$E55*MAX(0,MIN($D55+1,EDATE(BF$4,1))-MAX($C55,BF$4))/MAX(1,$D55+1-$C55))</f>
        <v/>
      </c>
      <c r="BG55" s="56" t="str">
        <f aca="false">IF(OR(BG$4="",$C55="",$D55="",N($E55)=0),"",$E55*MAX(0,MIN($D55+1,EDATE(BG$4,1))-MAX($C55,BG$4))/MAX(1,$D55+1-$C55))</f>
        <v/>
      </c>
      <c r="BH55" s="56" t="str">
        <f aca="false">IF(OR(BH$4="",$C55="",$D55="",N($E55)=0),"",$E55*MAX(0,MIN($D55+1,EDATE(BH$4,1))-MAX($C55,BH$4))/MAX(1,$D55+1-$C55))</f>
        <v/>
      </c>
      <c r="BI55" s="56" t="str">
        <f aca="false">IF(OR(BI$4="",$C55="",$D55="",N($E55)=0),"",$E55*MAX(0,MIN($D55+1,EDATE(BI$4,1))-MAX($C55,BI$4))/MAX(1,$D55+1-$C55))</f>
        <v/>
      </c>
      <c r="BJ55" s="56" t="str">
        <f aca="false">IF(OR(BJ$4="",$C55="",$D55="",N($E55)=0),"",$E55*MAX(0,MIN($D55+1,EDATE(BJ$4,1))-MAX($C55,BJ$4))/MAX(1,$D55+1-$C55))</f>
        <v/>
      </c>
      <c r="BK55" s="56" t="str">
        <f aca="false">IF(OR(BK$4="",$C55="",$D55="",N($E55)=0),"",$E55*MAX(0,MIN($D55+1,EDATE(BK$4,1))-MAX($C55,BK$4))/MAX(1,$D55+1-$C55))</f>
        <v/>
      </c>
      <c r="BL55" s="56" t="str">
        <f aca="false">IF(OR(BL$4="",$C55="",$D55="",N($E55)=0),"",$E55*MAX(0,MIN($D55+1,EDATE(BL$4,1))-MAX($C55,BL$4))/MAX(1,$D55+1-$C55))</f>
        <v/>
      </c>
      <c r="BM55" s="56" t="str">
        <f aca="false">IF(OR(BM$4="",$C55="",$D55="",N($E55)=0),"",$E55*MAX(0,MIN($D55+1,EDATE(BM$4,1))-MAX($C55,BM$4))/MAX(1,$D55+1-$C55))</f>
        <v/>
      </c>
      <c r="BN55" s="56" t="str">
        <f aca="false">IF(OR(BN$4="",$C55="",$D55="",N($E55)=0),"",$E55*MAX(0,MIN($D55+1,EDATE(BN$4,1))-MAX($C55,BN$4))/MAX(1,$D55+1-$C55))</f>
        <v/>
      </c>
      <c r="BO55" s="56" t="str">
        <f aca="false">IF(OR(BO$4="",$C55="",$D55="",N($E55)=0),"",$E55*MAX(0,MIN($D55+1,EDATE(BO$4,1))-MAX($C55,BO$4))/MAX(1,$D55+1-$C55))</f>
        <v/>
      </c>
      <c r="BP55" s="56" t="str">
        <f aca="false">IF(OR(BP$4="",$C55="",$D55="",N($E55)=0),"",$E55*MAX(0,MIN($D55+1,EDATE(BP$4,1))-MAX($C55,BP$4))/MAX(1,$D55+1-$C55))</f>
        <v/>
      </c>
      <c r="BQ55" s="56" t="str">
        <f aca="false">IF(OR(BQ$4="",$C55="",$D55="",N($E55)=0),"",$E55*MAX(0,MIN($D55+1,EDATE(BQ$4,1))-MAX($C55,BQ$4))/MAX(1,$D55+1-$C55))</f>
        <v/>
      </c>
      <c r="BR55" s="56" t="str">
        <f aca="false">IF(OR(BR$4="",$C55="",$D55="",N($E55)=0),"",$E55*MAX(0,MIN($D55+1,EDATE(BR$4,1))-MAX($C55,BR$4))/MAX(1,$D55+1-$C55))</f>
        <v/>
      </c>
      <c r="BS55" s="56" t="str">
        <f aca="false">IF(OR(BS$4="",$C55="",$D55="",N($E55)=0),"",$E55*MAX(0,MIN($D55+1,EDATE(BS$4,1))-MAX($C55,BS$4))/MAX(1,$D55+1-$C55))</f>
        <v/>
      </c>
      <c r="BT55" s="56" t="str">
        <f aca="false">IF(OR(BT$4="",$C55="",$D55="",N($E55)=0),"",$E55*MAX(0,MIN($D55+1,EDATE(BT$4,1))-MAX($C55,BT$4))/MAX(1,$D55+1-$C55))</f>
        <v/>
      </c>
      <c r="BU55" s="56" t="str">
        <f aca="false">IF(OR(BU$4="",$C55="",$D55="",N($E55)=0),"",$E55*MAX(0,MIN($D55+1,EDATE(BU$4,1))-MAX($C55,BU$4))/MAX(1,$D55+1-$C55))</f>
        <v/>
      </c>
      <c r="BV55" s="56" t="str">
        <f aca="false">IF(OR(BV$4="",$C55="",$D55="",N($E55)=0),"",$E55*MAX(0,MIN($D55+1,EDATE(BV$4,1))-MAX($C55,BV$4))/MAX(1,$D55+1-$C55))</f>
        <v/>
      </c>
      <c r="BW55" s="56" t="str">
        <f aca="false">IF(OR(BW$4="",$C55="",$D55="",N($E55)=0),"",$E55*MAX(0,MIN($D55+1,EDATE(BW$4,1))-MAX($C55,BW$4))/MAX(1,$D55+1-$C55))</f>
        <v/>
      </c>
      <c r="BX55" s="56" t="str">
        <f aca="false">IF(OR(BX$4="",$C55="",$D55="",N($E55)=0),"",$E55*MAX(0,MIN($D55+1,EDATE(BX$4,1))-MAX($C55,BX$4))/MAX(1,$D55+1-$C55))</f>
        <v/>
      </c>
      <c r="BY55" s="56" t="str">
        <f aca="false">IF(OR(BY$4="",$C55="",$D55="",N($E55)=0),"",$E55*MAX(0,MIN($D55+1,EDATE(BY$4,1))-MAX($C55,BY$4))/MAX(1,$D55+1-$C55))</f>
        <v/>
      </c>
    </row>
    <row r="56" customFormat="false" ht="15" hidden="false" customHeight="false" outlineLevel="0" collapsed="false">
      <c r="A56" s="53" t="str">
        <f aca="false">IF(BOE!$A57="","",BOE!$A57)</f>
        <v/>
      </c>
      <c r="B56" s="53" t="str">
        <f aca="false">IF(BOE!$A57="","",BOE!$C57)</f>
        <v/>
      </c>
      <c r="C56" s="54" t="str">
        <f aca="false">IF(BOE!$O57="","",BOE!$O57)</f>
        <v/>
      </c>
      <c r="D56" s="54" t="str">
        <f aca="false">IF(BOE!$P57="","",BOE!$P57)</f>
        <v/>
      </c>
      <c r="E56" s="55" t="n">
        <f aca="false">IF(Inputs!$B$7="P90",BOE!$T57,BOE!$R57)</f>
        <v>0</v>
      </c>
      <c r="F56" s="56" t="str">
        <f aca="false">IF(OR(F$4="",$C56="",$D56="",N($E56)=0),"",$E56*MAX(0,MIN($D56+1,EDATE(F$4,1))-MAX($C56,F$4))/MAX(1,$D56+1-$C56))</f>
        <v/>
      </c>
      <c r="G56" s="56" t="str">
        <f aca="false">IF(OR(G$4="",$C56="",$D56="",N($E56)=0),"",$E56*MAX(0,MIN($D56+1,EDATE(G$4,1))-MAX($C56,G$4))/MAX(1,$D56+1-$C56))</f>
        <v/>
      </c>
      <c r="H56" s="56" t="str">
        <f aca="false">IF(OR(H$4="",$C56="",$D56="",N($E56)=0),"",$E56*MAX(0,MIN($D56+1,EDATE(H$4,1))-MAX($C56,H$4))/MAX(1,$D56+1-$C56))</f>
        <v/>
      </c>
      <c r="I56" s="56" t="str">
        <f aca="false">IF(OR(I$4="",$C56="",$D56="",N($E56)=0),"",$E56*MAX(0,MIN($D56+1,EDATE(I$4,1))-MAX($C56,I$4))/MAX(1,$D56+1-$C56))</f>
        <v/>
      </c>
      <c r="J56" s="56" t="str">
        <f aca="false">IF(OR(J$4="",$C56="",$D56="",N($E56)=0),"",$E56*MAX(0,MIN($D56+1,EDATE(J$4,1))-MAX($C56,J$4))/MAX(1,$D56+1-$C56))</f>
        <v/>
      </c>
      <c r="K56" s="56" t="str">
        <f aca="false">IF(OR(K$4="",$C56="",$D56="",N($E56)=0),"",$E56*MAX(0,MIN($D56+1,EDATE(K$4,1))-MAX($C56,K$4))/MAX(1,$D56+1-$C56))</f>
        <v/>
      </c>
      <c r="L56" s="56" t="str">
        <f aca="false">IF(OR(L$4="",$C56="",$D56="",N($E56)=0),"",$E56*MAX(0,MIN($D56+1,EDATE(L$4,1))-MAX($C56,L$4))/MAX(1,$D56+1-$C56))</f>
        <v/>
      </c>
      <c r="M56" s="56" t="str">
        <f aca="false">IF(OR(M$4="",$C56="",$D56="",N($E56)=0),"",$E56*MAX(0,MIN($D56+1,EDATE(M$4,1))-MAX($C56,M$4))/MAX(1,$D56+1-$C56))</f>
        <v/>
      </c>
      <c r="N56" s="56" t="str">
        <f aca="false">IF(OR(N$4="",$C56="",$D56="",N($E56)=0),"",$E56*MAX(0,MIN($D56+1,EDATE(N$4,1))-MAX($C56,N$4))/MAX(1,$D56+1-$C56))</f>
        <v/>
      </c>
      <c r="O56" s="56" t="str">
        <f aca="false">IF(OR(O$4="",$C56="",$D56="",N($E56)=0),"",$E56*MAX(0,MIN($D56+1,EDATE(O$4,1))-MAX($C56,O$4))/MAX(1,$D56+1-$C56))</f>
        <v/>
      </c>
      <c r="P56" s="56" t="str">
        <f aca="false">IF(OR(P$4="",$C56="",$D56="",N($E56)=0),"",$E56*MAX(0,MIN($D56+1,EDATE(P$4,1))-MAX($C56,P$4))/MAX(1,$D56+1-$C56))</f>
        <v/>
      </c>
      <c r="Q56" s="56" t="str">
        <f aca="false">IF(OR(Q$4="",$C56="",$D56="",N($E56)=0),"",$E56*MAX(0,MIN($D56+1,EDATE(Q$4,1))-MAX($C56,Q$4))/MAX(1,$D56+1-$C56))</f>
        <v/>
      </c>
      <c r="R56" s="56" t="str">
        <f aca="false">IF(OR(R$4="",$C56="",$D56="",N($E56)=0),"",$E56*MAX(0,MIN($D56+1,EDATE(R$4,1))-MAX($C56,R$4))/MAX(1,$D56+1-$C56))</f>
        <v/>
      </c>
      <c r="S56" s="56" t="str">
        <f aca="false">IF(OR(S$4="",$C56="",$D56="",N($E56)=0),"",$E56*MAX(0,MIN($D56+1,EDATE(S$4,1))-MAX($C56,S$4))/MAX(1,$D56+1-$C56))</f>
        <v/>
      </c>
      <c r="T56" s="56" t="str">
        <f aca="false">IF(OR(T$4="",$C56="",$D56="",N($E56)=0),"",$E56*MAX(0,MIN($D56+1,EDATE(T$4,1))-MAX($C56,T$4))/MAX(1,$D56+1-$C56))</f>
        <v/>
      </c>
      <c r="U56" s="56" t="str">
        <f aca="false">IF(OR(U$4="",$C56="",$D56="",N($E56)=0),"",$E56*MAX(0,MIN($D56+1,EDATE(U$4,1))-MAX($C56,U$4))/MAX(1,$D56+1-$C56))</f>
        <v/>
      </c>
      <c r="V56" s="56" t="str">
        <f aca="false">IF(OR(V$4="",$C56="",$D56="",N($E56)=0),"",$E56*MAX(0,MIN($D56+1,EDATE(V$4,1))-MAX($C56,V$4))/MAX(1,$D56+1-$C56))</f>
        <v/>
      </c>
      <c r="W56" s="56" t="str">
        <f aca="false">IF(OR(W$4="",$C56="",$D56="",N($E56)=0),"",$E56*MAX(0,MIN($D56+1,EDATE(W$4,1))-MAX($C56,W$4))/MAX(1,$D56+1-$C56))</f>
        <v/>
      </c>
      <c r="X56" s="56" t="str">
        <f aca="false">IF(OR(X$4="",$C56="",$D56="",N($E56)=0),"",$E56*MAX(0,MIN($D56+1,EDATE(X$4,1))-MAX($C56,X$4))/MAX(1,$D56+1-$C56))</f>
        <v/>
      </c>
      <c r="Y56" s="56" t="str">
        <f aca="false">IF(OR(Y$4="",$C56="",$D56="",N($E56)=0),"",$E56*MAX(0,MIN($D56+1,EDATE(Y$4,1))-MAX($C56,Y$4))/MAX(1,$D56+1-$C56))</f>
        <v/>
      </c>
      <c r="Z56" s="56" t="str">
        <f aca="false">IF(OR(Z$4="",$C56="",$D56="",N($E56)=0),"",$E56*MAX(0,MIN($D56+1,EDATE(Z$4,1))-MAX($C56,Z$4))/MAX(1,$D56+1-$C56))</f>
        <v/>
      </c>
      <c r="AA56" s="56" t="str">
        <f aca="false">IF(OR(AA$4="",$C56="",$D56="",N($E56)=0),"",$E56*MAX(0,MIN($D56+1,EDATE(AA$4,1))-MAX($C56,AA$4))/MAX(1,$D56+1-$C56))</f>
        <v/>
      </c>
      <c r="AB56" s="56" t="str">
        <f aca="false">IF(OR(AB$4="",$C56="",$D56="",N($E56)=0),"",$E56*MAX(0,MIN($D56+1,EDATE(AB$4,1))-MAX($C56,AB$4))/MAX(1,$D56+1-$C56))</f>
        <v/>
      </c>
      <c r="AC56" s="56" t="str">
        <f aca="false">IF(OR(AC$4="",$C56="",$D56="",N($E56)=0),"",$E56*MAX(0,MIN($D56+1,EDATE(AC$4,1))-MAX($C56,AC$4))/MAX(1,$D56+1-$C56))</f>
        <v/>
      </c>
      <c r="AD56" s="56" t="str">
        <f aca="false">IF(OR(AD$4="",$C56="",$D56="",N($E56)=0),"",$E56*MAX(0,MIN($D56+1,EDATE(AD$4,1))-MAX($C56,AD$4))/MAX(1,$D56+1-$C56))</f>
        <v/>
      </c>
      <c r="AE56" s="56" t="str">
        <f aca="false">IF(OR(AE$4="",$C56="",$D56="",N($E56)=0),"",$E56*MAX(0,MIN($D56+1,EDATE(AE$4,1))-MAX($C56,AE$4))/MAX(1,$D56+1-$C56))</f>
        <v/>
      </c>
      <c r="AF56" s="56" t="str">
        <f aca="false">IF(OR(AF$4="",$C56="",$D56="",N($E56)=0),"",$E56*MAX(0,MIN($D56+1,EDATE(AF$4,1))-MAX($C56,AF$4))/MAX(1,$D56+1-$C56))</f>
        <v/>
      </c>
      <c r="AG56" s="56" t="str">
        <f aca="false">IF(OR(AG$4="",$C56="",$D56="",N($E56)=0),"",$E56*MAX(0,MIN($D56+1,EDATE(AG$4,1))-MAX($C56,AG$4))/MAX(1,$D56+1-$C56))</f>
        <v/>
      </c>
      <c r="AH56" s="56" t="str">
        <f aca="false">IF(OR(AH$4="",$C56="",$D56="",N($E56)=0),"",$E56*MAX(0,MIN($D56+1,EDATE(AH$4,1))-MAX($C56,AH$4))/MAX(1,$D56+1-$C56))</f>
        <v/>
      </c>
      <c r="AI56" s="56" t="str">
        <f aca="false">IF(OR(AI$4="",$C56="",$D56="",N($E56)=0),"",$E56*MAX(0,MIN($D56+1,EDATE(AI$4,1))-MAX($C56,AI$4))/MAX(1,$D56+1-$C56))</f>
        <v/>
      </c>
      <c r="AJ56" s="56" t="str">
        <f aca="false">IF(OR(AJ$4="",$C56="",$D56="",N($E56)=0),"",$E56*MAX(0,MIN($D56+1,EDATE(AJ$4,1))-MAX($C56,AJ$4))/MAX(1,$D56+1-$C56))</f>
        <v/>
      </c>
      <c r="AK56" s="56" t="str">
        <f aca="false">IF(OR(AK$4="",$C56="",$D56="",N($E56)=0),"",$E56*MAX(0,MIN($D56+1,EDATE(AK$4,1))-MAX($C56,AK$4))/MAX(1,$D56+1-$C56))</f>
        <v/>
      </c>
      <c r="AL56" s="56" t="str">
        <f aca="false">IF(OR(AL$4="",$C56="",$D56="",N($E56)=0),"",$E56*MAX(0,MIN($D56+1,EDATE(AL$4,1))-MAX($C56,AL$4))/MAX(1,$D56+1-$C56))</f>
        <v/>
      </c>
      <c r="AM56" s="56" t="str">
        <f aca="false">IF(OR(AM$4="",$C56="",$D56="",N($E56)=0),"",$E56*MAX(0,MIN($D56+1,EDATE(AM$4,1))-MAX($C56,AM$4))/MAX(1,$D56+1-$C56))</f>
        <v/>
      </c>
      <c r="AN56" s="56" t="str">
        <f aca="false">IF(OR(AN$4="",$C56="",$D56="",N($E56)=0),"",$E56*MAX(0,MIN($D56+1,EDATE(AN$4,1))-MAX($C56,AN$4))/MAX(1,$D56+1-$C56))</f>
        <v/>
      </c>
      <c r="AO56" s="56" t="str">
        <f aca="false">IF(OR(AO$4="",$C56="",$D56="",N($E56)=0),"",$E56*MAX(0,MIN($D56+1,EDATE(AO$4,1))-MAX($C56,AO$4))/MAX(1,$D56+1-$C56))</f>
        <v/>
      </c>
      <c r="AP56" s="56" t="str">
        <f aca="false">IF(OR(AP$4="",$C56="",$D56="",N($E56)=0),"",$E56*MAX(0,MIN($D56+1,EDATE(AP$4,1))-MAX($C56,AP$4))/MAX(1,$D56+1-$C56))</f>
        <v/>
      </c>
      <c r="AQ56" s="56" t="str">
        <f aca="false">IF(OR(AQ$4="",$C56="",$D56="",N($E56)=0),"",$E56*MAX(0,MIN($D56+1,EDATE(AQ$4,1))-MAX($C56,AQ$4))/MAX(1,$D56+1-$C56))</f>
        <v/>
      </c>
      <c r="AR56" s="56" t="str">
        <f aca="false">IF(OR(AR$4="",$C56="",$D56="",N($E56)=0),"",$E56*MAX(0,MIN($D56+1,EDATE(AR$4,1))-MAX($C56,AR$4))/MAX(1,$D56+1-$C56))</f>
        <v/>
      </c>
      <c r="AS56" s="56" t="str">
        <f aca="false">IF(OR(AS$4="",$C56="",$D56="",N($E56)=0),"",$E56*MAX(0,MIN($D56+1,EDATE(AS$4,1))-MAX($C56,AS$4))/MAX(1,$D56+1-$C56))</f>
        <v/>
      </c>
      <c r="AT56" s="56" t="str">
        <f aca="false">IF(OR(AT$4="",$C56="",$D56="",N($E56)=0),"",$E56*MAX(0,MIN($D56+1,EDATE(AT$4,1))-MAX($C56,AT$4))/MAX(1,$D56+1-$C56))</f>
        <v/>
      </c>
      <c r="AU56" s="56" t="str">
        <f aca="false">IF(OR(AU$4="",$C56="",$D56="",N($E56)=0),"",$E56*MAX(0,MIN($D56+1,EDATE(AU$4,1))-MAX($C56,AU$4))/MAX(1,$D56+1-$C56))</f>
        <v/>
      </c>
      <c r="AV56" s="56" t="str">
        <f aca="false">IF(OR(AV$4="",$C56="",$D56="",N($E56)=0),"",$E56*MAX(0,MIN($D56+1,EDATE(AV$4,1))-MAX($C56,AV$4))/MAX(1,$D56+1-$C56))</f>
        <v/>
      </c>
      <c r="AW56" s="56" t="str">
        <f aca="false">IF(OR(AW$4="",$C56="",$D56="",N($E56)=0),"",$E56*MAX(0,MIN($D56+1,EDATE(AW$4,1))-MAX($C56,AW$4))/MAX(1,$D56+1-$C56))</f>
        <v/>
      </c>
      <c r="AX56" s="56" t="str">
        <f aca="false">IF(OR(AX$4="",$C56="",$D56="",N($E56)=0),"",$E56*MAX(0,MIN($D56+1,EDATE(AX$4,1))-MAX($C56,AX$4))/MAX(1,$D56+1-$C56))</f>
        <v/>
      </c>
      <c r="AY56" s="56" t="str">
        <f aca="false">IF(OR(AY$4="",$C56="",$D56="",N($E56)=0),"",$E56*MAX(0,MIN($D56+1,EDATE(AY$4,1))-MAX($C56,AY$4))/MAX(1,$D56+1-$C56))</f>
        <v/>
      </c>
      <c r="AZ56" s="56" t="str">
        <f aca="false">IF(OR(AZ$4="",$C56="",$D56="",N($E56)=0),"",$E56*MAX(0,MIN($D56+1,EDATE(AZ$4,1))-MAX($C56,AZ$4))/MAX(1,$D56+1-$C56))</f>
        <v/>
      </c>
      <c r="BA56" s="56" t="str">
        <f aca="false">IF(OR(BA$4="",$C56="",$D56="",N($E56)=0),"",$E56*MAX(0,MIN($D56+1,EDATE(BA$4,1))-MAX($C56,BA$4))/MAX(1,$D56+1-$C56))</f>
        <v/>
      </c>
      <c r="BB56" s="56" t="str">
        <f aca="false">IF(OR(BB$4="",$C56="",$D56="",N($E56)=0),"",$E56*MAX(0,MIN($D56+1,EDATE(BB$4,1))-MAX($C56,BB$4))/MAX(1,$D56+1-$C56))</f>
        <v/>
      </c>
      <c r="BC56" s="56" t="str">
        <f aca="false">IF(OR(BC$4="",$C56="",$D56="",N($E56)=0),"",$E56*MAX(0,MIN($D56+1,EDATE(BC$4,1))-MAX($C56,BC$4))/MAX(1,$D56+1-$C56))</f>
        <v/>
      </c>
      <c r="BD56" s="56" t="str">
        <f aca="false">IF(OR(BD$4="",$C56="",$D56="",N($E56)=0),"",$E56*MAX(0,MIN($D56+1,EDATE(BD$4,1))-MAX($C56,BD$4))/MAX(1,$D56+1-$C56))</f>
        <v/>
      </c>
      <c r="BE56" s="56" t="str">
        <f aca="false">IF(OR(BE$4="",$C56="",$D56="",N($E56)=0),"",$E56*MAX(0,MIN($D56+1,EDATE(BE$4,1))-MAX($C56,BE$4))/MAX(1,$D56+1-$C56))</f>
        <v/>
      </c>
      <c r="BF56" s="56" t="str">
        <f aca="false">IF(OR(BF$4="",$C56="",$D56="",N($E56)=0),"",$E56*MAX(0,MIN($D56+1,EDATE(BF$4,1))-MAX($C56,BF$4))/MAX(1,$D56+1-$C56))</f>
        <v/>
      </c>
      <c r="BG56" s="56" t="str">
        <f aca="false">IF(OR(BG$4="",$C56="",$D56="",N($E56)=0),"",$E56*MAX(0,MIN($D56+1,EDATE(BG$4,1))-MAX($C56,BG$4))/MAX(1,$D56+1-$C56))</f>
        <v/>
      </c>
      <c r="BH56" s="56" t="str">
        <f aca="false">IF(OR(BH$4="",$C56="",$D56="",N($E56)=0),"",$E56*MAX(0,MIN($D56+1,EDATE(BH$4,1))-MAX($C56,BH$4))/MAX(1,$D56+1-$C56))</f>
        <v/>
      </c>
      <c r="BI56" s="56" t="str">
        <f aca="false">IF(OR(BI$4="",$C56="",$D56="",N($E56)=0),"",$E56*MAX(0,MIN($D56+1,EDATE(BI$4,1))-MAX($C56,BI$4))/MAX(1,$D56+1-$C56))</f>
        <v/>
      </c>
      <c r="BJ56" s="56" t="str">
        <f aca="false">IF(OR(BJ$4="",$C56="",$D56="",N($E56)=0),"",$E56*MAX(0,MIN($D56+1,EDATE(BJ$4,1))-MAX($C56,BJ$4))/MAX(1,$D56+1-$C56))</f>
        <v/>
      </c>
      <c r="BK56" s="56" t="str">
        <f aca="false">IF(OR(BK$4="",$C56="",$D56="",N($E56)=0),"",$E56*MAX(0,MIN($D56+1,EDATE(BK$4,1))-MAX($C56,BK$4))/MAX(1,$D56+1-$C56))</f>
        <v/>
      </c>
      <c r="BL56" s="56" t="str">
        <f aca="false">IF(OR(BL$4="",$C56="",$D56="",N($E56)=0),"",$E56*MAX(0,MIN($D56+1,EDATE(BL$4,1))-MAX($C56,BL$4))/MAX(1,$D56+1-$C56))</f>
        <v/>
      </c>
      <c r="BM56" s="56" t="str">
        <f aca="false">IF(OR(BM$4="",$C56="",$D56="",N($E56)=0),"",$E56*MAX(0,MIN($D56+1,EDATE(BM$4,1))-MAX($C56,BM$4))/MAX(1,$D56+1-$C56))</f>
        <v/>
      </c>
      <c r="BN56" s="56" t="str">
        <f aca="false">IF(OR(BN$4="",$C56="",$D56="",N($E56)=0),"",$E56*MAX(0,MIN($D56+1,EDATE(BN$4,1))-MAX($C56,BN$4))/MAX(1,$D56+1-$C56))</f>
        <v/>
      </c>
      <c r="BO56" s="56" t="str">
        <f aca="false">IF(OR(BO$4="",$C56="",$D56="",N($E56)=0),"",$E56*MAX(0,MIN($D56+1,EDATE(BO$4,1))-MAX($C56,BO$4))/MAX(1,$D56+1-$C56))</f>
        <v/>
      </c>
      <c r="BP56" s="56" t="str">
        <f aca="false">IF(OR(BP$4="",$C56="",$D56="",N($E56)=0),"",$E56*MAX(0,MIN($D56+1,EDATE(BP$4,1))-MAX($C56,BP$4))/MAX(1,$D56+1-$C56))</f>
        <v/>
      </c>
      <c r="BQ56" s="56" t="str">
        <f aca="false">IF(OR(BQ$4="",$C56="",$D56="",N($E56)=0),"",$E56*MAX(0,MIN($D56+1,EDATE(BQ$4,1))-MAX($C56,BQ$4))/MAX(1,$D56+1-$C56))</f>
        <v/>
      </c>
      <c r="BR56" s="56" t="str">
        <f aca="false">IF(OR(BR$4="",$C56="",$D56="",N($E56)=0),"",$E56*MAX(0,MIN($D56+1,EDATE(BR$4,1))-MAX($C56,BR$4))/MAX(1,$D56+1-$C56))</f>
        <v/>
      </c>
      <c r="BS56" s="56" t="str">
        <f aca="false">IF(OR(BS$4="",$C56="",$D56="",N($E56)=0),"",$E56*MAX(0,MIN($D56+1,EDATE(BS$4,1))-MAX($C56,BS$4))/MAX(1,$D56+1-$C56))</f>
        <v/>
      </c>
      <c r="BT56" s="56" t="str">
        <f aca="false">IF(OR(BT$4="",$C56="",$D56="",N($E56)=0),"",$E56*MAX(0,MIN($D56+1,EDATE(BT$4,1))-MAX($C56,BT$4))/MAX(1,$D56+1-$C56))</f>
        <v/>
      </c>
      <c r="BU56" s="56" t="str">
        <f aca="false">IF(OR(BU$4="",$C56="",$D56="",N($E56)=0),"",$E56*MAX(0,MIN($D56+1,EDATE(BU$4,1))-MAX($C56,BU$4))/MAX(1,$D56+1-$C56))</f>
        <v/>
      </c>
      <c r="BV56" s="56" t="str">
        <f aca="false">IF(OR(BV$4="",$C56="",$D56="",N($E56)=0),"",$E56*MAX(0,MIN($D56+1,EDATE(BV$4,1))-MAX($C56,BV$4))/MAX(1,$D56+1-$C56))</f>
        <v/>
      </c>
      <c r="BW56" s="56" t="str">
        <f aca="false">IF(OR(BW$4="",$C56="",$D56="",N($E56)=0),"",$E56*MAX(0,MIN($D56+1,EDATE(BW$4,1))-MAX($C56,BW$4))/MAX(1,$D56+1-$C56))</f>
        <v/>
      </c>
      <c r="BX56" s="56" t="str">
        <f aca="false">IF(OR(BX$4="",$C56="",$D56="",N($E56)=0),"",$E56*MAX(0,MIN($D56+1,EDATE(BX$4,1))-MAX($C56,BX$4))/MAX(1,$D56+1-$C56))</f>
        <v/>
      </c>
      <c r="BY56" s="56" t="str">
        <f aca="false">IF(OR(BY$4="",$C56="",$D56="",N($E56)=0),"",$E56*MAX(0,MIN($D56+1,EDATE(BY$4,1))-MAX($C56,BY$4))/MAX(1,$D56+1-$C56))</f>
        <v/>
      </c>
    </row>
    <row r="57" customFormat="false" ht="15" hidden="false" customHeight="false" outlineLevel="0" collapsed="false">
      <c r="A57" s="53" t="str">
        <f aca="false">IF(BOE!$A58="","",BOE!$A58)</f>
        <v/>
      </c>
      <c r="B57" s="53" t="str">
        <f aca="false">IF(BOE!$A58="","",BOE!$C58)</f>
        <v/>
      </c>
      <c r="C57" s="54" t="str">
        <f aca="false">IF(BOE!$O58="","",BOE!$O58)</f>
        <v/>
      </c>
      <c r="D57" s="54" t="str">
        <f aca="false">IF(BOE!$P58="","",BOE!$P58)</f>
        <v/>
      </c>
      <c r="E57" s="55" t="n">
        <f aca="false">IF(Inputs!$B$7="P90",BOE!$T58,BOE!$R58)</f>
        <v>0</v>
      </c>
      <c r="F57" s="56" t="str">
        <f aca="false">IF(OR(F$4="",$C57="",$D57="",N($E57)=0),"",$E57*MAX(0,MIN($D57+1,EDATE(F$4,1))-MAX($C57,F$4))/MAX(1,$D57+1-$C57))</f>
        <v/>
      </c>
      <c r="G57" s="56" t="str">
        <f aca="false">IF(OR(G$4="",$C57="",$D57="",N($E57)=0),"",$E57*MAX(0,MIN($D57+1,EDATE(G$4,1))-MAX($C57,G$4))/MAX(1,$D57+1-$C57))</f>
        <v/>
      </c>
      <c r="H57" s="56" t="str">
        <f aca="false">IF(OR(H$4="",$C57="",$D57="",N($E57)=0),"",$E57*MAX(0,MIN($D57+1,EDATE(H$4,1))-MAX($C57,H$4))/MAX(1,$D57+1-$C57))</f>
        <v/>
      </c>
      <c r="I57" s="56" t="str">
        <f aca="false">IF(OR(I$4="",$C57="",$D57="",N($E57)=0),"",$E57*MAX(0,MIN($D57+1,EDATE(I$4,1))-MAX($C57,I$4))/MAX(1,$D57+1-$C57))</f>
        <v/>
      </c>
      <c r="J57" s="56" t="str">
        <f aca="false">IF(OR(J$4="",$C57="",$D57="",N($E57)=0),"",$E57*MAX(0,MIN($D57+1,EDATE(J$4,1))-MAX($C57,J$4))/MAX(1,$D57+1-$C57))</f>
        <v/>
      </c>
      <c r="K57" s="56" t="str">
        <f aca="false">IF(OR(K$4="",$C57="",$D57="",N($E57)=0),"",$E57*MAX(0,MIN($D57+1,EDATE(K$4,1))-MAX($C57,K$4))/MAX(1,$D57+1-$C57))</f>
        <v/>
      </c>
      <c r="L57" s="56" t="str">
        <f aca="false">IF(OR(L$4="",$C57="",$D57="",N($E57)=0),"",$E57*MAX(0,MIN($D57+1,EDATE(L$4,1))-MAX($C57,L$4))/MAX(1,$D57+1-$C57))</f>
        <v/>
      </c>
      <c r="M57" s="56" t="str">
        <f aca="false">IF(OR(M$4="",$C57="",$D57="",N($E57)=0),"",$E57*MAX(0,MIN($D57+1,EDATE(M$4,1))-MAX($C57,M$4))/MAX(1,$D57+1-$C57))</f>
        <v/>
      </c>
      <c r="N57" s="56" t="str">
        <f aca="false">IF(OR(N$4="",$C57="",$D57="",N($E57)=0),"",$E57*MAX(0,MIN($D57+1,EDATE(N$4,1))-MAX($C57,N$4))/MAX(1,$D57+1-$C57))</f>
        <v/>
      </c>
      <c r="O57" s="56" t="str">
        <f aca="false">IF(OR(O$4="",$C57="",$D57="",N($E57)=0),"",$E57*MAX(0,MIN($D57+1,EDATE(O$4,1))-MAX($C57,O$4))/MAX(1,$D57+1-$C57))</f>
        <v/>
      </c>
      <c r="P57" s="56" t="str">
        <f aca="false">IF(OR(P$4="",$C57="",$D57="",N($E57)=0),"",$E57*MAX(0,MIN($D57+1,EDATE(P$4,1))-MAX($C57,P$4))/MAX(1,$D57+1-$C57))</f>
        <v/>
      </c>
      <c r="Q57" s="56" t="str">
        <f aca="false">IF(OR(Q$4="",$C57="",$D57="",N($E57)=0),"",$E57*MAX(0,MIN($D57+1,EDATE(Q$4,1))-MAX($C57,Q$4))/MAX(1,$D57+1-$C57))</f>
        <v/>
      </c>
      <c r="R57" s="56" t="str">
        <f aca="false">IF(OR(R$4="",$C57="",$D57="",N($E57)=0),"",$E57*MAX(0,MIN($D57+1,EDATE(R$4,1))-MAX($C57,R$4))/MAX(1,$D57+1-$C57))</f>
        <v/>
      </c>
      <c r="S57" s="56" t="str">
        <f aca="false">IF(OR(S$4="",$C57="",$D57="",N($E57)=0),"",$E57*MAX(0,MIN($D57+1,EDATE(S$4,1))-MAX($C57,S$4))/MAX(1,$D57+1-$C57))</f>
        <v/>
      </c>
      <c r="T57" s="56" t="str">
        <f aca="false">IF(OR(T$4="",$C57="",$D57="",N($E57)=0),"",$E57*MAX(0,MIN($D57+1,EDATE(T$4,1))-MAX($C57,T$4))/MAX(1,$D57+1-$C57))</f>
        <v/>
      </c>
      <c r="U57" s="56" t="str">
        <f aca="false">IF(OR(U$4="",$C57="",$D57="",N($E57)=0),"",$E57*MAX(0,MIN($D57+1,EDATE(U$4,1))-MAX($C57,U$4))/MAX(1,$D57+1-$C57))</f>
        <v/>
      </c>
      <c r="V57" s="56" t="str">
        <f aca="false">IF(OR(V$4="",$C57="",$D57="",N($E57)=0),"",$E57*MAX(0,MIN($D57+1,EDATE(V$4,1))-MAX($C57,V$4))/MAX(1,$D57+1-$C57))</f>
        <v/>
      </c>
      <c r="W57" s="56" t="str">
        <f aca="false">IF(OR(W$4="",$C57="",$D57="",N($E57)=0),"",$E57*MAX(0,MIN($D57+1,EDATE(W$4,1))-MAX($C57,W$4))/MAX(1,$D57+1-$C57))</f>
        <v/>
      </c>
      <c r="X57" s="56" t="str">
        <f aca="false">IF(OR(X$4="",$C57="",$D57="",N($E57)=0),"",$E57*MAX(0,MIN($D57+1,EDATE(X$4,1))-MAX($C57,X$4))/MAX(1,$D57+1-$C57))</f>
        <v/>
      </c>
      <c r="Y57" s="56" t="str">
        <f aca="false">IF(OR(Y$4="",$C57="",$D57="",N($E57)=0),"",$E57*MAX(0,MIN($D57+1,EDATE(Y$4,1))-MAX($C57,Y$4))/MAX(1,$D57+1-$C57))</f>
        <v/>
      </c>
      <c r="Z57" s="56" t="str">
        <f aca="false">IF(OR(Z$4="",$C57="",$D57="",N($E57)=0),"",$E57*MAX(0,MIN($D57+1,EDATE(Z$4,1))-MAX($C57,Z$4))/MAX(1,$D57+1-$C57))</f>
        <v/>
      </c>
      <c r="AA57" s="56" t="str">
        <f aca="false">IF(OR(AA$4="",$C57="",$D57="",N($E57)=0),"",$E57*MAX(0,MIN($D57+1,EDATE(AA$4,1))-MAX($C57,AA$4))/MAX(1,$D57+1-$C57))</f>
        <v/>
      </c>
      <c r="AB57" s="56" t="str">
        <f aca="false">IF(OR(AB$4="",$C57="",$D57="",N($E57)=0),"",$E57*MAX(0,MIN($D57+1,EDATE(AB$4,1))-MAX($C57,AB$4))/MAX(1,$D57+1-$C57))</f>
        <v/>
      </c>
      <c r="AC57" s="56" t="str">
        <f aca="false">IF(OR(AC$4="",$C57="",$D57="",N($E57)=0),"",$E57*MAX(0,MIN($D57+1,EDATE(AC$4,1))-MAX($C57,AC$4))/MAX(1,$D57+1-$C57))</f>
        <v/>
      </c>
      <c r="AD57" s="56" t="str">
        <f aca="false">IF(OR(AD$4="",$C57="",$D57="",N($E57)=0),"",$E57*MAX(0,MIN($D57+1,EDATE(AD$4,1))-MAX($C57,AD$4))/MAX(1,$D57+1-$C57))</f>
        <v/>
      </c>
      <c r="AE57" s="56" t="str">
        <f aca="false">IF(OR(AE$4="",$C57="",$D57="",N($E57)=0),"",$E57*MAX(0,MIN($D57+1,EDATE(AE$4,1))-MAX($C57,AE$4))/MAX(1,$D57+1-$C57))</f>
        <v/>
      </c>
      <c r="AF57" s="56" t="str">
        <f aca="false">IF(OR(AF$4="",$C57="",$D57="",N($E57)=0),"",$E57*MAX(0,MIN($D57+1,EDATE(AF$4,1))-MAX($C57,AF$4))/MAX(1,$D57+1-$C57))</f>
        <v/>
      </c>
      <c r="AG57" s="56" t="str">
        <f aca="false">IF(OR(AG$4="",$C57="",$D57="",N($E57)=0),"",$E57*MAX(0,MIN($D57+1,EDATE(AG$4,1))-MAX($C57,AG$4))/MAX(1,$D57+1-$C57))</f>
        <v/>
      </c>
      <c r="AH57" s="56" t="str">
        <f aca="false">IF(OR(AH$4="",$C57="",$D57="",N($E57)=0),"",$E57*MAX(0,MIN($D57+1,EDATE(AH$4,1))-MAX($C57,AH$4))/MAX(1,$D57+1-$C57))</f>
        <v/>
      </c>
      <c r="AI57" s="56" t="str">
        <f aca="false">IF(OR(AI$4="",$C57="",$D57="",N($E57)=0),"",$E57*MAX(0,MIN($D57+1,EDATE(AI$4,1))-MAX($C57,AI$4))/MAX(1,$D57+1-$C57))</f>
        <v/>
      </c>
      <c r="AJ57" s="56" t="str">
        <f aca="false">IF(OR(AJ$4="",$C57="",$D57="",N($E57)=0),"",$E57*MAX(0,MIN($D57+1,EDATE(AJ$4,1))-MAX($C57,AJ$4))/MAX(1,$D57+1-$C57))</f>
        <v/>
      </c>
      <c r="AK57" s="56" t="str">
        <f aca="false">IF(OR(AK$4="",$C57="",$D57="",N($E57)=0),"",$E57*MAX(0,MIN($D57+1,EDATE(AK$4,1))-MAX($C57,AK$4))/MAX(1,$D57+1-$C57))</f>
        <v/>
      </c>
      <c r="AL57" s="56" t="str">
        <f aca="false">IF(OR(AL$4="",$C57="",$D57="",N($E57)=0),"",$E57*MAX(0,MIN($D57+1,EDATE(AL$4,1))-MAX($C57,AL$4))/MAX(1,$D57+1-$C57))</f>
        <v/>
      </c>
      <c r="AM57" s="56" t="str">
        <f aca="false">IF(OR(AM$4="",$C57="",$D57="",N($E57)=0),"",$E57*MAX(0,MIN($D57+1,EDATE(AM$4,1))-MAX($C57,AM$4))/MAX(1,$D57+1-$C57))</f>
        <v/>
      </c>
      <c r="AN57" s="56" t="str">
        <f aca="false">IF(OR(AN$4="",$C57="",$D57="",N($E57)=0),"",$E57*MAX(0,MIN($D57+1,EDATE(AN$4,1))-MAX($C57,AN$4))/MAX(1,$D57+1-$C57))</f>
        <v/>
      </c>
      <c r="AO57" s="56" t="str">
        <f aca="false">IF(OR(AO$4="",$C57="",$D57="",N($E57)=0),"",$E57*MAX(0,MIN($D57+1,EDATE(AO$4,1))-MAX($C57,AO$4))/MAX(1,$D57+1-$C57))</f>
        <v/>
      </c>
      <c r="AP57" s="56" t="str">
        <f aca="false">IF(OR(AP$4="",$C57="",$D57="",N($E57)=0),"",$E57*MAX(0,MIN($D57+1,EDATE(AP$4,1))-MAX($C57,AP$4))/MAX(1,$D57+1-$C57))</f>
        <v/>
      </c>
      <c r="AQ57" s="56" t="str">
        <f aca="false">IF(OR(AQ$4="",$C57="",$D57="",N($E57)=0),"",$E57*MAX(0,MIN($D57+1,EDATE(AQ$4,1))-MAX($C57,AQ$4))/MAX(1,$D57+1-$C57))</f>
        <v/>
      </c>
      <c r="AR57" s="56" t="str">
        <f aca="false">IF(OR(AR$4="",$C57="",$D57="",N($E57)=0),"",$E57*MAX(0,MIN($D57+1,EDATE(AR$4,1))-MAX($C57,AR$4))/MAX(1,$D57+1-$C57))</f>
        <v/>
      </c>
      <c r="AS57" s="56" t="str">
        <f aca="false">IF(OR(AS$4="",$C57="",$D57="",N($E57)=0),"",$E57*MAX(0,MIN($D57+1,EDATE(AS$4,1))-MAX($C57,AS$4))/MAX(1,$D57+1-$C57))</f>
        <v/>
      </c>
      <c r="AT57" s="56" t="str">
        <f aca="false">IF(OR(AT$4="",$C57="",$D57="",N($E57)=0),"",$E57*MAX(0,MIN($D57+1,EDATE(AT$4,1))-MAX($C57,AT$4))/MAX(1,$D57+1-$C57))</f>
        <v/>
      </c>
      <c r="AU57" s="56" t="str">
        <f aca="false">IF(OR(AU$4="",$C57="",$D57="",N($E57)=0),"",$E57*MAX(0,MIN($D57+1,EDATE(AU$4,1))-MAX($C57,AU$4))/MAX(1,$D57+1-$C57))</f>
        <v/>
      </c>
      <c r="AV57" s="56" t="str">
        <f aca="false">IF(OR(AV$4="",$C57="",$D57="",N($E57)=0),"",$E57*MAX(0,MIN($D57+1,EDATE(AV$4,1))-MAX($C57,AV$4))/MAX(1,$D57+1-$C57))</f>
        <v/>
      </c>
      <c r="AW57" s="56" t="str">
        <f aca="false">IF(OR(AW$4="",$C57="",$D57="",N($E57)=0),"",$E57*MAX(0,MIN($D57+1,EDATE(AW$4,1))-MAX($C57,AW$4))/MAX(1,$D57+1-$C57))</f>
        <v/>
      </c>
      <c r="AX57" s="56" t="str">
        <f aca="false">IF(OR(AX$4="",$C57="",$D57="",N($E57)=0),"",$E57*MAX(0,MIN($D57+1,EDATE(AX$4,1))-MAX($C57,AX$4))/MAX(1,$D57+1-$C57))</f>
        <v/>
      </c>
      <c r="AY57" s="56" t="str">
        <f aca="false">IF(OR(AY$4="",$C57="",$D57="",N($E57)=0),"",$E57*MAX(0,MIN($D57+1,EDATE(AY$4,1))-MAX($C57,AY$4))/MAX(1,$D57+1-$C57))</f>
        <v/>
      </c>
      <c r="AZ57" s="56" t="str">
        <f aca="false">IF(OR(AZ$4="",$C57="",$D57="",N($E57)=0),"",$E57*MAX(0,MIN($D57+1,EDATE(AZ$4,1))-MAX($C57,AZ$4))/MAX(1,$D57+1-$C57))</f>
        <v/>
      </c>
      <c r="BA57" s="56" t="str">
        <f aca="false">IF(OR(BA$4="",$C57="",$D57="",N($E57)=0),"",$E57*MAX(0,MIN($D57+1,EDATE(BA$4,1))-MAX($C57,BA$4))/MAX(1,$D57+1-$C57))</f>
        <v/>
      </c>
      <c r="BB57" s="56" t="str">
        <f aca="false">IF(OR(BB$4="",$C57="",$D57="",N($E57)=0),"",$E57*MAX(0,MIN($D57+1,EDATE(BB$4,1))-MAX($C57,BB$4))/MAX(1,$D57+1-$C57))</f>
        <v/>
      </c>
      <c r="BC57" s="56" t="str">
        <f aca="false">IF(OR(BC$4="",$C57="",$D57="",N($E57)=0),"",$E57*MAX(0,MIN($D57+1,EDATE(BC$4,1))-MAX($C57,BC$4))/MAX(1,$D57+1-$C57))</f>
        <v/>
      </c>
      <c r="BD57" s="56" t="str">
        <f aca="false">IF(OR(BD$4="",$C57="",$D57="",N($E57)=0),"",$E57*MAX(0,MIN($D57+1,EDATE(BD$4,1))-MAX($C57,BD$4))/MAX(1,$D57+1-$C57))</f>
        <v/>
      </c>
      <c r="BE57" s="56" t="str">
        <f aca="false">IF(OR(BE$4="",$C57="",$D57="",N($E57)=0),"",$E57*MAX(0,MIN($D57+1,EDATE(BE$4,1))-MAX($C57,BE$4))/MAX(1,$D57+1-$C57))</f>
        <v/>
      </c>
      <c r="BF57" s="56" t="str">
        <f aca="false">IF(OR(BF$4="",$C57="",$D57="",N($E57)=0),"",$E57*MAX(0,MIN($D57+1,EDATE(BF$4,1))-MAX($C57,BF$4))/MAX(1,$D57+1-$C57))</f>
        <v/>
      </c>
      <c r="BG57" s="56" t="str">
        <f aca="false">IF(OR(BG$4="",$C57="",$D57="",N($E57)=0),"",$E57*MAX(0,MIN($D57+1,EDATE(BG$4,1))-MAX($C57,BG$4))/MAX(1,$D57+1-$C57))</f>
        <v/>
      </c>
      <c r="BH57" s="56" t="str">
        <f aca="false">IF(OR(BH$4="",$C57="",$D57="",N($E57)=0),"",$E57*MAX(0,MIN($D57+1,EDATE(BH$4,1))-MAX($C57,BH$4))/MAX(1,$D57+1-$C57))</f>
        <v/>
      </c>
      <c r="BI57" s="56" t="str">
        <f aca="false">IF(OR(BI$4="",$C57="",$D57="",N($E57)=0),"",$E57*MAX(0,MIN($D57+1,EDATE(BI$4,1))-MAX($C57,BI$4))/MAX(1,$D57+1-$C57))</f>
        <v/>
      </c>
      <c r="BJ57" s="56" t="str">
        <f aca="false">IF(OR(BJ$4="",$C57="",$D57="",N($E57)=0),"",$E57*MAX(0,MIN($D57+1,EDATE(BJ$4,1))-MAX($C57,BJ$4))/MAX(1,$D57+1-$C57))</f>
        <v/>
      </c>
      <c r="BK57" s="56" t="str">
        <f aca="false">IF(OR(BK$4="",$C57="",$D57="",N($E57)=0),"",$E57*MAX(0,MIN($D57+1,EDATE(BK$4,1))-MAX($C57,BK$4))/MAX(1,$D57+1-$C57))</f>
        <v/>
      </c>
      <c r="BL57" s="56" t="str">
        <f aca="false">IF(OR(BL$4="",$C57="",$D57="",N($E57)=0),"",$E57*MAX(0,MIN($D57+1,EDATE(BL$4,1))-MAX($C57,BL$4))/MAX(1,$D57+1-$C57))</f>
        <v/>
      </c>
      <c r="BM57" s="56" t="str">
        <f aca="false">IF(OR(BM$4="",$C57="",$D57="",N($E57)=0),"",$E57*MAX(0,MIN($D57+1,EDATE(BM$4,1))-MAX($C57,BM$4))/MAX(1,$D57+1-$C57))</f>
        <v/>
      </c>
      <c r="BN57" s="56" t="str">
        <f aca="false">IF(OR(BN$4="",$C57="",$D57="",N($E57)=0),"",$E57*MAX(0,MIN($D57+1,EDATE(BN$4,1))-MAX($C57,BN$4))/MAX(1,$D57+1-$C57))</f>
        <v/>
      </c>
      <c r="BO57" s="56" t="str">
        <f aca="false">IF(OR(BO$4="",$C57="",$D57="",N($E57)=0),"",$E57*MAX(0,MIN($D57+1,EDATE(BO$4,1))-MAX($C57,BO$4))/MAX(1,$D57+1-$C57))</f>
        <v/>
      </c>
      <c r="BP57" s="56" t="str">
        <f aca="false">IF(OR(BP$4="",$C57="",$D57="",N($E57)=0),"",$E57*MAX(0,MIN($D57+1,EDATE(BP$4,1))-MAX($C57,BP$4))/MAX(1,$D57+1-$C57))</f>
        <v/>
      </c>
      <c r="BQ57" s="56" t="str">
        <f aca="false">IF(OR(BQ$4="",$C57="",$D57="",N($E57)=0),"",$E57*MAX(0,MIN($D57+1,EDATE(BQ$4,1))-MAX($C57,BQ$4))/MAX(1,$D57+1-$C57))</f>
        <v/>
      </c>
      <c r="BR57" s="56" t="str">
        <f aca="false">IF(OR(BR$4="",$C57="",$D57="",N($E57)=0),"",$E57*MAX(0,MIN($D57+1,EDATE(BR$4,1))-MAX($C57,BR$4))/MAX(1,$D57+1-$C57))</f>
        <v/>
      </c>
      <c r="BS57" s="56" t="str">
        <f aca="false">IF(OR(BS$4="",$C57="",$D57="",N($E57)=0),"",$E57*MAX(0,MIN($D57+1,EDATE(BS$4,1))-MAX($C57,BS$4))/MAX(1,$D57+1-$C57))</f>
        <v/>
      </c>
      <c r="BT57" s="56" t="str">
        <f aca="false">IF(OR(BT$4="",$C57="",$D57="",N($E57)=0),"",$E57*MAX(0,MIN($D57+1,EDATE(BT$4,1))-MAX($C57,BT$4))/MAX(1,$D57+1-$C57))</f>
        <v/>
      </c>
      <c r="BU57" s="56" t="str">
        <f aca="false">IF(OR(BU$4="",$C57="",$D57="",N($E57)=0),"",$E57*MAX(0,MIN($D57+1,EDATE(BU$4,1))-MAX($C57,BU$4))/MAX(1,$D57+1-$C57))</f>
        <v/>
      </c>
      <c r="BV57" s="56" t="str">
        <f aca="false">IF(OR(BV$4="",$C57="",$D57="",N($E57)=0),"",$E57*MAX(0,MIN($D57+1,EDATE(BV$4,1))-MAX($C57,BV$4))/MAX(1,$D57+1-$C57))</f>
        <v/>
      </c>
      <c r="BW57" s="56" t="str">
        <f aca="false">IF(OR(BW$4="",$C57="",$D57="",N($E57)=0),"",$E57*MAX(0,MIN($D57+1,EDATE(BW$4,1))-MAX($C57,BW$4))/MAX(1,$D57+1-$C57))</f>
        <v/>
      </c>
      <c r="BX57" s="56" t="str">
        <f aca="false">IF(OR(BX$4="",$C57="",$D57="",N($E57)=0),"",$E57*MAX(0,MIN($D57+1,EDATE(BX$4,1))-MAX($C57,BX$4))/MAX(1,$D57+1-$C57))</f>
        <v/>
      </c>
      <c r="BY57" s="56" t="str">
        <f aca="false">IF(OR(BY$4="",$C57="",$D57="",N($E57)=0),"",$E57*MAX(0,MIN($D57+1,EDATE(BY$4,1))-MAX($C57,BY$4))/MAX(1,$D57+1-$C57))</f>
        <v/>
      </c>
    </row>
    <row r="58" customFormat="false" ht="15" hidden="false" customHeight="false" outlineLevel="0" collapsed="false">
      <c r="A58" s="53" t="str">
        <f aca="false">IF(BOE!$A59="","",BOE!$A59)</f>
        <v/>
      </c>
      <c r="B58" s="53" t="str">
        <f aca="false">IF(BOE!$A59="","",BOE!$C59)</f>
        <v/>
      </c>
      <c r="C58" s="54" t="str">
        <f aca="false">IF(BOE!$O59="","",BOE!$O59)</f>
        <v/>
      </c>
      <c r="D58" s="54" t="str">
        <f aca="false">IF(BOE!$P59="","",BOE!$P59)</f>
        <v/>
      </c>
      <c r="E58" s="55" t="n">
        <f aca="false">IF(Inputs!$B$7="P90",BOE!$T59,BOE!$R59)</f>
        <v>0</v>
      </c>
      <c r="F58" s="56" t="str">
        <f aca="false">IF(OR(F$4="",$C58="",$D58="",N($E58)=0),"",$E58*MAX(0,MIN($D58+1,EDATE(F$4,1))-MAX($C58,F$4))/MAX(1,$D58+1-$C58))</f>
        <v/>
      </c>
      <c r="G58" s="56" t="str">
        <f aca="false">IF(OR(G$4="",$C58="",$D58="",N($E58)=0),"",$E58*MAX(0,MIN($D58+1,EDATE(G$4,1))-MAX($C58,G$4))/MAX(1,$D58+1-$C58))</f>
        <v/>
      </c>
      <c r="H58" s="56" t="str">
        <f aca="false">IF(OR(H$4="",$C58="",$D58="",N($E58)=0),"",$E58*MAX(0,MIN($D58+1,EDATE(H$4,1))-MAX($C58,H$4))/MAX(1,$D58+1-$C58))</f>
        <v/>
      </c>
      <c r="I58" s="56" t="str">
        <f aca="false">IF(OR(I$4="",$C58="",$D58="",N($E58)=0),"",$E58*MAX(0,MIN($D58+1,EDATE(I$4,1))-MAX($C58,I$4))/MAX(1,$D58+1-$C58))</f>
        <v/>
      </c>
      <c r="J58" s="56" t="str">
        <f aca="false">IF(OR(J$4="",$C58="",$D58="",N($E58)=0),"",$E58*MAX(0,MIN($D58+1,EDATE(J$4,1))-MAX($C58,J$4))/MAX(1,$D58+1-$C58))</f>
        <v/>
      </c>
      <c r="K58" s="56" t="str">
        <f aca="false">IF(OR(K$4="",$C58="",$D58="",N($E58)=0),"",$E58*MAX(0,MIN($D58+1,EDATE(K$4,1))-MAX($C58,K$4))/MAX(1,$D58+1-$C58))</f>
        <v/>
      </c>
      <c r="L58" s="56" t="str">
        <f aca="false">IF(OR(L$4="",$C58="",$D58="",N($E58)=0),"",$E58*MAX(0,MIN($D58+1,EDATE(L$4,1))-MAX($C58,L$4))/MAX(1,$D58+1-$C58))</f>
        <v/>
      </c>
      <c r="M58" s="56" t="str">
        <f aca="false">IF(OR(M$4="",$C58="",$D58="",N($E58)=0),"",$E58*MAX(0,MIN($D58+1,EDATE(M$4,1))-MAX($C58,M$4))/MAX(1,$D58+1-$C58))</f>
        <v/>
      </c>
      <c r="N58" s="56" t="str">
        <f aca="false">IF(OR(N$4="",$C58="",$D58="",N($E58)=0),"",$E58*MAX(0,MIN($D58+1,EDATE(N$4,1))-MAX($C58,N$4))/MAX(1,$D58+1-$C58))</f>
        <v/>
      </c>
      <c r="O58" s="56" t="str">
        <f aca="false">IF(OR(O$4="",$C58="",$D58="",N($E58)=0),"",$E58*MAX(0,MIN($D58+1,EDATE(O$4,1))-MAX($C58,O$4))/MAX(1,$D58+1-$C58))</f>
        <v/>
      </c>
      <c r="P58" s="56" t="str">
        <f aca="false">IF(OR(P$4="",$C58="",$D58="",N($E58)=0),"",$E58*MAX(0,MIN($D58+1,EDATE(P$4,1))-MAX($C58,P$4))/MAX(1,$D58+1-$C58))</f>
        <v/>
      </c>
      <c r="Q58" s="56" t="str">
        <f aca="false">IF(OR(Q$4="",$C58="",$D58="",N($E58)=0),"",$E58*MAX(0,MIN($D58+1,EDATE(Q$4,1))-MAX($C58,Q$4))/MAX(1,$D58+1-$C58))</f>
        <v/>
      </c>
      <c r="R58" s="56" t="str">
        <f aca="false">IF(OR(R$4="",$C58="",$D58="",N($E58)=0),"",$E58*MAX(0,MIN($D58+1,EDATE(R$4,1))-MAX($C58,R$4))/MAX(1,$D58+1-$C58))</f>
        <v/>
      </c>
      <c r="S58" s="56" t="str">
        <f aca="false">IF(OR(S$4="",$C58="",$D58="",N($E58)=0),"",$E58*MAX(0,MIN($D58+1,EDATE(S$4,1))-MAX($C58,S$4))/MAX(1,$D58+1-$C58))</f>
        <v/>
      </c>
      <c r="T58" s="56" t="str">
        <f aca="false">IF(OR(T$4="",$C58="",$D58="",N($E58)=0),"",$E58*MAX(0,MIN($D58+1,EDATE(T$4,1))-MAX($C58,T$4))/MAX(1,$D58+1-$C58))</f>
        <v/>
      </c>
      <c r="U58" s="56" t="str">
        <f aca="false">IF(OR(U$4="",$C58="",$D58="",N($E58)=0),"",$E58*MAX(0,MIN($D58+1,EDATE(U$4,1))-MAX($C58,U$4))/MAX(1,$D58+1-$C58))</f>
        <v/>
      </c>
      <c r="V58" s="56" t="str">
        <f aca="false">IF(OR(V$4="",$C58="",$D58="",N($E58)=0),"",$E58*MAX(0,MIN($D58+1,EDATE(V$4,1))-MAX($C58,V$4))/MAX(1,$D58+1-$C58))</f>
        <v/>
      </c>
      <c r="W58" s="56" t="str">
        <f aca="false">IF(OR(W$4="",$C58="",$D58="",N($E58)=0),"",$E58*MAX(0,MIN($D58+1,EDATE(W$4,1))-MAX($C58,W$4))/MAX(1,$D58+1-$C58))</f>
        <v/>
      </c>
      <c r="X58" s="56" t="str">
        <f aca="false">IF(OR(X$4="",$C58="",$D58="",N($E58)=0),"",$E58*MAX(0,MIN($D58+1,EDATE(X$4,1))-MAX($C58,X$4))/MAX(1,$D58+1-$C58))</f>
        <v/>
      </c>
      <c r="Y58" s="56" t="str">
        <f aca="false">IF(OR(Y$4="",$C58="",$D58="",N($E58)=0),"",$E58*MAX(0,MIN($D58+1,EDATE(Y$4,1))-MAX($C58,Y$4))/MAX(1,$D58+1-$C58))</f>
        <v/>
      </c>
      <c r="Z58" s="56" t="str">
        <f aca="false">IF(OR(Z$4="",$C58="",$D58="",N($E58)=0),"",$E58*MAX(0,MIN($D58+1,EDATE(Z$4,1))-MAX($C58,Z$4))/MAX(1,$D58+1-$C58))</f>
        <v/>
      </c>
      <c r="AA58" s="56" t="str">
        <f aca="false">IF(OR(AA$4="",$C58="",$D58="",N($E58)=0),"",$E58*MAX(0,MIN($D58+1,EDATE(AA$4,1))-MAX($C58,AA$4))/MAX(1,$D58+1-$C58))</f>
        <v/>
      </c>
      <c r="AB58" s="56" t="str">
        <f aca="false">IF(OR(AB$4="",$C58="",$D58="",N($E58)=0),"",$E58*MAX(0,MIN($D58+1,EDATE(AB$4,1))-MAX($C58,AB$4))/MAX(1,$D58+1-$C58))</f>
        <v/>
      </c>
      <c r="AC58" s="56" t="str">
        <f aca="false">IF(OR(AC$4="",$C58="",$D58="",N($E58)=0),"",$E58*MAX(0,MIN($D58+1,EDATE(AC$4,1))-MAX($C58,AC$4))/MAX(1,$D58+1-$C58))</f>
        <v/>
      </c>
      <c r="AD58" s="56" t="str">
        <f aca="false">IF(OR(AD$4="",$C58="",$D58="",N($E58)=0),"",$E58*MAX(0,MIN($D58+1,EDATE(AD$4,1))-MAX($C58,AD$4))/MAX(1,$D58+1-$C58))</f>
        <v/>
      </c>
      <c r="AE58" s="56" t="str">
        <f aca="false">IF(OR(AE$4="",$C58="",$D58="",N($E58)=0),"",$E58*MAX(0,MIN($D58+1,EDATE(AE$4,1))-MAX($C58,AE$4))/MAX(1,$D58+1-$C58))</f>
        <v/>
      </c>
      <c r="AF58" s="56" t="str">
        <f aca="false">IF(OR(AF$4="",$C58="",$D58="",N($E58)=0),"",$E58*MAX(0,MIN($D58+1,EDATE(AF$4,1))-MAX($C58,AF$4))/MAX(1,$D58+1-$C58))</f>
        <v/>
      </c>
      <c r="AG58" s="56" t="str">
        <f aca="false">IF(OR(AG$4="",$C58="",$D58="",N($E58)=0),"",$E58*MAX(0,MIN($D58+1,EDATE(AG$4,1))-MAX($C58,AG$4))/MAX(1,$D58+1-$C58))</f>
        <v/>
      </c>
      <c r="AH58" s="56" t="str">
        <f aca="false">IF(OR(AH$4="",$C58="",$D58="",N($E58)=0),"",$E58*MAX(0,MIN($D58+1,EDATE(AH$4,1))-MAX($C58,AH$4))/MAX(1,$D58+1-$C58))</f>
        <v/>
      </c>
      <c r="AI58" s="56" t="str">
        <f aca="false">IF(OR(AI$4="",$C58="",$D58="",N($E58)=0),"",$E58*MAX(0,MIN($D58+1,EDATE(AI$4,1))-MAX($C58,AI$4))/MAX(1,$D58+1-$C58))</f>
        <v/>
      </c>
      <c r="AJ58" s="56" t="str">
        <f aca="false">IF(OR(AJ$4="",$C58="",$D58="",N($E58)=0),"",$E58*MAX(0,MIN($D58+1,EDATE(AJ$4,1))-MAX($C58,AJ$4))/MAX(1,$D58+1-$C58))</f>
        <v/>
      </c>
      <c r="AK58" s="56" t="str">
        <f aca="false">IF(OR(AK$4="",$C58="",$D58="",N($E58)=0),"",$E58*MAX(0,MIN($D58+1,EDATE(AK$4,1))-MAX($C58,AK$4))/MAX(1,$D58+1-$C58))</f>
        <v/>
      </c>
      <c r="AL58" s="56" t="str">
        <f aca="false">IF(OR(AL$4="",$C58="",$D58="",N($E58)=0),"",$E58*MAX(0,MIN($D58+1,EDATE(AL$4,1))-MAX($C58,AL$4))/MAX(1,$D58+1-$C58))</f>
        <v/>
      </c>
      <c r="AM58" s="56" t="str">
        <f aca="false">IF(OR(AM$4="",$C58="",$D58="",N($E58)=0),"",$E58*MAX(0,MIN($D58+1,EDATE(AM$4,1))-MAX($C58,AM$4))/MAX(1,$D58+1-$C58))</f>
        <v/>
      </c>
      <c r="AN58" s="56" t="str">
        <f aca="false">IF(OR(AN$4="",$C58="",$D58="",N($E58)=0),"",$E58*MAX(0,MIN($D58+1,EDATE(AN$4,1))-MAX($C58,AN$4))/MAX(1,$D58+1-$C58))</f>
        <v/>
      </c>
      <c r="AO58" s="56" t="str">
        <f aca="false">IF(OR(AO$4="",$C58="",$D58="",N($E58)=0),"",$E58*MAX(0,MIN($D58+1,EDATE(AO$4,1))-MAX($C58,AO$4))/MAX(1,$D58+1-$C58))</f>
        <v/>
      </c>
      <c r="AP58" s="56" t="str">
        <f aca="false">IF(OR(AP$4="",$C58="",$D58="",N($E58)=0),"",$E58*MAX(0,MIN($D58+1,EDATE(AP$4,1))-MAX($C58,AP$4))/MAX(1,$D58+1-$C58))</f>
        <v/>
      </c>
      <c r="AQ58" s="56" t="str">
        <f aca="false">IF(OR(AQ$4="",$C58="",$D58="",N($E58)=0),"",$E58*MAX(0,MIN($D58+1,EDATE(AQ$4,1))-MAX($C58,AQ$4))/MAX(1,$D58+1-$C58))</f>
        <v/>
      </c>
      <c r="AR58" s="56" t="str">
        <f aca="false">IF(OR(AR$4="",$C58="",$D58="",N($E58)=0),"",$E58*MAX(0,MIN($D58+1,EDATE(AR$4,1))-MAX($C58,AR$4))/MAX(1,$D58+1-$C58))</f>
        <v/>
      </c>
      <c r="AS58" s="56" t="str">
        <f aca="false">IF(OR(AS$4="",$C58="",$D58="",N($E58)=0),"",$E58*MAX(0,MIN($D58+1,EDATE(AS$4,1))-MAX($C58,AS$4))/MAX(1,$D58+1-$C58))</f>
        <v/>
      </c>
      <c r="AT58" s="56" t="str">
        <f aca="false">IF(OR(AT$4="",$C58="",$D58="",N($E58)=0),"",$E58*MAX(0,MIN($D58+1,EDATE(AT$4,1))-MAX($C58,AT$4))/MAX(1,$D58+1-$C58))</f>
        <v/>
      </c>
      <c r="AU58" s="56" t="str">
        <f aca="false">IF(OR(AU$4="",$C58="",$D58="",N($E58)=0),"",$E58*MAX(0,MIN($D58+1,EDATE(AU$4,1))-MAX($C58,AU$4))/MAX(1,$D58+1-$C58))</f>
        <v/>
      </c>
      <c r="AV58" s="56" t="str">
        <f aca="false">IF(OR(AV$4="",$C58="",$D58="",N($E58)=0),"",$E58*MAX(0,MIN($D58+1,EDATE(AV$4,1))-MAX($C58,AV$4))/MAX(1,$D58+1-$C58))</f>
        <v/>
      </c>
      <c r="AW58" s="56" t="str">
        <f aca="false">IF(OR(AW$4="",$C58="",$D58="",N($E58)=0),"",$E58*MAX(0,MIN($D58+1,EDATE(AW$4,1))-MAX($C58,AW$4))/MAX(1,$D58+1-$C58))</f>
        <v/>
      </c>
      <c r="AX58" s="56" t="str">
        <f aca="false">IF(OR(AX$4="",$C58="",$D58="",N($E58)=0),"",$E58*MAX(0,MIN($D58+1,EDATE(AX$4,1))-MAX($C58,AX$4))/MAX(1,$D58+1-$C58))</f>
        <v/>
      </c>
      <c r="AY58" s="56" t="str">
        <f aca="false">IF(OR(AY$4="",$C58="",$D58="",N($E58)=0),"",$E58*MAX(0,MIN($D58+1,EDATE(AY$4,1))-MAX($C58,AY$4))/MAX(1,$D58+1-$C58))</f>
        <v/>
      </c>
      <c r="AZ58" s="56" t="str">
        <f aca="false">IF(OR(AZ$4="",$C58="",$D58="",N($E58)=0),"",$E58*MAX(0,MIN($D58+1,EDATE(AZ$4,1))-MAX($C58,AZ$4))/MAX(1,$D58+1-$C58))</f>
        <v/>
      </c>
      <c r="BA58" s="56" t="str">
        <f aca="false">IF(OR(BA$4="",$C58="",$D58="",N($E58)=0),"",$E58*MAX(0,MIN($D58+1,EDATE(BA$4,1))-MAX($C58,BA$4))/MAX(1,$D58+1-$C58))</f>
        <v/>
      </c>
      <c r="BB58" s="56" t="str">
        <f aca="false">IF(OR(BB$4="",$C58="",$D58="",N($E58)=0),"",$E58*MAX(0,MIN($D58+1,EDATE(BB$4,1))-MAX($C58,BB$4))/MAX(1,$D58+1-$C58))</f>
        <v/>
      </c>
      <c r="BC58" s="56" t="str">
        <f aca="false">IF(OR(BC$4="",$C58="",$D58="",N($E58)=0),"",$E58*MAX(0,MIN($D58+1,EDATE(BC$4,1))-MAX($C58,BC$4))/MAX(1,$D58+1-$C58))</f>
        <v/>
      </c>
      <c r="BD58" s="56" t="str">
        <f aca="false">IF(OR(BD$4="",$C58="",$D58="",N($E58)=0),"",$E58*MAX(0,MIN($D58+1,EDATE(BD$4,1))-MAX($C58,BD$4))/MAX(1,$D58+1-$C58))</f>
        <v/>
      </c>
      <c r="BE58" s="56" t="str">
        <f aca="false">IF(OR(BE$4="",$C58="",$D58="",N($E58)=0),"",$E58*MAX(0,MIN($D58+1,EDATE(BE$4,1))-MAX($C58,BE$4))/MAX(1,$D58+1-$C58))</f>
        <v/>
      </c>
      <c r="BF58" s="56" t="str">
        <f aca="false">IF(OR(BF$4="",$C58="",$D58="",N($E58)=0),"",$E58*MAX(0,MIN($D58+1,EDATE(BF$4,1))-MAX($C58,BF$4))/MAX(1,$D58+1-$C58))</f>
        <v/>
      </c>
      <c r="BG58" s="56" t="str">
        <f aca="false">IF(OR(BG$4="",$C58="",$D58="",N($E58)=0),"",$E58*MAX(0,MIN($D58+1,EDATE(BG$4,1))-MAX($C58,BG$4))/MAX(1,$D58+1-$C58))</f>
        <v/>
      </c>
      <c r="BH58" s="56" t="str">
        <f aca="false">IF(OR(BH$4="",$C58="",$D58="",N($E58)=0),"",$E58*MAX(0,MIN($D58+1,EDATE(BH$4,1))-MAX($C58,BH$4))/MAX(1,$D58+1-$C58))</f>
        <v/>
      </c>
      <c r="BI58" s="56" t="str">
        <f aca="false">IF(OR(BI$4="",$C58="",$D58="",N($E58)=0),"",$E58*MAX(0,MIN($D58+1,EDATE(BI$4,1))-MAX($C58,BI$4))/MAX(1,$D58+1-$C58))</f>
        <v/>
      </c>
      <c r="BJ58" s="56" t="str">
        <f aca="false">IF(OR(BJ$4="",$C58="",$D58="",N($E58)=0),"",$E58*MAX(0,MIN($D58+1,EDATE(BJ$4,1))-MAX($C58,BJ$4))/MAX(1,$D58+1-$C58))</f>
        <v/>
      </c>
      <c r="BK58" s="56" t="str">
        <f aca="false">IF(OR(BK$4="",$C58="",$D58="",N($E58)=0),"",$E58*MAX(0,MIN($D58+1,EDATE(BK$4,1))-MAX($C58,BK$4))/MAX(1,$D58+1-$C58))</f>
        <v/>
      </c>
      <c r="BL58" s="56" t="str">
        <f aca="false">IF(OR(BL$4="",$C58="",$D58="",N($E58)=0),"",$E58*MAX(0,MIN($D58+1,EDATE(BL$4,1))-MAX($C58,BL$4))/MAX(1,$D58+1-$C58))</f>
        <v/>
      </c>
      <c r="BM58" s="56" t="str">
        <f aca="false">IF(OR(BM$4="",$C58="",$D58="",N($E58)=0),"",$E58*MAX(0,MIN($D58+1,EDATE(BM$4,1))-MAX($C58,BM$4))/MAX(1,$D58+1-$C58))</f>
        <v/>
      </c>
      <c r="BN58" s="56" t="str">
        <f aca="false">IF(OR(BN$4="",$C58="",$D58="",N($E58)=0),"",$E58*MAX(0,MIN($D58+1,EDATE(BN$4,1))-MAX($C58,BN$4))/MAX(1,$D58+1-$C58))</f>
        <v/>
      </c>
      <c r="BO58" s="56" t="str">
        <f aca="false">IF(OR(BO$4="",$C58="",$D58="",N($E58)=0),"",$E58*MAX(0,MIN($D58+1,EDATE(BO$4,1))-MAX($C58,BO$4))/MAX(1,$D58+1-$C58))</f>
        <v/>
      </c>
      <c r="BP58" s="56" t="str">
        <f aca="false">IF(OR(BP$4="",$C58="",$D58="",N($E58)=0),"",$E58*MAX(0,MIN($D58+1,EDATE(BP$4,1))-MAX($C58,BP$4))/MAX(1,$D58+1-$C58))</f>
        <v/>
      </c>
      <c r="BQ58" s="56" t="str">
        <f aca="false">IF(OR(BQ$4="",$C58="",$D58="",N($E58)=0),"",$E58*MAX(0,MIN($D58+1,EDATE(BQ$4,1))-MAX($C58,BQ$4))/MAX(1,$D58+1-$C58))</f>
        <v/>
      </c>
      <c r="BR58" s="56" t="str">
        <f aca="false">IF(OR(BR$4="",$C58="",$D58="",N($E58)=0),"",$E58*MAX(0,MIN($D58+1,EDATE(BR$4,1))-MAX($C58,BR$4))/MAX(1,$D58+1-$C58))</f>
        <v/>
      </c>
      <c r="BS58" s="56" t="str">
        <f aca="false">IF(OR(BS$4="",$C58="",$D58="",N($E58)=0),"",$E58*MAX(0,MIN($D58+1,EDATE(BS$4,1))-MAX($C58,BS$4))/MAX(1,$D58+1-$C58))</f>
        <v/>
      </c>
      <c r="BT58" s="56" t="str">
        <f aca="false">IF(OR(BT$4="",$C58="",$D58="",N($E58)=0),"",$E58*MAX(0,MIN($D58+1,EDATE(BT$4,1))-MAX($C58,BT$4))/MAX(1,$D58+1-$C58))</f>
        <v/>
      </c>
      <c r="BU58" s="56" t="str">
        <f aca="false">IF(OR(BU$4="",$C58="",$D58="",N($E58)=0),"",$E58*MAX(0,MIN($D58+1,EDATE(BU$4,1))-MAX($C58,BU$4))/MAX(1,$D58+1-$C58))</f>
        <v/>
      </c>
      <c r="BV58" s="56" t="str">
        <f aca="false">IF(OR(BV$4="",$C58="",$D58="",N($E58)=0),"",$E58*MAX(0,MIN($D58+1,EDATE(BV$4,1))-MAX($C58,BV$4))/MAX(1,$D58+1-$C58))</f>
        <v/>
      </c>
      <c r="BW58" s="56" t="str">
        <f aca="false">IF(OR(BW$4="",$C58="",$D58="",N($E58)=0),"",$E58*MAX(0,MIN($D58+1,EDATE(BW$4,1))-MAX($C58,BW$4))/MAX(1,$D58+1-$C58))</f>
        <v/>
      </c>
      <c r="BX58" s="56" t="str">
        <f aca="false">IF(OR(BX$4="",$C58="",$D58="",N($E58)=0),"",$E58*MAX(0,MIN($D58+1,EDATE(BX$4,1))-MAX($C58,BX$4))/MAX(1,$D58+1-$C58))</f>
        <v/>
      </c>
      <c r="BY58" s="56" t="str">
        <f aca="false">IF(OR(BY$4="",$C58="",$D58="",N($E58)=0),"",$E58*MAX(0,MIN($D58+1,EDATE(BY$4,1))-MAX($C58,BY$4))/MAX(1,$D58+1-$C58))</f>
        <v/>
      </c>
    </row>
    <row r="59" customFormat="false" ht="15" hidden="false" customHeight="false" outlineLevel="0" collapsed="false">
      <c r="A59" s="53" t="str">
        <f aca="false">IF(BOE!$A60="","",BOE!$A60)</f>
        <v/>
      </c>
      <c r="B59" s="53" t="str">
        <f aca="false">IF(BOE!$A60="","",BOE!$C60)</f>
        <v/>
      </c>
      <c r="C59" s="54" t="str">
        <f aca="false">IF(BOE!$O60="","",BOE!$O60)</f>
        <v/>
      </c>
      <c r="D59" s="54" t="str">
        <f aca="false">IF(BOE!$P60="","",BOE!$P60)</f>
        <v/>
      </c>
      <c r="E59" s="55" t="n">
        <f aca="false">IF(Inputs!$B$7="P90",BOE!$T60,BOE!$R60)</f>
        <v>0</v>
      </c>
      <c r="F59" s="56" t="str">
        <f aca="false">IF(OR(F$4="",$C59="",$D59="",N($E59)=0),"",$E59*MAX(0,MIN($D59+1,EDATE(F$4,1))-MAX($C59,F$4))/MAX(1,$D59+1-$C59))</f>
        <v/>
      </c>
      <c r="G59" s="56" t="str">
        <f aca="false">IF(OR(G$4="",$C59="",$D59="",N($E59)=0),"",$E59*MAX(0,MIN($D59+1,EDATE(G$4,1))-MAX($C59,G$4))/MAX(1,$D59+1-$C59))</f>
        <v/>
      </c>
      <c r="H59" s="56" t="str">
        <f aca="false">IF(OR(H$4="",$C59="",$D59="",N($E59)=0),"",$E59*MAX(0,MIN($D59+1,EDATE(H$4,1))-MAX($C59,H$4))/MAX(1,$D59+1-$C59))</f>
        <v/>
      </c>
      <c r="I59" s="56" t="str">
        <f aca="false">IF(OR(I$4="",$C59="",$D59="",N($E59)=0),"",$E59*MAX(0,MIN($D59+1,EDATE(I$4,1))-MAX($C59,I$4))/MAX(1,$D59+1-$C59))</f>
        <v/>
      </c>
      <c r="J59" s="56" t="str">
        <f aca="false">IF(OR(J$4="",$C59="",$D59="",N($E59)=0),"",$E59*MAX(0,MIN($D59+1,EDATE(J$4,1))-MAX($C59,J$4))/MAX(1,$D59+1-$C59))</f>
        <v/>
      </c>
      <c r="K59" s="56" t="str">
        <f aca="false">IF(OR(K$4="",$C59="",$D59="",N($E59)=0),"",$E59*MAX(0,MIN($D59+1,EDATE(K$4,1))-MAX($C59,K$4))/MAX(1,$D59+1-$C59))</f>
        <v/>
      </c>
      <c r="L59" s="56" t="str">
        <f aca="false">IF(OR(L$4="",$C59="",$D59="",N($E59)=0),"",$E59*MAX(0,MIN($D59+1,EDATE(L$4,1))-MAX($C59,L$4))/MAX(1,$D59+1-$C59))</f>
        <v/>
      </c>
      <c r="M59" s="56" t="str">
        <f aca="false">IF(OR(M$4="",$C59="",$D59="",N($E59)=0),"",$E59*MAX(0,MIN($D59+1,EDATE(M$4,1))-MAX($C59,M$4))/MAX(1,$D59+1-$C59))</f>
        <v/>
      </c>
      <c r="N59" s="56" t="str">
        <f aca="false">IF(OR(N$4="",$C59="",$D59="",N($E59)=0),"",$E59*MAX(0,MIN($D59+1,EDATE(N$4,1))-MAX($C59,N$4))/MAX(1,$D59+1-$C59))</f>
        <v/>
      </c>
      <c r="O59" s="56" t="str">
        <f aca="false">IF(OR(O$4="",$C59="",$D59="",N($E59)=0),"",$E59*MAX(0,MIN($D59+1,EDATE(O$4,1))-MAX($C59,O$4))/MAX(1,$D59+1-$C59))</f>
        <v/>
      </c>
      <c r="P59" s="56" t="str">
        <f aca="false">IF(OR(P$4="",$C59="",$D59="",N($E59)=0),"",$E59*MAX(0,MIN($D59+1,EDATE(P$4,1))-MAX($C59,P$4))/MAX(1,$D59+1-$C59))</f>
        <v/>
      </c>
      <c r="Q59" s="56" t="str">
        <f aca="false">IF(OR(Q$4="",$C59="",$D59="",N($E59)=0),"",$E59*MAX(0,MIN($D59+1,EDATE(Q$4,1))-MAX($C59,Q$4))/MAX(1,$D59+1-$C59))</f>
        <v/>
      </c>
      <c r="R59" s="56" t="str">
        <f aca="false">IF(OR(R$4="",$C59="",$D59="",N($E59)=0),"",$E59*MAX(0,MIN($D59+1,EDATE(R$4,1))-MAX($C59,R$4))/MAX(1,$D59+1-$C59))</f>
        <v/>
      </c>
      <c r="S59" s="56" t="str">
        <f aca="false">IF(OR(S$4="",$C59="",$D59="",N($E59)=0),"",$E59*MAX(0,MIN($D59+1,EDATE(S$4,1))-MAX($C59,S$4))/MAX(1,$D59+1-$C59))</f>
        <v/>
      </c>
      <c r="T59" s="56" t="str">
        <f aca="false">IF(OR(T$4="",$C59="",$D59="",N($E59)=0),"",$E59*MAX(0,MIN($D59+1,EDATE(T$4,1))-MAX($C59,T$4))/MAX(1,$D59+1-$C59))</f>
        <v/>
      </c>
      <c r="U59" s="56" t="str">
        <f aca="false">IF(OR(U$4="",$C59="",$D59="",N($E59)=0),"",$E59*MAX(0,MIN($D59+1,EDATE(U$4,1))-MAX($C59,U$4))/MAX(1,$D59+1-$C59))</f>
        <v/>
      </c>
      <c r="V59" s="56" t="str">
        <f aca="false">IF(OR(V$4="",$C59="",$D59="",N($E59)=0),"",$E59*MAX(0,MIN($D59+1,EDATE(V$4,1))-MAX($C59,V$4))/MAX(1,$D59+1-$C59))</f>
        <v/>
      </c>
      <c r="W59" s="56" t="str">
        <f aca="false">IF(OR(W$4="",$C59="",$D59="",N($E59)=0),"",$E59*MAX(0,MIN($D59+1,EDATE(W$4,1))-MAX($C59,W$4))/MAX(1,$D59+1-$C59))</f>
        <v/>
      </c>
      <c r="X59" s="56" t="str">
        <f aca="false">IF(OR(X$4="",$C59="",$D59="",N($E59)=0),"",$E59*MAX(0,MIN($D59+1,EDATE(X$4,1))-MAX($C59,X$4))/MAX(1,$D59+1-$C59))</f>
        <v/>
      </c>
      <c r="Y59" s="56" t="str">
        <f aca="false">IF(OR(Y$4="",$C59="",$D59="",N($E59)=0),"",$E59*MAX(0,MIN($D59+1,EDATE(Y$4,1))-MAX($C59,Y$4))/MAX(1,$D59+1-$C59))</f>
        <v/>
      </c>
      <c r="Z59" s="56" t="str">
        <f aca="false">IF(OR(Z$4="",$C59="",$D59="",N($E59)=0),"",$E59*MAX(0,MIN($D59+1,EDATE(Z$4,1))-MAX($C59,Z$4))/MAX(1,$D59+1-$C59))</f>
        <v/>
      </c>
      <c r="AA59" s="56" t="str">
        <f aca="false">IF(OR(AA$4="",$C59="",$D59="",N($E59)=0),"",$E59*MAX(0,MIN($D59+1,EDATE(AA$4,1))-MAX($C59,AA$4))/MAX(1,$D59+1-$C59))</f>
        <v/>
      </c>
      <c r="AB59" s="56" t="str">
        <f aca="false">IF(OR(AB$4="",$C59="",$D59="",N($E59)=0),"",$E59*MAX(0,MIN($D59+1,EDATE(AB$4,1))-MAX($C59,AB$4))/MAX(1,$D59+1-$C59))</f>
        <v/>
      </c>
      <c r="AC59" s="56" t="str">
        <f aca="false">IF(OR(AC$4="",$C59="",$D59="",N($E59)=0),"",$E59*MAX(0,MIN($D59+1,EDATE(AC$4,1))-MAX($C59,AC$4))/MAX(1,$D59+1-$C59))</f>
        <v/>
      </c>
      <c r="AD59" s="56" t="str">
        <f aca="false">IF(OR(AD$4="",$C59="",$D59="",N($E59)=0),"",$E59*MAX(0,MIN($D59+1,EDATE(AD$4,1))-MAX($C59,AD$4))/MAX(1,$D59+1-$C59))</f>
        <v/>
      </c>
      <c r="AE59" s="56" t="str">
        <f aca="false">IF(OR(AE$4="",$C59="",$D59="",N($E59)=0),"",$E59*MAX(0,MIN($D59+1,EDATE(AE$4,1))-MAX($C59,AE$4))/MAX(1,$D59+1-$C59))</f>
        <v/>
      </c>
      <c r="AF59" s="56" t="str">
        <f aca="false">IF(OR(AF$4="",$C59="",$D59="",N($E59)=0),"",$E59*MAX(0,MIN($D59+1,EDATE(AF$4,1))-MAX($C59,AF$4))/MAX(1,$D59+1-$C59))</f>
        <v/>
      </c>
      <c r="AG59" s="56" t="str">
        <f aca="false">IF(OR(AG$4="",$C59="",$D59="",N($E59)=0),"",$E59*MAX(0,MIN($D59+1,EDATE(AG$4,1))-MAX($C59,AG$4))/MAX(1,$D59+1-$C59))</f>
        <v/>
      </c>
      <c r="AH59" s="56" t="str">
        <f aca="false">IF(OR(AH$4="",$C59="",$D59="",N($E59)=0),"",$E59*MAX(0,MIN($D59+1,EDATE(AH$4,1))-MAX($C59,AH$4))/MAX(1,$D59+1-$C59))</f>
        <v/>
      </c>
      <c r="AI59" s="56" t="str">
        <f aca="false">IF(OR(AI$4="",$C59="",$D59="",N($E59)=0),"",$E59*MAX(0,MIN($D59+1,EDATE(AI$4,1))-MAX($C59,AI$4))/MAX(1,$D59+1-$C59))</f>
        <v/>
      </c>
      <c r="AJ59" s="56" t="str">
        <f aca="false">IF(OR(AJ$4="",$C59="",$D59="",N($E59)=0),"",$E59*MAX(0,MIN($D59+1,EDATE(AJ$4,1))-MAX($C59,AJ$4))/MAX(1,$D59+1-$C59))</f>
        <v/>
      </c>
      <c r="AK59" s="56" t="str">
        <f aca="false">IF(OR(AK$4="",$C59="",$D59="",N($E59)=0),"",$E59*MAX(0,MIN($D59+1,EDATE(AK$4,1))-MAX($C59,AK$4))/MAX(1,$D59+1-$C59))</f>
        <v/>
      </c>
      <c r="AL59" s="56" t="str">
        <f aca="false">IF(OR(AL$4="",$C59="",$D59="",N($E59)=0),"",$E59*MAX(0,MIN($D59+1,EDATE(AL$4,1))-MAX($C59,AL$4))/MAX(1,$D59+1-$C59))</f>
        <v/>
      </c>
      <c r="AM59" s="56" t="str">
        <f aca="false">IF(OR(AM$4="",$C59="",$D59="",N($E59)=0),"",$E59*MAX(0,MIN($D59+1,EDATE(AM$4,1))-MAX($C59,AM$4))/MAX(1,$D59+1-$C59))</f>
        <v/>
      </c>
      <c r="AN59" s="56" t="str">
        <f aca="false">IF(OR(AN$4="",$C59="",$D59="",N($E59)=0),"",$E59*MAX(0,MIN($D59+1,EDATE(AN$4,1))-MAX($C59,AN$4))/MAX(1,$D59+1-$C59))</f>
        <v/>
      </c>
      <c r="AO59" s="56" t="str">
        <f aca="false">IF(OR(AO$4="",$C59="",$D59="",N($E59)=0),"",$E59*MAX(0,MIN($D59+1,EDATE(AO$4,1))-MAX($C59,AO$4))/MAX(1,$D59+1-$C59))</f>
        <v/>
      </c>
      <c r="AP59" s="56" t="str">
        <f aca="false">IF(OR(AP$4="",$C59="",$D59="",N($E59)=0),"",$E59*MAX(0,MIN($D59+1,EDATE(AP$4,1))-MAX($C59,AP$4))/MAX(1,$D59+1-$C59))</f>
        <v/>
      </c>
      <c r="AQ59" s="56" t="str">
        <f aca="false">IF(OR(AQ$4="",$C59="",$D59="",N($E59)=0),"",$E59*MAX(0,MIN($D59+1,EDATE(AQ$4,1))-MAX($C59,AQ$4))/MAX(1,$D59+1-$C59))</f>
        <v/>
      </c>
      <c r="AR59" s="56" t="str">
        <f aca="false">IF(OR(AR$4="",$C59="",$D59="",N($E59)=0),"",$E59*MAX(0,MIN($D59+1,EDATE(AR$4,1))-MAX($C59,AR$4))/MAX(1,$D59+1-$C59))</f>
        <v/>
      </c>
      <c r="AS59" s="56" t="str">
        <f aca="false">IF(OR(AS$4="",$C59="",$D59="",N($E59)=0),"",$E59*MAX(0,MIN($D59+1,EDATE(AS$4,1))-MAX($C59,AS$4))/MAX(1,$D59+1-$C59))</f>
        <v/>
      </c>
      <c r="AT59" s="56" t="str">
        <f aca="false">IF(OR(AT$4="",$C59="",$D59="",N($E59)=0),"",$E59*MAX(0,MIN($D59+1,EDATE(AT$4,1))-MAX($C59,AT$4))/MAX(1,$D59+1-$C59))</f>
        <v/>
      </c>
      <c r="AU59" s="56" t="str">
        <f aca="false">IF(OR(AU$4="",$C59="",$D59="",N($E59)=0),"",$E59*MAX(0,MIN($D59+1,EDATE(AU$4,1))-MAX($C59,AU$4))/MAX(1,$D59+1-$C59))</f>
        <v/>
      </c>
      <c r="AV59" s="56" t="str">
        <f aca="false">IF(OR(AV$4="",$C59="",$D59="",N($E59)=0),"",$E59*MAX(0,MIN($D59+1,EDATE(AV$4,1))-MAX($C59,AV$4))/MAX(1,$D59+1-$C59))</f>
        <v/>
      </c>
      <c r="AW59" s="56" t="str">
        <f aca="false">IF(OR(AW$4="",$C59="",$D59="",N($E59)=0),"",$E59*MAX(0,MIN($D59+1,EDATE(AW$4,1))-MAX($C59,AW$4))/MAX(1,$D59+1-$C59))</f>
        <v/>
      </c>
      <c r="AX59" s="56" t="str">
        <f aca="false">IF(OR(AX$4="",$C59="",$D59="",N($E59)=0),"",$E59*MAX(0,MIN($D59+1,EDATE(AX$4,1))-MAX($C59,AX$4))/MAX(1,$D59+1-$C59))</f>
        <v/>
      </c>
      <c r="AY59" s="56" t="str">
        <f aca="false">IF(OR(AY$4="",$C59="",$D59="",N($E59)=0),"",$E59*MAX(0,MIN($D59+1,EDATE(AY$4,1))-MAX($C59,AY$4))/MAX(1,$D59+1-$C59))</f>
        <v/>
      </c>
      <c r="AZ59" s="56" t="str">
        <f aca="false">IF(OR(AZ$4="",$C59="",$D59="",N($E59)=0),"",$E59*MAX(0,MIN($D59+1,EDATE(AZ$4,1))-MAX($C59,AZ$4))/MAX(1,$D59+1-$C59))</f>
        <v/>
      </c>
      <c r="BA59" s="56" t="str">
        <f aca="false">IF(OR(BA$4="",$C59="",$D59="",N($E59)=0),"",$E59*MAX(0,MIN($D59+1,EDATE(BA$4,1))-MAX($C59,BA$4))/MAX(1,$D59+1-$C59))</f>
        <v/>
      </c>
      <c r="BB59" s="56" t="str">
        <f aca="false">IF(OR(BB$4="",$C59="",$D59="",N($E59)=0),"",$E59*MAX(0,MIN($D59+1,EDATE(BB$4,1))-MAX($C59,BB$4))/MAX(1,$D59+1-$C59))</f>
        <v/>
      </c>
      <c r="BC59" s="56" t="str">
        <f aca="false">IF(OR(BC$4="",$C59="",$D59="",N($E59)=0),"",$E59*MAX(0,MIN($D59+1,EDATE(BC$4,1))-MAX($C59,BC$4))/MAX(1,$D59+1-$C59))</f>
        <v/>
      </c>
      <c r="BD59" s="56" t="str">
        <f aca="false">IF(OR(BD$4="",$C59="",$D59="",N($E59)=0),"",$E59*MAX(0,MIN($D59+1,EDATE(BD$4,1))-MAX($C59,BD$4))/MAX(1,$D59+1-$C59))</f>
        <v/>
      </c>
      <c r="BE59" s="56" t="str">
        <f aca="false">IF(OR(BE$4="",$C59="",$D59="",N($E59)=0),"",$E59*MAX(0,MIN($D59+1,EDATE(BE$4,1))-MAX($C59,BE$4))/MAX(1,$D59+1-$C59))</f>
        <v/>
      </c>
      <c r="BF59" s="56" t="str">
        <f aca="false">IF(OR(BF$4="",$C59="",$D59="",N($E59)=0),"",$E59*MAX(0,MIN($D59+1,EDATE(BF$4,1))-MAX($C59,BF$4))/MAX(1,$D59+1-$C59))</f>
        <v/>
      </c>
      <c r="BG59" s="56" t="str">
        <f aca="false">IF(OR(BG$4="",$C59="",$D59="",N($E59)=0),"",$E59*MAX(0,MIN($D59+1,EDATE(BG$4,1))-MAX($C59,BG$4))/MAX(1,$D59+1-$C59))</f>
        <v/>
      </c>
      <c r="BH59" s="56" t="str">
        <f aca="false">IF(OR(BH$4="",$C59="",$D59="",N($E59)=0),"",$E59*MAX(0,MIN($D59+1,EDATE(BH$4,1))-MAX($C59,BH$4))/MAX(1,$D59+1-$C59))</f>
        <v/>
      </c>
      <c r="BI59" s="56" t="str">
        <f aca="false">IF(OR(BI$4="",$C59="",$D59="",N($E59)=0),"",$E59*MAX(0,MIN($D59+1,EDATE(BI$4,1))-MAX($C59,BI$4))/MAX(1,$D59+1-$C59))</f>
        <v/>
      </c>
      <c r="BJ59" s="56" t="str">
        <f aca="false">IF(OR(BJ$4="",$C59="",$D59="",N($E59)=0),"",$E59*MAX(0,MIN($D59+1,EDATE(BJ$4,1))-MAX($C59,BJ$4))/MAX(1,$D59+1-$C59))</f>
        <v/>
      </c>
      <c r="BK59" s="56" t="str">
        <f aca="false">IF(OR(BK$4="",$C59="",$D59="",N($E59)=0),"",$E59*MAX(0,MIN($D59+1,EDATE(BK$4,1))-MAX($C59,BK$4))/MAX(1,$D59+1-$C59))</f>
        <v/>
      </c>
      <c r="BL59" s="56" t="str">
        <f aca="false">IF(OR(BL$4="",$C59="",$D59="",N($E59)=0),"",$E59*MAX(0,MIN($D59+1,EDATE(BL$4,1))-MAX($C59,BL$4))/MAX(1,$D59+1-$C59))</f>
        <v/>
      </c>
      <c r="BM59" s="56" t="str">
        <f aca="false">IF(OR(BM$4="",$C59="",$D59="",N($E59)=0),"",$E59*MAX(0,MIN($D59+1,EDATE(BM$4,1))-MAX($C59,BM$4))/MAX(1,$D59+1-$C59))</f>
        <v/>
      </c>
      <c r="BN59" s="56" t="str">
        <f aca="false">IF(OR(BN$4="",$C59="",$D59="",N($E59)=0),"",$E59*MAX(0,MIN($D59+1,EDATE(BN$4,1))-MAX($C59,BN$4))/MAX(1,$D59+1-$C59))</f>
        <v/>
      </c>
      <c r="BO59" s="56" t="str">
        <f aca="false">IF(OR(BO$4="",$C59="",$D59="",N($E59)=0),"",$E59*MAX(0,MIN($D59+1,EDATE(BO$4,1))-MAX($C59,BO$4))/MAX(1,$D59+1-$C59))</f>
        <v/>
      </c>
      <c r="BP59" s="56" t="str">
        <f aca="false">IF(OR(BP$4="",$C59="",$D59="",N($E59)=0),"",$E59*MAX(0,MIN($D59+1,EDATE(BP$4,1))-MAX($C59,BP$4))/MAX(1,$D59+1-$C59))</f>
        <v/>
      </c>
      <c r="BQ59" s="56" t="str">
        <f aca="false">IF(OR(BQ$4="",$C59="",$D59="",N($E59)=0),"",$E59*MAX(0,MIN($D59+1,EDATE(BQ$4,1))-MAX($C59,BQ$4))/MAX(1,$D59+1-$C59))</f>
        <v/>
      </c>
      <c r="BR59" s="56" t="str">
        <f aca="false">IF(OR(BR$4="",$C59="",$D59="",N($E59)=0),"",$E59*MAX(0,MIN($D59+1,EDATE(BR$4,1))-MAX($C59,BR$4))/MAX(1,$D59+1-$C59))</f>
        <v/>
      </c>
      <c r="BS59" s="56" t="str">
        <f aca="false">IF(OR(BS$4="",$C59="",$D59="",N($E59)=0),"",$E59*MAX(0,MIN($D59+1,EDATE(BS$4,1))-MAX($C59,BS$4))/MAX(1,$D59+1-$C59))</f>
        <v/>
      </c>
      <c r="BT59" s="56" t="str">
        <f aca="false">IF(OR(BT$4="",$C59="",$D59="",N($E59)=0),"",$E59*MAX(0,MIN($D59+1,EDATE(BT$4,1))-MAX($C59,BT$4))/MAX(1,$D59+1-$C59))</f>
        <v/>
      </c>
      <c r="BU59" s="56" t="str">
        <f aca="false">IF(OR(BU$4="",$C59="",$D59="",N($E59)=0),"",$E59*MAX(0,MIN($D59+1,EDATE(BU$4,1))-MAX($C59,BU$4))/MAX(1,$D59+1-$C59))</f>
        <v/>
      </c>
      <c r="BV59" s="56" t="str">
        <f aca="false">IF(OR(BV$4="",$C59="",$D59="",N($E59)=0),"",$E59*MAX(0,MIN($D59+1,EDATE(BV$4,1))-MAX($C59,BV$4))/MAX(1,$D59+1-$C59))</f>
        <v/>
      </c>
      <c r="BW59" s="56" t="str">
        <f aca="false">IF(OR(BW$4="",$C59="",$D59="",N($E59)=0),"",$E59*MAX(0,MIN($D59+1,EDATE(BW$4,1))-MAX($C59,BW$4))/MAX(1,$D59+1-$C59))</f>
        <v/>
      </c>
      <c r="BX59" s="56" t="str">
        <f aca="false">IF(OR(BX$4="",$C59="",$D59="",N($E59)=0),"",$E59*MAX(0,MIN($D59+1,EDATE(BX$4,1))-MAX($C59,BX$4))/MAX(1,$D59+1-$C59))</f>
        <v/>
      </c>
      <c r="BY59" s="56" t="str">
        <f aca="false">IF(OR(BY$4="",$C59="",$D59="",N($E59)=0),"",$E59*MAX(0,MIN($D59+1,EDATE(BY$4,1))-MAX($C59,BY$4))/MAX(1,$D59+1-$C59))</f>
        <v/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customFormat="false" ht="15" hidden="false" customHeight="false" outlineLevel="0" collapsed="false">
      <c r="A61" s="4"/>
      <c r="B61" s="15" t="s">
        <v>281</v>
      </c>
      <c r="C61" s="4"/>
      <c r="D61" s="4"/>
      <c r="E61" s="50" t="n">
        <f aca="false">SUM(E5:E59)</f>
        <v>11953.1991786448</v>
      </c>
      <c r="F61" s="57" t="n">
        <f aca="false">IF(F$4="","",SUM(F5:F59))</f>
        <v>275.600906832325</v>
      </c>
      <c r="G61" s="57" t="n">
        <f aca="false">IF(G$4="","",SUM(G5:G59))</f>
        <v>254.076050162832</v>
      </c>
      <c r="H61" s="57" t="n">
        <f aca="false">IF(H$4="","",SUM(H5:H59))</f>
        <v>296.621774552871</v>
      </c>
      <c r="I61" s="57" t="n">
        <f aca="false">IF(I$4="","",SUM(I5:I59))</f>
        <v>336.250361367041</v>
      </c>
      <c r="J61" s="57" t="n">
        <f aca="false">IF(J$4="","",SUM(J5:J59))</f>
        <v>340.645519932756</v>
      </c>
      <c r="K61" s="57" t="n">
        <f aca="false">IF(K$4="","",SUM(K5:K59))</f>
        <v>329.656954773635</v>
      </c>
      <c r="L61" s="57" t="n">
        <f aca="false">IF(L$4="","",SUM(L5:L59))</f>
        <v>332.645519932756</v>
      </c>
      <c r="M61" s="57" t="n">
        <f aca="false">IF(M$4="","",SUM(M5:M59))</f>
        <v>216.645519932756</v>
      </c>
      <c r="N61" s="57" t="n">
        <f aca="false">IF(N$4="","",SUM(N5:N59))</f>
        <v>209.656954773635</v>
      </c>
      <c r="O61" s="57" t="n">
        <f aca="false">IF(O$4="","",SUM(O5:O59))</f>
        <v>216.645519932756</v>
      </c>
      <c r="P61" s="57" t="n">
        <f aca="false">IF(P$4="","",SUM(P5:P59))</f>
        <v>626.638906777098</v>
      </c>
      <c r="Q61" s="57" t="n">
        <f aca="false">IF(Q$4="","",SUM(Q5:Q59))</f>
        <v>644.350049901717</v>
      </c>
      <c r="R61" s="57" t="n">
        <f aca="false">IF(R$4="","",SUM(R5:R59))</f>
        <v>644.350049901717</v>
      </c>
      <c r="S61" s="57" t="n">
        <f aca="false">IF(S$4="","",SUM(S5:S59))</f>
        <v>602.779078940316</v>
      </c>
      <c r="T61" s="57" t="n">
        <f aca="false">IF(T$4="","",SUM(T5:T59))</f>
        <v>644.350049901717</v>
      </c>
      <c r="U61" s="57" t="n">
        <f aca="false">IF(U$4="","",SUM(U5:U59))</f>
        <v>623.564564421017</v>
      </c>
      <c r="V61" s="57" t="n">
        <f aca="false">IF(V$4="","",SUM(V5:V59))</f>
        <v>629.7849023996</v>
      </c>
      <c r="W61" s="57" t="n">
        <f aca="false">IF(W$4="","",SUM(W5:W59))</f>
        <v>342.326155652371</v>
      </c>
      <c r="X61" s="57" t="n">
        <f aca="false">IF(X$4="","",SUM(X5:X59))</f>
        <v>260.209551914703</v>
      </c>
      <c r="Y61" s="57" t="n">
        <f aca="false">IF(Y$4="","",SUM(Y5:Y59))</f>
        <v>260.209551914703</v>
      </c>
      <c r="Z61" s="57" t="n">
        <f aca="false">IF(Z$4="","",SUM(Z5:Z59))</f>
        <v>251.815695401325</v>
      </c>
      <c r="AA61" s="57" t="n">
        <f aca="false">IF(AA$4="","",SUM(AA5:AA59))</f>
        <v>260.209551914703</v>
      </c>
      <c r="AB61" s="57" t="n">
        <f aca="false">IF(AB$4="","",SUM(AB5:AB59))</f>
        <v>251.815695401325</v>
      </c>
      <c r="AC61" s="57" t="n">
        <f aca="false">IF(AC$4="","",SUM(AC5:AC59))</f>
        <v>320.359927854552</v>
      </c>
      <c r="AD61" s="57" t="n">
        <f aca="false">IF(AD$4="","",SUM(AD5:AD59))</f>
        <v>308.996976143065</v>
      </c>
      <c r="AE61" s="57" t="n">
        <f aca="false">IF(AE$4="","",SUM(AE5:AE59))</f>
        <v>275.592236792036</v>
      </c>
      <c r="AF61" s="57" t="n">
        <f aca="false">IF(AF$4="","",SUM(AF5:AF59))</f>
        <v>305.119976448326</v>
      </c>
      <c r="AG61" s="57" t="n">
        <f aca="false">IF(AG$4="","",SUM(AG5:AG59))</f>
        <v>295.277396562896</v>
      </c>
      <c r="AH61" s="57" t="n">
        <f aca="false">IF(AH$4="","",SUM(AH5:AH59))</f>
        <v>305.119976448326</v>
      </c>
      <c r="AI61" s="57" t="n">
        <f aca="false">IF(AI$4="","",SUM(AI5:AI59))</f>
        <v>295.277396562896</v>
      </c>
      <c r="AJ61" s="57" t="n">
        <f aca="false">IF(AJ$4="","",SUM(AJ5:AJ59))</f>
        <v>305.119976448326</v>
      </c>
      <c r="AK61" s="57" t="n">
        <f aca="false">IF(AK$4="","",SUM(AK5:AK59))</f>
        <v>252.622356853487</v>
      </c>
      <c r="AL61" s="57" t="n">
        <f aca="false">IF(AL$4="","",SUM(AL5:AL59))</f>
        <v>175.411355915426</v>
      </c>
      <c r="AM61" s="57" t="n">
        <f aca="false">IF(AM$4="","",SUM(AM5:AM59))</f>
        <v>93.6671602366943</v>
      </c>
      <c r="AN61" s="57" t="n">
        <f aca="false">IF(AN$4="","",SUM(AN5:AN59))</f>
        <v>87.8201150395134</v>
      </c>
      <c r="AO61" s="57" t="n">
        <f aca="false">IF(AO$4="","",SUM(AO5:AO59))</f>
        <v>81.9654407035459</v>
      </c>
      <c r="AP61" s="57" t="str">
        <f aca="false">IF(AP$4="","",SUM(AP5:AP59))</f>
        <v/>
      </c>
      <c r="AQ61" s="57" t="str">
        <f aca="false">IF(AQ$4="","",SUM(AQ5:AQ59))</f>
        <v/>
      </c>
      <c r="AR61" s="57" t="str">
        <f aca="false">IF(AR$4="","",SUM(AR5:AR59))</f>
        <v/>
      </c>
      <c r="AS61" s="57" t="str">
        <f aca="false">IF(AS$4="","",SUM(AS5:AS59))</f>
        <v/>
      </c>
      <c r="AT61" s="57" t="str">
        <f aca="false">IF(AT$4="","",SUM(AT5:AT59))</f>
        <v/>
      </c>
      <c r="AU61" s="57" t="str">
        <f aca="false">IF(AU$4="","",SUM(AU5:AU59))</f>
        <v/>
      </c>
      <c r="AV61" s="57" t="str">
        <f aca="false">IF(AV$4="","",SUM(AV5:AV59))</f>
        <v/>
      </c>
      <c r="AW61" s="57" t="str">
        <f aca="false">IF(AW$4="","",SUM(AW5:AW59))</f>
        <v/>
      </c>
      <c r="AX61" s="57" t="str">
        <f aca="false">IF(AX$4="","",SUM(AX5:AX59))</f>
        <v/>
      </c>
      <c r="AY61" s="57" t="str">
        <f aca="false">IF(AY$4="","",SUM(AY5:AY59))</f>
        <v/>
      </c>
      <c r="AZ61" s="57" t="str">
        <f aca="false">IF(AZ$4="","",SUM(AZ5:AZ59))</f>
        <v/>
      </c>
      <c r="BA61" s="57" t="str">
        <f aca="false">IF(BA$4="","",SUM(BA5:BA59))</f>
        <v/>
      </c>
      <c r="BB61" s="57" t="str">
        <f aca="false">IF(BB$4="","",SUM(BB5:BB59))</f>
        <v/>
      </c>
      <c r="BC61" s="57" t="str">
        <f aca="false">IF(BC$4="","",SUM(BC5:BC59))</f>
        <v/>
      </c>
      <c r="BD61" s="57" t="str">
        <f aca="false">IF(BD$4="","",SUM(BD5:BD59))</f>
        <v/>
      </c>
      <c r="BE61" s="57" t="str">
        <f aca="false">IF(BE$4="","",SUM(BE5:BE59))</f>
        <v/>
      </c>
      <c r="BF61" s="57" t="str">
        <f aca="false">IF(BF$4="","",SUM(BF5:BF59))</f>
        <v/>
      </c>
      <c r="BG61" s="57" t="str">
        <f aca="false">IF(BG$4="","",SUM(BG5:BG59))</f>
        <v/>
      </c>
      <c r="BH61" s="57" t="str">
        <f aca="false">IF(BH$4="","",SUM(BH5:BH59))</f>
        <v/>
      </c>
      <c r="BI61" s="57" t="str">
        <f aca="false">IF(BI$4="","",SUM(BI5:BI59))</f>
        <v/>
      </c>
      <c r="BJ61" s="57" t="str">
        <f aca="false">IF(BJ$4="","",SUM(BJ5:BJ59))</f>
        <v/>
      </c>
      <c r="BK61" s="57" t="str">
        <f aca="false">IF(BK$4="","",SUM(BK5:BK59))</f>
        <v/>
      </c>
      <c r="BL61" s="57" t="str">
        <f aca="false">IF(BL$4="","",SUM(BL5:BL59))</f>
        <v/>
      </c>
      <c r="BM61" s="57" t="str">
        <f aca="false">IF(BM$4="","",SUM(BM5:BM59))</f>
        <v/>
      </c>
      <c r="BN61" s="57" t="str">
        <f aca="false">IF(BN$4="","",SUM(BN5:BN59))</f>
        <v/>
      </c>
      <c r="BO61" s="57" t="str">
        <f aca="false">IF(BO$4="","",SUM(BO5:BO59))</f>
        <v/>
      </c>
      <c r="BP61" s="57" t="str">
        <f aca="false">IF(BP$4="","",SUM(BP5:BP59))</f>
        <v/>
      </c>
      <c r="BQ61" s="57" t="str">
        <f aca="false">IF(BQ$4="","",SUM(BQ5:BQ59))</f>
        <v/>
      </c>
      <c r="BR61" s="57" t="str">
        <f aca="false">IF(BR$4="","",SUM(BR5:BR59))</f>
        <v/>
      </c>
      <c r="BS61" s="57" t="str">
        <f aca="false">IF(BS$4="","",SUM(BS5:BS59))</f>
        <v/>
      </c>
      <c r="BT61" s="57" t="str">
        <f aca="false">IF(BT$4="","",SUM(BT5:BT59))</f>
        <v/>
      </c>
      <c r="BU61" s="57" t="str">
        <f aca="false">IF(BU$4="","",SUM(BU5:BU59))</f>
        <v/>
      </c>
      <c r="BV61" s="57" t="str">
        <f aca="false">IF(BV$4="","",SUM(BV5:BV59))</f>
        <v/>
      </c>
      <c r="BW61" s="57" t="str">
        <f aca="false">IF(BW$4="","",SUM(BW5:BW59))</f>
        <v/>
      </c>
      <c r="BX61" s="57" t="str">
        <f aca="false">IF(BX$4="","",SUM(BX5:BX59))</f>
        <v/>
      </c>
      <c r="BY61" s="57" t="str">
        <f aca="false">IF(BY$4="","",SUM(BY5:BY59))</f>
        <v/>
      </c>
    </row>
    <row r="62" customFormat="false" ht="15" hidden="false" customHeight="false" outlineLevel="0" collapsed="false">
      <c r="A62" s="4"/>
      <c r="B62" s="15" t="s">
        <v>282</v>
      </c>
      <c r="C62" s="4"/>
      <c r="D62" s="4"/>
      <c r="E62" s="4"/>
      <c r="F62" s="58" t="n">
        <f aca="false">IF(F$4="","",F61/Inputs!$B$6)</f>
        <v>1.76667247969439</v>
      </c>
      <c r="G62" s="58" t="n">
        <f aca="false">IF(G$4="","",G61/Inputs!$B$6)</f>
        <v>1.62869262924892</v>
      </c>
      <c r="H62" s="58" t="n">
        <f aca="false">IF(H$4="","",H61/Inputs!$B$6)</f>
        <v>1.90142163174917</v>
      </c>
      <c r="I62" s="58" t="n">
        <f aca="false">IF(I$4="","",I61/Inputs!$B$6)</f>
        <v>2.15545103440411</v>
      </c>
      <c r="J62" s="58" t="n">
        <f aca="false">IF(J$4="","",J61/Inputs!$B$6)</f>
        <v>2.18362512777408</v>
      </c>
      <c r="K62" s="58" t="n">
        <f aca="false">IF(K$4="","",K61/Inputs!$B$6)</f>
        <v>2.1131856075233</v>
      </c>
      <c r="L62" s="58" t="n">
        <f aca="false">IF(L$4="","",L61/Inputs!$B$6)</f>
        <v>2.13234307649202</v>
      </c>
      <c r="M62" s="58" t="n">
        <f aca="false">IF(M$4="","",M61/Inputs!$B$6)</f>
        <v>1.38875333290228</v>
      </c>
      <c r="N62" s="58" t="n">
        <f aca="false">IF(N$4="","",N61/Inputs!$B$6)</f>
        <v>1.34395483829253</v>
      </c>
      <c r="O62" s="58" t="n">
        <f aca="false">IF(O$4="","",O61/Inputs!$B$6)</f>
        <v>1.38875333290228</v>
      </c>
      <c r="P62" s="58" t="n">
        <f aca="false">IF(P$4="","",P61/Inputs!$B$6)</f>
        <v>4.01691606908396</v>
      </c>
      <c r="Q62" s="58" t="n">
        <f aca="false">IF(Q$4="","",Q61/Inputs!$B$6)</f>
        <v>4.13044903783152</v>
      </c>
      <c r="R62" s="58" t="n">
        <f aca="false">IF(R$4="","",R61/Inputs!$B$6)</f>
        <v>4.13044903783152</v>
      </c>
      <c r="S62" s="58" t="n">
        <f aca="false">IF(S$4="","",S61/Inputs!$B$6)</f>
        <v>3.86396845474562</v>
      </c>
      <c r="T62" s="58" t="n">
        <f aca="false">IF(T$4="","",T61/Inputs!$B$6)</f>
        <v>4.13044903783152</v>
      </c>
      <c r="U62" s="58" t="n">
        <f aca="false">IF(U$4="","",U61/Inputs!$B$6)</f>
        <v>3.99720874628857</v>
      </c>
      <c r="V62" s="58" t="n">
        <f aca="false">IF(V$4="","",V61/Inputs!$B$6)</f>
        <v>4.03708270768975</v>
      </c>
      <c r="W62" s="58" t="n">
        <f aca="false">IF(W$4="","",W61/Inputs!$B$6)</f>
        <v>2.19439843366905</v>
      </c>
      <c r="X62" s="58" t="n">
        <f aca="false">IF(X$4="","",X61/Inputs!$B$6)</f>
        <v>1.66800994817117</v>
      </c>
      <c r="Y62" s="58" t="n">
        <f aca="false">IF(Y$4="","",Y61/Inputs!$B$6)</f>
        <v>1.66800994817117</v>
      </c>
      <c r="Z62" s="58" t="n">
        <f aca="false">IF(Z$4="","",Z61/Inputs!$B$6)</f>
        <v>1.61420317564952</v>
      </c>
      <c r="AA62" s="58" t="n">
        <f aca="false">IF(AA$4="","",AA61/Inputs!$B$6)</f>
        <v>1.66800994817117</v>
      </c>
      <c r="AB62" s="58" t="n">
        <f aca="false">IF(AB$4="","",AB61/Inputs!$B$6)</f>
        <v>1.61420317564952</v>
      </c>
      <c r="AC62" s="58" t="n">
        <f aca="false">IF(AC$4="","",AC61/Inputs!$B$6)</f>
        <v>2.05358928111893</v>
      </c>
      <c r="AD62" s="58" t="n">
        <f aca="false">IF(AD$4="","",AD61/Inputs!$B$6)</f>
        <v>1.98074984707093</v>
      </c>
      <c r="AE62" s="58" t="n">
        <f aca="false">IF(AE$4="","",AE61/Inputs!$B$6)</f>
        <v>1.76661690251305</v>
      </c>
      <c r="AF62" s="58" t="n">
        <f aca="false">IF(AF$4="","",AF61/Inputs!$B$6)</f>
        <v>1.95589728492517</v>
      </c>
      <c r="AG62" s="58" t="n">
        <f aca="false">IF(AG$4="","",AG61/Inputs!$B$6)</f>
        <v>1.89280382412113</v>
      </c>
      <c r="AH62" s="58" t="n">
        <f aca="false">IF(AH$4="","",AH61/Inputs!$B$6)</f>
        <v>1.95589728492517</v>
      </c>
      <c r="AI62" s="58" t="n">
        <f aca="false">IF(AI$4="","",AI61/Inputs!$B$6)</f>
        <v>1.89280382412113</v>
      </c>
      <c r="AJ62" s="58" t="n">
        <f aca="false">IF(AJ$4="","",AJ61/Inputs!$B$6)</f>
        <v>1.95589728492517</v>
      </c>
      <c r="AK62" s="58" t="n">
        <f aca="false">IF(AK$4="","",AK61/Inputs!$B$6)</f>
        <v>1.61937408239415</v>
      </c>
      <c r="AL62" s="58" t="n">
        <f aca="false">IF(AL$4="","",AL61/Inputs!$B$6)</f>
        <v>1.12443176868863</v>
      </c>
      <c r="AM62" s="58" t="n">
        <f aca="false">IF(AM$4="","",AM61/Inputs!$B$6)</f>
        <v>0.600430514337784</v>
      </c>
      <c r="AN62" s="58" t="n">
        <f aca="false">IF(AN$4="","",AN61/Inputs!$B$6)</f>
        <v>0.562949455381496</v>
      </c>
      <c r="AO62" s="58" t="n">
        <f aca="false">IF(AO$4="","",AO61/Inputs!$B$6)</f>
        <v>0.525419491689397</v>
      </c>
      <c r="AP62" s="58" t="str">
        <f aca="false">IF(AP$4="","",AP61/Inputs!$B$6)</f>
        <v/>
      </c>
      <c r="AQ62" s="58" t="str">
        <f aca="false">IF(AQ$4="","",AQ61/Inputs!$B$6)</f>
        <v/>
      </c>
      <c r="AR62" s="58" t="str">
        <f aca="false">IF(AR$4="","",AR61/Inputs!$B$6)</f>
        <v/>
      </c>
      <c r="AS62" s="58" t="str">
        <f aca="false">IF(AS$4="","",AS61/Inputs!$B$6)</f>
        <v/>
      </c>
      <c r="AT62" s="58" t="str">
        <f aca="false">IF(AT$4="","",AT61/Inputs!$B$6)</f>
        <v/>
      </c>
      <c r="AU62" s="58" t="str">
        <f aca="false">IF(AU$4="","",AU61/Inputs!$B$6)</f>
        <v/>
      </c>
      <c r="AV62" s="58" t="str">
        <f aca="false">IF(AV$4="","",AV61/Inputs!$B$6)</f>
        <v/>
      </c>
      <c r="AW62" s="58" t="str">
        <f aca="false">IF(AW$4="","",AW61/Inputs!$B$6)</f>
        <v/>
      </c>
      <c r="AX62" s="58" t="str">
        <f aca="false">IF(AX$4="","",AX61/Inputs!$B$6)</f>
        <v/>
      </c>
      <c r="AY62" s="58" t="str">
        <f aca="false">IF(AY$4="","",AY61/Inputs!$B$6)</f>
        <v/>
      </c>
      <c r="AZ62" s="58" t="str">
        <f aca="false">IF(AZ$4="","",AZ61/Inputs!$B$6)</f>
        <v/>
      </c>
      <c r="BA62" s="58" t="str">
        <f aca="false">IF(BA$4="","",BA61/Inputs!$B$6)</f>
        <v/>
      </c>
      <c r="BB62" s="58" t="str">
        <f aca="false">IF(BB$4="","",BB61/Inputs!$B$6)</f>
        <v/>
      </c>
      <c r="BC62" s="58" t="str">
        <f aca="false">IF(BC$4="","",BC61/Inputs!$B$6)</f>
        <v/>
      </c>
      <c r="BD62" s="58" t="str">
        <f aca="false">IF(BD$4="","",BD61/Inputs!$B$6)</f>
        <v/>
      </c>
      <c r="BE62" s="58" t="str">
        <f aca="false">IF(BE$4="","",BE61/Inputs!$B$6)</f>
        <v/>
      </c>
      <c r="BF62" s="58" t="str">
        <f aca="false">IF(BF$4="","",BF61/Inputs!$B$6)</f>
        <v/>
      </c>
      <c r="BG62" s="58" t="str">
        <f aca="false">IF(BG$4="","",BG61/Inputs!$B$6)</f>
        <v/>
      </c>
      <c r="BH62" s="58" t="str">
        <f aca="false">IF(BH$4="","",BH61/Inputs!$B$6)</f>
        <v/>
      </c>
      <c r="BI62" s="58" t="str">
        <f aca="false">IF(BI$4="","",BI61/Inputs!$B$6)</f>
        <v/>
      </c>
      <c r="BJ62" s="58" t="str">
        <f aca="false">IF(BJ$4="","",BJ61/Inputs!$B$6)</f>
        <v/>
      </c>
      <c r="BK62" s="58" t="str">
        <f aca="false">IF(BK$4="","",BK61/Inputs!$B$6)</f>
        <v/>
      </c>
      <c r="BL62" s="58" t="str">
        <f aca="false">IF(BL$4="","",BL61/Inputs!$B$6)</f>
        <v/>
      </c>
      <c r="BM62" s="58" t="str">
        <f aca="false">IF(BM$4="","",BM61/Inputs!$B$6)</f>
        <v/>
      </c>
      <c r="BN62" s="58" t="str">
        <f aca="false">IF(BN$4="","",BN61/Inputs!$B$6)</f>
        <v/>
      </c>
      <c r="BO62" s="58" t="str">
        <f aca="false">IF(BO$4="","",BO61/Inputs!$B$6)</f>
        <v/>
      </c>
      <c r="BP62" s="58" t="str">
        <f aca="false">IF(BP$4="","",BP61/Inputs!$B$6)</f>
        <v/>
      </c>
      <c r="BQ62" s="58" t="str">
        <f aca="false">IF(BQ$4="","",BQ61/Inputs!$B$6)</f>
        <v/>
      </c>
      <c r="BR62" s="58" t="str">
        <f aca="false">IF(BR$4="","",BR61/Inputs!$B$6)</f>
        <v/>
      </c>
      <c r="BS62" s="58" t="str">
        <f aca="false">IF(BS$4="","",BS61/Inputs!$B$6)</f>
        <v/>
      </c>
      <c r="BT62" s="58" t="str">
        <f aca="false">IF(BT$4="","",BT61/Inputs!$B$6)</f>
        <v/>
      </c>
      <c r="BU62" s="58" t="str">
        <f aca="false">IF(BU$4="","",BU61/Inputs!$B$6)</f>
        <v/>
      </c>
      <c r="BV62" s="58" t="str">
        <f aca="false">IF(BV$4="","",BV61/Inputs!$B$6)</f>
        <v/>
      </c>
      <c r="BW62" s="58" t="str">
        <f aca="false">IF(BW$4="","",BW61/Inputs!$B$6)</f>
        <v/>
      </c>
      <c r="BX62" s="58" t="str">
        <f aca="false">IF(BX$4="","",BX61/Inputs!$B$6)</f>
        <v/>
      </c>
      <c r="BY62" s="58" t="str">
        <f aca="false">IF(BY$4="","",BY61/Inputs!$B$6)</f>
        <v/>
      </c>
    </row>
    <row r="63" customFormat="false" ht="15" hidden="false" customHeight="false" outlineLevel="0" collapsed="false">
      <c r="A63" s="4"/>
      <c r="B63" s="15" t="s">
        <v>283</v>
      </c>
      <c r="C63" s="4"/>
      <c r="D63" s="4"/>
      <c r="E63" s="4"/>
      <c r="F63" s="59" t="n">
        <f aca="false">IF(F$4="","",0+N(F61))</f>
        <v>275.600906832325</v>
      </c>
      <c r="G63" s="59" t="n">
        <f aca="false">IF(G$4="","",N(F63)+N(G61))</f>
        <v>529.676956995156</v>
      </c>
      <c r="H63" s="59" t="n">
        <f aca="false">IF(H$4="","",N(G63)+N(H61))</f>
        <v>826.298731548027</v>
      </c>
      <c r="I63" s="59" t="n">
        <f aca="false">IF(I$4="","",N(H63)+N(I61))</f>
        <v>1162.54909291507</v>
      </c>
      <c r="J63" s="59" t="n">
        <f aca="false">IF(J$4="","",N(I63)+N(J61))</f>
        <v>1503.19461284782</v>
      </c>
      <c r="K63" s="59" t="n">
        <f aca="false">IF(K$4="","",N(J63)+N(K61))</f>
        <v>1832.85156762146</v>
      </c>
      <c r="L63" s="59" t="n">
        <f aca="false">IF(L$4="","",N(K63)+N(L61))</f>
        <v>2165.49708755421</v>
      </c>
      <c r="M63" s="59" t="n">
        <f aca="false">IF(M$4="","",N(L63)+N(M61))</f>
        <v>2382.14260748697</v>
      </c>
      <c r="N63" s="59" t="n">
        <f aca="false">IF(N$4="","",N(M63)+N(N61))</f>
        <v>2591.7995622606</v>
      </c>
      <c r="O63" s="59" t="n">
        <f aca="false">IF(O$4="","",N(N63)+N(O61))</f>
        <v>2808.44508219336</v>
      </c>
      <c r="P63" s="59" t="n">
        <f aca="false">IF(P$4="","",N(O63)+N(P61))</f>
        <v>3435.08398897046</v>
      </c>
      <c r="Q63" s="59" t="n">
        <f aca="false">IF(Q$4="","",N(P63)+N(Q61))</f>
        <v>4079.43403887218</v>
      </c>
      <c r="R63" s="59" t="n">
        <f aca="false">IF(R$4="","",N(Q63)+N(R61))</f>
        <v>4723.78408877389</v>
      </c>
      <c r="S63" s="59" t="n">
        <f aca="false">IF(S$4="","",N(R63)+N(S61))</f>
        <v>5326.56316771421</v>
      </c>
      <c r="T63" s="59" t="n">
        <f aca="false">IF(T$4="","",N(S63)+N(T61))</f>
        <v>5970.91321761593</v>
      </c>
      <c r="U63" s="59" t="n">
        <f aca="false">IF(U$4="","",N(T63)+N(U61))</f>
        <v>6594.47778203694</v>
      </c>
      <c r="V63" s="59" t="n">
        <f aca="false">IF(V$4="","",N(U63)+N(V61))</f>
        <v>7224.26268443654</v>
      </c>
      <c r="W63" s="59" t="n">
        <f aca="false">IF(W$4="","",N(V63)+N(W61))</f>
        <v>7566.58884008891</v>
      </c>
      <c r="X63" s="59" t="n">
        <f aca="false">IF(X$4="","",N(W63)+N(X61))</f>
        <v>7826.79839200362</v>
      </c>
      <c r="Y63" s="59" t="n">
        <f aca="false">IF(Y$4="","",N(X63)+N(Y61))</f>
        <v>8087.00794391832</v>
      </c>
      <c r="Z63" s="59" t="n">
        <f aca="false">IF(Z$4="","",N(Y63)+N(Z61))</f>
        <v>8338.82363931964</v>
      </c>
      <c r="AA63" s="59" t="n">
        <f aca="false">IF(AA$4="","",N(Z63)+N(AA61))</f>
        <v>8599.03319123435</v>
      </c>
      <c r="AB63" s="59" t="n">
        <f aca="false">IF(AB$4="","",N(AA63)+N(AB61))</f>
        <v>8850.84888663567</v>
      </c>
      <c r="AC63" s="59" t="n">
        <f aca="false">IF(AC$4="","",N(AB63)+N(AC61))</f>
        <v>9171.20881449022</v>
      </c>
      <c r="AD63" s="59" t="n">
        <f aca="false">IF(AD$4="","",N(AC63)+N(AD61))</f>
        <v>9480.20579063329</v>
      </c>
      <c r="AE63" s="59" t="n">
        <f aca="false">IF(AE$4="","",N(AD63)+N(AE61))</f>
        <v>9755.79802742532</v>
      </c>
      <c r="AF63" s="59" t="n">
        <f aca="false">IF(AF$4="","",N(AE63)+N(AF61))</f>
        <v>10060.9180038736</v>
      </c>
      <c r="AG63" s="59" t="n">
        <f aca="false">IF(AG$4="","",N(AF63)+N(AG61))</f>
        <v>10356.1954004365</v>
      </c>
      <c r="AH63" s="59" t="n">
        <f aca="false">IF(AH$4="","",N(AG63)+N(AH61))</f>
        <v>10661.3153768849</v>
      </c>
      <c r="AI63" s="59" t="n">
        <f aca="false">IF(AI$4="","",N(AH63)+N(AI61))</f>
        <v>10956.5927734478</v>
      </c>
      <c r="AJ63" s="59" t="n">
        <f aca="false">IF(AJ$4="","",N(AI63)+N(AJ61))</f>
        <v>11261.7127498961</v>
      </c>
      <c r="AK63" s="59" t="n">
        <f aca="false">IF(AK$4="","",N(AJ63)+N(AK61))</f>
        <v>11514.3351067496</v>
      </c>
      <c r="AL63" s="59" t="n">
        <f aca="false">IF(AL$4="","",N(AK63)+N(AL61))</f>
        <v>11689.746462665</v>
      </c>
      <c r="AM63" s="59" t="n">
        <f aca="false">IF(AM$4="","",N(AL63)+N(AM61))</f>
        <v>11783.4136229017</v>
      </c>
      <c r="AN63" s="59" t="n">
        <f aca="false">IF(AN$4="","",N(AM63)+N(AN61))</f>
        <v>11871.2337379412</v>
      </c>
      <c r="AO63" s="59" t="n">
        <f aca="false">IF(AO$4="","",N(AN63)+N(AO61))</f>
        <v>11953.1991786448</v>
      </c>
      <c r="AP63" s="59" t="str">
        <f aca="false">IF(AP$4="","",N(AO63)+N(AP61))</f>
        <v/>
      </c>
      <c r="AQ63" s="59" t="str">
        <f aca="false">IF(AQ$4="","",N(AP63)+N(AQ61))</f>
        <v/>
      </c>
      <c r="AR63" s="59" t="str">
        <f aca="false">IF(AR$4="","",N(AQ63)+N(AR61))</f>
        <v/>
      </c>
      <c r="AS63" s="59" t="str">
        <f aca="false">IF(AS$4="","",N(AR63)+N(AS61))</f>
        <v/>
      </c>
      <c r="AT63" s="59" t="str">
        <f aca="false">IF(AT$4="","",N(AS63)+N(AT61))</f>
        <v/>
      </c>
      <c r="AU63" s="59" t="str">
        <f aca="false">IF(AU$4="","",N(AT63)+N(AU61))</f>
        <v/>
      </c>
      <c r="AV63" s="59" t="str">
        <f aca="false">IF(AV$4="","",N(AU63)+N(AV61))</f>
        <v/>
      </c>
      <c r="AW63" s="59" t="str">
        <f aca="false">IF(AW$4="","",N(AV63)+N(AW61))</f>
        <v/>
      </c>
      <c r="AX63" s="59" t="str">
        <f aca="false">IF(AX$4="","",N(AW63)+N(AX61))</f>
        <v/>
      </c>
      <c r="AY63" s="59" t="str">
        <f aca="false">IF(AY$4="","",N(AX63)+N(AY61))</f>
        <v/>
      </c>
      <c r="AZ63" s="59" t="str">
        <f aca="false">IF(AZ$4="","",N(AY63)+N(AZ61))</f>
        <v/>
      </c>
      <c r="BA63" s="59" t="str">
        <f aca="false">IF(BA$4="","",N(AZ63)+N(BA61))</f>
        <v/>
      </c>
      <c r="BB63" s="59" t="str">
        <f aca="false">IF(BB$4="","",N(BA63)+N(BB61))</f>
        <v/>
      </c>
      <c r="BC63" s="59" t="str">
        <f aca="false">IF(BC$4="","",N(BB63)+N(BC61))</f>
        <v/>
      </c>
      <c r="BD63" s="59" t="str">
        <f aca="false">IF(BD$4="","",N(BC63)+N(BD61))</f>
        <v/>
      </c>
      <c r="BE63" s="59" t="str">
        <f aca="false">IF(BE$4="","",N(BD63)+N(BE61))</f>
        <v/>
      </c>
      <c r="BF63" s="59" t="str">
        <f aca="false">IF(BF$4="","",N(BE63)+N(BF61))</f>
        <v/>
      </c>
      <c r="BG63" s="59" t="str">
        <f aca="false">IF(BG$4="","",N(BF63)+N(BG61))</f>
        <v/>
      </c>
      <c r="BH63" s="59" t="str">
        <f aca="false">IF(BH$4="","",N(BG63)+N(BH61))</f>
        <v/>
      </c>
      <c r="BI63" s="59" t="str">
        <f aca="false">IF(BI$4="","",N(BH63)+N(BI61))</f>
        <v/>
      </c>
      <c r="BJ63" s="59" t="str">
        <f aca="false">IF(BJ$4="","",N(BI63)+N(BJ61))</f>
        <v/>
      </c>
      <c r="BK63" s="59" t="str">
        <f aca="false">IF(BK$4="","",N(BJ63)+N(BK61))</f>
        <v/>
      </c>
      <c r="BL63" s="59" t="str">
        <f aca="false">IF(BL$4="","",N(BK63)+N(BL61))</f>
        <v/>
      </c>
      <c r="BM63" s="59" t="str">
        <f aca="false">IF(BM$4="","",N(BL63)+N(BM61))</f>
        <v/>
      </c>
      <c r="BN63" s="59" t="str">
        <f aca="false">IF(BN$4="","",N(BM63)+N(BN61))</f>
        <v/>
      </c>
      <c r="BO63" s="59" t="str">
        <f aca="false">IF(BO$4="","",N(BN63)+N(BO61))</f>
        <v/>
      </c>
      <c r="BP63" s="59" t="str">
        <f aca="false">IF(BP$4="","",N(BO63)+N(BP61))</f>
        <v/>
      </c>
      <c r="BQ63" s="59" t="str">
        <f aca="false">IF(BQ$4="","",N(BP63)+N(BQ61))</f>
        <v/>
      </c>
      <c r="BR63" s="59" t="str">
        <f aca="false">IF(BR$4="","",N(BQ63)+N(BR61))</f>
        <v/>
      </c>
      <c r="BS63" s="59" t="str">
        <f aca="false">IF(BS$4="","",N(BR63)+N(BS61))</f>
        <v/>
      </c>
      <c r="BT63" s="59" t="str">
        <f aca="false">IF(BT$4="","",N(BS63)+N(BT61))</f>
        <v/>
      </c>
      <c r="BU63" s="59" t="str">
        <f aca="false">IF(BU$4="","",N(BT63)+N(BU61))</f>
        <v/>
      </c>
      <c r="BV63" s="59" t="str">
        <f aca="false">IF(BV$4="","",N(BU63)+N(BV61))</f>
        <v/>
      </c>
      <c r="BW63" s="59" t="str">
        <f aca="false">IF(BW$4="","",N(BV63)+N(BW61))</f>
        <v/>
      </c>
      <c r="BX63" s="59" t="str">
        <f aca="false">IF(BX$4="","",N(BW63)+N(BX61))</f>
        <v/>
      </c>
      <c r="BY63" s="59" t="str">
        <f aca="false">IF(BY$4="","",N(BX63)+N(BY61))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77" min="6" style="0" width="4.2"/>
  </cols>
  <sheetData>
    <row r="1" customFormat="false" ht="17.35" hidden="false" customHeight="false" outlineLevel="0" collapsed="false">
      <c r="A1" s="3" t="s">
        <v>284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customFormat="false" ht="15" hidden="false" customHeight="false" outlineLevel="0" collapsed="false">
      <c r="A2" s="5" t="str">
        <f aca="false">"Program: "&amp;TEXT(Inputs!$B$4,"yyyy-mm-dd")&amp;" to "&amp;TEXT(Inputs!$B$5,"yyyy-mm-dd")&amp;"   |   Bars = task windows, ◆ = milestone"</f>
        <v>Program: 2027-01-04 to 2029-12-31   |   Bars = task windows, ◆ = milestone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</row>
    <row r="3" customFormat="false" ht="15" hidden="false" customHeight="false" outlineLevel="0" collapsed="false">
      <c r="A3" s="4"/>
      <c r="B3" s="4"/>
      <c r="C3" s="4"/>
      <c r="D3" s="4"/>
      <c r="E3" s="4"/>
      <c r="F3" s="51" t="n">
        <f aca="false">Phasing!F3</f>
        <v>1</v>
      </c>
      <c r="G3" s="51" t="n">
        <f aca="false">Phasing!G3</f>
        <v>2</v>
      </c>
      <c r="H3" s="51" t="n">
        <f aca="false">Phasing!H3</f>
        <v>3</v>
      </c>
      <c r="I3" s="51" t="n">
        <f aca="false">Phasing!I3</f>
        <v>4</v>
      </c>
      <c r="J3" s="51" t="n">
        <f aca="false">Phasing!J3</f>
        <v>5</v>
      </c>
      <c r="K3" s="51" t="n">
        <f aca="false">Phasing!K3</f>
        <v>6</v>
      </c>
      <c r="L3" s="51" t="n">
        <f aca="false">Phasing!L3</f>
        <v>7</v>
      </c>
      <c r="M3" s="51" t="n">
        <f aca="false">Phasing!M3</f>
        <v>8</v>
      </c>
      <c r="N3" s="51" t="n">
        <f aca="false">Phasing!N3</f>
        <v>9</v>
      </c>
      <c r="O3" s="51" t="n">
        <f aca="false">Phasing!O3</f>
        <v>10</v>
      </c>
      <c r="P3" s="51" t="n">
        <f aca="false">Phasing!P3</f>
        <v>11</v>
      </c>
      <c r="Q3" s="51" t="n">
        <f aca="false">Phasing!Q3</f>
        <v>12</v>
      </c>
      <c r="R3" s="51" t="n">
        <f aca="false">Phasing!R3</f>
        <v>13</v>
      </c>
      <c r="S3" s="51" t="n">
        <f aca="false">Phasing!S3</f>
        <v>14</v>
      </c>
      <c r="T3" s="51" t="n">
        <f aca="false">Phasing!T3</f>
        <v>15</v>
      </c>
      <c r="U3" s="51" t="n">
        <f aca="false">Phasing!U3</f>
        <v>16</v>
      </c>
      <c r="V3" s="51" t="n">
        <f aca="false">Phasing!V3</f>
        <v>17</v>
      </c>
      <c r="W3" s="51" t="n">
        <f aca="false">Phasing!W3</f>
        <v>18</v>
      </c>
      <c r="X3" s="51" t="n">
        <f aca="false">Phasing!X3</f>
        <v>19</v>
      </c>
      <c r="Y3" s="51" t="n">
        <f aca="false">Phasing!Y3</f>
        <v>20</v>
      </c>
      <c r="Z3" s="51" t="n">
        <f aca="false">Phasing!Z3</f>
        <v>21</v>
      </c>
      <c r="AA3" s="51" t="n">
        <f aca="false">Phasing!AA3</f>
        <v>22</v>
      </c>
      <c r="AB3" s="51" t="n">
        <f aca="false">Phasing!AB3</f>
        <v>23</v>
      </c>
      <c r="AC3" s="51" t="n">
        <f aca="false">Phasing!AC3</f>
        <v>24</v>
      </c>
      <c r="AD3" s="51" t="n">
        <f aca="false">Phasing!AD3</f>
        <v>25</v>
      </c>
      <c r="AE3" s="51" t="n">
        <f aca="false">Phasing!AE3</f>
        <v>26</v>
      </c>
      <c r="AF3" s="51" t="n">
        <f aca="false">Phasing!AF3</f>
        <v>27</v>
      </c>
      <c r="AG3" s="51" t="n">
        <f aca="false">Phasing!AG3</f>
        <v>28</v>
      </c>
      <c r="AH3" s="51" t="n">
        <f aca="false">Phasing!AH3</f>
        <v>29</v>
      </c>
      <c r="AI3" s="51" t="n">
        <f aca="false">Phasing!AI3</f>
        <v>30</v>
      </c>
      <c r="AJ3" s="51" t="n">
        <f aca="false">Phasing!AJ3</f>
        <v>31</v>
      </c>
      <c r="AK3" s="51" t="n">
        <f aca="false">Phasing!AK3</f>
        <v>32</v>
      </c>
      <c r="AL3" s="51" t="n">
        <f aca="false">Phasing!AL3</f>
        <v>33</v>
      </c>
      <c r="AM3" s="51" t="n">
        <f aca="false">Phasing!AM3</f>
        <v>34</v>
      </c>
      <c r="AN3" s="51" t="n">
        <f aca="false">Phasing!AN3</f>
        <v>35</v>
      </c>
      <c r="AO3" s="51" t="n">
        <f aca="false">Phasing!AO3</f>
        <v>36</v>
      </c>
      <c r="AP3" s="51" t="str">
        <f aca="false">Phasing!AP3</f>
        <v/>
      </c>
      <c r="AQ3" s="51" t="str">
        <f aca="false">Phasing!AQ3</f>
        <v/>
      </c>
      <c r="AR3" s="51" t="str">
        <f aca="false">Phasing!AR3</f>
        <v/>
      </c>
      <c r="AS3" s="51" t="str">
        <f aca="false">Phasing!AS3</f>
        <v/>
      </c>
      <c r="AT3" s="51" t="str">
        <f aca="false">Phasing!AT3</f>
        <v/>
      </c>
      <c r="AU3" s="51" t="str">
        <f aca="false">Phasing!AU3</f>
        <v/>
      </c>
      <c r="AV3" s="51" t="str">
        <f aca="false">Phasing!AV3</f>
        <v/>
      </c>
      <c r="AW3" s="51" t="str">
        <f aca="false">Phasing!AW3</f>
        <v/>
      </c>
      <c r="AX3" s="51" t="str">
        <f aca="false">Phasing!AX3</f>
        <v/>
      </c>
      <c r="AY3" s="51" t="str">
        <f aca="false">Phasing!AY3</f>
        <v/>
      </c>
      <c r="AZ3" s="51" t="str">
        <f aca="false">Phasing!AZ3</f>
        <v/>
      </c>
      <c r="BA3" s="51" t="str">
        <f aca="false">Phasing!BA3</f>
        <v/>
      </c>
      <c r="BB3" s="51" t="str">
        <f aca="false">Phasing!BB3</f>
        <v/>
      </c>
      <c r="BC3" s="51" t="str">
        <f aca="false">Phasing!BC3</f>
        <v/>
      </c>
      <c r="BD3" s="51" t="str">
        <f aca="false">Phasing!BD3</f>
        <v/>
      </c>
      <c r="BE3" s="51" t="str">
        <f aca="false">Phasing!BE3</f>
        <v/>
      </c>
      <c r="BF3" s="51" t="str">
        <f aca="false">Phasing!BF3</f>
        <v/>
      </c>
      <c r="BG3" s="51" t="str">
        <f aca="false">Phasing!BG3</f>
        <v/>
      </c>
      <c r="BH3" s="51" t="str">
        <f aca="false">Phasing!BH3</f>
        <v/>
      </c>
      <c r="BI3" s="51" t="str">
        <f aca="false">Phasing!BI3</f>
        <v/>
      </c>
      <c r="BJ3" s="51" t="str">
        <f aca="false">Phasing!BJ3</f>
        <v/>
      </c>
      <c r="BK3" s="51" t="str">
        <f aca="false">Phasing!BK3</f>
        <v/>
      </c>
      <c r="BL3" s="51" t="str">
        <f aca="false">Phasing!BL3</f>
        <v/>
      </c>
      <c r="BM3" s="51" t="str">
        <f aca="false">Phasing!BM3</f>
        <v/>
      </c>
      <c r="BN3" s="51" t="str">
        <f aca="false">Phasing!BN3</f>
        <v/>
      </c>
      <c r="BO3" s="51" t="str">
        <f aca="false">Phasing!BO3</f>
        <v/>
      </c>
      <c r="BP3" s="51" t="str">
        <f aca="false">Phasing!BP3</f>
        <v/>
      </c>
      <c r="BQ3" s="51" t="str">
        <f aca="false">Phasing!BQ3</f>
        <v/>
      </c>
      <c r="BR3" s="51" t="str">
        <f aca="false">Phasing!BR3</f>
        <v/>
      </c>
      <c r="BS3" s="51" t="str">
        <f aca="false">Phasing!BS3</f>
        <v/>
      </c>
      <c r="BT3" s="51" t="str">
        <f aca="false">Phasing!BT3</f>
        <v/>
      </c>
      <c r="BU3" s="51" t="str">
        <f aca="false">Phasing!BU3</f>
        <v/>
      </c>
      <c r="BV3" s="51" t="str">
        <f aca="false">Phasing!BV3</f>
        <v/>
      </c>
      <c r="BW3" s="51" t="str">
        <f aca="false">Phasing!BW3</f>
        <v/>
      </c>
      <c r="BX3" s="51" t="str">
        <f aca="false">Phasing!BX3</f>
        <v/>
      </c>
      <c r="BY3" s="51" t="str">
        <f aca="false">Phasing!BY3</f>
        <v/>
      </c>
    </row>
    <row r="4" customFormat="false" ht="48" hidden="false" customHeight="true" outlineLevel="0" collapsed="false">
      <c r="A4" s="6" t="s">
        <v>133</v>
      </c>
      <c r="B4" s="6" t="s">
        <v>285</v>
      </c>
      <c r="C4" s="6" t="s">
        <v>278</v>
      </c>
      <c r="D4" s="6" t="s">
        <v>279</v>
      </c>
      <c r="E4" s="6" t="s">
        <v>280</v>
      </c>
      <c r="F4" s="60" t="n">
        <f aca="false">Phasing!F4</f>
        <v>46391</v>
      </c>
      <c r="G4" s="60" t="n">
        <f aca="false">Phasing!G4</f>
        <v>46422</v>
      </c>
      <c r="H4" s="60" t="n">
        <f aca="false">Phasing!H4</f>
        <v>46450</v>
      </c>
      <c r="I4" s="60" t="n">
        <f aca="false">Phasing!I4</f>
        <v>46481</v>
      </c>
      <c r="J4" s="60" t="n">
        <f aca="false">Phasing!J4</f>
        <v>46511</v>
      </c>
      <c r="K4" s="60" t="n">
        <f aca="false">Phasing!K4</f>
        <v>46542</v>
      </c>
      <c r="L4" s="60" t="n">
        <f aca="false">Phasing!L4</f>
        <v>46572</v>
      </c>
      <c r="M4" s="60" t="n">
        <f aca="false">Phasing!M4</f>
        <v>46603</v>
      </c>
      <c r="N4" s="60" t="n">
        <f aca="false">Phasing!N4</f>
        <v>46634</v>
      </c>
      <c r="O4" s="60" t="n">
        <f aca="false">Phasing!O4</f>
        <v>46664</v>
      </c>
      <c r="P4" s="60" t="n">
        <f aca="false">Phasing!P4</f>
        <v>46695</v>
      </c>
      <c r="Q4" s="60" t="n">
        <f aca="false">Phasing!Q4</f>
        <v>46725</v>
      </c>
      <c r="R4" s="60" t="n">
        <f aca="false">Phasing!R4</f>
        <v>46756</v>
      </c>
      <c r="S4" s="60" t="n">
        <f aca="false">Phasing!S4</f>
        <v>46787</v>
      </c>
      <c r="T4" s="60" t="n">
        <f aca="false">Phasing!T4</f>
        <v>46816</v>
      </c>
      <c r="U4" s="60" t="n">
        <f aca="false">Phasing!U4</f>
        <v>46847</v>
      </c>
      <c r="V4" s="60" t="n">
        <f aca="false">Phasing!V4</f>
        <v>46877</v>
      </c>
      <c r="W4" s="60" t="n">
        <f aca="false">Phasing!W4</f>
        <v>46908</v>
      </c>
      <c r="X4" s="60" t="n">
        <f aca="false">Phasing!X4</f>
        <v>46938</v>
      </c>
      <c r="Y4" s="60" t="n">
        <f aca="false">Phasing!Y4</f>
        <v>46969</v>
      </c>
      <c r="Z4" s="60" t="n">
        <f aca="false">Phasing!Z4</f>
        <v>47000</v>
      </c>
      <c r="AA4" s="60" t="n">
        <f aca="false">Phasing!AA4</f>
        <v>47030</v>
      </c>
      <c r="AB4" s="60" t="n">
        <f aca="false">Phasing!AB4</f>
        <v>47061</v>
      </c>
      <c r="AC4" s="60" t="n">
        <f aca="false">Phasing!AC4</f>
        <v>47091</v>
      </c>
      <c r="AD4" s="60" t="n">
        <f aca="false">Phasing!AD4</f>
        <v>47122</v>
      </c>
      <c r="AE4" s="60" t="n">
        <f aca="false">Phasing!AE4</f>
        <v>47153</v>
      </c>
      <c r="AF4" s="60" t="n">
        <f aca="false">Phasing!AF4</f>
        <v>47181</v>
      </c>
      <c r="AG4" s="60" t="n">
        <f aca="false">Phasing!AG4</f>
        <v>47212</v>
      </c>
      <c r="AH4" s="60" t="n">
        <f aca="false">Phasing!AH4</f>
        <v>47242</v>
      </c>
      <c r="AI4" s="60" t="n">
        <f aca="false">Phasing!AI4</f>
        <v>47273</v>
      </c>
      <c r="AJ4" s="60" t="n">
        <f aca="false">Phasing!AJ4</f>
        <v>47303</v>
      </c>
      <c r="AK4" s="60" t="n">
        <f aca="false">Phasing!AK4</f>
        <v>47334</v>
      </c>
      <c r="AL4" s="60" t="n">
        <f aca="false">Phasing!AL4</f>
        <v>47365</v>
      </c>
      <c r="AM4" s="60" t="n">
        <f aca="false">Phasing!AM4</f>
        <v>47395</v>
      </c>
      <c r="AN4" s="60" t="n">
        <f aca="false">Phasing!AN4</f>
        <v>47426</v>
      </c>
      <c r="AO4" s="60" t="n">
        <f aca="false">Phasing!AO4</f>
        <v>47456</v>
      </c>
      <c r="AP4" s="60" t="str">
        <f aca="false">Phasing!AP4</f>
        <v/>
      </c>
      <c r="AQ4" s="60" t="str">
        <f aca="false">Phasing!AQ4</f>
        <v/>
      </c>
      <c r="AR4" s="60" t="str">
        <f aca="false">Phasing!AR4</f>
        <v/>
      </c>
      <c r="AS4" s="60" t="str">
        <f aca="false">Phasing!AS4</f>
        <v/>
      </c>
      <c r="AT4" s="60" t="str">
        <f aca="false">Phasing!AT4</f>
        <v/>
      </c>
      <c r="AU4" s="60" t="str">
        <f aca="false">Phasing!AU4</f>
        <v/>
      </c>
      <c r="AV4" s="60" t="str">
        <f aca="false">Phasing!AV4</f>
        <v/>
      </c>
      <c r="AW4" s="60" t="str">
        <f aca="false">Phasing!AW4</f>
        <v/>
      </c>
      <c r="AX4" s="60" t="str">
        <f aca="false">Phasing!AX4</f>
        <v/>
      </c>
      <c r="AY4" s="60" t="str">
        <f aca="false">Phasing!AY4</f>
        <v/>
      </c>
      <c r="AZ4" s="60" t="str">
        <f aca="false">Phasing!AZ4</f>
        <v/>
      </c>
      <c r="BA4" s="60" t="str">
        <f aca="false">Phasing!BA4</f>
        <v/>
      </c>
      <c r="BB4" s="60" t="str">
        <f aca="false">Phasing!BB4</f>
        <v/>
      </c>
      <c r="BC4" s="60" t="str">
        <f aca="false">Phasing!BC4</f>
        <v/>
      </c>
      <c r="BD4" s="60" t="str">
        <f aca="false">Phasing!BD4</f>
        <v/>
      </c>
      <c r="BE4" s="60" t="str">
        <f aca="false">Phasing!BE4</f>
        <v/>
      </c>
      <c r="BF4" s="60" t="str">
        <f aca="false">Phasing!BF4</f>
        <v/>
      </c>
      <c r="BG4" s="60" t="str">
        <f aca="false">Phasing!BG4</f>
        <v/>
      </c>
      <c r="BH4" s="60" t="str">
        <f aca="false">Phasing!BH4</f>
        <v/>
      </c>
      <c r="BI4" s="60" t="str">
        <f aca="false">Phasing!BI4</f>
        <v/>
      </c>
      <c r="BJ4" s="60" t="str">
        <f aca="false">Phasing!BJ4</f>
        <v/>
      </c>
      <c r="BK4" s="60" t="str">
        <f aca="false">Phasing!BK4</f>
        <v/>
      </c>
      <c r="BL4" s="60" t="str">
        <f aca="false">Phasing!BL4</f>
        <v/>
      </c>
      <c r="BM4" s="60" t="str">
        <f aca="false">Phasing!BM4</f>
        <v/>
      </c>
      <c r="BN4" s="60" t="str">
        <f aca="false">Phasing!BN4</f>
        <v/>
      </c>
      <c r="BO4" s="60" t="str">
        <f aca="false">Phasing!BO4</f>
        <v/>
      </c>
      <c r="BP4" s="60" t="str">
        <f aca="false">Phasing!BP4</f>
        <v/>
      </c>
      <c r="BQ4" s="60" t="str">
        <f aca="false">Phasing!BQ4</f>
        <v/>
      </c>
      <c r="BR4" s="60" t="str">
        <f aca="false">Phasing!BR4</f>
        <v/>
      </c>
      <c r="BS4" s="60" t="str">
        <f aca="false">Phasing!BS4</f>
        <v/>
      </c>
      <c r="BT4" s="60" t="str">
        <f aca="false">Phasing!BT4</f>
        <v/>
      </c>
      <c r="BU4" s="60" t="str">
        <f aca="false">Phasing!BU4</f>
        <v/>
      </c>
      <c r="BV4" s="60" t="str">
        <f aca="false">Phasing!BV4</f>
        <v/>
      </c>
      <c r="BW4" s="60" t="str">
        <f aca="false">Phasing!BW4</f>
        <v/>
      </c>
      <c r="BX4" s="60" t="str">
        <f aca="false">Phasing!BX4</f>
        <v/>
      </c>
      <c r="BY4" s="60" t="str">
        <f aca="false">Phasing!BY4</f>
        <v/>
      </c>
    </row>
    <row r="5" customFormat="false" ht="15" hidden="false" customHeight="false" outlineLevel="0" collapsed="false">
      <c r="A5" s="61" t="s">
        <v>286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</row>
    <row r="6" customFormat="false" ht="15" hidden="false" customHeight="false" outlineLevel="0" collapsed="false">
      <c r="A6" s="4"/>
      <c r="B6" s="53" t="str">
        <f aca="false">IF(Milestones!$B5="","",Milestones!$B5)</f>
        <v>Program Start</v>
      </c>
      <c r="C6" s="54" t="n">
        <f aca="false">IF(Milestones!$E5="","",Milestones!$E5)</f>
        <v>46391</v>
      </c>
      <c r="D6" s="4"/>
      <c r="E6" s="4"/>
      <c r="F6" s="63" t="str">
        <f aca="false">IF(OR(F$4="",$C6=""),"",IF(AND($C6&gt;=F$4,$C6&lt;EDATE(F$4,1)),"◆",""))</f>
        <v>◆</v>
      </c>
      <c r="G6" s="63" t="str">
        <f aca="false">IF(OR(G$4="",$C6=""),"",IF(AND($C6&gt;=G$4,$C6&lt;EDATE(G$4,1)),"◆",""))</f>
        <v/>
      </c>
      <c r="H6" s="63" t="str">
        <f aca="false">IF(OR(H$4="",$C6=""),"",IF(AND($C6&gt;=H$4,$C6&lt;EDATE(H$4,1)),"◆",""))</f>
        <v/>
      </c>
      <c r="I6" s="63" t="str">
        <f aca="false">IF(OR(I$4="",$C6=""),"",IF(AND($C6&gt;=I$4,$C6&lt;EDATE(I$4,1)),"◆",""))</f>
        <v/>
      </c>
      <c r="J6" s="63" t="str">
        <f aca="false">IF(OR(J$4="",$C6=""),"",IF(AND($C6&gt;=J$4,$C6&lt;EDATE(J$4,1)),"◆",""))</f>
        <v/>
      </c>
      <c r="K6" s="63" t="str">
        <f aca="false">IF(OR(K$4="",$C6=""),"",IF(AND($C6&gt;=K$4,$C6&lt;EDATE(K$4,1)),"◆",""))</f>
        <v/>
      </c>
      <c r="L6" s="63" t="str">
        <f aca="false">IF(OR(L$4="",$C6=""),"",IF(AND($C6&gt;=L$4,$C6&lt;EDATE(L$4,1)),"◆",""))</f>
        <v/>
      </c>
      <c r="M6" s="63" t="str">
        <f aca="false">IF(OR(M$4="",$C6=""),"",IF(AND($C6&gt;=M$4,$C6&lt;EDATE(M$4,1)),"◆",""))</f>
        <v/>
      </c>
      <c r="N6" s="63" t="str">
        <f aca="false">IF(OR(N$4="",$C6=""),"",IF(AND($C6&gt;=N$4,$C6&lt;EDATE(N$4,1)),"◆",""))</f>
        <v/>
      </c>
      <c r="O6" s="63" t="str">
        <f aca="false">IF(OR(O$4="",$C6=""),"",IF(AND($C6&gt;=O$4,$C6&lt;EDATE(O$4,1)),"◆",""))</f>
        <v/>
      </c>
      <c r="P6" s="63" t="str">
        <f aca="false">IF(OR(P$4="",$C6=""),"",IF(AND($C6&gt;=P$4,$C6&lt;EDATE(P$4,1)),"◆",""))</f>
        <v/>
      </c>
      <c r="Q6" s="63" t="str">
        <f aca="false">IF(OR(Q$4="",$C6=""),"",IF(AND($C6&gt;=Q$4,$C6&lt;EDATE(Q$4,1)),"◆",""))</f>
        <v/>
      </c>
      <c r="R6" s="63" t="str">
        <f aca="false">IF(OR(R$4="",$C6=""),"",IF(AND($C6&gt;=R$4,$C6&lt;EDATE(R$4,1)),"◆",""))</f>
        <v/>
      </c>
      <c r="S6" s="63" t="str">
        <f aca="false">IF(OR(S$4="",$C6=""),"",IF(AND($C6&gt;=S$4,$C6&lt;EDATE(S$4,1)),"◆",""))</f>
        <v/>
      </c>
      <c r="T6" s="63" t="str">
        <f aca="false">IF(OR(T$4="",$C6=""),"",IF(AND($C6&gt;=T$4,$C6&lt;EDATE(T$4,1)),"◆",""))</f>
        <v/>
      </c>
      <c r="U6" s="63" t="str">
        <f aca="false">IF(OR(U$4="",$C6=""),"",IF(AND($C6&gt;=U$4,$C6&lt;EDATE(U$4,1)),"◆",""))</f>
        <v/>
      </c>
      <c r="V6" s="63" t="str">
        <f aca="false">IF(OR(V$4="",$C6=""),"",IF(AND($C6&gt;=V$4,$C6&lt;EDATE(V$4,1)),"◆",""))</f>
        <v/>
      </c>
      <c r="W6" s="63" t="str">
        <f aca="false">IF(OR(W$4="",$C6=""),"",IF(AND($C6&gt;=W$4,$C6&lt;EDATE(W$4,1)),"◆",""))</f>
        <v/>
      </c>
      <c r="X6" s="63" t="str">
        <f aca="false">IF(OR(X$4="",$C6=""),"",IF(AND($C6&gt;=X$4,$C6&lt;EDATE(X$4,1)),"◆",""))</f>
        <v/>
      </c>
      <c r="Y6" s="63" t="str">
        <f aca="false">IF(OR(Y$4="",$C6=""),"",IF(AND($C6&gt;=Y$4,$C6&lt;EDATE(Y$4,1)),"◆",""))</f>
        <v/>
      </c>
      <c r="Z6" s="63" t="str">
        <f aca="false">IF(OR(Z$4="",$C6=""),"",IF(AND($C6&gt;=Z$4,$C6&lt;EDATE(Z$4,1)),"◆",""))</f>
        <v/>
      </c>
      <c r="AA6" s="63" t="str">
        <f aca="false">IF(OR(AA$4="",$C6=""),"",IF(AND($C6&gt;=AA$4,$C6&lt;EDATE(AA$4,1)),"◆",""))</f>
        <v/>
      </c>
      <c r="AB6" s="63" t="str">
        <f aca="false">IF(OR(AB$4="",$C6=""),"",IF(AND($C6&gt;=AB$4,$C6&lt;EDATE(AB$4,1)),"◆",""))</f>
        <v/>
      </c>
      <c r="AC6" s="63" t="str">
        <f aca="false">IF(OR(AC$4="",$C6=""),"",IF(AND($C6&gt;=AC$4,$C6&lt;EDATE(AC$4,1)),"◆",""))</f>
        <v/>
      </c>
      <c r="AD6" s="63" t="str">
        <f aca="false">IF(OR(AD$4="",$C6=""),"",IF(AND($C6&gt;=AD$4,$C6&lt;EDATE(AD$4,1)),"◆",""))</f>
        <v/>
      </c>
      <c r="AE6" s="63" t="str">
        <f aca="false">IF(OR(AE$4="",$C6=""),"",IF(AND($C6&gt;=AE$4,$C6&lt;EDATE(AE$4,1)),"◆",""))</f>
        <v/>
      </c>
      <c r="AF6" s="63" t="str">
        <f aca="false">IF(OR(AF$4="",$C6=""),"",IF(AND($C6&gt;=AF$4,$C6&lt;EDATE(AF$4,1)),"◆",""))</f>
        <v/>
      </c>
      <c r="AG6" s="63" t="str">
        <f aca="false">IF(OR(AG$4="",$C6=""),"",IF(AND($C6&gt;=AG$4,$C6&lt;EDATE(AG$4,1)),"◆",""))</f>
        <v/>
      </c>
      <c r="AH6" s="63" t="str">
        <f aca="false">IF(OR(AH$4="",$C6=""),"",IF(AND($C6&gt;=AH$4,$C6&lt;EDATE(AH$4,1)),"◆",""))</f>
        <v/>
      </c>
      <c r="AI6" s="63" t="str">
        <f aca="false">IF(OR(AI$4="",$C6=""),"",IF(AND($C6&gt;=AI$4,$C6&lt;EDATE(AI$4,1)),"◆",""))</f>
        <v/>
      </c>
      <c r="AJ6" s="63" t="str">
        <f aca="false">IF(OR(AJ$4="",$C6=""),"",IF(AND($C6&gt;=AJ$4,$C6&lt;EDATE(AJ$4,1)),"◆",""))</f>
        <v/>
      </c>
      <c r="AK6" s="63" t="str">
        <f aca="false">IF(OR(AK$4="",$C6=""),"",IF(AND($C6&gt;=AK$4,$C6&lt;EDATE(AK$4,1)),"◆",""))</f>
        <v/>
      </c>
      <c r="AL6" s="63" t="str">
        <f aca="false">IF(OR(AL$4="",$C6=""),"",IF(AND($C6&gt;=AL$4,$C6&lt;EDATE(AL$4,1)),"◆",""))</f>
        <v/>
      </c>
      <c r="AM6" s="63" t="str">
        <f aca="false">IF(OR(AM$4="",$C6=""),"",IF(AND($C6&gt;=AM$4,$C6&lt;EDATE(AM$4,1)),"◆",""))</f>
        <v/>
      </c>
      <c r="AN6" s="63" t="str">
        <f aca="false">IF(OR(AN$4="",$C6=""),"",IF(AND($C6&gt;=AN$4,$C6&lt;EDATE(AN$4,1)),"◆",""))</f>
        <v/>
      </c>
      <c r="AO6" s="63" t="str">
        <f aca="false">IF(OR(AO$4="",$C6=""),"",IF(AND($C6&gt;=AO$4,$C6&lt;EDATE(AO$4,1)),"◆",""))</f>
        <v/>
      </c>
      <c r="AP6" s="63" t="str">
        <f aca="false">IF(OR(AP$4="",$C6=""),"",IF(AND($C6&gt;=AP$4,$C6&lt;EDATE(AP$4,1)),"◆",""))</f>
        <v/>
      </c>
      <c r="AQ6" s="63" t="str">
        <f aca="false">IF(OR(AQ$4="",$C6=""),"",IF(AND($C6&gt;=AQ$4,$C6&lt;EDATE(AQ$4,1)),"◆",""))</f>
        <v/>
      </c>
      <c r="AR6" s="63" t="str">
        <f aca="false">IF(OR(AR$4="",$C6=""),"",IF(AND($C6&gt;=AR$4,$C6&lt;EDATE(AR$4,1)),"◆",""))</f>
        <v/>
      </c>
      <c r="AS6" s="63" t="str">
        <f aca="false">IF(OR(AS$4="",$C6=""),"",IF(AND($C6&gt;=AS$4,$C6&lt;EDATE(AS$4,1)),"◆",""))</f>
        <v/>
      </c>
      <c r="AT6" s="63" t="str">
        <f aca="false">IF(OR(AT$4="",$C6=""),"",IF(AND($C6&gt;=AT$4,$C6&lt;EDATE(AT$4,1)),"◆",""))</f>
        <v/>
      </c>
      <c r="AU6" s="63" t="str">
        <f aca="false">IF(OR(AU$4="",$C6=""),"",IF(AND($C6&gt;=AU$4,$C6&lt;EDATE(AU$4,1)),"◆",""))</f>
        <v/>
      </c>
      <c r="AV6" s="63" t="str">
        <f aca="false">IF(OR(AV$4="",$C6=""),"",IF(AND($C6&gt;=AV$4,$C6&lt;EDATE(AV$4,1)),"◆",""))</f>
        <v/>
      </c>
      <c r="AW6" s="63" t="str">
        <f aca="false">IF(OR(AW$4="",$C6=""),"",IF(AND($C6&gt;=AW$4,$C6&lt;EDATE(AW$4,1)),"◆",""))</f>
        <v/>
      </c>
      <c r="AX6" s="63" t="str">
        <f aca="false">IF(OR(AX$4="",$C6=""),"",IF(AND($C6&gt;=AX$4,$C6&lt;EDATE(AX$4,1)),"◆",""))</f>
        <v/>
      </c>
      <c r="AY6" s="63" t="str">
        <f aca="false">IF(OR(AY$4="",$C6=""),"",IF(AND($C6&gt;=AY$4,$C6&lt;EDATE(AY$4,1)),"◆",""))</f>
        <v/>
      </c>
      <c r="AZ6" s="63" t="str">
        <f aca="false">IF(OR(AZ$4="",$C6=""),"",IF(AND($C6&gt;=AZ$4,$C6&lt;EDATE(AZ$4,1)),"◆",""))</f>
        <v/>
      </c>
      <c r="BA6" s="63" t="str">
        <f aca="false">IF(OR(BA$4="",$C6=""),"",IF(AND($C6&gt;=BA$4,$C6&lt;EDATE(BA$4,1)),"◆",""))</f>
        <v/>
      </c>
      <c r="BB6" s="63" t="str">
        <f aca="false">IF(OR(BB$4="",$C6=""),"",IF(AND($C6&gt;=BB$4,$C6&lt;EDATE(BB$4,1)),"◆",""))</f>
        <v/>
      </c>
      <c r="BC6" s="63" t="str">
        <f aca="false">IF(OR(BC$4="",$C6=""),"",IF(AND($C6&gt;=BC$4,$C6&lt;EDATE(BC$4,1)),"◆",""))</f>
        <v/>
      </c>
      <c r="BD6" s="63" t="str">
        <f aca="false">IF(OR(BD$4="",$C6=""),"",IF(AND($C6&gt;=BD$4,$C6&lt;EDATE(BD$4,1)),"◆",""))</f>
        <v/>
      </c>
      <c r="BE6" s="63" t="str">
        <f aca="false">IF(OR(BE$4="",$C6=""),"",IF(AND($C6&gt;=BE$4,$C6&lt;EDATE(BE$4,1)),"◆",""))</f>
        <v/>
      </c>
      <c r="BF6" s="63" t="str">
        <f aca="false">IF(OR(BF$4="",$C6=""),"",IF(AND($C6&gt;=BF$4,$C6&lt;EDATE(BF$4,1)),"◆",""))</f>
        <v/>
      </c>
      <c r="BG6" s="63" t="str">
        <f aca="false">IF(OR(BG$4="",$C6=""),"",IF(AND($C6&gt;=BG$4,$C6&lt;EDATE(BG$4,1)),"◆",""))</f>
        <v/>
      </c>
      <c r="BH6" s="63" t="str">
        <f aca="false">IF(OR(BH$4="",$C6=""),"",IF(AND($C6&gt;=BH$4,$C6&lt;EDATE(BH$4,1)),"◆",""))</f>
        <v/>
      </c>
      <c r="BI6" s="63" t="str">
        <f aca="false">IF(OR(BI$4="",$C6=""),"",IF(AND($C6&gt;=BI$4,$C6&lt;EDATE(BI$4,1)),"◆",""))</f>
        <v/>
      </c>
      <c r="BJ6" s="63" t="str">
        <f aca="false">IF(OR(BJ$4="",$C6=""),"",IF(AND($C6&gt;=BJ$4,$C6&lt;EDATE(BJ$4,1)),"◆",""))</f>
        <v/>
      </c>
      <c r="BK6" s="63" t="str">
        <f aca="false">IF(OR(BK$4="",$C6=""),"",IF(AND($C6&gt;=BK$4,$C6&lt;EDATE(BK$4,1)),"◆",""))</f>
        <v/>
      </c>
      <c r="BL6" s="63" t="str">
        <f aca="false">IF(OR(BL$4="",$C6=""),"",IF(AND($C6&gt;=BL$4,$C6&lt;EDATE(BL$4,1)),"◆",""))</f>
        <v/>
      </c>
      <c r="BM6" s="63" t="str">
        <f aca="false">IF(OR(BM$4="",$C6=""),"",IF(AND($C6&gt;=BM$4,$C6&lt;EDATE(BM$4,1)),"◆",""))</f>
        <v/>
      </c>
      <c r="BN6" s="63" t="str">
        <f aca="false">IF(OR(BN$4="",$C6=""),"",IF(AND($C6&gt;=BN$4,$C6&lt;EDATE(BN$4,1)),"◆",""))</f>
        <v/>
      </c>
      <c r="BO6" s="63" t="str">
        <f aca="false">IF(OR(BO$4="",$C6=""),"",IF(AND($C6&gt;=BO$4,$C6&lt;EDATE(BO$4,1)),"◆",""))</f>
        <v/>
      </c>
      <c r="BP6" s="63" t="str">
        <f aca="false">IF(OR(BP$4="",$C6=""),"",IF(AND($C6&gt;=BP$4,$C6&lt;EDATE(BP$4,1)),"◆",""))</f>
        <v/>
      </c>
      <c r="BQ6" s="63" t="str">
        <f aca="false">IF(OR(BQ$4="",$C6=""),"",IF(AND($C6&gt;=BQ$4,$C6&lt;EDATE(BQ$4,1)),"◆",""))</f>
        <v/>
      </c>
      <c r="BR6" s="63" t="str">
        <f aca="false">IF(OR(BR$4="",$C6=""),"",IF(AND($C6&gt;=BR$4,$C6&lt;EDATE(BR$4,1)),"◆",""))</f>
        <v/>
      </c>
      <c r="BS6" s="63" t="str">
        <f aca="false">IF(OR(BS$4="",$C6=""),"",IF(AND($C6&gt;=BS$4,$C6&lt;EDATE(BS$4,1)),"◆",""))</f>
        <v/>
      </c>
      <c r="BT6" s="63" t="str">
        <f aca="false">IF(OR(BT$4="",$C6=""),"",IF(AND($C6&gt;=BT$4,$C6&lt;EDATE(BT$4,1)),"◆",""))</f>
        <v/>
      </c>
      <c r="BU6" s="63" t="str">
        <f aca="false">IF(OR(BU$4="",$C6=""),"",IF(AND($C6&gt;=BU$4,$C6&lt;EDATE(BU$4,1)),"◆",""))</f>
        <v/>
      </c>
      <c r="BV6" s="63" t="str">
        <f aca="false">IF(OR(BV$4="",$C6=""),"",IF(AND($C6&gt;=BV$4,$C6&lt;EDATE(BV$4,1)),"◆",""))</f>
        <v/>
      </c>
      <c r="BW6" s="63" t="str">
        <f aca="false">IF(OR(BW$4="",$C6=""),"",IF(AND($C6&gt;=BW$4,$C6&lt;EDATE(BW$4,1)),"◆",""))</f>
        <v/>
      </c>
      <c r="BX6" s="63" t="str">
        <f aca="false">IF(OR(BX$4="",$C6=""),"",IF(AND($C6&gt;=BX$4,$C6&lt;EDATE(BX$4,1)),"◆",""))</f>
        <v/>
      </c>
      <c r="BY6" s="63" t="str">
        <f aca="false">IF(OR(BY$4="",$C6=""),"",IF(AND($C6&gt;=BY$4,$C6&lt;EDATE(BY$4,1)),"◆",""))</f>
        <v/>
      </c>
    </row>
    <row r="7" customFormat="false" ht="15" hidden="false" customHeight="false" outlineLevel="0" collapsed="false">
      <c r="A7" s="4"/>
      <c r="B7" s="53" t="str">
        <f aca="false">IF(Milestones!$B6="","",Milestones!$B6)</f>
        <v>SRR</v>
      </c>
      <c r="C7" s="54" t="n">
        <f aca="false">IF(Milestones!$E6="","",Milestones!$E6)</f>
        <v>46481</v>
      </c>
      <c r="D7" s="4"/>
      <c r="E7" s="4"/>
      <c r="F7" s="63" t="str">
        <f aca="false">IF(OR(F$4="",$C7=""),"",IF(AND($C7&gt;=F$4,$C7&lt;EDATE(F$4,1)),"◆",""))</f>
        <v/>
      </c>
      <c r="G7" s="63" t="str">
        <f aca="false">IF(OR(G$4="",$C7=""),"",IF(AND($C7&gt;=G$4,$C7&lt;EDATE(G$4,1)),"◆",""))</f>
        <v/>
      </c>
      <c r="H7" s="63" t="str">
        <f aca="false">IF(OR(H$4="",$C7=""),"",IF(AND($C7&gt;=H$4,$C7&lt;EDATE(H$4,1)),"◆",""))</f>
        <v/>
      </c>
      <c r="I7" s="63" t="str">
        <f aca="false">IF(OR(I$4="",$C7=""),"",IF(AND($C7&gt;=I$4,$C7&lt;EDATE(I$4,1)),"◆",""))</f>
        <v>◆</v>
      </c>
      <c r="J7" s="63" t="str">
        <f aca="false">IF(OR(J$4="",$C7=""),"",IF(AND($C7&gt;=J$4,$C7&lt;EDATE(J$4,1)),"◆",""))</f>
        <v/>
      </c>
      <c r="K7" s="63" t="str">
        <f aca="false">IF(OR(K$4="",$C7=""),"",IF(AND($C7&gt;=K$4,$C7&lt;EDATE(K$4,1)),"◆",""))</f>
        <v/>
      </c>
      <c r="L7" s="63" t="str">
        <f aca="false">IF(OR(L$4="",$C7=""),"",IF(AND($C7&gt;=L$4,$C7&lt;EDATE(L$4,1)),"◆",""))</f>
        <v/>
      </c>
      <c r="M7" s="63" t="str">
        <f aca="false">IF(OR(M$4="",$C7=""),"",IF(AND($C7&gt;=M$4,$C7&lt;EDATE(M$4,1)),"◆",""))</f>
        <v/>
      </c>
      <c r="N7" s="63" t="str">
        <f aca="false">IF(OR(N$4="",$C7=""),"",IF(AND($C7&gt;=N$4,$C7&lt;EDATE(N$4,1)),"◆",""))</f>
        <v/>
      </c>
      <c r="O7" s="63" t="str">
        <f aca="false">IF(OR(O$4="",$C7=""),"",IF(AND($C7&gt;=O$4,$C7&lt;EDATE(O$4,1)),"◆",""))</f>
        <v/>
      </c>
      <c r="P7" s="63" t="str">
        <f aca="false">IF(OR(P$4="",$C7=""),"",IF(AND($C7&gt;=P$4,$C7&lt;EDATE(P$4,1)),"◆",""))</f>
        <v/>
      </c>
      <c r="Q7" s="63" t="str">
        <f aca="false">IF(OR(Q$4="",$C7=""),"",IF(AND($C7&gt;=Q$4,$C7&lt;EDATE(Q$4,1)),"◆",""))</f>
        <v/>
      </c>
      <c r="R7" s="63" t="str">
        <f aca="false">IF(OR(R$4="",$C7=""),"",IF(AND($C7&gt;=R$4,$C7&lt;EDATE(R$4,1)),"◆",""))</f>
        <v/>
      </c>
      <c r="S7" s="63" t="str">
        <f aca="false">IF(OR(S$4="",$C7=""),"",IF(AND($C7&gt;=S$4,$C7&lt;EDATE(S$4,1)),"◆",""))</f>
        <v/>
      </c>
      <c r="T7" s="63" t="str">
        <f aca="false">IF(OR(T$4="",$C7=""),"",IF(AND($C7&gt;=T$4,$C7&lt;EDATE(T$4,1)),"◆",""))</f>
        <v/>
      </c>
      <c r="U7" s="63" t="str">
        <f aca="false">IF(OR(U$4="",$C7=""),"",IF(AND($C7&gt;=U$4,$C7&lt;EDATE(U$4,1)),"◆",""))</f>
        <v/>
      </c>
      <c r="V7" s="63" t="str">
        <f aca="false">IF(OR(V$4="",$C7=""),"",IF(AND($C7&gt;=V$4,$C7&lt;EDATE(V$4,1)),"◆",""))</f>
        <v/>
      </c>
      <c r="W7" s="63" t="str">
        <f aca="false">IF(OR(W$4="",$C7=""),"",IF(AND($C7&gt;=W$4,$C7&lt;EDATE(W$4,1)),"◆",""))</f>
        <v/>
      </c>
      <c r="X7" s="63" t="str">
        <f aca="false">IF(OR(X$4="",$C7=""),"",IF(AND($C7&gt;=X$4,$C7&lt;EDATE(X$4,1)),"◆",""))</f>
        <v/>
      </c>
      <c r="Y7" s="63" t="str">
        <f aca="false">IF(OR(Y$4="",$C7=""),"",IF(AND($C7&gt;=Y$4,$C7&lt;EDATE(Y$4,1)),"◆",""))</f>
        <v/>
      </c>
      <c r="Z7" s="63" t="str">
        <f aca="false">IF(OR(Z$4="",$C7=""),"",IF(AND($C7&gt;=Z$4,$C7&lt;EDATE(Z$4,1)),"◆",""))</f>
        <v/>
      </c>
      <c r="AA7" s="63" t="str">
        <f aca="false">IF(OR(AA$4="",$C7=""),"",IF(AND($C7&gt;=AA$4,$C7&lt;EDATE(AA$4,1)),"◆",""))</f>
        <v/>
      </c>
      <c r="AB7" s="63" t="str">
        <f aca="false">IF(OR(AB$4="",$C7=""),"",IF(AND($C7&gt;=AB$4,$C7&lt;EDATE(AB$4,1)),"◆",""))</f>
        <v/>
      </c>
      <c r="AC7" s="63" t="str">
        <f aca="false">IF(OR(AC$4="",$C7=""),"",IF(AND($C7&gt;=AC$4,$C7&lt;EDATE(AC$4,1)),"◆",""))</f>
        <v/>
      </c>
      <c r="AD7" s="63" t="str">
        <f aca="false">IF(OR(AD$4="",$C7=""),"",IF(AND($C7&gt;=AD$4,$C7&lt;EDATE(AD$4,1)),"◆",""))</f>
        <v/>
      </c>
      <c r="AE7" s="63" t="str">
        <f aca="false">IF(OR(AE$4="",$C7=""),"",IF(AND($C7&gt;=AE$4,$C7&lt;EDATE(AE$4,1)),"◆",""))</f>
        <v/>
      </c>
      <c r="AF7" s="63" t="str">
        <f aca="false">IF(OR(AF$4="",$C7=""),"",IF(AND($C7&gt;=AF$4,$C7&lt;EDATE(AF$4,1)),"◆",""))</f>
        <v/>
      </c>
      <c r="AG7" s="63" t="str">
        <f aca="false">IF(OR(AG$4="",$C7=""),"",IF(AND($C7&gt;=AG$4,$C7&lt;EDATE(AG$4,1)),"◆",""))</f>
        <v/>
      </c>
      <c r="AH7" s="63" t="str">
        <f aca="false">IF(OR(AH$4="",$C7=""),"",IF(AND($C7&gt;=AH$4,$C7&lt;EDATE(AH$4,1)),"◆",""))</f>
        <v/>
      </c>
      <c r="AI7" s="63" t="str">
        <f aca="false">IF(OR(AI$4="",$C7=""),"",IF(AND($C7&gt;=AI$4,$C7&lt;EDATE(AI$4,1)),"◆",""))</f>
        <v/>
      </c>
      <c r="AJ7" s="63" t="str">
        <f aca="false">IF(OR(AJ$4="",$C7=""),"",IF(AND($C7&gt;=AJ$4,$C7&lt;EDATE(AJ$4,1)),"◆",""))</f>
        <v/>
      </c>
      <c r="AK7" s="63" t="str">
        <f aca="false">IF(OR(AK$4="",$C7=""),"",IF(AND($C7&gt;=AK$4,$C7&lt;EDATE(AK$4,1)),"◆",""))</f>
        <v/>
      </c>
      <c r="AL7" s="63" t="str">
        <f aca="false">IF(OR(AL$4="",$C7=""),"",IF(AND($C7&gt;=AL$4,$C7&lt;EDATE(AL$4,1)),"◆",""))</f>
        <v/>
      </c>
      <c r="AM7" s="63" t="str">
        <f aca="false">IF(OR(AM$4="",$C7=""),"",IF(AND($C7&gt;=AM$4,$C7&lt;EDATE(AM$4,1)),"◆",""))</f>
        <v/>
      </c>
      <c r="AN7" s="63" t="str">
        <f aca="false">IF(OR(AN$4="",$C7=""),"",IF(AND($C7&gt;=AN$4,$C7&lt;EDATE(AN$4,1)),"◆",""))</f>
        <v/>
      </c>
      <c r="AO7" s="63" t="str">
        <f aca="false">IF(OR(AO$4="",$C7=""),"",IF(AND($C7&gt;=AO$4,$C7&lt;EDATE(AO$4,1)),"◆",""))</f>
        <v/>
      </c>
      <c r="AP7" s="63" t="str">
        <f aca="false">IF(OR(AP$4="",$C7=""),"",IF(AND($C7&gt;=AP$4,$C7&lt;EDATE(AP$4,1)),"◆",""))</f>
        <v/>
      </c>
      <c r="AQ7" s="63" t="str">
        <f aca="false">IF(OR(AQ$4="",$C7=""),"",IF(AND($C7&gt;=AQ$4,$C7&lt;EDATE(AQ$4,1)),"◆",""))</f>
        <v/>
      </c>
      <c r="AR7" s="63" t="str">
        <f aca="false">IF(OR(AR$4="",$C7=""),"",IF(AND($C7&gt;=AR$4,$C7&lt;EDATE(AR$4,1)),"◆",""))</f>
        <v/>
      </c>
      <c r="AS7" s="63" t="str">
        <f aca="false">IF(OR(AS$4="",$C7=""),"",IF(AND($C7&gt;=AS$4,$C7&lt;EDATE(AS$4,1)),"◆",""))</f>
        <v/>
      </c>
      <c r="AT7" s="63" t="str">
        <f aca="false">IF(OR(AT$4="",$C7=""),"",IF(AND($C7&gt;=AT$4,$C7&lt;EDATE(AT$4,1)),"◆",""))</f>
        <v/>
      </c>
      <c r="AU7" s="63" t="str">
        <f aca="false">IF(OR(AU$4="",$C7=""),"",IF(AND($C7&gt;=AU$4,$C7&lt;EDATE(AU$4,1)),"◆",""))</f>
        <v/>
      </c>
      <c r="AV7" s="63" t="str">
        <f aca="false">IF(OR(AV$4="",$C7=""),"",IF(AND($C7&gt;=AV$4,$C7&lt;EDATE(AV$4,1)),"◆",""))</f>
        <v/>
      </c>
      <c r="AW7" s="63" t="str">
        <f aca="false">IF(OR(AW$4="",$C7=""),"",IF(AND($C7&gt;=AW$4,$C7&lt;EDATE(AW$4,1)),"◆",""))</f>
        <v/>
      </c>
      <c r="AX7" s="63" t="str">
        <f aca="false">IF(OR(AX$4="",$C7=""),"",IF(AND($C7&gt;=AX$4,$C7&lt;EDATE(AX$4,1)),"◆",""))</f>
        <v/>
      </c>
      <c r="AY7" s="63" t="str">
        <f aca="false">IF(OR(AY$4="",$C7=""),"",IF(AND($C7&gt;=AY$4,$C7&lt;EDATE(AY$4,1)),"◆",""))</f>
        <v/>
      </c>
      <c r="AZ7" s="63" t="str">
        <f aca="false">IF(OR(AZ$4="",$C7=""),"",IF(AND($C7&gt;=AZ$4,$C7&lt;EDATE(AZ$4,1)),"◆",""))</f>
        <v/>
      </c>
      <c r="BA7" s="63" t="str">
        <f aca="false">IF(OR(BA$4="",$C7=""),"",IF(AND($C7&gt;=BA$4,$C7&lt;EDATE(BA$4,1)),"◆",""))</f>
        <v/>
      </c>
      <c r="BB7" s="63" t="str">
        <f aca="false">IF(OR(BB$4="",$C7=""),"",IF(AND($C7&gt;=BB$4,$C7&lt;EDATE(BB$4,1)),"◆",""))</f>
        <v/>
      </c>
      <c r="BC7" s="63" t="str">
        <f aca="false">IF(OR(BC$4="",$C7=""),"",IF(AND($C7&gt;=BC$4,$C7&lt;EDATE(BC$4,1)),"◆",""))</f>
        <v/>
      </c>
      <c r="BD7" s="63" t="str">
        <f aca="false">IF(OR(BD$4="",$C7=""),"",IF(AND($C7&gt;=BD$4,$C7&lt;EDATE(BD$4,1)),"◆",""))</f>
        <v/>
      </c>
      <c r="BE7" s="63" t="str">
        <f aca="false">IF(OR(BE$4="",$C7=""),"",IF(AND($C7&gt;=BE$4,$C7&lt;EDATE(BE$4,1)),"◆",""))</f>
        <v/>
      </c>
      <c r="BF7" s="63" t="str">
        <f aca="false">IF(OR(BF$4="",$C7=""),"",IF(AND($C7&gt;=BF$4,$C7&lt;EDATE(BF$4,1)),"◆",""))</f>
        <v/>
      </c>
      <c r="BG7" s="63" t="str">
        <f aca="false">IF(OR(BG$4="",$C7=""),"",IF(AND($C7&gt;=BG$4,$C7&lt;EDATE(BG$4,1)),"◆",""))</f>
        <v/>
      </c>
      <c r="BH7" s="63" t="str">
        <f aca="false">IF(OR(BH$4="",$C7=""),"",IF(AND($C7&gt;=BH$4,$C7&lt;EDATE(BH$4,1)),"◆",""))</f>
        <v/>
      </c>
      <c r="BI7" s="63" t="str">
        <f aca="false">IF(OR(BI$4="",$C7=""),"",IF(AND($C7&gt;=BI$4,$C7&lt;EDATE(BI$4,1)),"◆",""))</f>
        <v/>
      </c>
      <c r="BJ7" s="63" t="str">
        <f aca="false">IF(OR(BJ$4="",$C7=""),"",IF(AND($C7&gt;=BJ$4,$C7&lt;EDATE(BJ$4,1)),"◆",""))</f>
        <v/>
      </c>
      <c r="BK7" s="63" t="str">
        <f aca="false">IF(OR(BK$4="",$C7=""),"",IF(AND($C7&gt;=BK$4,$C7&lt;EDATE(BK$4,1)),"◆",""))</f>
        <v/>
      </c>
      <c r="BL7" s="63" t="str">
        <f aca="false">IF(OR(BL$4="",$C7=""),"",IF(AND($C7&gt;=BL$4,$C7&lt;EDATE(BL$4,1)),"◆",""))</f>
        <v/>
      </c>
      <c r="BM7" s="63" t="str">
        <f aca="false">IF(OR(BM$4="",$C7=""),"",IF(AND($C7&gt;=BM$4,$C7&lt;EDATE(BM$4,1)),"◆",""))</f>
        <v/>
      </c>
      <c r="BN7" s="63" t="str">
        <f aca="false">IF(OR(BN$4="",$C7=""),"",IF(AND($C7&gt;=BN$4,$C7&lt;EDATE(BN$4,1)),"◆",""))</f>
        <v/>
      </c>
      <c r="BO7" s="63" t="str">
        <f aca="false">IF(OR(BO$4="",$C7=""),"",IF(AND($C7&gt;=BO$4,$C7&lt;EDATE(BO$4,1)),"◆",""))</f>
        <v/>
      </c>
      <c r="BP7" s="63" t="str">
        <f aca="false">IF(OR(BP$4="",$C7=""),"",IF(AND($C7&gt;=BP$4,$C7&lt;EDATE(BP$4,1)),"◆",""))</f>
        <v/>
      </c>
      <c r="BQ7" s="63" t="str">
        <f aca="false">IF(OR(BQ$4="",$C7=""),"",IF(AND($C7&gt;=BQ$4,$C7&lt;EDATE(BQ$4,1)),"◆",""))</f>
        <v/>
      </c>
      <c r="BR7" s="63" t="str">
        <f aca="false">IF(OR(BR$4="",$C7=""),"",IF(AND($C7&gt;=BR$4,$C7&lt;EDATE(BR$4,1)),"◆",""))</f>
        <v/>
      </c>
      <c r="BS7" s="63" t="str">
        <f aca="false">IF(OR(BS$4="",$C7=""),"",IF(AND($C7&gt;=BS$4,$C7&lt;EDATE(BS$4,1)),"◆",""))</f>
        <v/>
      </c>
      <c r="BT7" s="63" t="str">
        <f aca="false">IF(OR(BT$4="",$C7=""),"",IF(AND($C7&gt;=BT$4,$C7&lt;EDATE(BT$4,1)),"◆",""))</f>
        <v/>
      </c>
      <c r="BU7" s="63" t="str">
        <f aca="false">IF(OR(BU$4="",$C7=""),"",IF(AND($C7&gt;=BU$4,$C7&lt;EDATE(BU$4,1)),"◆",""))</f>
        <v/>
      </c>
      <c r="BV7" s="63" t="str">
        <f aca="false">IF(OR(BV$4="",$C7=""),"",IF(AND($C7&gt;=BV$4,$C7&lt;EDATE(BV$4,1)),"◆",""))</f>
        <v/>
      </c>
      <c r="BW7" s="63" t="str">
        <f aca="false">IF(OR(BW$4="",$C7=""),"",IF(AND($C7&gt;=BW$4,$C7&lt;EDATE(BW$4,1)),"◆",""))</f>
        <v/>
      </c>
      <c r="BX7" s="63" t="str">
        <f aca="false">IF(OR(BX$4="",$C7=""),"",IF(AND($C7&gt;=BX$4,$C7&lt;EDATE(BX$4,1)),"◆",""))</f>
        <v/>
      </c>
      <c r="BY7" s="63" t="str">
        <f aca="false">IF(OR(BY$4="",$C7=""),"",IF(AND($C7&gt;=BY$4,$C7&lt;EDATE(BY$4,1)),"◆",""))</f>
        <v/>
      </c>
    </row>
    <row r="8" customFormat="false" ht="15" hidden="false" customHeight="false" outlineLevel="0" collapsed="false">
      <c r="A8" s="4"/>
      <c r="B8" s="53" t="str">
        <f aca="false">IF(Milestones!$B7="","",Milestones!$B7)</f>
        <v>SFR</v>
      </c>
      <c r="C8" s="54" t="n">
        <f aca="false">IF(Milestones!$E7="","",Milestones!$E7)</f>
        <v>46572</v>
      </c>
      <c r="D8" s="4"/>
      <c r="E8" s="4"/>
      <c r="F8" s="63" t="str">
        <f aca="false">IF(OR(F$4="",$C8=""),"",IF(AND($C8&gt;=F$4,$C8&lt;EDATE(F$4,1)),"◆",""))</f>
        <v/>
      </c>
      <c r="G8" s="63" t="str">
        <f aca="false">IF(OR(G$4="",$C8=""),"",IF(AND($C8&gt;=G$4,$C8&lt;EDATE(G$4,1)),"◆",""))</f>
        <v/>
      </c>
      <c r="H8" s="63" t="str">
        <f aca="false">IF(OR(H$4="",$C8=""),"",IF(AND($C8&gt;=H$4,$C8&lt;EDATE(H$4,1)),"◆",""))</f>
        <v/>
      </c>
      <c r="I8" s="63" t="str">
        <f aca="false">IF(OR(I$4="",$C8=""),"",IF(AND($C8&gt;=I$4,$C8&lt;EDATE(I$4,1)),"◆",""))</f>
        <v/>
      </c>
      <c r="J8" s="63" t="str">
        <f aca="false">IF(OR(J$4="",$C8=""),"",IF(AND($C8&gt;=J$4,$C8&lt;EDATE(J$4,1)),"◆",""))</f>
        <v/>
      </c>
      <c r="K8" s="63" t="str">
        <f aca="false">IF(OR(K$4="",$C8=""),"",IF(AND($C8&gt;=K$4,$C8&lt;EDATE(K$4,1)),"◆",""))</f>
        <v/>
      </c>
      <c r="L8" s="63" t="str">
        <f aca="false">IF(OR(L$4="",$C8=""),"",IF(AND($C8&gt;=L$4,$C8&lt;EDATE(L$4,1)),"◆",""))</f>
        <v>◆</v>
      </c>
      <c r="M8" s="63" t="str">
        <f aca="false">IF(OR(M$4="",$C8=""),"",IF(AND($C8&gt;=M$4,$C8&lt;EDATE(M$4,1)),"◆",""))</f>
        <v/>
      </c>
      <c r="N8" s="63" t="str">
        <f aca="false">IF(OR(N$4="",$C8=""),"",IF(AND($C8&gt;=N$4,$C8&lt;EDATE(N$4,1)),"◆",""))</f>
        <v/>
      </c>
      <c r="O8" s="63" t="str">
        <f aca="false">IF(OR(O$4="",$C8=""),"",IF(AND($C8&gt;=O$4,$C8&lt;EDATE(O$4,1)),"◆",""))</f>
        <v/>
      </c>
      <c r="P8" s="63" t="str">
        <f aca="false">IF(OR(P$4="",$C8=""),"",IF(AND($C8&gt;=P$4,$C8&lt;EDATE(P$4,1)),"◆",""))</f>
        <v/>
      </c>
      <c r="Q8" s="63" t="str">
        <f aca="false">IF(OR(Q$4="",$C8=""),"",IF(AND($C8&gt;=Q$4,$C8&lt;EDATE(Q$4,1)),"◆",""))</f>
        <v/>
      </c>
      <c r="R8" s="63" t="str">
        <f aca="false">IF(OR(R$4="",$C8=""),"",IF(AND($C8&gt;=R$4,$C8&lt;EDATE(R$4,1)),"◆",""))</f>
        <v/>
      </c>
      <c r="S8" s="63" t="str">
        <f aca="false">IF(OR(S$4="",$C8=""),"",IF(AND($C8&gt;=S$4,$C8&lt;EDATE(S$4,1)),"◆",""))</f>
        <v/>
      </c>
      <c r="T8" s="63" t="str">
        <f aca="false">IF(OR(T$4="",$C8=""),"",IF(AND($C8&gt;=T$4,$C8&lt;EDATE(T$4,1)),"◆",""))</f>
        <v/>
      </c>
      <c r="U8" s="63" t="str">
        <f aca="false">IF(OR(U$4="",$C8=""),"",IF(AND($C8&gt;=U$4,$C8&lt;EDATE(U$4,1)),"◆",""))</f>
        <v/>
      </c>
      <c r="V8" s="63" t="str">
        <f aca="false">IF(OR(V$4="",$C8=""),"",IF(AND($C8&gt;=V$4,$C8&lt;EDATE(V$4,1)),"◆",""))</f>
        <v/>
      </c>
      <c r="W8" s="63" t="str">
        <f aca="false">IF(OR(W$4="",$C8=""),"",IF(AND($C8&gt;=W$4,$C8&lt;EDATE(W$4,1)),"◆",""))</f>
        <v/>
      </c>
      <c r="X8" s="63" t="str">
        <f aca="false">IF(OR(X$4="",$C8=""),"",IF(AND($C8&gt;=X$4,$C8&lt;EDATE(X$4,1)),"◆",""))</f>
        <v/>
      </c>
      <c r="Y8" s="63" t="str">
        <f aca="false">IF(OR(Y$4="",$C8=""),"",IF(AND($C8&gt;=Y$4,$C8&lt;EDATE(Y$4,1)),"◆",""))</f>
        <v/>
      </c>
      <c r="Z8" s="63" t="str">
        <f aca="false">IF(OR(Z$4="",$C8=""),"",IF(AND($C8&gt;=Z$4,$C8&lt;EDATE(Z$4,1)),"◆",""))</f>
        <v/>
      </c>
      <c r="AA8" s="63" t="str">
        <f aca="false">IF(OR(AA$4="",$C8=""),"",IF(AND($C8&gt;=AA$4,$C8&lt;EDATE(AA$4,1)),"◆",""))</f>
        <v/>
      </c>
      <c r="AB8" s="63" t="str">
        <f aca="false">IF(OR(AB$4="",$C8=""),"",IF(AND($C8&gt;=AB$4,$C8&lt;EDATE(AB$4,1)),"◆",""))</f>
        <v/>
      </c>
      <c r="AC8" s="63" t="str">
        <f aca="false">IF(OR(AC$4="",$C8=""),"",IF(AND($C8&gt;=AC$4,$C8&lt;EDATE(AC$4,1)),"◆",""))</f>
        <v/>
      </c>
      <c r="AD8" s="63" t="str">
        <f aca="false">IF(OR(AD$4="",$C8=""),"",IF(AND($C8&gt;=AD$4,$C8&lt;EDATE(AD$4,1)),"◆",""))</f>
        <v/>
      </c>
      <c r="AE8" s="63" t="str">
        <f aca="false">IF(OR(AE$4="",$C8=""),"",IF(AND($C8&gt;=AE$4,$C8&lt;EDATE(AE$4,1)),"◆",""))</f>
        <v/>
      </c>
      <c r="AF8" s="63" t="str">
        <f aca="false">IF(OR(AF$4="",$C8=""),"",IF(AND($C8&gt;=AF$4,$C8&lt;EDATE(AF$4,1)),"◆",""))</f>
        <v/>
      </c>
      <c r="AG8" s="63" t="str">
        <f aca="false">IF(OR(AG$4="",$C8=""),"",IF(AND($C8&gt;=AG$4,$C8&lt;EDATE(AG$4,1)),"◆",""))</f>
        <v/>
      </c>
      <c r="AH8" s="63" t="str">
        <f aca="false">IF(OR(AH$4="",$C8=""),"",IF(AND($C8&gt;=AH$4,$C8&lt;EDATE(AH$4,1)),"◆",""))</f>
        <v/>
      </c>
      <c r="AI8" s="63" t="str">
        <f aca="false">IF(OR(AI$4="",$C8=""),"",IF(AND($C8&gt;=AI$4,$C8&lt;EDATE(AI$4,1)),"◆",""))</f>
        <v/>
      </c>
      <c r="AJ8" s="63" t="str">
        <f aca="false">IF(OR(AJ$4="",$C8=""),"",IF(AND($C8&gt;=AJ$4,$C8&lt;EDATE(AJ$4,1)),"◆",""))</f>
        <v/>
      </c>
      <c r="AK8" s="63" t="str">
        <f aca="false">IF(OR(AK$4="",$C8=""),"",IF(AND($C8&gt;=AK$4,$C8&lt;EDATE(AK$4,1)),"◆",""))</f>
        <v/>
      </c>
      <c r="AL8" s="63" t="str">
        <f aca="false">IF(OR(AL$4="",$C8=""),"",IF(AND($C8&gt;=AL$4,$C8&lt;EDATE(AL$4,1)),"◆",""))</f>
        <v/>
      </c>
      <c r="AM8" s="63" t="str">
        <f aca="false">IF(OR(AM$4="",$C8=""),"",IF(AND($C8&gt;=AM$4,$C8&lt;EDATE(AM$4,1)),"◆",""))</f>
        <v/>
      </c>
      <c r="AN8" s="63" t="str">
        <f aca="false">IF(OR(AN$4="",$C8=""),"",IF(AND($C8&gt;=AN$4,$C8&lt;EDATE(AN$4,1)),"◆",""))</f>
        <v/>
      </c>
      <c r="AO8" s="63" t="str">
        <f aca="false">IF(OR(AO$4="",$C8=""),"",IF(AND($C8&gt;=AO$4,$C8&lt;EDATE(AO$4,1)),"◆",""))</f>
        <v/>
      </c>
      <c r="AP8" s="63" t="str">
        <f aca="false">IF(OR(AP$4="",$C8=""),"",IF(AND($C8&gt;=AP$4,$C8&lt;EDATE(AP$4,1)),"◆",""))</f>
        <v/>
      </c>
      <c r="AQ8" s="63" t="str">
        <f aca="false">IF(OR(AQ$4="",$C8=""),"",IF(AND($C8&gt;=AQ$4,$C8&lt;EDATE(AQ$4,1)),"◆",""))</f>
        <v/>
      </c>
      <c r="AR8" s="63" t="str">
        <f aca="false">IF(OR(AR$4="",$C8=""),"",IF(AND($C8&gt;=AR$4,$C8&lt;EDATE(AR$4,1)),"◆",""))</f>
        <v/>
      </c>
      <c r="AS8" s="63" t="str">
        <f aca="false">IF(OR(AS$4="",$C8=""),"",IF(AND($C8&gt;=AS$4,$C8&lt;EDATE(AS$4,1)),"◆",""))</f>
        <v/>
      </c>
      <c r="AT8" s="63" t="str">
        <f aca="false">IF(OR(AT$4="",$C8=""),"",IF(AND($C8&gt;=AT$4,$C8&lt;EDATE(AT$4,1)),"◆",""))</f>
        <v/>
      </c>
      <c r="AU8" s="63" t="str">
        <f aca="false">IF(OR(AU$4="",$C8=""),"",IF(AND($C8&gt;=AU$4,$C8&lt;EDATE(AU$4,1)),"◆",""))</f>
        <v/>
      </c>
      <c r="AV8" s="63" t="str">
        <f aca="false">IF(OR(AV$4="",$C8=""),"",IF(AND($C8&gt;=AV$4,$C8&lt;EDATE(AV$4,1)),"◆",""))</f>
        <v/>
      </c>
      <c r="AW8" s="63" t="str">
        <f aca="false">IF(OR(AW$4="",$C8=""),"",IF(AND($C8&gt;=AW$4,$C8&lt;EDATE(AW$4,1)),"◆",""))</f>
        <v/>
      </c>
      <c r="AX8" s="63" t="str">
        <f aca="false">IF(OR(AX$4="",$C8=""),"",IF(AND($C8&gt;=AX$4,$C8&lt;EDATE(AX$4,1)),"◆",""))</f>
        <v/>
      </c>
      <c r="AY8" s="63" t="str">
        <f aca="false">IF(OR(AY$4="",$C8=""),"",IF(AND($C8&gt;=AY$4,$C8&lt;EDATE(AY$4,1)),"◆",""))</f>
        <v/>
      </c>
      <c r="AZ8" s="63" t="str">
        <f aca="false">IF(OR(AZ$4="",$C8=""),"",IF(AND($C8&gt;=AZ$4,$C8&lt;EDATE(AZ$4,1)),"◆",""))</f>
        <v/>
      </c>
      <c r="BA8" s="63" t="str">
        <f aca="false">IF(OR(BA$4="",$C8=""),"",IF(AND($C8&gt;=BA$4,$C8&lt;EDATE(BA$4,1)),"◆",""))</f>
        <v/>
      </c>
      <c r="BB8" s="63" t="str">
        <f aca="false">IF(OR(BB$4="",$C8=""),"",IF(AND($C8&gt;=BB$4,$C8&lt;EDATE(BB$4,1)),"◆",""))</f>
        <v/>
      </c>
      <c r="BC8" s="63" t="str">
        <f aca="false">IF(OR(BC$4="",$C8=""),"",IF(AND($C8&gt;=BC$4,$C8&lt;EDATE(BC$4,1)),"◆",""))</f>
        <v/>
      </c>
      <c r="BD8" s="63" t="str">
        <f aca="false">IF(OR(BD$4="",$C8=""),"",IF(AND($C8&gt;=BD$4,$C8&lt;EDATE(BD$4,1)),"◆",""))</f>
        <v/>
      </c>
      <c r="BE8" s="63" t="str">
        <f aca="false">IF(OR(BE$4="",$C8=""),"",IF(AND($C8&gt;=BE$4,$C8&lt;EDATE(BE$4,1)),"◆",""))</f>
        <v/>
      </c>
      <c r="BF8" s="63" t="str">
        <f aca="false">IF(OR(BF$4="",$C8=""),"",IF(AND($C8&gt;=BF$4,$C8&lt;EDATE(BF$4,1)),"◆",""))</f>
        <v/>
      </c>
      <c r="BG8" s="63" t="str">
        <f aca="false">IF(OR(BG$4="",$C8=""),"",IF(AND($C8&gt;=BG$4,$C8&lt;EDATE(BG$4,1)),"◆",""))</f>
        <v/>
      </c>
      <c r="BH8" s="63" t="str">
        <f aca="false">IF(OR(BH$4="",$C8=""),"",IF(AND($C8&gt;=BH$4,$C8&lt;EDATE(BH$4,1)),"◆",""))</f>
        <v/>
      </c>
      <c r="BI8" s="63" t="str">
        <f aca="false">IF(OR(BI$4="",$C8=""),"",IF(AND($C8&gt;=BI$4,$C8&lt;EDATE(BI$4,1)),"◆",""))</f>
        <v/>
      </c>
      <c r="BJ8" s="63" t="str">
        <f aca="false">IF(OR(BJ$4="",$C8=""),"",IF(AND($C8&gt;=BJ$4,$C8&lt;EDATE(BJ$4,1)),"◆",""))</f>
        <v/>
      </c>
      <c r="BK8" s="63" t="str">
        <f aca="false">IF(OR(BK$4="",$C8=""),"",IF(AND($C8&gt;=BK$4,$C8&lt;EDATE(BK$4,1)),"◆",""))</f>
        <v/>
      </c>
      <c r="BL8" s="63" t="str">
        <f aca="false">IF(OR(BL$4="",$C8=""),"",IF(AND($C8&gt;=BL$4,$C8&lt;EDATE(BL$4,1)),"◆",""))</f>
        <v/>
      </c>
      <c r="BM8" s="63" t="str">
        <f aca="false">IF(OR(BM$4="",$C8=""),"",IF(AND($C8&gt;=BM$4,$C8&lt;EDATE(BM$4,1)),"◆",""))</f>
        <v/>
      </c>
      <c r="BN8" s="63" t="str">
        <f aca="false">IF(OR(BN$4="",$C8=""),"",IF(AND($C8&gt;=BN$4,$C8&lt;EDATE(BN$4,1)),"◆",""))</f>
        <v/>
      </c>
      <c r="BO8" s="63" t="str">
        <f aca="false">IF(OR(BO$4="",$C8=""),"",IF(AND($C8&gt;=BO$4,$C8&lt;EDATE(BO$4,1)),"◆",""))</f>
        <v/>
      </c>
      <c r="BP8" s="63" t="str">
        <f aca="false">IF(OR(BP$4="",$C8=""),"",IF(AND($C8&gt;=BP$4,$C8&lt;EDATE(BP$4,1)),"◆",""))</f>
        <v/>
      </c>
      <c r="BQ8" s="63" t="str">
        <f aca="false">IF(OR(BQ$4="",$C8=""),"",IF(AND($C8&gt;=BQ$4,$C8&lt;EDATE(BQ$4,1)),"◆",""))</f>
        <v/>
      </c>
      <c r="BR8" s="63" t="str">
        <f aca="false">IF(OR(BR$4="",$C8=""),"",IF(AND($C8&gt;=BR$4,$C8&lt;EDATE(BR$4,1)),"◆",""))</f>
        <v/>
      </c>
      <c r="BS8" s="63" t="str">
        <f aca="false">IF(OR(BS$4="",$C8=""),"",IF(AND($C8&gt;=BS$4,$C8&lt;EDATE(BS$4,1)),"◆",""))</f>
        <v/>
      </c>
      <c r="BT8" s="63" t="str">
        <f aca="false">IF(OR(BT$4="",$C8=""),"",IF(AND($C8&gt;=BT$4,$C8&lt;EDATE(BT$4,1)),"◆",""))</f>
        <v/>
      </c>
      <c r="BU8" s="63" t="str">
        <f aca="false">IF(OR(BU$4="",$C8=""),"",IF(AND($C8&gt;=BU$4,$C8&lt;EDATE(BU$4,1)),"◆",""))</f>
        <v/>
      </c>
      <c r="BV8" s="63" t="str">
        <f aca="false">IF(OR(BV$4="",$C8=""),"",IF(AND($C8&gt;=BV$4,$C8&lt;EDATE(BV$4,1)),"◆",""))</f>
        <v/>
      </c>
      <c r="BW8" s="63" t="str">
        <f aca="false">IF(OR(BW$4="",$C8=""),"",IF(AND($C8&gt;=BW$4,$C8&lt;EDATE(BW$4,1)),"◆",""))</f>
        <v/>
      </c>
      <c r="BX8" s="63" t="str">
        <f aca="false">IF(OR(BX$4="",$C8=""),"",IF(AND($C8&gt;=BX$4,$C8&lt;EDATE(BX$4,1)),"◆",""))</f>
        <v/>
      </c>
      <c r="BY8" s="63" t="str">
        <f aca="false">IF(OR(BY$4="",$C8=""),"",IF(AND($C8&gt;=BY$4,$C8&lt;EDATE(BY$4,1)),"◆",""))</f>
        <v/>
      </c>
    </row>
    <row r="9" customFormat="false" ht="15" hidden="false" customHeight="false" outlineLevel="0" collapsed="false">
      <c r="A9" s="4"/>
      <c r="B9" s="53" t="str">
        <f aca="false">IF(Milestones!$B8="","",Milestones!$B8)</f>
        <v>PDR</v>
      </c>
      <c r="C9" s="54" t="n">
        <f aca="false">IF(Milestones!$E8="","",Milestones!$E8)</f>
        <v>46695</v>
      </c>
      <c r="D9" s="4"/>
      <c r="E9" s="4"/>
      <c r="F9" s="63" t="str">
        <f aca="false">IF(OR(F$4="",$C9=""),"",IF(AND($C9&gt;=F$4,$C9&lt;EDATE(F$4,1)),"◆",""))</f>
        <v/>
      </c>
      <c r="G9" s="63" t="str">
        <f aca="false">IF(OR(G$4="",$C9=""),"",IF(AND($C9&gt;=G$4,$C9&lt;EDATE(G$4,1)),"◆",""))</f>
        <v/>
      </c>
      <c r="H9" s="63" t="str">
        <f aca="false">IF(OR(H$4="",$C9=""),"",IF(AND($C9&gt;=H$4,$C9&lt;EDATE(H$4,1)),"◆",""))</f>
        <v/>
      </c>
      <c r="I9" s="63" t="str">
        <f aca="false">IF(OR(I$4="",$C9=""),"",IF(AND($C9&gt;=I$4,$C9&lt;EDATE(I$4,1)),"◆",""))</f>
        <v/>
      </c>
      <c r="J9" s="63" t="str">
        <f aca="false">IF(OR(J$4="",$C9=""),"",IF(AND($C9&gt;=J$4,$C9&lt;EDATE(J$4,1)),"◆",""))</f>
        <v/>
      </c>
      <c r="K9" s="63" t="str">
        <f aca="false">IF(OR(K$4="",$C9=""),"",IF(AND($C9&gt;=K$4,$C9&lt;EDATE(K$4,1)),"◆",""))</f>
        <v/>
      </c>
      <c r="L9" s="63" t="str">
        <f aca="false">IF(OR(L$4="",$C9=""),"",IF(AND($C9&gt;=L$4,$C9&lt;EDATE(L$4,1)),"◆",""))</f>
        <v/>
      </c>
      <c r="M9" s="63" t="str">
        <f aca="false">IF(OR(M$4="",$C9=""),"",IF(AND($C9&gt;=M$4,$C9&lt;EDATE(M$4,1)),"◆",""))</f>
        <v/>
      </c>
      <c r="N9" s="63" t="str">
        <f aca="false">IF(OR(N$4="",$C9=""),"",IF(AND($C9&gt;=N$4,$C9&lt;EDATE(N$4,1)),"◆",""))</f>
        <v/>
      </c>
      <c r="O9" s="63" t="str">
        <f aca="false">IF(OR(O$4="",$C9=""),"",IF(AND($C9&gt;=O$4,$C9&lt;EDATE(O$4,1)),"◆",""))</f>
        <v/>
      </c>
      <c r="P9" s="63" t="str">
        <f aca="false">IF(OR(P$4="",$C9=""),"",IF(AND($C9&gt;=P$4,$C9&lt;EDATE(P$4,1)),"◆",""))</f>
        <v>◆</v>
      </c>
      <c r="Q9" s="63" t="str">
        <f aca="false">IF(OR(Q$4="",$C9=""),"",IF(AND($C9&gt;=Q$4,$C9&lt;EDATE(Q$4,1)),"◆",""))</f>
        <v/>
      </c>
      <c r="R9" s="63" t="str">
        <f aca="false">IF(OR(R$4="",$C9=""),"",IF(AND($C9&gt;=R$4,$C9&lt;EDATE(R$4,1)),"◆",""))</f>
        <v/>
      </c>
      <c r="S9" s="63" t="str">
        <f aca="false">IF(OR(S$4="",$C9=""),"",IF(AND($C9&gt;=S$4,$C9&lt;EDATE(S$4,1)),"◆",""))</f>
        <v/>
      </c>
      <c r="T9" s="63" t="str">
        <f aca="false">IF(OR(T$4="",$C9=""),"",IF(AND($C9&gt;=T$4,$C9&lt;EDATE(T$4,1)),"◆",""))</f>
        <v/>
      </c>
      <c r="U9" s="63" t="str">
        <f aca="false">IF(OR(U$4="",$C9=""),"",IF(AND($C9&gt;=U$4,$C9&lt;EDATE(U$4,1)),"◆",""))</f>
        <v/>
      </c>
      <c r="V9" s="63" t="str">
        <f aca="false">IF(OR(V$4="",$C9=""),"",IF(AND($C9&gt;=V$4,$C9&lt;EDATE(V$4,1)),"◆",""))</f>
        <v/>
      </c>
      <c r="W9" s="63" t="str">
        <f aca="false">IF(OR(W$4="",$C9=""),"",IF(AND($C9&gt;=W$4,$C9&lt;EDATE(W$4,1)),"◆",""))</f>
        <v/>
      </c>
      <c r="X9" s="63" t="str">
        <f aca="false">IF(OR(X$4="",$C9=""),"",IF(AND($C9&gt;=X$4,$C9&lt;EDATE(X$4,1)),"◆",""))</f>
        <v/>
      </c>
      <c r="Y9" s="63" t="str">
        <f aca="false">IF(OR(Y$4="",$C9=""),"",IF(AND($C9&gt;=Y$4,$C9&lt;EDATE(Y$4,1)),"◆",""))</f>
        <v/>
      </c>
      <c r="Z9" s="63" t="str">
        <f aca="false">IF(OR(Z$4="",$C9=""),"",IF(AND($C9&gt;=Z$4,$C9&lt;EDATE(Z$4,1)),"◆",""))</f>
        <v/>
      </c>
      <c r="AA9" s="63" t="str">
        <f aca="false">IF(OR(AA$4="",$C9=""),"",IF(AND($C9&gt;=AA$4,$C9&lt;EDATE(AA$4,1)),"◆",""))</f>
        <v/>
      </c>
      <c r="AB9" s="63" t="str">
        <f aca="false">IF(OR(AB$4="",$C9=""),"",IF(AND($C9&gt;=AB$4,$C9&lt;EDATE(AB$4,1)),"◆",""))</f>
        <v/>
      </c>
      <c r="AC9" s="63" t="str">
        <f aca="false">IF(OR(AC$4="",$C9=""),"",IF(AND($C9&gt;=AC$4,$C9&lt;EDATE(AC$4,1)),"◆",""))</f>
        <v/>
      </c>
      <c r="AD9" s="63" t="str">
        <f aca="false">IF(OR(AD$4="",$C9=""),"",IF(AND($C9&gt;=AD$4,$C9&lt;EDATE(AD$4,1)),"◆",""))</f>
        <v/>
      </c>
      <c r="AE9" s="63" t="str">
        <f aca="false">IF(OR(AE$4="",$C9=""),"",IF(AND($C9&gt;=AE$4,$C9&lt;EDATE(AE$4,1)),"◆",""))</f>
        <v/>
      </c>
      <c r="AF9" s="63" t="str">
        <f aca="false">IF(OR(AF$4="",$C9=""),"",IF(AND($C9&gt;=AF$4,$C9&lt;EDATE(AF$4,1)),"◆",""))</f>
        <v/>
      </c>
      <c r="AG9" s="63" t="str">
        <f aca="false">IF(OR(AG$4="",$C9=""),"",IF(AND($C9&gt;=AG$4,$C9&lt;EDATE(AG$4,1)),"◆",""))</f>
        <v/>
      </c>
      <c r="AH9" s="63" t="str">
        <f aca="false">IF(OR(AH$4="",$C9=""),"",IF(AND($C9&gt;=AH$4,$C9&lt;EDATE(AH$4,1)),"◆",""))</f>
        <v/>
      </c>
      <c r="AI9" s="63" t="str">
        <f aca="false">IF(OR(AI$4="",$C9=""),"",IF(AND($C9&gt;=AI$4,$C9&lt;EDATE(AI$4,1)),"◆",""))</f>
        <v/>
      </c>
      <c r="AJ9" s="63" t="str">
        <f aca="false">IF(OR(AJ$4="",$C9=""),"",IF(AND($C9&gt;=AJ$4,$C9&lt;EDATE(AJ$4,1)),"◆",""))</f>
        <v/>
      </c>
      <c r="AK9" s="63" t="str">
        <f aca="false">IF(OR(AK$4="",$C9=""),"",IF(AND($C9&gt;=AK$4,$C9&lt;EDATE(AK$4,1)),"◆",""))</f>
        <v/>
      </c>
      <c r="AL9" s="63" t="str">
        <f aca="false">IF(OR(AL$4="",$C9=""),"",IF(AND($C9&gt;=AL$4,$C9&lt;EDATE(AL$4,1)),"◆",""))</f>
        <v/>
      </c>
      <c r="AM9" s="63" t="str">
        <f aca="false">IF(OR(AM$4="",$C9=""),"",IF(AND($C9&gt;=AM$4,$C9&lt;EDATE(AM$4,1)),"◆",""))</f>
        <v/>
      </c>
      <c r="AN9" s="63" t="str">
        <f aca="false">IF(OR(AN$4="",$C9=""),"",IF(AND($C9&gt;=AN$4,$C9&lt;EDATE(AN$4,1)),"◆",""))</f>
        <v/>
      </c>
      <c r="AO9" s="63" t="str">
        <f aca="false">IF(OR(AO$4="",$C9=""),"",IF(AND($C9&gt;=AO$4,$C9&lt;EDATE(AO$4,1)),"◆",""))</f>
        <v/>
      </c>
      <c r="AP9" s="63" t="str">
        <f aca="false">IF(OR(AP$4="",$C9=""),"",IF(AND($C9&gt;=AP$4,$C9&lt;EDATE(AP$4,1)),"◆",""))</f>
        <v/>
      </c>
      <c r="AQ9" s="63" t="str">
        <f aca="false">IF(OR(AQ$4="",$C9=""),"",IF(AND($C9&gt;=AQ$4,$C9&lt;EDATE(AQ$4,1)),"◆",""))</f>
        <v/>
      </c>
      <c r="AR9" s="63" t="str">
        <f aca="false">IF(OR(AR$4="",$C9=""),"",IF(AND($C9&gt;=AR$4,$C9&lt;EDATE(AR$4,1)),"◆",""))</f>
        <v/>
      </c>
      <c r="AS9" s="63" t="str">
        <f aca="false">IF(OR(AS$4="",$C9=""),"",IF(AND($C9&gt;=AS$4,$C9&lt;EDATE(AS$4,1)),"◆",""))</f>
        <v/>
      </c>
      <c r="AT9" s="63" t="str">
        <f aca="false">IF(OR(AT$4="",$C9=""),"",IF(AND($C9&gt;=AT$4,$C9&lt;EDATE(AT$4,1)),"◆",""))</f>
        <v/>
      </c>
      <c r="AU9" s="63" t="str">
        <f aca="false">IF(OR(AU$4="",$C9=""),"",IF(AND($C9&gt;=AU$4,$C9&lt;EDATE(AU$4,1)),"◆",""))</f>
        <v/>
      </c>
      <c r="AV9" s="63" t="str">
        <f aca="false">IF(OR(AV$4="",$C9=""),"",IF(AND($C9&gt;=AV$4,$C9&lt;EDATE(AV$4,1)),"◆",""))</f>
        <v/>
      </c>
      <c r="AW9" s="63" t="str">
        <f aca="false">IF(OR(AW$4="",$C9=""),"",IF(AND($C9&gt;=AW$4,$C9&lt;EDATE(AW$4,1)),"◆",""))</f>
        <v/>
      </c>
      <c r="AX9" s="63" t="str">
        <f aca="false">IF(OR(AX$4="",$C9=""),"",IF(AND($C9&gt;=AX$4,$C9&lt;EDATE(AX$4,1)),"◆",""))</f>
        <v/>
      </c>
      <c r="AY9" s="63" t="str">
        <f aca="false">IF(OR(AY$4="",$C9=""),"",IF(AND($C9&gt;=AY$4,$C9&lt;EDATE(AY$4,1)),"◆",""))</f>
        <v/>
      </c>
      <c r="AZ9" s="63" t="str">
        <f aca="false">IF(OR(AZ$4="",$C9=""),"",IF(AND($C9&gt;=AZ$4,$C9&lt;EDATE(AZ$4,1)),"◆",""))</f>
        <v/>
      </c>
      <c r="BA9" s="63" t="str">
        <f aca="false">IF(OR(BA$4="",$C9=""),"",IF(AND($C9&gt;=BA$4,$C9&lt;EDATE(BA$4,1)),"◆",""))</f>
        <v/>
      </c>
      <c r="BB9" s="63" t="str">
        <f aca="false">IF(OR(BB$4="",$C9=""),"",IF(AND($C9&gt;=BB$4,$C9&lt;EDATE(BB$4,1)),"◆",""))</f>
        <v/>
      </c>
      <c r="BC9" s="63" t="str">
        <f aca="false">IF(OR(BC$4="",$C9=""),"",IF(AND($C9&gt;=BC$4,$C9&lt;EDATE(BC$4,1)),"◆",""))</f>
        <v/>
      </c>
      <c r="BD9" s="63" t="str">
        <f aca="false">IF(OR(BD$4="",$C9=""),"",IF(AND($C9&gt;=BD$4,$C9&lt;EDATE(BD$4,1)),"◆",""))</f>
        <v/>
      </c>
      <c r="BE9" s="63" t="str">
        <f aca="false">IF(OR(BE$4="",$C9=""),"",IF(AND($C9&gt;=BE$4,$C9&lt;EDATE(BE$4,1)),"◆",""))</f>
        <v/>
      </c>
      <c r="BF9" s="63" t="str">
        <f aca="false">IF(OR(BF$4="",$C9=""),"",IF(AND($C9&gt;=BF$4,$C9&lt;EDATE(BF$4,1)),"◆",""))</f>
        <v/>
      </c>
      <c r="BG9" s="63" t="str">
        <f aca="false">IF(OR(BG$4="",$C9=""),"",IF(AND($C9&gt;=BG$4,$C9&lt;EDATE(BG$4,1)),"◆",""))</f>
        <v/>
      </c>
      <c r="BH9" s="63" t="str">
        <f aca="false">IF(OR(BH$4="",$C9=""),"",IF(AND($C9&gt;=BH$4,$C9&lt;EDATE(BH$4,1)),"◆",""))</f>
        <v/>
      </c>
      <c r="BI9" s="63" t="str">
        <f aca="false">IF(OR(BI$4="",$C9=""),"",IF(AND($C9&gt;=BI$4,$C9&lt;EDATE(BI$4,1)),"◆",""))</f>
        <v/>
      </c>
      <c r="BJ9" s="63" t="str">
        <f aca="false">IF(OR(BJ$4="",$C9=""),"",IF(AND($C9&gt;=BJ$4,$C9&lt;EDATE(BJ$4,1)),"◆",""))</f>
        <v/>
      </c>
      <c r="BK9" s="63" t="str">
        <f aca="false">IF(OR(BK$4="",$C9=""),"",IF(AND($C9&gt;=BK$4,$C9&lt;EDATE(BK$4,1)),"◆",""))</f>
        <v/>
      </c>
      <c r="BL9" s="63" t="str">
        <f aca="false">IF(OR(BL$4="",$C9=""),"",IF(AND($C9&gt;=BL$4,$C9&lt;EDATE(BL$4,1)),"◆",""))</f>
        <v/>
      </c>
      <c r="BM9" s="63" t="str">
        <f aca="false">IF(OR(BM$4="",$C9=""),"",IF(AND($C9&gt;=BM$4,$C9&lt;EDATE(BM$4,1)),"◆",""))</f>
        <v/>
      </c>
      <c r="BN9" s="63" t="str">
        <f aca="false">IF(OR(BN$4="",$C9=""),"",IF(AND($C9&gt;=BN$4,$C9&lt;EDATE(BN$4,1)),"◆",""))</f>
        <v/>
      </c>
      <c r="BO9" s="63" t="str">
        <f aca="false">IF(OR(BO$4="",$C9=""),"",IF(AND($C9&gt;=BO$4,$C9&lt;EDATE(BO$4,1)),"◆",""))</f>
        <v/>
      </c>
      <c r="BP9" s="63" t="str">
        <f aca="false">IF(OR(BP$4="",$C9=""),"",IF(AND($C9&gt;=BP$4,$C9&lt;EDATE(BP$4,1)),"◆",""))</f>
        <v/>
      </c>
      <c r="BQ9" s="63" t="str">
        <f aca="false">IF(OR(BQ$4="",$C9=""),"",IF(AND($C9&gt;=BQ$4,$C9&lt;EDATE(BQ$4,1)),"◆",""))</f>
        <v/>
      </c>
      <c r="BR9" s="63" t="str">
        <f aca="false">IF(OR(BR$4="",$C9=""),"",IF(AND($C9&gt;=BR$4,$C9&lt;EDATE(BR$4,1)),"◆",""))</f>
        <v/>
      </c>
      <c r="BS9" s="63" t="str">
        <f aca="false">IF(OR(BS$4="",$C9=""),"",IF(AND($C9&gt;=BS$4,$C9&lt;EDATE(BS$4,1)),"◆",""))</f>
        <v/>
      </c>
      <c r="BT9" s="63" t="str">
        <f aca="false">IF(OR(BT$4="",$C9=""),"",IF(AND($C9&gt;=BT$4,$C9&lt;EDATE(BT$4,1)),"◆",""))</f>
        <v/>
      </c>
      <c r="BU9" s="63" t="str">
        <f aca="false">IF(OR(BU$4="",$C9=""),"",IF(AND($C9&gt;=BU$4,$C9&lt;EDATE(BU$4,1)),"◆",""))</f>
        <v/>
      </c>
      <c r="BV9" s="63" t="str">
        <f aca="false">IF(OR(BV$4="",$C9=""),"",IF(AND($C9&gt;=BV$4,$C9&lt;EDATE(BV$4,1)),"◆",""))</f>
        <v/>
      </c>
      <c r="BW9" s="63" t="str">
        <f aca="false">IF(OR(BW$4="",$C9=""),"",IF(AND($C9&gt;=BW$4,$C9&lt;EDATE(BW$4,1)),"◆",""))</f>
        <v/>
      </c>
      <c r="BX9" s="63" t="str">
        <f aca="false">IF(OR(BX$4="",$C9=""),"",IF(AND($C9&gt;=BX$4,$C9&lt;EDATE(BX$4,1)),"◆",""))</f>
        <v/>
      </c>
      <c r="BY9" s="63" t="str">
        <f aca="false">IF(OR(BY$4="",$C9=""),"",IF(AND($C9&gt;=BY$4,$C9&lt;EDATE(BY$4,1)),"◆",""))</f>
        <v/>
      </c>
    </row>
    <row r="10" customFormat="false" ht="15" hidden="false" customHeight="false" outlineLevel="0" collapsed="false">
      <c r="A10" s="4"/>
      <c r="B10" s="53" t="str">
        <f aca="false">IF(Milestones!$B9="","",Milestones!$B9)</f>
        <v>CDR</v>
      </c>
      <c r="C10" s="54" t="n">
        <f aca="false">IF(Milestones!$E9="","",Milestones!$E9)</f>
        <v>46877</v>
      </c>
      <c r="D10" s="4"/>
      <c r="E10" s="4"/>
      <c r="F10" s="63" t="str">
        <f aca="false">IF(OR(F$4="",$C10=""),"",IF(AND($C10&gt;=F$4,$C10&lt;EDATE(F$4,1)),"◆",""))</f>
        <v/>
      </c>
      <c r="G10" s="63" t="str">
        <f aca="false">IF(OR(G$4="",$C10=""),"",IF(AND($C10&gt;=G$4,$C10&lt;EDATE(G$4,1)),"◆",""))</f>
        <v/>
      </c>
      <c r="H10" s="63" t="str">
        <f aca="false">IF(OR(H$4="",$C10=""),"",IF(AND($C10&gt;=H$4,$C10&lt;EDATE(H$4,1)),"◆",""))</f>
        <v/>
      </c>
      <c r="I10" s="63" t="str">
        <f aca="false">IF(OR(I$4="",$C10=""),"",IF(AND($C10&gt;=I$4,$C10&lt;EDATE(I$4,1)),"◆",""))</f>
        <v/>
      </c>
      <c r="J10" s="63" t="str">
        <f aca="false">IF(OR(J$4="",$C10=""),"",IF(AND($C10&gt;=J$4,$C10&lt;EDATE(J$4,1)),"◆",""))</f>
        <v/>
      </c>
      <c r="K10" s="63" t="str">
        <f aca="false">IF(OR(K$4="",$C10=""),"",IF(AND($C10&gt;=K$4,$C10&lt;EDATE(K$4,1)),"◆",""))</f>
        <v/>
      </c>
      <c r="L10" s="63" t="str">
        <f aca="false">IF(OR(L$4="",$C10=""),"",IF(AND($C10&gt;=L$4,$C10&lt;EDATE(L$4,1)),"◆",""))</f>
        <v/>
      </c>
      <c r="M10" s="63" t="str">
        <f aca="false">IF(OR(M$4="",$C10=""),"",IF(AND($C10&gt;=M$4,$C10&lt;EDATE(M$4,1)),"◆",""))</f>
        <v/>
      </c>
      <c r="N10" s="63" t="str">
        <f aca="false">IF(OR(N$4="",$C10=""),"",IF(AND($C10&gt;=N$4,$C10&lt;EDATE(N$4,1)),"◆",""))</f>
        <v/>
      </c>
      <c r="O10" s="63" t="str">
        <f aca="false">IF(OR(O$4="",$C10=""),"",IF(AND($C10&gt;=O$4,$C10&lt;EDATE(O$4,1)),"◆",""))</f>
        <v/>
      </c>
      <c r="P10" s="63" t="str">
        <f aca="false">IF(OR(P$4="",$C10=""),"",IF(AND($C10&gt;=P$4,$C10&lt;EDATE(P$4,1)),"◆",""))</f>
        <v/>
      </c>
      <c r="Q10" s="63" t="str">
        <f aca="false">IF(OR(Q$4="",$C10=""),"",IF(AND($C10&gt;=Q$4,$C10&lt;EDATE(Q$4,1)),"◆",""))</f>
        <v/>
      </c>
      <c r="R10" s="63" t="str">
        <f aca="false">IF(OR(R$4="",$C10=""),"",IF(AND($C10&gt;=R$4,$C10&lt;EDATE(R$4,1)),"◆",""))</f>
        <v/>
      </c>
      <c r="S10" s="63" t="str">
        <f aca="false">IF(OR(S$4="",$C10=""),"",IF(AND($C10&gt;=S$4,$C10&lt;EDATE(S$4,1)),"◆",""))</f>
        <v/>
      </c>
      <c r="T10" s="63" t="str">
        <f aca="false">IF(OR(T$4="",$C10=""),"",IF(AND($C10&gt;=T$4,$C10&lt;EDATE(T$4,1)),"◆",""))</f>
        <v/>
      </c>
      <c r="U10" s="63" t="str">
        <f aca="false">IF(OR(U$4="",$C10=""),"",IF(AND($C10&gt;=U$4,$C10&lt;EDATE(U$4,1)),"◆",""))</f>
        <v/>
      </c>
      <c r="V10" s="63" t="str">
        <f aca="false">IF(OR(V$4="",$C10=""),"",IF(AND($C10&gt;=V$4,$C10&lt;EDATE(V$4,1)),"◆",""))</f>
        <v>◆</v>
      </c>
      <c r="W10" s="63" t="str">
        <f aca="false">IF(OR(W$4="",$C10=""),"",IF(AND($C10&gt;=W$4,$C10&lt;EDATE(W$4,1)),"◆",""))</f>
        <v/>
      </c>
      <c r="X10" s="63" t="str">
        <f aca="false">IF(OR(X$4="",$C10=""),"",IF(AND($C10&gt;=X$4,$C10&lt;EDATE(X$4,1)),"◆",""))</f>
        <v/>
      </c>
      <c r="Y10" s="63" t="str">
        <f aca="false">IF(OR(Y$4="",$C10=""),"",IF(AND($C10&gt;=Y$4,$C10&lt;EDATE(Y$4,1)),"◆",""))</f>
        <v/>
      </c>
      <c r="Z10" s="63" t="str">
        <f aca="false">IF(OR(Z$4="",$C10=""),"",IF(AND($C10&gt;=Z$4,$C10&lt;EDATE(Z$4,1)),"◆",""))</f>
        <v/>
      </c>
      <c r="AA10" s="63" t="str">
        <f aca="false">IF(OR(AA$4="",$C10=""),"",IF(AND($C10&gt;=AA$4,$C10&lt;EDATE(AA$4,1)),"◆",""))</f>
        <v/>
      </c>
      <c r="AB10" s="63" t="str">
        <f aca="false">IF(OR(AB$4="",$C10=""),"",IF(AND($C10&gt;=AB$4,$C10&lt;EDATE(AB$4,1)),"◆",""))</f>
        <v/>
      </c>
      <c r="AC10" s="63" t="str">
        <f aca="false">IF(OR(AC$4="",$C10=""),"",IF(AND($C10&gt;=AC$4,$C10&lt;EDATE(AC$4,1)),"◆",""))</f>
        <v/>
      </c>
      <c r="AD10" s="63" t="str">
        <f aca="false">IF(OR(AD$4="",$C10=""),"",IF(AND($C10&gt;=AD$4,$C10&lt;EDATE(AD$4,1)),"◆",""))</f>
        <v/>
      </c>
      <c r="AE10" s="63" t="str">
        <f aca="false">IF(OR(AE$4="",$C10=""),"",IF(AND($C10&gt;=AE$4,$C10&lt;EDATE(AE$4,1)),"◆",""))</f>
        <v/>
      </c>
      <c r="AF10" s="63" t="str">
        <f aca="false">IF(OR(AF$4="",$C10=""),"",IF(AND($C10&gt;=AF$4,$C10&lt;EDATE(AF$4,1)),"◆",""))</f>
        <v/>
      </c>
      <c r="AG10" s="63" t="str">
        <f aca="false">IF(OR(AG$4="",$C10=""),"",IF(AND($C10&gt;=AG$4,$C10&lt;EDATE(AG$4,1)),"◆",""))</f>
        <v/>
      </c>
      <c r="AH10" s="63" t="str">
        <f aca="false">IF(OR(AH$4="",$C10=""),"",IF(AND($C10&gt;=AH$4,$C10&lt;EDATE(AH$4,1)),"◆",""))</f>
        <v/>
      </c>
      <c r="AI10" s="63" t="str">
        <f aca="false">IF(OR(AI$4="",$C10=""),"",IF(AND($C10&gt;=AI$4,$C10&lt;EDATE(AI$4,1)),"◆",""))</f>
        <v/>
      </c>
      <c r="AJ10" s="63" t="str">
        <f aca="false">IF(OR(AJ$4="",$C10=""),"",IF(AND($C10&gt;=AJ$4,$C10&lt;EDATE(AJ$4,1)),"◆",""))</f>
        <v/>
      </c>
      <c r="AK10" s="63" t="str">
        <f aca="false">IF(OR(AK$4="",$C10=""),"",IF(AND($C10&gt;=AK$4,$C10&lt;EDATE(AK$4,1)),"◆",""))</f>
        <v/>
      </c>
      <c r="AL10" s="63" t="str">
        <f aca="false">IF(OR(AL$4="",$C10=""),"",IF(AND($C10&gt;=AL$4,$C10&lt;EDATE(AL$4,1)),"◆",""))</f>
        <v/>
      </c>
      <c r="AM10" s="63" t="str">
        <f aca="false">IF(OR(AM$4="",$C10=""),"",IF(AND($C10&gt;=AM$4,$C10&lt;EDATE(AM$4,1)),"◆",""))</f>
        <v/>
      </c>
      <c r="AN10" s="63" t="str">
        <f aca="false">IF(OR(AN$4="",$C10=""),"",IF(AND($C10&gt;=AN$4,$C10&lt;EDATE(AN$4,1)),"◆",""))</f>
        <v/>
      </c>
      <c r="AO10" s="63" t="str">
        <f aca="false">IF(OR(AO$4="",$C10=""),"",IF(AND($C10&gt;=AO$4,$C10&lt;EDATE(AO$4,1)),"◆",""))</f>
        <v/>
      </c>
      <c r="AP10" s="63" t="str">
        <f aca="false">IF(OR(AP$4="",$C10=""),"",IF(AND($C10&gt;=AP$4,$C10&lt;EDATE(AP$4,1)),"◆",""))</f>
        <v/>
      </c>
      <c r="AQ10" s="63" t="str">
        <f aca="false">IF(OR(AQ$4="",$C10=""),"",IF(AND($C10&gt;=AQ$4,$C10&lt;EDATE(AQ$4,1)),"◆",""))</f>
        <v/>
      </c>
      <c r="AR10" s="63" t="str">
        <f aca="false">IF(OR(AR$4="",$C10=""),"",IF(AND($C10&gt;=AR$4,$C10&lt;EDATE(AR$4,1)),"◆",""))</f>
        <v/>
      </c>
      <c r="AS10" s="63" t="str">
        <f aca="false">IF(OR(AS$4="",$C10=""),"",IF(AND($C10&gt;=AS$4,$C10&lt;EDATE(AS$4,1)),"◆",""))</f>
        <v/>
      </c>
      <c r="AT10" s="63" t="str">
        <f aca="false">IF(OR(AT$4="",$C10=""),"",IF(AND($C10&gt;=AT$4,$C10&lt;EDATE(AT$4,1)),"◆",""))</f>
        <v/>
      </c>
      <c r="AU10" s="63" t="str">
        <f aca="false">IF(OR(AU$4="",$C10=""),"",IF(AND($C10&gt;=AU$4,$C10&lt;EDATE(AU$4,1)),"◆",""))</f>
        <v/>
      </c>
      <c r="AV10" s="63" t="str">
        <f aca="false">IF(OR(AV$4="",$C10=""),"",IF(AND($C10&gt;=AV$4,$C10&lt;EDATE(AV$4,1)),"◆",""))</f>
        <v/>
      </c>
      <c r="AW10" s="63" t="str">
        <f aca="false">IF(OR(AW$4="",$C10=""),"",IF(AND($C10&gt;=AW$4,$C10&lt;EDATE(AW$4,1)),"◆",""))</f>
        <v/>
      </c>
      <c r="AX10" s="63" t="str">
        <f aca="false">IF(OR(AX$4="",$C10=""),"",IF(AND($C10&gt;=AX$4,$C10&lt;EDATE(AX$4,1)),"◆",""))</f>
        <v/>
      </c>
      <c r="AY10" s="63" t="str">
        <f aca="false">IF(OR(AY$4="",$C10=""),"",IF(AND($C10&gt;=AY$4,$C10&lt;EDATE(AY$4,1)),"◆",""))</f>
        <v/>
      </c>
      <c r="AZ10" s="63" t="str">
        <f aca="false">IF(OR(AZ$4="",$C10=""),"",IF(AND($C10&gt;=AZ$4,$C10&lt;EDATE(AZ$4,1)),"◆",""))</f>
        <v/>
      </c>
      <c r="BA10" s="63" t="str">
        <f aca="false">IF(OR(BA$4="",$C10=""),"",IF(AND($C10&gt;=BA$4,$C10&lt;EDATE(BA$4,1)),"◆",""))</f>
        <v/>
      </c>
      <c r="BB10" s="63" t="str">
        <f aca="false">IF(OR(BB$4="",$C10=""),"",IF(AND($C10&gt;=BB$4,$C10&lt;EDATE(BB$4,1)),"◆",""))</f>
        <v/>
      </c>
      <c r="BC10" s="63" t="str">
        <f aca="false">IF(OR(BC$4="",$C10=""),"",IF(AND($C10&gt;=BC$4,$C10&lt;EDATE(BC$4,1)),"◆",""))</f>
        <v/>
      </c>
      <c r="BD10" s="63" t="str">
        <f aca="false">IF(OR(BD$4="",$C10=""),"",IF(AND($C10&gt;=BD$4,$C10&lt;EDATE(BD$4,1)),"◆",""))</f>
        <v/>
      </c>
      <c r="BE10" s="63" t="str">
        <f aca="false">IF(OR(BE$4="",$C10=""),"",IF(AND($C10&gt;=BE$4,$C10&lt;EDATE(BE$4,1)),"◆",""))</f>
        <v/>
      </c>
      <c r="BF10" s="63" t="str">
        <f aca="false">IF(OR(BF$4="",$C10=""),"",IF(AND($C10&gt;=BF$4,$C10&lt;EDATE(BF$4,1)),"◆",""))</f>
        <v/>
      </c>
      <c r="BG10" s="63" t="str">
        <f aca="false">IF(OR(BG$4="",$C10=""),"",IF(AND($C10&gt;=BG$4,$C10&lt;EDATE(BG$4,1)),"◆",""))</f>
        <v/>
      </c>
      <c r="BH10" s="63" t="str">
        <f aca="false">IF(OR(BH$4="",$C10=""),"",IF(AND($C10&gt;=BH$4,$C10&lt;EDATE(BH$4,1)),"◆",""))</f>
        <v/>
      </c>
      <c r="BI10" s="63" t="str">
        <f aca="false">IF(OR(BI$4="",$C10=""),"",IF(AND($C10&gt;=BI$4,$C10&lt;EDATE(BI$4,1)),"◆",""))</f>
        <v/>
      </c>
      <c r="BJ10" s="63" t="str">
        <f aca="false">IF(OR(BJ$4="",$C10=""),"",IF(AND($C10&gt;=BJ$4,$C10&lt;EDATE(BJ$4,1)),"◆",""))</f>
        <v/>
      </c>
      <c r="BK10" s="63" t="str">
        <f aca="false">IF(OR(BK$4="",$C10=""),"",IF(AND($C10&gt;=BK$4,$C10&lt;EDATE(BK$4,1)),"◆",""))</f>
        <v/>
      </c>
      <c r="BL10" s="63" t="str">
        <f aca="false">IF(OR(BL$4="",$C10=""),"",IF(AND($C10&gt;=BL$4,$C10&lt;EDATE(BL$4,1)),"◆",""))</f>
        <v/>
      </c>
      <c r="BM10" s="63" t="str">
        <f aca="false">IF(OR(BM$4="",$C10=""),"",IF(AND($C10&gt;=BM$4,$C10&lt;EDATE(BM$4,1)),"◆",""))</f>
        <v/>
      </c>
      <c r="BN10" s="63" t="str">
        <f aca="false">IF(OR(BN$4="",$C10=""),"",IF(AND($C10&gt;=BN$4,$C10&lt;EDATE(BN$4,1)),"◆",""))</f>
        <v/>
      </c>
      <c r="BO10" s="63" t="str">
        <f aca="false">IF(OR(BO$4="",$C10=""),"",IF(AND($C10&gt;=BO$4,$C10&lt;EDATE(BO$4,1)),"◆",""))</f>
        <v/>
      </c>
      <c r="BP10" s="63" t="str">
        <f aca="false">IF(OR(BP$4="",$C10=""),"",IF(AND($C10&gt;=BP$4,$C10&lt;EDATE(BP$4,1)),"◆",""))</f>
        <v/>
      </c>
      <c r="BQ10" s="63" t="str">
        <f aca="false">IF(OR(BQ$4="",$C10=""),"",IF(AND($C10&gt;=BQ$4,$C10&lt;EDATE(BQ$4,1)),"◆",""))</f>
        <v/>
      </c>
      <c r="BR10" s="63" t="str">
        <f aca="false">IF(OR(BR$4="",$C10=""),"",IF(AND($C10&gt;=BR$4,$C10&lt;EDATE(BR$4,1)),"◆",""))</f>
        <v/>
      </c>
      <c r="BS10" s="63" t="str">
        <f aca="false">IF(OR(BS$4="",$C10=""),"",IF(AND($C10&gt;=BS$4,$C10&lt;EDATE(BS$4,1)),"◆",""))</f>
        <v/>
      </c>
      <c r="BT10" s="63" t="str">
        <f aca="false">IF(OR(BT$4="",$C10=""),"",IF(AND($C10&gt;=BT$4,$C10&lt;EDATE(BT$4,1)),"◆",""))</f>
        <v/>
      </c>
      <c r="BU10" s="63" t="str">
        <f aca="false">IF(OR(BU$4="",$C10=""),"",IF(AND($C10&gt;=BU$4,$C10&lt;EDATE(BU$4,1)),"◆",""))</f>
        <v/>
      </c>
      <c r="BV10" s="63" t="str">
        <f aca="false">IF(OR(BV$4="",$C10=""),"",IF(AND($C10&gt;=BV$4,$C10&lt;EDATE(BV$4,1)),"◆",""))</f>
        <v/>
      </c>
      <c r="BW10" s="63" t="str">
        <f aca="false">IF(OR(BW$4="",$C10=""),"",IF(AND($C10&gt;=BW$4,$C10&lt;EDATE(BW$4,1)),"◆",""))</f>
        <v/>
      </c>
      <c r="BX10" s="63" t="str">
        <f aca="false">IF(OR(BX$4="",$C10=""),"",IF(AND($C10&gt;=BX$4,$C10&lt;EDATE(BX$4,1)),"◆",""))</f>
        <v/>
      </c>
      <c r="BY10" s="63" t="str">
        <f aca="false">IF(OR(BY$4="",$C10=""),"",IF(AND($C10&gt;=BY$4,$C10&lt;EDATE(BY$4,1)),"◆",""))</f>
        <v/>
      </c>
    </row>
    <row r="11" customFormat="false" ht="15" hidden="false" customHeight="false" outlineLevel="0" collapsed="false">
      <c r="A11" s="4"/>
      <c r="B11" s="53" t="str">
        <f aca="false">IF(Milestones!$B10="","",Milestones!$B10)</f>
        <v>TRR</v>
      </c>
      <c r="C11" s="54" t="n">
        <f aca="false">IF(Milestones!$E10="","",Milestones!$E10)</f>
        <v>47122</v>
      </c>
      <c r="D11" s="4"/>
      <c r="E11" s="4"/>
      <c r="F11" s="63" t="str">
        <f aca="false">IF(OR(F$4="",$C11=""),"",IF(AND($C11&gt;=F$4,$C11&lt;EDATE(F$4,1)),"◆",""))</f>
        <v/>
      </c>
      <c r="G11" s="63" t="str">
        <f aca="false">IF(OR(G$4="",$C11=""),"",IF(AND($C11&gt;=G$4,$C11&lt;EDATE(G$4,1)),"◆",""))</f>
        <v/>
      </c>
      <c r="H11" s="63" t="str">
        <f aca="false">IF(OR(H$4="",$C11=""),"",IF(AND($C11&gt;=H$4,$C11&lt;EDATE(H$4,1)),"◆",""))</f>
        <v/>
      </c>
      <c r="I11" s="63" t="str">
        <f aca="false">IF(OR(I$4="",$C11=""),"",IF(AND($C11&gt;=I$4,$C11&lt;EDATE(I$4,1)),"◆",""))</f>
        <v/>
      </c>
      <c r="J11" s="63" t="str">
        <f aca="false">IF(OR(J$4="",$C11=""),"",IF(AND($C11&gt;=J$4,$C11&lt;EDATE(J$4,1)),"◆",""))</f>
        <v/>
      </c>
      <c r="K11" s="63" t="str">
        <f aca="false">IF(OR(K$4="",$C11=""),"",IF(AND($C11&gt;=K$4,$C11&lt;EDATE(K$4,1)),"◆",""))</f>
        <v/>
      </c>
      <c r="L11" s="63" t="str">
        <f aca="false">IF(OR(L$4="",$C11=""),"",IF(AND($C11&gt;=L$4,$C11&lt;EDATE(L$4,1)),"◆",""))</f>
        <v/>
      </c>
      <c r="M11" s="63" t="str">
        <f aca="false">IF(OR(M$4="",$C11=""),"",IF(AND($C11&gt;=M$4,$C11&lt;EDATE(M$4,1)),"◆",""))</f>
        <v/>
      </c>
      <c r="N11" s="63" t="str">
        <f aca="false">IF(OR(N$4="",$C11=""),"",IF(AND($C11&gt;=N$4,$C11&lt;EDATE(N$4,1)),"◆",""))</f>
        <v/>
      </c>
      <c r="O11" s="63" t="str">
        <f aca="false">IF(OR(O$4="",$C11=""),"",IF(AND($C11&gt;=O$4,$C11&lt;EDATE(O$4,1)),"◆",""))</f>
        <v/>
      </c>
      <c r="P11" s="63" t="str">
        <f aca="false">IF(OR(P$4="",$C11=""),"",IF(AND($C11&gt;=P$4,$C11&lt;EDATE(P$4,1)),"◆",""))</f>
        <v/>
      </c>
      <c r="Q11" s="63" t="str">
        <f aca="false">IF(OR(Q$4="",$C11=""),"",IF(AND($C11&gt;=Q$4,$C11&lt;EDATE(Q$4,1)),"◆",""))</f>
        <v/>
      </c>
      <c r="R11" s="63" t="str">
        <f aca="false">IF(OR(R$4="",$C11=""),"",IF(AND($C11&gt;=R$4,$C11&lt;EDATE(R$4,1)),"◆",""))</f>
        <v/>
      </c>
      <c r="S11" s="63" t="str">
        <f aca="false">IF(OR(S$4="",$C11=""),"",IF(AND($C11&gt;=S$4,$C11&lt;EDATE(S$4,1)),"◆",""))</f>
        <v/>
      </c>
      <c r="T11" s="63" t="str">
        <f aca="false">IF(OR(T$4="",$C11=""),"",IF(AND($C11&gt;=T$4,$C11&lt;EDATE(T$4,1)),"◆",""))</f>
        <v/>
      </c>
      <c r="U11" s="63" t="str">
        <f aca="false">IF(OR(U$4="",$C11=""),"",IF(AND($C11&gt;=U$4,$C11&lt;EDATE(U$4,1)),"◆",""))</f>
        <v/>
      </c>
      <c r="V11" s="63" t="str">
        <f aca="false">IF(OR(V$4="",$C11=""),"",IF(AND($C11&gt;=V$4,$C11&lt;EDATE(V$4,1)),"◆",""))</f>
        <v/>
      </c>
      <c r="W11" s="63" t="str">
        <f aca="false">IF(OR(W$4="",$C11=""),"",IF(AND($C11&gt;=W$4,$C11&lt;EDATE(W$4,1)),"◆",""))</f>
        <v/>
      </c>
      <c r="X11" s="63" t="str">
        <f aca="false">IF(OR(X$4="",$C11=""),"",IF(AND($C11&gt;=X$4,$C11&lt;EDATE(X$4,1)),"◆",""))</f>
        <v/>
      </c>
      <c r="Y11" s="63" t="str">
        <f aca="false">IF(OR(Y$4="",$C11=""),"",IF(AND($C11&gt;=Y$4,$C11&lt;EDATE(Y$4,1)),"◆",""))</f>
        <v/>
      </c>
      <c r="Z11" s="63" t="str">
        <f aca="false">IF(OR(Z$4="",$C11=""),"",IF(AND($C11&gt;=Z$4,$C11&lt;EDATE(Z$4,1)),"◆",""))</f>
        <v/>
      </c>
      <c r="AA11" s="63" t="str">
        <f aca="false">IF(OR(AA$4="",$C11=""),"",IF(AND($C11&gt;=AA$4,$C11&lt;EDATE(AA$4,1)),"◆",""))</f>
        <v/>
      </c>
      <c r="AB11" s="63" t="str">
        <f aca="false">IF(OR(AB$4="",$C11=""),"",IF(AND($C11&gt;=AB$4,$C11&lt;EDATE(AB$4,1)),"◆",""))</f>
        <v/>
      </c>
      <c r="AC11" s="63" t="str">
        <f aca="false">IF(OR(AC$4="",$C11=""),"",IF(AND($C11&gt;=AC$4,$C11&lt;EDATE(AC$4,1)),"◆",""))</f>
        <v/>
      </c>
      <c r="AD11" s="63" t="str">
        <f aca="false">IF(OR(AD$4="",$C11=""),"",IF(AND($C11&gt;=AD$4,$C11&lt;EDATE(AD$4,1)),"◆",""))</f>
        <v>◆</v>
      </c>
      <c r="AE11" s="63" t="str">
        <f aca="false">IF(OR(AE$4="",$C11=""),"",IF(AND($C11&gt;=AE$4,$C11&lt;EDATE(AE$4,1)),"◆",""))</f>
        <v/>
      </c>
      <c r="AF11" s="63" t="str">
        <f aca="false">IF(OR(AF$4="",$C11=""),"",IF(AND($C11&gt;=AF$4,$C11&lt;EDATE(AF$4,1)),"◆",""))</f>
        <v/>
      </c>
      <c r="AG11" s="63" t="str">
        <f aca="false">IF(OR(AG$4="",$C11=""),"",IF(AND($C11&gt;=AG$4,$C11&lt;EDATE(AG$4,1)),"◆",""))</f>
        <v/>
      </c>
      <c r="AH11" s="63" t="str">
        <f aca="false">IF(OR(AH$4="",$C11=""),"",IF(AND($C11&gt;=AH$4,$C11&lt;EDATE(AH$4,1)),"◆",""))</f>
        <v/>
      </c>
      <c r="AI11" s="63" t="str">
        <f aca="false">IF(OR(AI$4="",$C11=""),"",IF(AND($C11&gt;=AI$4,$C11&lt;EDATE(AI$4,1)),"◆",""))</f>
        <v/>
      </c>
      <c r="AJ11" s="63" t="str">
        <f aca="false">IF(OR(AJ$4="",$C11=""),"",IF(AND($C11&gt;=AJ$4,$C11&lt;EDATE(AJ$4,1)),"◆",""))</f>
        <v/>
      </c>
      <c r="AK11" s="63" t="str">
        <f aca="false">IF(OR(AK$4="",$C11=""),"",IF(AND($C11&gt;=AK$4,$C11&lt;EDATE(AK$4,1)),"◆",""))</f>
        <v/>
      </c>
      <c r="AL11" s="63" t="str">
        <f aca="false">IF(OR(AL$4="",$C11=""),"",IF(AND($C11&gt;=AL$4,$C11&lt;EDATE(AL$4,1)),"◆",""))</f>
        <v/>
      </c>
      <c r="AM11" s="63" t="str">
        <f aca="false">IF(OR(AM$4="",$C11=""),"",IF(AND($C11&gt;=AM$4,$C11&lt;EDATE(AM$4,1)),"◆",""))</f>
        <v/>
      </c>
      <c r="AN11" s="63" t="str">
        <f aca="false">IF(OR(AN$4="",$C11=""),"",IF(AND($C11&gt;=AN$4,$C11&lt;EDATE(AN$4,1)),"◆",""))</f>
        <v/>
      </c>
      <c r="AO11" s="63" t="str">
        <f aca="false">IF(OR(AO$4="",$C11=""),"",IF(AND($C11&gt;=AO$4,$C11&lt;EDATE(AO$4,1)),"◆",""))</f>
        <v/>
      </c>
      <c r="AP11" s="63" t="str">
        <f aca="false">IF(OR(AP$4="",$C11=""),"",IF(AND($C11&gt;=AP$4,$C11&lt;EDATE(AP$4,1)),"◆",""))</f>
        <v/>
      </c>
      <c r="AQ11" s="63" t="str">
        <f aca="false">IF(OR(AQ$4="",$C11=""),"",IF(AND($C11&gt;=AQ$4,$C11&lt;EDATE(AQ$4,1)),"◆",""))</f>
        <v/>
      </c>
      <c r="AR11" s="63" t="str">
        <f aca="false">IF(OR(AR$4="",$C11=""),"",IF(AND($C11&gt;=AR$4,$C11&lt;EDATE(AR$4,1)),"◆",""))</f>
        <v/>
      </c>
      <c r="AS11" s="63" t="str">
        <f aca="false">IF(OR(AS$4="",$C11=""),"",IF(AND($C11&gt;=AS$4,$C11&lt;EDATE(AS$4,1)),"◆",""))</f>
        <v/>
      </c>
      <c r="AT11" s="63" t="str">
        <f aca="false">IF(OR(AT$4="",$C11=""),"",IF(AND($C11&gt;=AT$4,$C11&lt;EDATE(AT$4,1)),"◆",""))</f>
        <v/>
      </c>
      <c r="AU11" s="63" t="str">
        <f aca="false">IF(OR(AU$4="",$C11=""),"",IF(AND($C11&gt;=AU$4,$C11&lt;EDATE(AU$4,1)),"◆",""))</f>
        <v/>
      </c>
      <c r="AV11" s="63" t="str">
        <f aca="false">IF(OR(AV$4="",$C11=""),"",IF(AND($C11&gt;=AV$4,$C11&lt;EDATE(AV$4,1)),"◆",""))</f>
        <v/>
      </c>
      <c r="AW11" s="63" t="str">
        <f aca="false">IF(OR(AW$4="",$C11=""),"",IF(AND($C11&gt;=AW$4,$C11&lt;EDATE(AW$4,1)),"◆",""))</f>
        <v/>
      </c>
      <c r="AX11" s="63" t="str">
        <f aca="false">IF(OR(AX$4="",$C11=""),"",IF(AND($C11&gt;=AX$4,$C11&lt;EDATE(AX$4,1)),"◆",""))</f>
        <v/>
      </c>
      <c r="AY11" s="63" t="str">
        <f aca="false">IF(OR(AY$4="",$C11=""),"",IF(AND($C11&gt;=AY$4,$C11&lt;EDATE(AY$4,1)),"◆",""))</f>
        <v/>
      </c>
      <c r="AZ11" s="63" t="str">
        <f aca="false">IF(OR(AZ$4="",$C11=""),"",IF(AND($C11&gt;=AZ$4,$C11&lt;EDATE(AZ$4,1)),"◆",""))</f>
        <v/>
      </c>
      <c r="BA11" s="63" t="str">
        <f aca="false">IF(OR(BA$4="",$C11=""),"",IF(AND($C11&gt;=BA$4,$C11&lt;EDATE(BA$4,1)),"◆",""))</f>
        <v/>
      </c>
      <c r="BB11" s="63" t="str">
        <f aca="false">IF(OR(BB$4="",$C11=""),"",IF(AND($C11&gt;=BB$4,$C11&lt;EDATE(BB$4,1)),"◆",""))</f>
        <v/>
      </c>
      <c r="BC11" s="63" t="str">
        <f aca="false">IF(OR(BC$4="",$C11=""),"",IF(AND($C11&gt;=BC$4,$C11&lt;EDATE(BC$4,1)),"◆",""))</f>
        <v/>
      </c>
      <c r="BD11" s="63" t="str">
        <f aca="false">IF(OR(BD$4="",$C11=""),"",IF(AND($C11&gt;=BD$4,$C11&lt;EDATE(BD$4,1)),"◆",""))</f>
        <v/>
      </c>
      <c r="BE11" s="63" t="str">
        <f aca="false">IF(OR(BE$4="",$C11=""),"",IF(AND($C11&gt;=BE$4,$C11&lt;EDATE(BE$4,1)),"◆",""))</f>
        <v/>
      </c>
      <c r="BF11" s="63" t="str">
        <f aca="false">IF(OR(BF$4="",$C11=""),"",IF(AND($C11&gt;=BF$4,$C11&lt;EDATE(BF$4,1)),"◆",""))</f>
        <v/>
      </c>
      <c r="BG11" s="63" t="str">
        <f aca="false">IF(OR(BG$4="",$C11=""),"",IF(AND($C11&gt;=BG$4,$C11&lt;EDATE(BG$4,1)),"◆",""))</f>
        <v/>
      </c>
      <c r="BH11" s="63" t="str">
        <f aca="false">IF(OR(BH$4="",$C11=""),"",IF(AND($C11&gt;=BH$4,$C11&lt;EDATE(BH$4,1)),"◆",""))</f>
        <v/>
      </c>
      <c r="BI11" s="63" t="str">
        <f aca="false">IF(OR(BI$4="",$C11=""),"",IF(AND($C11&gt;=BI$4,$C11&lt;EDATE(BI$4,1)),"◆",""))</f>
        <v/>
      </c>
      <c r="BJ11" s="63" t="str">
        <f aca="false">IF(OR(BJ$4="",$C11=""),"",IF(AND($C11&gt;=BJ$4,$C11&lt;EDATE(BJ$4,1)),"◆",""))</f>
        <v/>
      </c>
      <c r="BK11" s="63" t="str">
        <f aca="false">IF(OR(BK$4="",$C11=""),"",IF(AND($C11&gt;=BK$4,$C11&lt;EDATE(BK$4,1)),"◆",""))</f>
        <v/>
      </c>
      <c r="BL11" s="63" t="str">
        <f aca="false">IF(OR(BL$4="",$C11=""),"",IF(AND($C11&gt;=BL$4,$C11&lt;EDATE(BL$4,1)),"◆",""))</f>
        <v/>
      </c>
      <c r="BM11" s="63" t="str">
        <f aca="false">IF(OR(BM$4="",$C11=""),"",IF(AND($C11&gt;=BM$4,$C11&lt;EDATE(BM$4,1)),"◆",""))</f>
        <v/>
      </c>
      <c r="BN11" s="63" t="str">
        <f aca="false">IF(OR(BN$4="",$C11=""),"",IF(AND($C11&gt;=BN$4,$C11&lt;EDATE(BN$4,1)),"◆",""))</f>
        <v/>
      </c>
      <c r="BO11" s="63" t="str">
        <f aca="false">IF(OR(BO$4="",$C11=""),"",IF(AND($C11&gt;=BO$4,$C11&lt;EDATE(BO$4,1)),"◆",""))</f>
        <v/>
      </c>
      <c r="BP11" s="63" t="str">
        <f aca="false">IF(OR(BP$4="",$C11=""),"",IF(AND($C11&gt;=BP$4,$C11&lt;EDATE(BP$4,1)),"◆",""))</f>
        <v/>
      </c>
      <c r="BQ11" s="63" t="str">
        <f aca="false">IF(OR(BQ$4="",$C11=""),"",IF(AND($C11&gt;=BQ$4,$C11&lt;EDATE(BQ$4,1)),"◆",""))</f>
        <v/>
      </c>
      <c r="BR11" s="63" t="str">
        <f aca="false">IF(OR(BR$4="",$C11=""),"",IF(AND($C11&gt;=BR$4,$C11&lt;EDATE(BR$4,1)),"◆",""))</f>
        <v/>
      </c>
      <c r="BS11" s="63" t="str">
        <f aca="false">IF(OR(BS$4="",$C11=""),"",IF(AND($C11&gt;=BS$4,$C11&lt;EDATE(BS$4,1)),"◆",""))</f>
        <v/>
      </c>
      <c r="BT11" s="63" t="str">
        <f aca="false">IF(OR(BT$4="",$C11=""),"",IF(AND($C11&gt;=BT$4,$C11&lt;EDATE(BT$4,1)),"◆",""))</f>
        <v/>
      </c>
      <c r="BU11" s="63" t="str">
        <f aca="false">IF(OR(BU$4="",$C11=""),"",IF(AND($C11&gt;=BU$4,$C11&lt;EDATE(BU$4,1)),"◆",""))</f>
        <v/>
      </c>
      <c r="BV11" s="63" t="str">
        <f aca="false">IF(OR(BV$4="",$C11=""),"",IF(AND($C11&gt;=BV$4,$C11&lt;EDATE(BV$4,1)),"◆",""))</f>
        <v/>
      </c>
      <c r="BW11" s="63" t="str">
        <f aca="false">IF(OR(BW$4="",$C11=""),"",IF(AND($C11&gt;=BW$4,$C11&lt;EDATE(BW$4,1)),"◆",""))</f>
        <v/>
      </c>
      <c r="BX11" s="63" t="str">
        <f aca="false">IF(OR(BX$4="",$C11=""),"",IF(AND($C11&gt;=BX$4,$C11&lt;EDATE(BX$4,1)),"◆",""))</f>
        <v/>
      </c>
      <c r="BY11" s="63" t="str">
        <f aca="false">IF(OR(BY$4="",$C11=""),"",IF(AND($C11&gt;=BY$4,$C11&lt;EDATE(BY$4,1)),"◆",""))</f>
        <v/>
      </c>
    </row>
    <row r="12" customFormat="false" ht="15" hidden="false" customHeight="false" outlineLevel="0" collapsed="false">
      <c r="A12" s="4"/>
      <c r="B12" s="53" t="str">
        <f aca="false">IF(Milestones!$B11="","",Milestones!$B11)</f>
        <v>Test Start</v>
      </c>
      <c r="C12" s="54" t="n">
        <f aca="false">IF(Milestones!$E11="","",Milestones!$E11)</f>
        <v>47153</v>
      </c>
      <c r="D12" s="4"/>
      <c r="E12" s="4"/>
      <c r="F12" s="63" t="str">
        <f aca="false">IF(OR(F$4="",$C12=""),"",IF(AND($C12&gt;=F$4,$C12&lt;EDATE(F$4,1)),"◆",""))</f>
        <v/>
      </c>
      <c r="G12" s="63" t="str">
        <f aca="false">IF(OR(G$4="",$C12=""),"",IF(AND($C12&gt;=G$4,$C12&lt;EDATE(G$4,1)),"◆",""))</f>
        <v/>
      </c>
      <c r="H12" s="63" t="str">
        <f aca="false">IF(OR(H$4="",$C12=""),"",IF(AND($C12&gt;=H$4,$C12&lt;EDATE(H$4,1)),"◆",""))</f>
        <v/>
      </c>
      <c r="I12" s="63" t="str">
        <f aca="false">IF(OR(I$4="",$C12=""),"",IF(AND($C12&gt;=I$4,$C12&lt;EDATE(I$4,1)),"◆",""))</f>
        <v/>
      </c>
      <c r="J12" s="63" t="str">
        <f aca="false">IF(OR(J$4="",$C12=""),"",IF(AND($C12&gt;=J$4,$C12&lt;EDATE(J$4,1)),"◆",""))</f>
        <v/>
      </c>
      <c r="K12" s="63" t="str">
        <f aca="false">IF(OR(K$4="",$C12=""),"",IF(AND($C12&gt;=K$4,$C12&lt;EDATE(K$4,1)),"◆",""))</f>
        <v/>
      </c>
      <c r="L12" s="63" t="str">
        <f aca="false">IF(OR(L$4="",$C12=""),"",IF(AND($C12&gt;=L$4,$C12&lt;EDATE(L$4,1)),"◆",""))</f>
        <v/>
      </c>
      <c r="M12" s="63" t="str">
        <f aca="false">IF(OR(M$4="",$C12=""),"",IF(AND($C12&gt;=M$4,$C12&lt;EDATE(M$4,1)),"◆",""))</f>
        <v/>
      </c>
      <c r="N12" s="63" t="str">
        <f aca="false">IF(OR(N$4="",$C12=""),"",IF(AND($C12&gt;=N$4,$C12&lt;EDATE(N$4,1)),"◆",""))</f>
        <v/>
      </c>
      <c r="O12" s="63" t="str">
        <f aca="false">IF(OR(O$4="",$C12=""),"",IF(AND($C12&gt;=O$4,$C12&lt;EDATE(O$4,1)),"◆",""))</f>
        <v/>
      </c>
      <c r="P12" s="63" t="str">
        <f aca="false">IF(OR(P$4="",$C12=""),"",IF(AND($C12&gt;=P$4,$C12&lt;EDATE(P$4,1)),"◆",""))</f>
        <v/>
      </c>
      <c r="Q12" s="63" t="str">
        <f aca="false">IF(OR(Q$4="",$C12=""),"",IF(AND($C12&gt;=Q$4,$C12&lt;EDATE(Q$4,1)),"◆",""))</f>
        <v/>
      </c>
      <c r="R12" s="63" t="str">
        <f aca="false">IF(OR(R$4="",$C12=""),"",IF(AND($C12&gt;=R$4,$C12&lt;EDATE(R$4,1)),"◆",""))</f>
        <v/>
      </c>
      <c r="S12" s="63" t="str">
        <f aca="false">IF(OR(S$4="",$C12=""),"",IF(AND($C12&gt;=S$4,$C12&lt;EDATE(S$4,1)),"◆",""))</f>
        <v/>
      </c>
      <c r="T12" s="63" t="str">
        <f aca="false">IF(OR(T$4="",$C12=""),"",IF(AND($C12&gt;=T$4,$C12&lt;EDATE(T$4,1)),"◆",""))</f>
        <v/>
      </c>
      <c r="U12" s="63" t="str">
        <f aca="false">IF(OR(U$4="",$C12=""),"",IF(AND($C12&gt;=U$4,$C12&lt;EDATE(U$4,1)),"◆",""))</f>
        <v/>
      </c>
      <c r="V12" s="63" t="str">
        <f aca="false">IF(OR(V$4="",$C12=""),"",IF(AND($C12&gt;=V$4,$C12&lt;EDATE(V$4,1)),"◆",""))</f>
        <v/>
      </c>
      <c r="W12" s="63" t="str">
        <f aca="false">IF(OR(W$4="",$C12=""),"",IF(AND($C12&gt;=W$4,$C12&lt;EDATE(W$4,1)),"◆",""))</f>
        <v/>
      </c>
      <c r="X12" s="63" t="str">
        <f aca="false">IF(OR(X$4="",$C12=""),"",IF(AND($C12&gt;=X$4,$C12&lt;EDATE(X$4,1)),"◆",""))</f>
        <v/>
      </c>
      <c r="Y12" s="63" t="str">
        <f aca="false">IF(OR(Y$4="",$C12=""),"",IF(AND($C12&gt;=Y$4,$C12&lt;EDATE(Y$4,1)),"◆",""))</f>
        <v/>
      </c>
      <c r="Z12" s="63" t="str">
        <f aca="false">IF(OR(Z$4="",$C12=""),"",IF(AND($C12&gt;=Z$4,$C12&lt;EDATE(Z$4,1)),"◆",""))</f>
        <v/>
      </c>
      <c r="AA12" s="63" t="str">
        <f aca="false">IF(OR(AA$4="",$C12=""),"",IF(AND($C12&gt;=AA$4,$C12&lt;EDATE(AA$4,1)),"◆",""))</f>
        <v/>
      </c>
      <c r="AB12" s="63" t="str">
        <f aca="false">IF(OR(AB$4="",$C12=""),"",IF(AND($C12&gt;=AB$4,$C12&lt;EDATE(AB$4,1)),"◆",""))</f>
        <v/>
      </c>
      <c r="AC12" s="63" t="str">
        <f aca="false">IF(OR(AC$4="",$C12=""),"",IF(AND($C12&gt;=AC$4,$C12&lt;EDATE(AC$4,1)),"◆",""))</f>
        <v/>
      </c>
      <c r="AD12" s="63" t="str">
        <f aca="false">IF(OR(AD$4="",$C12=""),"",IF(AND($C12&gt;=AD$4,$C12&lt;EDATE(AD$4,1)),"◆",""))</f>
        <v/>
      </c>
      <c r="AE12" s="63" t="str">
        <f aca="false">IF(OR(AE$4="",$C12=""),"",IF(AND($C12&gt;=AE$4,$C12&lt;EDATE(AE$4,1)),"◆",""))</f>
        <v>◆</v>
      </c>
      <c r="AF12" s="63" t="str">
        <f aca="false">IF(OR(AF$4="",$C12=""),"",IF(AND($C12&gt;=AF$4,$C12&lt;EDATE(AF$4,1)),"◆",""))</f>
        <v/>
      </c>
      <c r="AG12" s="63" t="str">
        <f aca="false">IF(OR(AG$4="",$C12=""),"",IF(AND($C12&gt;=AG$4,$C12&lt;EDATE(AG$4,1)),"◆",""))</f>
        <v/>
      </c>
      <c r="AH12" s="63" t="str">
        <f aca="false">IF(OR(AH$4="",$C12=""),"",IF(AND($C12&gt;=AH$4,$C12&lt;EDATE(AH$4,1)),"◆",""))</f>
        <v/>
      </c>
      <c r="AI12" s="63" t="str">
        <f aca="false">IF(OR(AI$4="",$C12=""),"",IF(AND($C12&gt;=AI$4,$C12&lt;EDATE(AI$4,1)),"◆",""))</f>
        <v/>
      </c>
      <c r="AJ12" s="63" t="str">
        <f aca="false">IF(OR(AJ$4="",$C12=""),"",IF(AND($C12&gt;=AJ$4,$C12&lt;EDATE(AJ$4,1)),"◆",""))</f>
        <v/>
      </c>
      <c r="AK12" s="63" t="str">
        <f aca="false">IF(OR(AK$4="",$C12=""),"",IF(AND($C12&gt;=AK$4,$C12&lt;EDATE(AK$4,1)),"◆",""))</f>
        <v/>
      </c>
      <c r="AL12" s="63" t="str">
        <f aca="false">IF(OR(AL$4="",$C12=""),"",IF(AND($C12&gt;=AL$4,$C12&lt;EDATE(AL$4,1)),"◆",""))</f>
        <v/>
      </c>
      <c r="AM12" s="63" t="str">
        <f aca="false">IF(OR(AM$4="",$C12=""),"",IF(AND($C12&gt;=AM$4,$C12&lt;EDATE(AM$4,1)),"◆",""))</f>
        <v/>
      </c>
      <c r="AN12" s="63" t="str">
        <f aca="false">IF(OR(AN$4="",$C12=""),"",IF(AND($C12&gt;=AN$4,$C12&lt;EDATE(AN$4,1)),"◆",""))</f>
        <v/>
      </c>
      <c r="AO12" s="63" t="str">
        <f aca="false">IF(OR(AO$4="",$C12=""),"",IF(AND($C12&gt;=AO$4,$C12&lt;EDATE(AO$4,1)),"◆",""))</f>
        <v/>
      </c>
      <c r="AP12" s="63" t="str">
        <f aca="false">IF(OR(AP$4="",$C12=""),"",IF(AND($C12&gt;=AP$4,$C12&lt;EDATE(AP$4,1)),"◆",""))</f>
        <v/>
      </c>
      <c r="AQ12" s="63" t="str">
        <f aca="false">IF(OR(AQ$4="",$C12=""),"",IF(AND($C12&gt;=AQ$4,$C12&lt;EDATE(AQ$4,1)),"◆",""))</f>
        <v/>
      </c>
      <c r="AR12" s="63" t="str">
        <f aca="false">IF(OR(AR$4="",$C12=""),"",IF(AND($C12&gt;=AR$4,$C12&lt;EDATE(AR$4,1)),"◆",""))</f>
        <v/>
      </c>
      <c r="AS12" s="63" t="str">
        <f aca="false">IF(OR(AS$4="",$C12=""),"",IF(AND($C12&gt;=AS$4,$C12&lt;EDATE(AS$4,1)),"◆",""))</f>
        <v/>
      </c>
      <c r="AT12" s="63" t="str">
        <f aca="false">IF(OR(AT$4="",$C12=""),"",IF(AND($C12&gt;=AT$4,$C12&lt;EDATE(AT$4,1)),"◆",""))</f>
        <v/>
      </c>
      <c r="AU12" s="63" t="str">
        <f aca="false">IF(OR(AU$4="",$C12=""),"",IF(AND($C12&gt;=AU$4,$C12&lt;EDATE(AU$4,1)),"◆",""))</f>
        <v/>
      </c>
      <c r="AV12" s="63" t="str">
        <f aca="false">IF(OR(AV$4="",$C12=""),"",IF(AND($C12&gt;=AV$4,$C12&lt;EDATE(AV$4,1)),"◆",""))</f>
        <v/>
      </c>
      <c r="AW12" s="63" t="str">
        <f aca="false">IF(OR(AW$4="",$C12=""),"",IF(AND($C12&gt;=AW$4,$C12&lt;EDATE(AW$4,1)),"◆",""))</f>
        <v/>
      </c>
      <c r="AX12" s="63" t="str">
        <f aca="false">IF(OR(AX$4="",$C12=""),"",IF(AND($C12&gt;=AX$4,$C12&lt;EDATE(AX$4,1)),"◆",""))</f>
        <v/>
      </c>
      <c r="AY12" s="63" t="str">
        <f aca="false">IF(OR(AY$4="",$C12=""),"",IF(AND($C12&gt;=AY$4,$C12&lt;EDATE(AY$4,1)),"◆",""))</f>
        <v/>
      </c>
      <c r="AZ12" s="63" t="str">
        <f aca="false">IF(OR(AZ$4="",$C12=""),"",IF(AND($C12&gt;=AZ$4,$C12&lt;EDATE(AZ$4,1)),"◆",""))</f>
        <v/>
      </c>
      <c r="BA12" s="63" t="str">
        <f aca="false">IF(OR(BA$4="",$C12=""),"",IF(AND($C12&gt;=BA$4,$C12&lt;EDATE(BA$4,1)),"◆",""))</f>
        <v/>
      </c>
      <c r="BB12" s="63" t="str">
        <f aca="false">IF(OR(BB$4="",$C12=""),"",IF(AND($C12&gt;=BB$4,$C12&lt;EDATE(BB$4,1)),"◆",""))</f>
        <v/>
      </c>
      <c r="BC12" s="63" t="str">
        <f aca="false">IF(OR(BC$4="",$C12=""),"",IF(AND($C12&gt;=BC$4,$C12&lt;EDATE(BC$4,1)),"◆",""))</f>
        <v/>
      </c>
      <c r="BD12" s="63" t="str">
        <f aca="false">IF(OR(BD$4="",$C12=""),"",IF(AND($C12&gt;=BD$4,$C12&lt;EDATE(BD$4,1)),"◆",""))</f>
        <v/>
      </c>
      <c r="BE12" s="63" t="str">
        <f aca="false">IF(OR(BE$4="",$C12=""),"",IF(AND($C12&gt;=BE$4,$C12&lt;EDATE(BE$4,1)),"◆",""))</f>
        <v/>
      </c>
      <c r="BF12" s="63" t="str">
        <f aca="false">IF(OR(BF$4="",$C12=""),"",IF(AND($C12&gt;=BF$4,$C12&lt;EDATE(BF$4,1)),"◆",""))</f>
        <v/>
      </c>
      <c r="BG12" s="63" t="str">
        <f aca="false">IF(OR(BG$4="",$C12=""),"",IF(AND($C12&gt;=BG$4,$C12&lt;EDATE(BG$4,1)),"◆",""))</f>
        <v/>
      </c>
      <c r="BH12" s="63" t="str">
        <f aca="false">IF(OR(BH$4="",$C12=""),"",IF(AND($C12&gt;=BH$4,$C12&lt;EDATE(BH$4,1)),"◆",""))</f>
        <v/>
      </c>
      <c r="BI12" s="63" t="str">
        <f aca="false">IF(OR(BI$4="",$C12=""),"",IF(AND($C12&gt;=BI$4,$C12&lt;EDATE(BI$4,1)),"◆",""))</f>
        <v/>
      </c>
      <c r="BJ12" s="63" t="str">
        <f aca="false">IF(OR(BJ$4="",$C12=""),"",IF(AND($C12&gt;=BJ$4,$C12&lt;EDATE(BJ$4,1)),"◆",""))</f>
        <v/>
      </c>
      <c r="BK12" s="63" t="str">
        <f aca="false">IF(OR(BK$4="",$C12=""),"",IF(AND($C12&gt;=BK$4,$C12&lt;EDATE(BK$4,1)),"◆",""))</f>
        <v/>
      </c>
      <c r="BL12" s="63" t="str">
        <f aca="false">IF(OR(BL$4="",$C12=""),"",IF(AND($C12&gt;=BL$4,$C12&lt;EDATE(BL$4,1)),"◆",""))</f>
        <v/>
      </c>
      <c r="BM12" s="63" t="str">
        <f aca="false">IF(OR(BM$4="",$C12=""),"",IF(AND($C12&gt;=BM$4,$C12&lt;EDATE(BM$4,1)),"◆",""))</f>
        <v/>
      </c>
      <c r="BN12" s="63" t="str">
        <f aca="false">IF(OR(BN$4="",$C12=""),"",IF(AND($C12&gt;=BN$4,$C12&lt;EDATE(BN$4,1)),"◆",""))</f>
        <v/>
      </c>
      <c r="BO12" s="63" t="str">
        <f aca="false">IF(OR(BO$4="",$C12=""),"",IF(AND($C12&gt;=BO$4,$C12&lt;EDATE(BO$4,1)),"◆",""))</f>
        <v/>
      </c>
      <c r="BP12" s="63" t="str">
        <f aca="false">IF(OR(BP$4="",$C12=""),"",IF(AND($C12&gt;=BP$4,$C12&lt;EDATE(BP$4,1)),"◆",""))</f>
        <v/>
      </c>
      <c r="BQ12" s="63" t="str">
        <f aca="false">IF(OR(BQ$4="",$C12=""),"",IF(AND($C12&gt;=BQ$4,$C12&lt;EDATE(BQ$4,1)),"◆",""))</f>
        <v/>
      </c>
      <c r="BR12" s="63" t="str">
        <f aca="false">IF(OR(BR$4="",$C12=""),"",IF(AND($C12&gt;=BR$4,$C12&lt;EDATE(BR$4,1)),"◆",""))</f>
        <v/>
      </c>
      <c r="BS12" s="63" t="str">
        <f aca="false">IF(OR(BS$4="",$C12=""),"",IF(AND($C12&gt;=BS$4,$C12&lt;EDATE(BS$4,1)),"◆",""))</f>
        <v/>
      </c>
      <c r="BT12" s="63" t="str">
        <f aca="false">IF(OR(BT$4="",$C12=""),"",IF(AND($C12&gt;=BT$4,$C12&lt;EDATE(BT$4,1)),"◆",""))</f>
        <v/>
      </c>
      <c r="BU12" s="63" t="str">
        <f aca="false">IF(OR(BU$4="",$C12=""),"",IF(AND($C12&gt;=BU$4,$C12&lt;EDATE(BU$4,1)),"◆",""))</f>
        <v/>
      </c>
      <c r="BV12" s="63" t="str">
        <f aca="false">IF(OR(BV$4="",$C12=""),"",IF(AND($C12&gt;=BV$4,$C12&lt;EDATE(BV$4,1)),"◆",""))</f>
        <v/>
      </c>
      <c r="BW12" s="63" t="str">
        <f aca="false">IF(OR(BW$4="",$C12=""),"",IF(AND($C12&gt;=BW$4,$C12&lt;EDATE(BW$4,1)),"◆",""))</f>
        <v/>
      </c>
      <c r="BX12" s="63" t="str">
        <f aca="false">IF(OR(BX$4="",$C12=""),"",IF(AND($C12&gt;=BX$4,$C12&lt;EDATE(BX$4,1)),"◆",""))</f>
        <v/>
      </c>
      <c r="BY12" s="63" t="str">
        <f aca="false">IF(OR(BY$4="",$C12=""),"",IF(AND($C12&gt;=BY$4,$C12&lt;EDATE(BY$4,1)),"◆",""))</f>
        <v/>
      </c>
    </row>
    <row r="13" customFormat="false" ht="15" hidden="false" customHeight="false" outlineLevel="0" collapsed="false">
      <c r="A13" s="4"/>
      <c r="B13" s="53" t="str">
        <f aca="false">IF(Milestones!$B12="","",Milestones!$B12)</f>
        <v>Test Complete</v>
      </c>
      <c r="C13" s="54" t="n">
        <f aca="false">IF(Milestones!$E12="","",Milestones!$E12)</f>
        <v>47334</v>
      </c>
      <c r="D13" s="4"/>
      <c r="E13" s="4"/>
      <c r="F13" s="63" t="str">
        <f aca="false">IF(OR(F$4="",$C13=""),"",IF(AND($C13&gt;=F$4,$C13&lt;EDATE(F$4,1)),"◆",""))</f>
        <v/>
      </c>
      <c r="G13" s="63" t="str">
        <f aca="false">IF(OR(G$4="",$C13=""),"",IF(AND($C13&gt;=G$4,$C13&lt;EDATE(G$4,1)),"◆",""))</f>
        <v/>
      </c>
      <c r="H13" s="63" t="str">
        <f aca="false">IF(OR(H$4="",$C13=""),"",IF(AND($C13&gt;=H$4,$C13&lt;EDATE(H$4,1)),"◆",""))</f>
        <v/>
      </c>
      <c r="I13" s="63" t="str">
        <f aca="false">IF(OR(I$4="",$C13=""),"",IF(AND($C13&gt;=I$4,$C13&lt;EDATE(I$4,1)),"◆",""))</f>
        <v/>
      </c>
      <c r="J13" s="63" t="str">
        <f aca="false">IF(OR(J$4="",$C13=""),"",IF(AND($C13&gt;=J$4,$C13&lt;EDATE(J$4,1)),"◆",""))</f>
        <v/>
      </c>
      <c r="K13" s="63" t="str">
        <f aca="false">IF(OR(K$4="",$C13=""),"",IF(AND($C13&gt;=K$4,$C13&lt;EDATE(K$4,1)),"◆",""))</f>
        <v/>
      </c>
      <c r="L13" s="63" t="str">
        <f aca="false">IF(OR(L$4="",$C13=""),"",IF(AND($C13&gt;=L$4,$C13&lt;EDATE(L$4,1)),"◆",""))</f>
        <v/>
      </c>
      <c r="M13" s="63" t="str">
        <f aca="false">IF(OR(M$4="",$C13=""),"",IF(AND($C13&gt;=M$4,$C13&lt;EDATE(M$4,1)),"◆",""))</f>
        <v/>
      </c>
      <c r="N13" s="63" t="str">
        <f aca="false">IF(OR(N$4="",$C13=""),"",IF(AND($C13&gt;=N$4,$C13&lt;EDATE(N$4,1)),"◆",""))</f>
        <v/>
      </c>
      <c r="O13" s="63" t="str">
        <f aca="false">IF(OR(O$4="",$C13=""),"",IF(AND($C13&gt;=O$4,$C13&lt;EDATE(O$4,1)),"◆",""))</f>
        <v/>
      </c>
      <c r="P13" s="63" t="str">
        <f aca="false">IF(OR(P$4="",$C13=""),"",IF(AND($C13&gt;=P$4,$C13&lt;EDATE(P$4,1)),"◆",""))</f>
        <v/>
      </c>
      <c r="Q13" s="63" t="str">
        <f aca="false">IF(OR(Q$4="",$C13=""),"",IF(AND($C13&gt;=Q$4,$C13&lt;EDATE(Q$4,1)),"◆",""))</f>
        <v/>
      </c>
      <c r="R13" s="63" t="str">
        <f aca="false">IF(OR(R$4="",$C13=""),"",IF(AND($C13&gt;=R$4,$C13&lt;EDATE(R$4,1)),"◆",""))</f>
        <v/>
      </c>
      <c r="S13" s="63" t="str">
        <f aca="false">IF(OR(S$4="",$C13=""),"",IF(AND($C13&gt;=S$4,$C13&lt;EDATE(S$4,1)),"◆",""))</f>
        <v/>
      </c>
      <c r="T13" s="63" t="str">
        <f aca="false">IF(OR(T$4="",$C13=""),"",IF(AND($C13&gt;=T$4,$C13&lt;EDATE(T$4,1)),"◆",""))</f>
        <v/>
      </c>
      <c r="U13" s="63" t="str">
        <f aca="false">IF(OR(U$4="",$C13=""),"",IF(AND($C13&gt;=U$4,$C13&lt;EDATE(U$4,1)),"◆",""))</f>
        <v/>
      </c>
      <c r="V13" s="63" t="str">
        <f aca="false">IF(OR(V$4="",$C13=""),"",IF(AND($C13&gt;=V$4,$C13&lt;EDATE(V$4,1)),"◆",""))</f>
        <v/>
      </c>
      <c r="W13" s="63" t="str">
        <f aca="false">IF(OR(W$4="",$C13=""),"",IF(AND($C13&gt;=W$4,$C13&lt;EDATE(W$4,1)),"◆",""))</f>
        <v/>
      </c>
      <c r="X13" s="63" t="str">
        <f aca="false">IF(OR(X$4="",$C13=""),"",IF(AND($C13&gt;=X$4,$C13&lt;EDATE(X$4,1)),"◆",""))</f>
        <v/>
      </c>
      <c r="Y13" s="63" t="str">
        <f aca="false">IF(OR(Y$4="",$C13=""),"",IF(AND($C13&gt;=Y$4,$C13&lt;EDATE(Y$4,1)),"◆",""))</f>
        <v/>
      </c>
      <c r="Z13" s="63" t="str">
        <f aca="false">IF(OR(Z$4="",$C13=""),"",IF(AND($C13&gt;=Z$4,$C13&lt;EDATE(Z$4,1)),"◆",""))</f>
        <v/>
      </c>
      <c r="AA13" s="63" t="str">
        <f aca="false">IF(OR(AA$4="",$C13=""),"",IF(AND($C13&gt;=AA$4,$C13&lt;EDATE(AA$4,1)),"◆",""))</f>
        <v/>
      </c>
      <c r="AB13" s="63" t="str">
        <f aca="false">IF(OR(AB$4="",$C13=""),"",IF(AND($C13&gt;=AB$4,$C13&lt;EDATE(AB$4,1)),"◆",""))</f>
        <v/>
      </c>
      <c r="AC13" s="63" t="str">
        <f aca="false">IF(OR(AC$4="",$C13=""),"",IF(AND($C13&gt;=AC$4,$C13&lt;EDATE(AC$4,1)),"◆",""))</f>
        <v/>
      </c>
      <c r="AD13" s="63" t="str">
        <f aca="false">IF(OR(AD$4="",$C13=""),"",IF(AND($C13&gt;=AD$4,$C13&lt;EDATE(AD$4,1)),"◆",""))</f>
        <v/>
      </c>
      <c r="AE13" s="63" t="str">
        <f aca="false">IF(OR(AE$4="",$C13=""),"",IF(AND($C13&gt;=AE$4,$C13&lt;EDATE(AE$4,1)),"◆",""))</f>
        <v/>
      </c>
      <c r="AF13" s="63" t="str">
        <f aca="false">IF(OR(AF$4="",$C13=""),"",IF(AND($C13&gt;=AF$4,$C13&lt;EDATE(AF$4,1)),"◆",""))</f>
        <v/>
      </c>
      <c r="AG13" s="63" t="str">
        <f aca="false">IF(OR(AG$4="",$C13=""),"",IF(AND($C13&gt;=AG$4,$C13&lt;EDATE(AG$4,1)),"◆",""))</f>
        <v/>
      </c>
      <c r="AH13" s="63" t="str">
        <f aca="false">IF(OR(AH$4="",$C13=""),"",IF(AND($C13&gt;=AH$4,$C13&lt;EDATE(AH$4,1)),"◆",""))</f>
        <v/>
      </c>
      <c r="AI13" s="63" t="str">
        <f aca="false">IF(OR(AI$4="",$C13=""),"",IF(AND($C13&gt;=AI$4,$C13&lt;EDATE(AI$4,1)),"◆",""))</f>
        <v/>
      </c>
      <c r="AJ13" s="63" t="str">
        <f aca="false">IF(OR(AJ$4="",$C13=""),"",IF(AND($C13&gt;=AJ$4,$C13&lt;EDATE(AJ$4,1)),"◆",""))</f>
        <v/>
      </c>
      <c r="AK13" s="63" t="str">
        <f aca="false">IF(OR(AK$4="",$C13=""),"",IF(AND($C13&gt;=AK$4,$C13&lt;EDATE(AK$4,1)),"◆",""))</f>
        <v>◆</v>
      </c>
      <c r="AL13" s="63" t="str">
        <f aca="false">IF(OR(AL$4="",$C13=""),"",IF(AND($C13&gt;=AL$4,$C13&lt;EDATE(AL$4,1)),"◆",""))</f>
        <v/>
      </c>
      <c r="AM13" s="63" t="str">
        <f aca="false">IF(OR(AM$4="",$C13=""),"",IF(AND($C13&gt;=AM$4,$C13&lt;EDATE(AM$4,1)),"◆",""))</f>
        <v/>
      </c>
      <c r="AN13" s="63" t="str">
        <f aca="false">IF(OR(AN$4="",$C13=""),"",IF(AND($C13&gt;=AN$4,$C13&lt;EDATE(AN$4,1)),"◆",""))</f>
        <v/>
      </c>
      <c r="AO13" s="63" t="str">
        <f aca="false">IF(OR(AO$4="",$C13=""),"",IF(AND($C13&gt;=AO$4,$C13&lt;EDATE(AO$4,1)),"◆",""))</f>
        <v/>
      </c>
      <c r="AP13" s="63" t="str">
        <f aca="false">IF(OR(AP$4="",$C13=""),"",IF(AND($C13&gt;=AP$4,$C13&lt;EDATE(AP$4,1)),"◆",""))</f>
        <v/>
      </c>
      <c r="AQ13" s="63" t="str">
        <f aca="false">IF(OR(AQ$4="",$C13=""),"",IF(AND($C13&gt;=AQ$4,$C13&lt;EDATE(AQ$4,1)),"◆",""))</f>
        <v/>
      </c>
      <c r="AR13" s="63" t="str">
        <f aca="false">IF(OR(AR$4="",$C13=""),"",IF(AND($C13&gt;=AR$4,$C13&lt;EDATE(AR$4,1)),"◆",""))</f>
        <v/>
      </c>
      <c r="AS13" s="63" t="str">
        <f aca="false">IF(OR(AS$4="",$C13=""),"",IF(AND($C13&gt;=AS$4,$C13&lt;EDATE(AS$4,1)),"◆",""))</f>
        <v/>
      </c>
      <c r="AT13" s="63" t="str">
        <f aca="false">IF(OR(AT$4="",$C13=""),"",IF(AND($C13&gt;=AT$4,$C13&lt;EDATE(AT$4,1)),"◆",""))</f>
        <v/>
      </c>
      <c r="AU13" s="63" t="str">
        <f aca="false">IF(OR(AU$4="",$C13=""),"",IF(AND($C13&gt;=AU$4,$C13&lt;EDATE(AU$4,1)),"◆",""))</f>
        <v/>
      </c>
      <c r="AV13" s="63" t="str">
        <f aca="false">IF(OR(AV$4="",$C13=""),"",IF(AND($C13&gt;=AV$4,$C13&lt;EDATE(AV$4,1)),"◆",""))</f>
        <v/>
      </c>
      <c r="AW13" s="63" t="str">
        <f aca="false">IF(OR(AW$4="",$C13=""),"",IF(AND($C13&gt;=AW$4,$C13&lt;EDATE(AW$4,1)),"◆",""))</f>
        <v/>
      </c>
      <c r="AX13" s="63" t="str">
        <f aca="false">IF(OR(AX$4="",$C13=""),"",IF(AND($C13&gt;=AX$4,$C13&lt;EDATE(AX$4,1)),"◆",""))</f>
        <v/>
      </c>
      <c r="AY13" s="63" t="str">
        <f aca="false">IF(OR(AY$4="",$C13=""),"",IF(AND($C13&gt;=AY$4,$C13&lt;EDATE(AY$4,1)),"◆",""))</f>
        <v/>
      </c>
      <c r="AZ13" s="63" t="str">
        <f aca="false">IF(OR(AZ$4="",$C13=""),"",IF(AND($C13&gt;=AZ$4,$C13&lt;EDATE(AZ$4,1)),"◆",""))</f>
        <v/>
      </c>
      <c r="BA13" s="63" t="str">
        <f aca="false">IF(OR(BA$4="",$C13=""),"",IF(AND($C13&gt;=BA$4,$C13&lt;EDATE(BA$4,1)),"◆",""))</f>
        <v/>
      </c>
      <c r="BB13" s="63" t="str">
        <f aca="false">IF(OR(BB$4="",$C13=""),"",IF(AND($C13&gt;=BB$4,$C13&lt;EDATE(BB$4,1)),"◆",""))</f>
        <v/>
      </c>
      <c r="BC13" s="63" t="str">
        <f aca="false">IF(OR(BC$4="",$C13=""),"",IF(AND($C13&gt;=BC$4,$C13&lt;EDATE(BC$4,1)),"◆",""))</f>
        <v/>
      </c>
      <c r="BD13" s="63" t="str">
        <f aca="false">IF(OR(BD$4="",$C13=""),"",IF(AND($C13&gt;=BD$4,$C13&lt;EDATE(BD$4,1)),"◆",""))</f>
        <v/>
      </c>
      <c r="BE13" s="63" t="str">
        <f aca="false">IF(OR(BE$4="",$C13=""),"",IF(AND($C13&gt;=BE$4,$C13&lt;EDATE(BE$4,1)),"◆",""))</f>
        <v/>
      </c>
      <c r="BF13" s="63" t="str">
        <f aca="false">IF(OR(BF$4="",$C13=""),"",IF(AND($C13&gt;=BF$4,$C13&lt;EDATE(BF$4,1)),"◆",""))</f>
        <v/>
      </c>
      <c r="BG13" s="63" t="str">
        <f aca="false">IF(OR(BG$4="",$C13=""),"",IF(AND($C13&gt;=BG$4,$C13&lt;EDATE(BG$4,1)),"◆",""))</f>
        <v/>
      </c>
      <c r="BH13" s="63" t="str">
        <f aca="false">IF(OR(BH$4="",$C13=""),"",IF(AND($C13&gt;=BH$4,$C13&lt;EDATE(BH$4,1)),"◆",""))</f>
        <v/>
      </c>
      <c r="BI13" s="63" t="str">
        <f aca="false">IF(OR(BI$4="",$C13=""),"",IF(AND($C13&gt;=BI$4,$C13&lt;EDATE(BI$4,1)),"◆",""))</f>
        <v/>
      </c>
      <c r="BJ13" s="63" t="str">
        <f aca="false">IF(OR(BJ$4="",$C13=""),"",IF(AND($C13&gt;=BJ$4,$C13&lt;EDATE(BJ$4,1)),"◆",""))</f>
        <v/>
      </c>
      <c r="BK13" s="63" t="str">
        <f aca="false">IF(OR(BK$4="",$C13=""),"",IF(AND($C13&gt;=BK$4,$C13&lt;EDATE(BK$4,1)),"◆",""))</f>
        <v/>
      </c>
      <c r="BL13" s="63" t="str">
        <f aca="false">IF(OR(BL$4="",$C13=""),"",IF(AND($C13&gt;=BL$4,$C13&lt;EDATE(BL$4,1)),"◆",""))</f>
        <v/>
      </c>
      <c r="BM13" s="63" t="str">
        <f aca="false">IF(OR(BM$4="",$C13=""),"",IF(AND($C13&gt;=BM$4,$C13&lt;EDATE(BM$4,1)),"◆",""))</f>
        <v/>
      </c>
      <c r="BN13" s="63" t="str">
        <f aca="false">IF(OR(BN$4="",$C13=""),"",IF(AND($C13&gt;=BN$4,$C13&lt;EDATE(BN$4,1)),"◆",""))</f>
        <v/>
      </c>
      <c r="BO13" s="63" t="str">
        <f aca="false">IF(OR(BO$4="",$C13=""),"",IF(AND($C13&gt;=BO$4,$C13&lt;EDATE(BO$4,1)),"◆",""))</f>
        <v/>
      </c>
      <c r="BP13" s="63" t="str">
        <f aca="false">IF(OR(BP$4="",$C13=""),"",IF(AND($C13&gt;=BP$4,$C13&lt;EDATE(BP$4,1)),"◆",""))</f>
        <v/>
      </c>
      <c r="BQ13" s="63" t="str">
        <f aca="false">IF(OR(BQ$4="",$C13=""),"",IF(AND($C13&gt;=BQ$4,$C13&lt;EDATE(BQ$4,1)),"◆",""))</f>
        <v/>
      </c>
      <c r="BR13" s="63" t="str">
        <f aca="false">IF(OR(BR$4="",$C13=""),"",IF(AND($C13&gt;=BR$4,$C13&lt;EDATE(BR$4,1)),"◆",""))</f>
        <v/>
      </c>
      <c r="BS13" s="63" t="str">
        <f aca="false">IF(OR(BS$4="",$C13=""),"",IF(AND($C13&gt;=BS$4,$C13&lt;EDATE(BS$4,1)),"◆",""))</f>
        <v/>
      </c>
      <c r="BT13" s="63" t="str">
        <f aca="false">IF(OR(BT$4="",$C13=""),"",IF(AND($C13&gt;=BT$4,$C13&lt;EDATE(BT$4,1)),"◆",""))</f>
        <v/>
      </c>
      <c r="BU13" s="63" t="str">
        <f aca="false">IF(OR(BU$4="",$C13=""),"",IF(AND($C13&gt;=BU$4,$C13&lt;EDATE(BU$4,1)),"◆",""))</f>
        <v/>
      </c>
      <c r="BV13" s="63" t="str">
        <f aca="false">IF(OR(BV$4="",$C13=""),"",IF(AND($C13&gt;=BV$4,$C13&lt;EDATE(BV$4,1)),"◆",""))</f>
        <v/>
      </c>
      <c r="BW13" s="63" t="str">
        <f aca="false">IF(OR(BW$4="",$C13=""),"",IF(AND($C13&gt;=BW$4,$C13&lt;EDATE(BW$4,1)),"◆",""))</f>
        <v/>
      </c>
      <c r="BX13" s="63" t="str">
        <f aca="false">IF(OR(BX$4="",$C13=""),"",IF(AND($C13&gt;=BX$4,$C13&lt;EDATE(BX$4,1)),"◆",""))</f>
        <v/>
      </c>
      <c r="BY13" s="63" t="str">
        <f aca="false">IF(OR(BY$4="",$C13=""),"",IF(AND($C13&gt;=BY$4,$C13&lt;EDATE(BY$4,1)),"◆",""))</f>
        <v/>
      </c>
    </row>
    <row r="14" customFormat="false" ht="15" hidden="false" customHeight="false" outlineLevel="0" collapsed="false">
      <c r="A14" s="4"/>
      <c r="B14" s="53" t="str">
        <f aca="false">IF(Milestones!$B13="","",Milestones!$B13)</f>
        <v>SAR Submittal</v>
      </c>
      <c r="C14" s="54" t="n">
        <f aca="false">IF(Milestones!$E13="","",Milestones!$E13)</f>
        <v>47395</v>
      </c>
      <c r="D14" s="4"/>
      <c r="E14" s="4"/>
      <c r="F14" s="63" t="str">
        <f aca="false">IF(OR(F$4="",$C14=""),"",IF(AND($C14&gt;=F$4,$C14&lt;EDATE(F$4,1)),"◆",""))</f>
        <v/>
      </c>
      <c r="G14" s="63" t="str">
        <f aca="false">IF(OR(G$4="",$C14=""),"",IF(AND($C14&gt;=G$4,$C14&lt;EDATE(G$4,1)),"◆",""))</f>
        <v/>
      </c>
      <c r="H14" s="63" t="str">
        <f aca="false">IF(OR(H$4="",$C14=""),"",IF(AND($C14&gt;=H$4,$C14&lt;EDATE(H$4,1)),"◆",""))</f>
        <v/>
      </c>
      <c r="I14" s="63" t="str">
        <f aca="false">IF(OR(I$4="",$C14=""),"",IF(AND($C14&gt;=I$4,$C14&lt;EDATE(I$4,1)),"◆",""))</f>
        <v/>
      </c>
      <c r="J14" s="63" t="str">
        <f aca="false">IF(OR(J$4="",$C14=""),"",IF(AND($C14&gt;=J$4,$C14&lt;EDATE(J$4,1)),"◆",""))</f>
        <v/>
      </c>
      <c r="K14" s="63" t="str">
        <f aca="false">IF(OR(K$4="",$C14=""),"",IF(AND($C14&gt;=K$4,$C14&lt;EDATE(K$4,1)),"◆",""))</f>
        <v/>
      </c>
      <c r="L14" s="63" t="str">
        <f aca="false">IF(OR(L$4="",$C14=""),"",IF(AND($C14&gt;=L$4,$C14&lt;EDATE(L$4,1)),"◆",""))</f>
        <v/>
      </c>
      <c r="M14" s="63" t="str">
        <f aca="false">IF(OR(M$4="",$C14=""),"",IF(AND($C14&gt;=M$4,$C14&lt;EDATE(M$4,1)),"◆",""))</f>
        <v/>
      </c>
      <c r="N14" s="63" t="str">
        <f aca="false">IF(OR(N$4="",$C14=""),"",IF(AND($C14&gt;=N$4,$C14&lt;EDATE(N$4,1)),"◆",""))</f>
        <v/>
      </c>
      <c r="O14" s="63" t="str">
        <f aca="false">IF(OR(O$4="",$C14=""),"",IF(AND($C14&gt;=O$4,$C14&lt;EDATE(O$4,1)),"◆",""))</f>
        <v/>
      </c>
      <c r="P14" s="63" t="str">
        <f aca="false">IF(OR(P$4="",$C14=""),"",IF(AND($C14&gt;=P$4,$C14&lt;EDATE(P$4,1)),"◆",""))</f>
        <v/>
      </c>
      <c r="Q14" s="63" t="str">
        <f aca="false">IF(OR(Q$4="",$C14=""),"",IF(AND($C14&gt;=Q$4,$C14&lt;EDATE(Q$4,1)),"◆",""))</f>
        <v/>
      </c>
      <c r="R14" s="63" t="str">
        <f aca="false">IF(OR(R$4="",$C14=""),"",IF(AND($C14&gt;=R$4,$C14&lt;EDATE(R$4,1)),"◆",""))</f>
        <v/>
      </c>
      <c r="S14" s="63" t="str">
        <f aca="false">IF(OR(S$4="",$C14=""),"",IF(AND($C14&gt;=S$4,$C14&lt;EDATE(S$4,1)),"◆",""))</f>
        <v/>
      </c>
      <c r="T14" s="63" t="str">
        <f aca="false">IF(OR(T$4="",$C14=""),"",IF(AND($C14&gt;=T$4,$C14&lt;EDATE(T$4,1)),"◆",""))</f>
        <v/>
      </c>
      <c r="U14" s="63" t="str">
        <f aca="false">IF(OR(U$4="",$C14=""),"",IF(AND($C14&gt;=U$4,$C14&lt;EDATE(U$4,1)),"◆",""))</f>
        <v/>
      </c>
      <c r="V14" s="63" t="str">
        <f aca="false">IF(OR(V$4="",$C14=""),"",IF(AND($C14&gt;=V$4,$C14&lt;EDATE(V$4,1)),"◆",""))</f>
        <v/>
      </c>
      <c r="W14" s="63" t="str">
        <f aca="false">IF(OR(W$4="",$C14=""),"",IF(AND($C14&gt;=W$4,$C14&lt;EDATE(W$4,1)),"◆",""))</f>
        <v/>
      </c>
      <c r="X14" s="63" t="str">
        <f aca="false">IF(OR(X$4="",$C14=""),"",IF(AND($C14&gt;=X$4,$C14&lt;EDATE(X$4,1)),"◆",""))</f>
        <v/>
      </c>
      <c r="Y14" s="63" t="str">
        <f aca="false">IF(OR(Y$4="",$C14=""),"",IF(AND($C14&gt;=Y$4,$C14&lt;EDATE(Y$4,1)),"◆",""))</f>
        <v/>
      </c>
      <c r="Z14" s="63" t="str">
        <f aca="false">IF(OR(Z$4="",$C14=""),"",IF(AND($C14&gt;=Z$4,$C14&lt;EDATE(Z$4,1)),"◆",""))</f>
        <v/>
      </c>
      <c r="AA14" s="63" t="str">
        <f aca="false">IF(OR(AA$4="",$C14=""),"",IF(AND($C14&gt;=AA$4,$C14&lt;EDATE(AA$4,1)),"◆",""))</f>
        <v/>
      </c>
      <c r="AB14" s="63" t="str">
        <f aca="false">IF(OR(AB$4="",$C14=""),"",IF(AND($C14&gt;=AB$4,$C14&lt;EDATE(AB$4,1)),"◆",""))</f>
        <v/>
      </c>
      <c r="AC14" s="63" t="str">
        <f aca="false">IF(OR(AC$4="",$C14=""),"",IF(AND($C14&gt;=AC$4,$C14&lt;EDATE(AC$4,1)),"◆",""))</f>
        <v/>
      </c>
      <c r="AD14" s="63" t="str">
        <f aca="false">IF(OR(AD$4="",$C14=""),"",IF(AND($C14&gt;=AD$4,$C14&lt;EDATE(AD$4,1)),"◆",""))</f>
        <v/>
      </c>
      <c r="AE14" s="63" t="str">
        <f aca="false">IF(OR(AE$4="",$C14=""),"",IF(AND($C14&gt;=AE$4,$C14&lt;EDATE(AE$4,1)),"◆",""))</f>
        <v/>
      </c>
      <c r="AF14" s="63" t="str">
        <f aca="false">IF(OR(AF$4="",$C14=""),"",IF(AND($C14&gt;=AF$4,$C14&lt;EDATE(AF$4,1)),"◆",""))</f>
        <v/>
      </c>
      <c r="AG14" s="63" t="str">
        <f aca="false">IF(OR(AG$4="",$C14=""),"",IF(AND($C14&gt;=AG$4,$C14&lt;EDATE(AG$4,1)),"◆",""))</f>
        <v/>
      </c>
      <c r="AH14" s="63" t="str">
        <f aca="false">IF(OR(AH$4="",$C14=""),"",IF(AND($C14&gt;=AH$4,$C14&lt;EDATE(AH$4,1)),"◆",""))</f>
        <v/>
      </c>
      <c r="AI14" s="63" t="str">
        <f aca="false">IF(OR(AI$4="",$C14=""),"",IF(AND($C14&gt;=AI$4,$C14&lt;EDATE(AI$4,1)),"◆",""))</f>
        <v/>
      </c>
      <c r="AJ14" s="63" t="str">
        <f aca="false">IF(OR(AJ$4="",$C14=""),"",IF(AND($C14&gt;=AJ$4,$C14&lt;EDATE(AJ$4,1)),"◆",""))</f>
        <v/>
      </c>
      <c r="AK14" s="63" t="str">
        <f aca="false">IF(OR(AK$4="",$C14=""),"",IF(AND($C14&gt;=AK$4,$C14&lt;EDATE(AK$4,1)),"◆",""))</f>
        <v/>
      </c>
      <c r="AL14" s="63" t="str">
        <f aca="false">IF(OR(AL$4="",$C14=""),"",IF(AND($C14&gt;=AL$4,$C14&lt;EDATE(AL$4,1)),"◆",""))</f>
        <v/>
      </c>
      <c r="AM14" s="63" t="str">
        <f aca="false">IF(OR(AM$4="",$C14=""),"",IF(AND($C14&gt;=AM$4,$C14&lt;EDATE(AM$4,1)),"◆",""))</f>
        <v>◆</v>
      </c>
      <c r="AN14" s="63" t="str">
        <f aca="false">IF(OR(AN$4="",$C14=""),"",IF(AND($C14&gt;=AN$4,$C14&lt;EDATE(AN$4,1)),"◆",""))</f>
        <v/>
      </c>
      <c r="AO14" s="63" t="str">
        <f aca="false">IF(OR(AO$4="",$C14=""),"",IF(AND($C14&gt;=AO$4,$C14&lt;EDATE(AO$4,1)),"◆",""))</f>
        <v/>
      </c>
      <c r="AP14" s="63" t="str">
        <f aca="false">IF(OR(AP$4="",$C14=""),"",IF(AND($C14&gt;=AP$4,$C14&lt;EDATE(AP$4,1)),"◆",""))</f>
        <v/>
      </c>
      <c r="AQ14" s="63" t="str">
        <f aca="false">IF(OR(AQ$4="",$C14=""),"",IF(AND($C14&gt;=AQ$4,$C14&lt;EDATE(AQ$4,1)),"◆",""))</f>
        <v/>
      </c>
      <c r="AR14" s="63" t="str">
        <f aca="false">IF(OR(AR$4="",$C14=""),"",IF(AND($C14&gt;=AR$4,$C14&lt;EDATE(AR$4,1)),"◆",""))</f>
        <v/>
      </c>
      <c r="AS14" s="63" t="str">
        <f aca="false">IF(OR(AS$4="",$C14=""),"",IF(AND($C14&gt;=AS$4,$C14&lt;EDATE(AS$4,1)),"◆",""))</f>
        <v/>
      </c>
      <c r="AT14" s="63" t="str">
        <f aca="false">IF(OR(AT$4="",$C14=""),"",IF(AND($C14&gt;=AT$4,$C14&lt;EDATE(AT$4,1)),"◆",""))</f>
        <v/>
      </c>
      <c r="AU14" s="63" t="str">
        <f aca="false">IF(OR(AU$4="",$C14=""),"",IF(AND($C14&gt;=AU$4,$C14&lt;EDATE(AU$4,1)),"◆",""))</f>
        <v/>
      </c>
      <c r="AV14" s="63" t="str">
        <f aca="false">IF(OR(AV$4="",$C14=""),"",IF(AND($C14&gt;=AV$4,$C14&lt;EDATE(AV$4,1)),"◆",""))</f>
        <v/>
      </c>
      <c r="AW14" s="63" t="str">
        <f aca="false">IF(OR(AW$4="",$C14=""),"",IF(AND($C14&gt;=AW$4,$C14&lt;EDATE(AW$4,1)),"◆",""))</f>
        <v/>
      </c>
      <c r="AX14" s="63" t="str">
        <f aca="false">IF(OR(AX$4="",$C14=""),"",IF(AND($C14&gt;=AX$4,$C14&lt;EDATE(AX$4,1)),"◆",""))</f>
        <v/>
      </c>
      <c r="AY14" s="63" t="str">
        <f aca="false">IF(OR(AY$4="",$C14=""),"",IF(AND($C14&gt;=AY$4,$C14&lt;EDATE(AY$4,1)),"◆",""))</f>
        <v/>
      </c>
      <c r="AZ14" s="63" t="str">
        <f aca="false">IF(OR(AZ$4="",$C14=""),"",IF(AND($C14&gt;=AZ$4,$C14&lt;EDATE(AZ$4,1)),"◆",""))</f>
        <v/>
      </c>
      <c r="BA14" s="63" t="str">
        <f aca="false">IF(OR(BA$4="",$C14=""),"",IF(AND($C14&gt;=BA$4,$C14&lt;EDATE(BA$4,1)),"◆",""))</f>
        <v/>
      </c>
      <c r="BB14" s="63" t="str">
        <f aca="false">IF(OR(BB$4="",$C14=""),"",IF(AND($C14&gt;=BB$4,$C14&lt;EDATE(BB$4,1)),"◆",""))</f>
        <v/>
      </c>
      <c r="BC14" s="63" t="str">
        <f aca="false">IF(OR(BC$4="",$C14=""),"",IF(AND($C14&gt;=BC$4,$C14&lt;EDATE(BC$4,1)),"◆",""))</f>
        <v/>
      </c>
      <c r="BD14" s="63" t="str">
        <f aca="false">IF(OR(BD$4="",$C14=""),"",IF(AND($C14&gt;=BD$4,$C14&lt;EDATE(BD$4,1)),"◆",""))</f>
        <v/>
      </c>
      <c r="BE14" s="63" t="str">
        <f aca="false">IF(OR(BE$4="",$C14=""),"",IF(AND($C14&gt;=BE$4,$C14&lt;EDATE(BE$4,1)),"◆",""))</f>
        <v/>
      </c>
      <c r="BF14" s="63" t="str">
        <f aca="false">IF(OR(BF$4="",$C14=""),"",IF(AND($C14&gt;=BF$4,$C14&lt;EDATE(BF$4,1)),"◆",""))</f>
        <v/>
      </c>
      <c r="BG14" s="63" t="str">
        <f aca="false">IF(OR(BG$4="",$C14=""),"",IF(AND($C14&gt;=BG$4,$C14&lt;EDATE(BG$4,1)),"◆",""))</f>
        <v/>
      </c>
      <c r="BH14" s="63" t="str">
        <f aca="false">IF(OR(BH$4="",$C14=""),"",IF(AND($C14&gt;=BH$4,$C14&lt;EDATE(BH$4,1)),"◆",""))</f>
        <v/>
      </c>
      <c r="BI14" s="63" t="str">
        <f aca="false">IF(OR(BI$4="",$C14=""),"",IF(AND($C14&gt;=BI$4,$C14&lt;EDATE(BI$4,1)),"◆",""))</f>
        <v/>
      </c>
      <c r="BJ14" s="63" t="str">
        <f aca="false">IF(OR(BJ$4="",$C14=""),"",IF(AND($C14&gt;=BJ$4,$C14&lt;EDATE(BJ$4,1)),"◆",""))</f>
        <v/>
      </c>
      <c r="BK14" s="63" t="str">
        <f aca="false">IF(OR(BK$4="",$C14=""),"",IF(AND($C14&gt;=BK$4,$C14&lt;EDATE(BK$4,1)),"◆",""))</f>
        <v/>
      </c>
      <c r="BL14" s="63" t="str">
        <f aca="false">IF(OR(BL$4="",$C14=""),"",IF(AND($C14&gt;=BL$4,$C14&lt;EDATE(BL$4,1)),"◆",""))</f>
        <v/>
      </c>
      <c r="BM14" s="63" t="str">
        <f aca="false">IF(OR(BM$4="",$C14=""),"",IF(AND($C14&gt;=BM$4,$C14&lt;EDATE(BM$4,1)),"◆",""))</f>
        <v/>
      </c>
      <c r="BN14" s="63" t="str">
        <f aca="false">IF(OR(BN$4="",$C14=""),"",IF(AND($C14&gt;=BN$4,$C14&lt;EDATE(BN$4,1)),"◆",""))</f>
        <v/>
      </c>
      <c r="BO14" s="63" t="str">
        <f aca="false">IF(OR(BO$4="",$C14=""),"",IF(AND($C14&gt;=BO$4,$C14&lt;EDATE(BO$4,1)),"◆",""))</f>
        <v/>
      </c>
      <c r="BP14" s="63" t="str">
        <f aca="false">IF(OR(BP$4="",$C14=""),"",IF(AND($C14&gt;=BP$4,$C14&lt;EDATE(BP$4,1)),"◆",""))</f>
        <v/>
      </c>
      <c r="BQ14" s="63" t="str">
        <f aca="false">IF(OR(BQ$4="",$C14=""),"",IF(AND($C14&gt;=BQ$4,$C14&lt;EDATE(BQ$4,1)),"◆",""))</f>
        <v/>
      </c>
      <c r="BR14" s="63" t="str">
        <f aca="false">IF(OR(BR$4="",$C14=""),"",IF(AND($C14&gt;=BR$4,$C14&lt;EDATE(BR$4,1)),"◆",""))</f>
        <v/>
      </c>
      <c r="BS14" s="63" t="str">
        <f aca="false">IF(OR(BS$4="",$C14=""),"",IF(AND($C14&gt;=BS$4,$C14&lt;EDATE(BS$4,1)),"◆",""))</f>
        <v/>
      </c>
      <c r="BT14" s="63" t="str">
        <f aca="false">IF(OR(BT$4="",$C14=""),"",IF(AND($C14&gt;=BT$4,$C14&lt;EDATE(BT$4,1)),"◆",""))</f>
        <v/>
      </c>
      <c r="BU14" s="63" t="str">
        <f aca="false">IF(OR(BU$4="",$C14=""),"",IF(AND($C14&gt;=BU$4,$C14&lt;EDATE(BU$4,1)),"◆",""))</f>
        <v/>
      </c>
      <c r="BV14" s="63" t="str">
        <f aca="false">IF(OR(BV$4="",$C14=""),"",IF(AND($C14&gt;=BV$4,$C14&lt;EDATE(BV$4,1)),"◆",""))</f>
        <v/>
      </c>
      <c r="BW14" s="63" t="str">
        <f aca="false">IF(OR(BW$4="",$C14=""),"",IF(AND($C14&gt;=BW$4,$C14&lt;EDATE(BW$4,1)),"◆",""))</f>
        <v/>
      </c>
      <c r="BX14" s="63" t="str">
        <f aca="false">IF(OR(BX$4="",$C14=""),"",IF(AND($C14&gt;=BX$4,$C14&lt;EDATE(BX$4,1)),"◆",""))</f>
        <v/>
      </c>
      <c r="BY14" s="63" t="str">
        <f aca="false">IF(OR(BY$4="",$C14=""),"",IF(AND($C14&gt;=BY$4,$C14&lt;EDATE(BY$4,1)),"◆",""))</f>
        <v/>
      </c>
    </row>
    <row r="15" customFormat="false" ht="15" hidden="false" customHeight="false" outlineLevel="0" collapsed="false">
      <c r="A15" s="4"/>
      <c r="B15" s="53" t="str">
        <f aca="false">IF(Milestones!$B14="","",Milestones!$B14)</f>
        <v>Program End</v>
      </c>
      <c r="C15" s="54" t="n">
        <f aca="false">IF(Milestones!$E14="","",Milestones!$E14)</f>
        <v>47483</v>
      </c>
      <c r="D15" s="4"/>
      <c r="E15" s="4"/>
      <c r="F15" s="63" t="str">
        <f aca="false">IF(OR(F$4="",$C15=""),"",IF(AND($C15&gt;=F$4,$C15&lt;EDATE(F$4,1)),"◆",""))</f>
        <v/>
      </c>
      <c r="G15" s="63" t="str">
        <f aca="false">IF(OR(G$4="",$C15=""),"",IF(AND($C15&gt;=G$4,$C15&lt;EDATE(G$4,1)),"◆",""))</f>
        <v/>
      </c>
      <c r="H15" s="63" t="str">
        <f aca="false">IF(OR(H$4="",$C15=""),"",IF(AND($C15&gt;=H$4,$C15&lt;EDATE(H$4,1)),"◆",""))</f>
        <v/>
      </c>
      <c r="I15" s="63" t="str">
        <f aca="false">IF(OR(I$4="",$C15=""),"",IF(AND($C15&gt;=I$4,$C15&lt;EDATE(I$4,1)),"◆",""))</f>
        <v/>
      </c>
      <c r="J15" s="63" t="str">
        <f aca="false">IF(OR(J$4="",$C15=""),"",IF(AND($C15&gt;=J$4,$C15&lt;EDATE(J$4,1)),"◆",""))</f>
        <v/>
      </c>
      <c r="K15" s="63" t="str">
        <f aca="false">IF(OR(K$4="",$C15=""),"",IF(AND($C15&gt;=K$4,$C15&lt;EDATE(K$4,1)),"◆",""))</f>
        <v/>
      </c>
      <c r="L15" s="63" t="str">
        <f aca="false">IF(OR(L$4="",$C15=""),"",IF(AND($C15&gt;=L$4,$C15&lt;EDATE(L$4,1)),"◆",""))</f>
        <v/>
      </c>
      <c r="M15" s="63" t="str">
        <f aca="false">IF(OR(M$4="",$C15=""),"",IF(AND($C15&gt;=M$4,$C15&lt;EDATE(M$4,1)),"◆",""))</f>
        <v/>
      </c>
      <c r="N15" s="63" t="str">
        <f aca="false">IF(OR(N$4="",$C15=""),"",IF(AND($C15&gt;=N$4,$C15&lt;EDATE(N$4,1)),"◆",""))</f>
        <v/>
      </c>
      <c r="O15" s="63" t="str">
        <f aca="false">IF(OR(O$4="",$C15=""),"",IF(AND($C15&gt;=O$4,$C15&lt;EDATE(O$4,1)),"◆",""))</f>
        <v/>
      </c>
      <c r="P15" s="63" t="str">
        <f aca="false">IF(OR(P$4="",$C15=""),"",IF(AND($C15&gt;=P$4,$C15&lt;EDATE(P$4,1)),"◆",""))</f>
        <v/>
      </c>
      <c r="Q15" s="63" t="str">
        <f aca="false">IF(OR(Q$4="",$C15=""),"",IF(AND($C15&gt;=Q$4,$C15&lt;EDATE(Q$4,1)),"◆",""))</f>
        <v/>
      </c>
      <c r="R15" s="63" t="str">
        <f aca="false">IF(OR(R$4="",$C15=""),"",IF(AND($C15&gt;=R$4,$C15&lt;EDATE(R$4,1)),"◆",""))</f>
        <v/>
      </c>
      <c r="S15" s="63" t="str">
        <f aca="false">IF(OR(S$4="",$C15=""),"",IF(AND($C15&gt;=S$4,$C15&lt;EDATE(S$4,1)),"◆",""))</f>
        <v/>
      </c>
      <c r="T15" s="63" t="str">
        <f aca="false">IF(OR(T$4="",$C15=""),"",IF(AND($C15&gt;=T$4,$C15&lt;EDATE(T$4,1)),"◆",""))</f>
        <v/>
      </c>
      <c r="U15" s="63" t="str">
        <f aca="false">IF(OR(U$4="",$C15=""),"",IF(AND($C15&gt;=U$4,$C15&lt;EDATE(U$4,1)),"◆",""))</f>
        <v/>
      </c>
      <c r="V15" s="63" t="str">
        <f aca="false">IF(OR(V$4="",$C15=""),"",IF(AND($C15&gt;=V$4,$C15&lt;EDATE(V$4,1)),"◆",""))</f>
        <v/>
      </c>
      <c r="W15" s="63" t="str">
        <f aca="false">IF(OR(W$4="",$C15=""),"",IF(AND($C15&gt;=W$4,$C15&lt;EDATE(W$4,1)),"◆",""))</f>
        <v/>
      </c>
      <c r="X15" s="63" t="str">
        <f aca="false">IF(OR(X$4="",$C15=""),"",IF(AND($C15&gt;=X$4,$C15&lt;EDATE(X$4,1)),"◆",""))</f>
        <v/>
      </c>
      <c r="Y15" s="63" t="str">
        <f aca="false">IF(OR(Y$4="",$C15=""),"",IF(AND($C15&gt;=Y$4,$C15&lt;EDATE(Y$4,1)),"◆",""))</f>
        <v/>
      </c>
      <c r="Z15" s="63" t="str">
        <f aca="false">IF(OR(Z$4="",$C15=""),"",IF(AND($C15&gt;=Z$4,$C15&lt;EDATE(Z$4,1)),"◆",""))</f>
        <v/>
      </c>
      <c r="AA15" s="63" t="str">
        <f aca="false">IF(OR(AA$4="",$C15=""),"",IF(AND($C15&gt;=AA$4,$C15&lt;EDATE(AA$4,1)),"◆",""))</f>
        <v/>
      </c>
      <c r="AB15" s="63" t="str">
        <f aca="false">IF(OR(AB$4="",$C15=""),"",IF(AND($C15&gt;=AB$4,$C15&lt;EDATE(AB$4,1)),"◆",""))</f>
        <v/>
      </c>
      <c r="AC15" s="63" t="str">
        <f aca="false">IF(OR(AC$4="",$C15=""),"",IF(AND($C15&gt;=AC$4,$C15&lt;EDATE(AC$4,1)),"◆",""))</f>
        <v/>
      </c>
      <c r="AD15" s="63" t="str">
        <f aca="false">IF(OR(AD$4="",$C15=""),"",IF(AND($C15&gt;=AD$4,$C15&lt;EDATE(AD$4,1)),"◆",""))</f>
        <v/>
      </c>
      <c r="AE15" s="63" t="str">
        <f aca="false">IF(OR(AE$4="",$C15=""),"",IF(AND($C15&gt;=AE$4,$C15&lt;EDATE(AE$4,1)),"◆",""))</f>
        <v/>
      </c>
      <c r="AF15" s="63" t="str">
        <f aca="false">IF(OR(AF$4="",$C15=""),"",IF(AND($C15&gt;=AF$4,$C15&lt;EDATE(AF$4,1)),"◆",""))</f>
        <v/>
      </c>
      <c r="AG15" s="63" t="str">
        <f aca="false">IF(OR(AG$4="",$C15=""),"",IF(AND($C15&gt;=AG$4,$C15&lt;EDATE(AG$4,1)),"◆",""))</f>
        <v/>
      </c>
      <c r="AH15" s="63" t="str">
        <f aca="false">IF(OR(AH$4="",$C15=""),"",IF(AND($C15&gt;=AH$4,$C15&lt;EDATE(AH$4,1)),"◆",""))</f>
        <v/>
      </c>
      <c r="AI15" s="63" t="str">
        <f aca="false">IF(OR(AI$4="",$C15=""),"",IF(AND($C15&gt;=AI$4,$C15&lt;EDATE(AI$4,1)),"◆",""))</f>
        <v/>
      </c>
      <c r="AJ15" s="63" t="str">
        <f aca="false">IF(OR(AJ$4="",$C15=""),"",IF(AND($C15&gt;=AJ$4,$C15&lt;EDATE(AJ$4,1)),"◆",""))</f>
        <v/>
      </c>
      <c r="AK15" s="63" t="str">
        <f aca="false">IF(OR(AK$4="",$C15=""),"",IF(AND($C15&gt;=AK$4,$C15&lt;EDATE(AK$4,1)),"◆",""))</f>
        <v/>
      </c>
      <c r="AL15" s="63" t="str">
        <f aca="false">IF(OR(AL$4="",$C15=""),"",IF(AND($C15&gt;=AL$4,$C15&lt;EDATE(AL$4,1)),"◆",""))</f>
        <v/>
      </c>
      <c r="AM15" s="63" t="str">
        <f aca="false">IF(OR(AM$4="",$C15=""),"",IF(AND($C15&gt;=AM$4,$C15&lt;EDATE(AM$4,1)),"◆",""))</f>
        <v/>
      </c>
      <c r="AN15" s="63" t="str">
        <f aca="false">IF(OR(AN$4="",$C15=""),"",IF(AND($C15&gt;=AN$4,$C15&lt;EDATE(AN$4,1)),"◆",""))</f>
        <v/>
      </c>
      <c r="AO15" s="63" t="str">
        <f aca="false">IF(OR(AO$4="",$C15=""),"",IF(AND($C15&gt;=AO$4,$C15&lt;EDATE(AO$4,1)),"◆",""))</f>
        <v>◆</v>
      </c>
      <c r="AP15" s="63" t="str">
        <f aca="false">IF(OR(AP$4="",$C15=""),"",IF(AND($C15&gt;=AP$4,$C15&lt;EDATE(AP$4,1)),"◆",""))</f>
        <v/>
      </c>
      <c r="AQ15" s="63" t="str">
        <f aca="false">IF(OR(AQ$4="",$C15=""),"",IF(AND($C15&gt;=AQ$4,$C15&lt;EDATE(AQ$4,1)),"◆",""))</f>
        <v/>
      </c>
      <c r="AR15" s="63" t="str">
        <f aca="false">IF(OR(AR$4="",$C15=""),"",IF(AND($C15&gt;=AR$4,$C15&lt;EDATE(AR$4,1)),"◆",""))</f>
        <v/>
      </c>
      <c r="AS15" s="63" t="str">
        <f aca="false">IF(OR(AS$4="",$C15=""),"",IF(AND($C15&gt;=AS$4,$C15&lt;EDATE(AS$4,1)),"◆",""))</f>
        <v/>
      </c>
      <c r="AT15" s="63" t="str">
        <f aca="false">IF(OR(AT$4="",$C15=""),"",IF(AND($C15&gt;=AT$4,$C15&lt;EDATE(AT$4,1)),"◆",""))</f>
        <v/>
      </c>
      <c r="AU15" s="63" t="str">
        <f aca="false">IF(OR(AU$4="",$C15=""),"",IF(AND($C15&gt;=AU$4,$C15&lt;EDATE(AU$4,1)),"◆",""))</f>
        <v/>
      </c>
      <c r="AV15" s="63" t="str">
        <f aca="false">IF(OR(AV$4="",$C15=""),"",IF(AND($C15&gt;=AV$4,$C15&lt;EDATE(AV$4,1)),"◆",""))</f>
        <v/>
      </c>
      <c r="AW15" s="63" t="str">
        <f aca="false">IF(OR(AW$4="",$C15=""),"",IF(AND($C15&gt;=AW$4,$C15&lt;EDATE(AW$4,1)),"◆",""))</f>
        <v/>
      </c>
      <c r="AX15" s="63" t="str">
        <f aca="false">IF(OR(AX$4="",$C15=""),"",IF(AND($C15&gt;=AX$4,$C15&lt;EDATE(AX$4,1)),"◆",""))</f>
        <v/>
      </c>
      <c r="AY15" s="63" t="str">
        <f aca="false">IF(OR(AY$4="",$C15=""),"",IF(AND($C15&gt;=AY$4,$C15&lt;EDATE(AY$4,1)),"◆",""))</f>
        <v/>
      </c>
      <c r="AZ15" s="63" t="str">
        <f aca="false">IF(OR(AZ$4="",$C15=""),"",IF(AND($C15&gt;=AZ$4,$C15&lt;EDATE(AZ$4,1)),"◆",""))</f>
        <v/>
      </c>
      <c r="BA15" s="63" t="str">
        <f aca="false">IF(OR(BA$4="",$C15=""),"",IF(AND($C15&gt;=BA$4,$C15&lt;EDATE(BA$4,1)),"◆",""))</f>
        <v/>
      </c>
      <c r="BB15" s="63" t="str">
        <f aca="false">IF(OR(BB$4="",$C15=""),"",IF(AND($C15&gt;=BB$4,$C15&lt;EDATE(BB$4,1)),"◆",""))</f>
        <v/>
      </c>
      <c r="BC15" s="63" t="str">
        <f aca="false">IF(OR(BC$4="",$C15=""),"",IF(AND($C15&gt;=BC$4,$C15&lt;EDATE(BC$4,1)),"◆",""))</f>
        <v/>
      </c>
      <c r="BD15" s="63" t="str">
        <f aca="false">IF(OR(BD$4="",$C15=""),"",IF(AND($C15&gt;=BD$4,$C15&lt;EDATE(BD$4,1)),"◆",""))</f>
        <v/>
      </c>
      <c r="BE15" s="63" t="str">
        <f aca="false">IF(OR(BE$4="",$C15=""),"",IF(AND($C15&gt;=BE$4,$C15&lt;EDATE(BE$4,1)),"◆",""))</f>
        <v/>
      </c>
      <c r="BF15" s="63" t="str">
        <f aca="false">IF(OR(BF$4="",$C15=""),"",IF(AND($C15&gt;=BF$4,$C15&lt;EDATE(BF$4,1)),"◆",""))</f>
        <v/>
      </c>
      <c r="BG15" s="63" t="str">
        <f aca="false">IF(OR(BG$4="",$C15=""),"",IF(AND($C15&gt;=BG$4,$C15&lt;EDATE(BG$4,1)),"◆",""))</f>
        <v/>
      </c>
      <c r="BH15" s="63" t="str">
        <f aca="false">IF(OR(BH$4="",$C15=""),"",IF(AND($C15&gt;=BH$4,$C15&lt;EDATE(BH$4,1)),"◆",""))</f>
        <v/>
      </c>
      <c r="BI15" s="63" t="str">
        <f aca="false">IF(OR(BI$4="",$C15=""),"",IF(AND($C15&gt;=BI$4,$C15&lt;EDATE(BI$4,1)),"◆",""))</f>
        <v/>
      </c>
      <c r="BJ15" s="63" t="str">
        <f aca="false">IF(OR(BJ$4="",$C15=""),"",IF(AND($C15&gt;=BJ$4,$C15&lt;EDATE(BJ$4,1)),"◆",""))</f>
        <v/>
      </c>
      <c r="BK15" s="63" t="str">
        <f aca="false">IF(OR(BK$4="",$C15=""),"",IF(AND($C15&gt;=BK$4,$C15&lt;EDATE(BK$4,1)),"◆",""))</f>
        <v/>
      </c>
      <c r="BL15" s="63" t="str">
        <f aca="false">IF(OR(BL$4="",$C15=""),"",IF(AND($C15&gt;=BL$4,$C15&lt;EDATE(BL$4,1)),"◆",""))</f>
        <v/>
      </c>
      <c r="BM15" s="63" t="str">
        <f aca="false">IF(OR(BM$4="",$C15=""),"",IF(AND($C15&gt;=BM$4,$C15&lt;EDATE(BM$4,1)),"◆",""))</f>
        <v/>
      </c>
      <c r="BN15" s="63" t="str">
        <f aca="false">IF(OR(BN$4="",$C15=""),"",IF(AND($C15&gt;=BN$4,$C15&lt;EDATE(BN$4,1)),"◆",""))</f>
        <v/>
      </c>
      <c r="BO15" s="63" t="str">
        <f aca="false">IF(OR(BO$4="",$C15=""),"",IF(AND($C15&gt;=BO$4,$C15&lt;EDATE(BO$4,1)),"◆",""))</f>
        <v/>
      </c>
      <c r="BP15" s="63" t="str">
        <f aca="false">IF(OR(BP$4="",$C15=""),"",IF(AND($C15&gt;=BP$4,$C15&lt;EDATE(BP$4,1)),"◆",""))</f>
        <v/>
      </c>
      <c r="BQ15" s="63" t="str">
        <f aca="false">IF(OR(BQ$4="",$C15=""),"",IF(AND($C15&gt;=BQ$4,$C15&lt;EDATE(BQ$4,1)),"◆",""))</f>
        <v/>
      </c>
      <c r="BR15" s="63" t="str">
        <f aca="false">IF(OR(BR$4="",$C15=""),"",IF(AND($C15&gt;=BR$4,$C15&lt;EDATE(BR$4,1)),"◆",""))</f>
        <v/>
      </c>
      <c r="BS15" s="63" t="str">
        <f aca="false">IF(OR(BS$4="",$C15=""),"",IF(AND($C15&gt;=BS$4,$C15&lt;EDATE(BS$4,1)),"◆",""))</f>
        <v/>
      </c>
      <c r="BT15" s="63" t="str">
        <f aca="false">IF(OR(BT$4="",$C15=""),"",IF(AND($C15&gt;=BT$4,$C15&lt;EDATE(BT$4,1)),"◆",""))</f>
        <v/>
      </c>
      <c r="BU15" s="63" t="str">
        <f aca="false">IF(OR(BU$4="",$C15=""),"",IF(AND($C15&gt;=BU$4,$C15&lt;EDATE(BU$4,1)),"◆",""))</f>
        <v/>
      </c>
      <c r="BV15" s="63" t="str">
        <f aca="false">IF(OR(BV$4="",$C15=""),"",IF(AND($C15&gt;=BV$4,$C15&lt;EDATE(BV$4,1)),"◆",""))</f>
        <v/>
      </c>
      <c r="BW15" s="63" t="str">
        <f aca="false">IF(OR(BW$4="",$C15=""),"",IF(AND($C15&gt;=BW$4,$C15&lt;EDATE(BW$4,1)),"◆",""))</f>
        <v/>
      </c>
      <c r="BX15" s="63" t="str">
        <f aca="false">IF(OR(BX$4="",$C15=""),"",IF(AND($C15&gt;=BX$4,$C15&lt;EDATE(BX$4,1)),"◆",""))</f>
        <v/>
      </c>
      <c r="BY15" s="63" t="str">
        <f aca="false">IF(OR(BY$4="",$C15=""),"",IF(AND($C15&gt;=BY$4,$C15&lt;EDATE(BY$4,1)),"◆",""))</f>
        <v/>
      </c>
    </row>
    <row r="16" customFormat="false" ht="15" hidden="false" customHeight="false" outlineLevel="0" collapsed="false">
      <c r="A16" s="4"/>
      <c r="B16" s="53" t="str">
        <f aca="false">IF(Milestones!$B15="","",Milestones!$B15)</f>
        <v/>
      </c>
      <c r="C16" s="54" t="str">
        <f aca="false">IF(Milestones!$E15="","",Milestones!$E15)</f>
        <v/>
      </c>
      <c r="D16" s="4"/>
      <c r="E16" s="4"/>
      <c r="F16" s="63" t="str">
        <f aca="false">IF(OR(F$4="",$C16=""),"",IF(AND($C16&gt;=F$4,$C16&lt;EDATE(F$4,1)),"◆",""))</f>
        <v/>
      </c>
      <c r="G16" s="63" t="str">
        <f aca="false">IF(OR(G$4="",$C16=""),"",IF(AND($C16&gt;=G$4,$C16&lt;EDATE(G$4,1)),"◆",""))</f>
        <v/>
      </c>
      <c r="H16" s="63" t="str">
        <f aca="false">IF(OR(H$4="",$C16=""),"",IF(AND($C16&gt;=H$4,$C16&lt;EDATE(H$4,1)),"◆",""))</f>
        <v/>
      </c>
      <c r="I16" s="63" t="str">
        <f aca="false">IF(OR(I$4="",$C16=""),"",IF(AND($C16&gt;=I$4,$C16&lt;EDATE(I$4,1)),"◆",""))</f>
        <v/>
      </c>
      <c r="J16" s="63" t="str">
        <f aca="false">IF(OR(J$4="",$C16=""),"",IF(AND($C16&gt;=J$4,$C16&lt;EDATE(J$4,1)),"◆",""))</f>
        <v/>
      </c>
      <c r="K16" s="63" t="str">
        <f aca="false">IF(OR(K$4="",$C16=""),"",IF(AND($C16&gt;=K$4,$C16&lt;EDATE(K$4,1)),"◆",""))</f>
        <v/>
      </c>
      <c r="L16" s="63" t="str">
        <f aca="false">IF(OR(L$4="",$C16=""),"",IF(AND($C16&gt;=L$4,$C16&lt;EDATE(L$4,1)),"◆",""))</f>
        <v/>
      </c>
      <c r="M16" s="63" t="str">
        <f aca="false">IF(OR(M$4="",$C16=""),"",IF(AND($C16&gt;=M$4,$C16&lt;EDATE(M$4,1)),"◆",""))</f>
        <v/>
      </c>
      <c r="N16" s="63" t="str">
        <f aca="false">IF(OR(N$4="",$C16=""),"",IF(AND($C16&gt;=N$4,$C16&lt;EDATE(N$4,1)),"◆",""))</f>
        <v/>
      </c>
      <c r="O16" s="63" t="str">
        <f aca="false">IF(OR(O$4="",$C16=""),"",IF(AND($C16&gt;=O$4,$C16&lt;EDATE(O$4,1)),"◆",""))</f>
        <v/>
      </c>
      <c r="P16" s="63" t="str">
        <f aca="false">IF(OR(P$4="",$C16=""),"",IF(AND($C16&gt;=P$4,$C16&lt;EDATE(P$4,1)),"◆",""))</f>
        <v/>
      </c>
      <c r="Q16" s="63" t="str">
        <f aca="false">IF(OR(Q$4="",$C16=""),"",IF(AND($C16&gt;=Q$4,$C16&lt;EDATE(Q$4,1)),"◆",""))</f>
        <v/>
      </c>
      <c r="R16" s="63" t="str">
        <f aca="false">IF(OR(R$4="",$C16=""),"",IF(AND($C16&gt;=R$4,$C16&lt;EDATE(R$4,1)),"◆",""))</f>
        <v/>
      </c>
      <c r="S16" s="63" t="str">
        <f aca="false">IF(OR(S$4="",$C16=""),"",IF(AND($C16&gt;=S$4,$C16&lt;EDATE(S$4,1)),"◆",""))</f>
        <v/>
      </c>
      <c r="T16" s="63" t="str">
        <f aca="false">IF(OR(T$4="",$C16=""),"",IF(AND($C16&gt;=T$4,$C16&lt;EDATE(T$4,1)),"◆",""))</f>
        <v/>
      </c>
      <c r="U16" s="63" t="str">
        <f aca="false">IF(OR(U$4="",$C16=""),"",IF(AND($C16&gt;=U$4,$C16&lt;EDATE(U$4,1)),"◆",""))</f>
        <v/>
      </c>
      <c r="V16" s="63" t="str">
        <f aca="false">IF(OR(V$4="",$C16=""),"",IF(AND($C16&gt;=V$4,$C16&lt;EDATE(V$4,1)),"◆",""))</f>
        <v/>
      </c>
      <c r="W16" s="63" t="str">
        <f aca="false">IF(OR(W$4="",$C16=""),"",IF(AND($C16&gt;=W$4,$C16&lt;EDATE(W$4,1)),"◆",""))</f>
        <v/>
      </c>
      <c r="X16" s="63" t="str">
        <f aca="false">IF(OR(X$4="",$C16=""),"",IF(AND($C16&gt;=X$4,$C16&lt;EDATE(X$4,1)),"◆",""))</f>
        <v/>
      </c>
      <c r="Y16" s="63" t="str">
        <f aca="false">IF(OR(Y$4="",$C16=""),"",IF(AND($C16&gt;=Y$4,$C16&lt;EDATE(Y$4,1)),"◆",""))</f>
        <v/>
      </c>
      <c r="Z16" s="63" t="str">
        <f aca="false">IF(OR(Z$4="",$C16=""),"",IF(AND($C16&gt;=Z$4,$C16&lt;EDATE(Z$4,1)),"◆",""))</f>
        <v/>
      </c>
      <c r="AA16" s="63" t="str">
        <f aca="false">IF(OR(AA$4="",$C16=""),"",IF(AND($C16&gt;=AA$4,$C16&lt;EDATE(AA$4,1)),"◆",""))</f>
        <v/>
      </c>
      <c r="AB16" s="63" t="str">
        <f aca="false">IF(OR(AB$4="",$C16=""),"",IF(AND($C16&gt;=AB$4,$C16&lt;EDATE(AB$4,1)),"◆",""))</f>
        <v/>
      </c>
      <c r="AC16" s="63" t="str">
        <f aca="false">IF(OR(AC$4="",$C16=""),"",IF(AND($C16&gt;=AC$4,$C16&lt;EDATE(AC$4,1)),"◆",""))</f>
        <v/>
      </c>
      <c r="AD16" s="63" t="str">
        <f aca="false">IF(OR(AD$4="",$C16=""),"",IF(AND($C16&gt;=AD$4,$C16&lt;EDATE(AD$4,1)),"◆",""))</f>
        <v/>
      </c>
      <c r="AE16" s="63" t="str">
        <f aca="false">IF(OR(AE$4="",$C16=""),"",IF(AND($C16&gt;=AE$4,$C16&lt;EDATE(AE$4,1)),"◆",""))</f>
        <v/>
      </c>
      <c r="AF16" s="63" t="str">
        <f aca="false">IF(OR(AF$4="",$C16=""),"",IF(AND($C16&gt;=AF$4,$C16&lt;EDATE(AF$4,1)),"◆",""))</f>
        <v/>
      </c>
      <c r="AG16" s="63" t="str">
        <f aca="false">IF(OR(AG$4="",$C16=""),"",IF(AND($C16&gt;=AG$4,$C16&lt;EDATE(AG$4,1)),"◆",""))</f>
        <v/>
      </c>
      <c r="AH16" s="63" t="str">
        <f aca="false">IF(OR(AH$4="",$C16=""),"",IF(AND($C16&gt;=AH$4,$C16&lt;EDATE(AH$4,1)),"◆",""))</f>
        <v/>
      </c>
      <c r="AI16" s="63" t="str">
        <f aca="false">IF(OR(AI$4="",$C16=""),"",IF(AND($C16&gt;=AI$4,$C16&lt;EDATE(AI$4,1)),"◆",""))</f>
        <v/>
      </c>
      <c r="AJ16" s="63" t="str">
        <f aca="false">IF(OR(AJ$4="",$C16=""),"",IF(AND($C16&gt;=AJ$4,$C16&lt;EDATE(AJ$4,1)),"◆",""))</f>
        <v/>
      </c>
      <c r="AK16" s="63" t="str">
        <f aca="false">IF(OR(AK$4="",$C16=""),"",IF(AND($C16&gt;=AK$4,$C16&lt;EDATE(AK$4,1)),"◆",""))</f>
        <v/>
      </c>
      <c r="AL16" s="63" t="str">
        <f aca="false">IF(OR(AL$4="",$C16=""),"",IF(AND($C16&gt;=AL$4,$C16&lt;EDATE(AL$4,1)),"◆",""))</f>
        <v/>
      </c>
      <c r="AM16" s="63" t="str">
        <f aca="false">IF(OR(AM$4="",$C16=""),"",IF(AND($C16&gt;=AM$4,$C16&lt;EDATE(AM$4,1)),"◆",""))</f>
        <v/>
      </c>
      <c r="AN16" s="63" t="str">
        <f aca="false">IF(OR(AN$4="",$C16=""),"",IF(AND($C16&gt;=AN$4,$C16&lt;EDATE(AN$4,1)),"◆",""))</f>
        <v/>
      </c>
      <c r="AO16" s="63" t="str">
        <f aca="false">IF(OR(AO$4="",$C16=""),"",IF(AND($C16&gt;=AO$4,$C16&lt;EDATE(AO$4,1)),"◆",""))</f>
        <v/>
      </c>
      <c r="AP16" s="63" t="str">
        <f aca="false">IF(OR(AP$4="",$C16=""),"",IF(AND($C16&gt;=AP$4,$C16&lt;EDATE(AP$4,1)),"◆",""))</f>
        <v/>
      </c>
      <c r="AQ16" s="63" t="str">
        <f aca="false">IF(OR(AQ$4="",$C16=""),"",IF(AND($C16&gt;=AQ$4,$C16&lt;EDATE(AQ$4,1)),"◆",""))</f>
        <v/>
      </c>
      <c r="AR16" s="63" t="str">
        <f aca="false">IF(OR(AR$4="",$C16=""),"",IF(AND($C16&gt;=AR$4,$C16&lt;EDATE(AR$4,1)),"◆",""))</f>
        <v/>
      </c>
      <c r="AS16" s="63" t="str">
        <f aca="false">IF(OR(AS$4="",$C16=""),"",IF(AND($C16&gt;=AS$4,$C16&lt;EDATE(AS$4,1)),"◆",""))</f>
        <v/>
      </c>
      <c r="AT16" s="63" t="str">
        <f aca="false">IF(OR(AT$4="",$C16=""),"",IF(AND($C16&gt;=AT$4,$C16&lt;EDATE(AT$4,1)),"◆",""))</f>
        <v/>
      </c>
      <c r="AU16" s="63" t="str">
        <f aca="false">IF(OR(AU$4="",$C16=""),"",IF(AND($C16&gt;=AU$4,$C16&lt;EDATE(AU$4,1)),"◆",""))</f>
        <v/>
      </c>
      <c r="AV16" s="63" t="str">
        <f aca="false">IF(OR(AV$4="",$C16=""),"",IF(AND($C16&gt;=AV$4,$C16&lt;EDATE(AV$4,1)),"◆",""))</f>
        <v/>
      </c>
      <c r="AW16" s="63" t="str">
        <f aca="false">IF(OR(AW$4="",$C16=""),"",IF(AND($C16&gt;=AW$4,$C16&lt;EDATE(AW$4,1)),"◆",""))</f>
        <v/>
      </c>
      <c r="AX16" s="63" t="str">
        <f aca="false">IF(OR(AX$4="",$C16=""),"",IF(AND($C16&gt;=AX$4,$C16&lt;EDATE(AX$4,1)),"◆",""))</f>
        <v/>
      </c>
      <c r="AY16" s="63" t="str">
        <f aca="false">IF(OR(AY$4="",$C16=""),"",IF(AND($C16&gt;=AY$4,$C16&lt;EDATE(AY$4,1)),"◆",""))</f>
        <v/>
      </c>
      <c r="AZ16" s="63" t="str">
        <f aca="false">IF(OR(AZ$4="",$C16=""),"",IF(AND($C16&gt;=AZ$4,$C16&lt;EDATE(AZ$4,1)),"◆",""))</f>
        <v/>
      </c>
      <c r="BA16" s="63" t="str">
        <f aca="false">IF(OR(BA$4="",$C16=""),"",IF(AND($C16&gt;=BA$4,$C16&lt;EDATE(BA$4,1)),"◆",""))</f>
        <v/>
      </c>
      <c r="BB16" s="63" t="str">
        <f aca="false">IF(OR(BB$4="",$C16=""),"",IF(AND($C16&gt;=BB$4,$C16&lt;EDATE(BB$4,1)),"◆",""))</f>
        <v/>
      </c>
      <c r="BC16" s="63" t="str">
        <f aca="false">IF(OR(BC$4="",$C16=""),"",IF(AND($C16&gt;=BC$4,$C16&lt;EDATE(BC$4,1)),"◆",""))</f>
        <v/>
      </c>
      <c r="BD16" s="63" t="str">
        <f aca="false">IF(OR(BD$4="",$C16=""),"",IF(AND($C16&gt;=BD$4,$C16&lt;EDATE(BD$4,1)),"◆",""))</f>
        <v/>
      </c>
      <c r="BE16" s="63" t="str">
        <f aca="false">IF(OR(BE$4="",$C16=""),"",IF(AND($C16&gt;=BE$4,$C16&lt;EDATE(BE$4,1)),"◆",""))</f>
        <v/>
      </c>
      <c r="BF16" s="63" t="str">
        <f aca="false">IF(OR(BF$4="",$C16=""),"",IF(AND($C16&gt;=BF$4,$C16&lt;EDATE(BF$4,1)),"◆",""))</f>
        <v/>
      </c>
      <c r="BG16" s="63" t="str">
        <f aca="false">IF(OR(BG$4="",$C16=""),"",IF(AND($C16&gt;=BG$4,$C16&lt;EDATE(BG$4,1)),"◆",""))</f>
        <v/>
      </c>
      <c r="BH16" s="63" t="str">
        <f aca="false">IF(OR(BH$4="",$C16=""),"",IF(AND($C16&gt;=BH$4,$C16&lt;EDATE(BH$4,1)),"◆",""))</f>
        <v/>
      </c>
      <c r="BI16" s="63" t="str">
        <f aca="false">IF(OR(BI$4="",$C16=""),"",IF(AND($C16&gt;=BI$4,$C16&lt;EDATE(BI$4,1)),"◆",""))</f>
        <v/>
      </c>
      <c r="BJ16" s="63" t="str">
        <f aca="false">IF(OR(BJ$4="",$C16=""),"",IF(AND($C16&gt;=BJ$4,$C16&lt;EDATE(BJ$4,1)),"◆",""))</f>
        <v/>
      </c>
      <c r="BK16" s="63" t="str">
        <f aca="false">IF(OR(BK$4="",$C16=""),"",IF(AND($C16&gt;=BK$4,$C16&lt;EDATE(BK$4,1)),"◆",""))</f>
        <v/>
      </c>
      <c r="BL16" s="63" t="str">
        <f aca="false">IF(OR(BL$4="",$C16=""),"",IF(AND($C16&gt;=BL$4,$C16&lt;EDATE(BL$4,1)),"◆",""))</f>
        <v/>
      </c>
      <c r="BM16" s="63" t="str">
        <f aca="false">IF(OR(BM$4="",$C16=""),"",IF(AND($C16&gt;=BM$4,$C16&lt;EDATE(BM$4,1)),"◆",""))</f>
        <v/>
      </c>
      <c r="BN16" s="63" t="str">
        <f aca="false">IF(OR(BN$4="",$C16=""),"",IF(AND($C16&gt;=BN$4,$C16&lt;EDATE(BN$4,1)),"◆",""))</f>
        <v/>
      </c>
      <c r="BO16" s="63" t="str">
        <f aca="false">IF(OR(BO$4="",$C16=""),"",IF(AND($C16&gt;=BO$4,$C16&lt;EDATE(BO$4,1)),"◆",""))</f>
        <v/>
      </c>
      <c r="BP16" s="63" t="str">
        <f aca="false">IF(OR(BP$4="",$C16=""),"",IF(AND($C16&gt;=BP$4,$C16&lt;EDATE(BP$4,1)),"◆",""))</f>
        <v/>
      </c>
      <c r="BQ16" s="63" t="str">
        <f aca="false">IF(OR(BQ$4="",$C16=""),"",IF(AND($C16&gt;=BQ$4,$C16&lt;EDATE(BQ$4,1)),"◆",""))</f>
        <v/>
      </c>
      <c r="BR16" s="63" t="str">
        <f aca="false">IF(OR(BR$4="",$C16=""),"",IF(AND($C16&gt;=BR$4,$C16&lt;EDATE(BR$4,1)),"◆",""))</f>
        <v/>
      </c>
      <c r="BS16" s="63" t="str">
        <f aca="false">IF(OR(BS$4="",$C16=""),"",IF(AND($C16&gt;=BS$4,$C16&lt;EDATE(BS$4,1)),"◆",""))</f>
        <v/>
      </c>
      <c r="BT16" s="63" t="str">
        <f aca="false">IF(OR(BT$4="",$C16=""),"",IF(AND($C16&gt;=BT$4,$C16&lt;EDATE(BT$4,1)),"◆",""))</f>
        <v/>
      </c>
      <c r="BU16" s="63" t="str">
        <f aca="false">IF(OR(BU$4="",$C16=""),"",IF(AND($C16&gt;=BU$4,$C16&lt;EDATE(BU$4,1)),"◆",""))</f>
        <v/>
      </c>
      <c r="BV16" s="63" t="str">
        <f aca="false">IF(OR(BV$4="",$C16=""),"",IF(AND($C16&gt;=BV$4,$C16&lt;EDATE(BV$4,1)),"◆",""))</f>
        <v/>
      </c>
      <c r="BW16" s="63" t="str">
        <f aca="false">IF(OR(BW$4="",$C16=""),"",IF(AND($C16&gt;=BW$4,$C16&lt;EDATE(BW$4,1)),"◆",""))</f>
        <v/>
      </c>
      <c r="BX16" s="63" t="str">
        <f aca="false">IF(OR(BX$4="",$C16=""),"",IF(AND($C16&gt;=BX$4,$C16&lt;EDATE(BX$4,1)),"◆",""))</f>
        <v/>
      </c>
      <c r="BY16" s="63" t="str">
        <f aca="false">IF(OR(BY$4="",$C16=""),"",IF(AND($C16&gt;=BY$4,$C16&lt;EDATE(BY$4,1)),"◆",""))</f>
        <v/>
      </c>
    </row>
    <row r="17" customFormat="false" ht="15" hidden="false" customHeight="false" outlineLevel="0" collapsed="false">
      <c r="A17" s="4"/>
      <c r="B17" s="53" t="str">
        <f aca="false">IF(Milestones!$B16="","",Milestones!$B16)</f>
        <v/>
      </c>
      <c r="C17" s="54" t="str">
        <f aca="false">IF(Milestones!$E16="","",Milestones!$E16)</f>
        <v/>
      </c>
      <c r="D17" s="4"/>
      <c r="E17" s="4"/>
      <c r="F17" s="63" t="str">
        <f aca="false">IF(OR(F$4="",$C17=""),"",IF(AND($C17&gt;=F$4,$C17&lt;EDATE(F$4,1)),"◆",""))</f>
        <v/>
      </c>
      <c r="G17" s="63" t="str">
        <f aca="false">IF(OR(G$4="",$C17=""),"",IF(AND($C17&gt;=G$4,$C17&lt;EDATE(G$4,1)),"◆",""))</f>
        <v/>
      </c>
      <c r="H17" s="63" t="str">
        <f aca="false">IF(OR(H$4="",$C17=""),"",IF(AND($C17&gt;=H$4,$C17&lt;EDATE(H$4,1)),"◆",""))</f>
        <v/>
      </c>
      <c r="I17" s="63" t="str">
        <f aca="false">IF(OR(I$4="",$C17=""),"",IF(AND($C17&gt;=I$4,$C17&lt;EDATE(I$4,1)),"◆",""))</f>
        <v/>
      </c>
      <c r="J17" s="63" t="str">
        <f aca="false">IF(OR(J$4="",$C17=""),"",IF(AND($C17&gt;=J$4,$C17&lt;EDATE(J$4,1)),"◆",""))</f>
        <v/>
      </c>
      <c r="K17" s="63" t="str">
        <f aca="false">IF(OR(K$4="",$C17=""),"",IF(AND($C17&gt;=K$4,$C17&lt;EDATE(K$4,1)),"◆",""))</f>
        <v/>
      </c>
      <c r="L17" s="63" t="str">
        <f aca="false">IF(OR(L$4="",$C17=""),"",IF(AND($C17&gt;=L$4,$C17&lt;EDATE(L$4,1)),"◆",""))</f>
        <v/>
      </c>
      <c r="M17" s="63" t="str">
        <f aca="false">IF(OR(M$4="",$C17=""),"",IF(AND($C17&gt;=M$4,$C17&lt;EDATE(M$4,1)),"◆",""))</f>
        <v/>
      </c>
      <c r="N17" s="63" t="str">
        <f aca="false">IF(OR(N$4="",$C17=""),"",IF(AND($C17&gt;=N$4,$C17&lt;EDATE(N$4,1)),"◆",""))</f>
        <v/>
      </c>
      <c r="O17" s="63" t="str">
        <f aca="false">IF(OR(O$4="",$C17=""),"",IF(AND($C17&gt;=O$4,$C17&lt;EDATE(O$4,1)),"◆",""))</f>
        <v/>
      </c>
      <c r="P17" s="63" t="str">
        <f aca="false">IF(OR(P$4="",$C17=""),"",IF(AND($C17&gt;=P$4,$C17&lt;EDATE(P$4,1)),"◆",""))</f>
        <v/>
      </c>
      <c r="Q17" s="63" t="str">
        <f aca="false">IF(OR(Q$4="",$C17=""),"",IF(AND($C17&gt;=Q$4,$C17&lt;EDATE(Q$4,1)),"◆",""))</f>
        <v/>
      </c>
      <c r="R17" s="63" t="str">
        <f aca="false">IF(OR(R$4="",$C17=""),"",IF(AND($C17&gt;=R$4,$C17&lt;EDATE(R$4,1)),"◆",""))</f>
        <v/>
      </c>
      <c r="S17" s="63" t="str">
        <f aca="false">IF(OR(S$4="",$C17=""),"",IF(AND($C17&gt;=S$4,$C17&lt;EDATE(S$4,1)),"◆",""))</f>
        <v/>
      </c>
      <c r="T17" s="63" t="str">
        <f aca="false">IF(OR(T$4="",$C17=""),"",IF(AND($C17&gt;=T$4,$C17&lt;EDATE(T$4,1)),"◆",""))</f>
        <v/>
      </c>
      <c r="U17" s="63" t="str">
        <f aca="false">IF(OR(U$4="",$C17=""),"",IF(AND($C17&gt;=U$4,$C17&lt;EDATE(U$4,1)),"◆",""))</f>
        <v/>
      </c>
      <c r="V17" s="63" t="str">
        <f aca="false">IF(OR(V$4="",$C17=""),"",IF(AND($C17&gt;=V$4,$C17&lt;EDATE(V$4,1)),"◆",""))</f>
        <v/>
      </c>
      <c r="W17" s="63" t="str">
        <f aca="false">IF(OR(W$4="",$C17=""),"",IF(AND($C17&gt;=W$4,$C17&lt;EDATE(W$4,1)),"◆",""))</f>
        <v/>
      </c>
      <c r="X17" s="63" t="str">
        <f aca="false">IF(OR(X$4="",$C17=""),"",IF(AND($C17&gt;=X$4,$C17&lt;EDATE(X$4,1)),"◆",""))</f>
        <v/>
      </c>
      <c r="Y17" s="63" t="str">
        <f aca="false">IF(OR(Y$4="",$C17=""),"",IF(AND($C17&gt;=Y$4,$C17&lt;EDATE(Y$4,1)),"◆",""))</f>
        <v/>
      </c>
      <c r="Z17" s="63" t="str">
        <f aca="false">IF(OR(Z$4="",$C17=""),"",IF(AND($C17&gt;=Z$4,$C17&lt;EDATE(Z$4,1)),"◆",""))</f>
        <v/>
      </c>
      <c r="AA17" s="63" t="str">
        <f aca="false">IF(OR(AA$4="",$C17=""),"",IF(AND($C17&gt;=AA$4,$C17&lt;EDATE(AA$4,1)),"◆",""))</f>
        <v/>
      </c>
      <c r="AB17" s="63" t="str">
        <f aca="false">IF(OR(AB$4="",$C17=""),"",IF(AND($C17&gt;=AB$4,$C17&lt;EDATE(AB$4,1)),"◆",""))</f>
        <v/>
      </c>
      <c r="AC17" s="63" t="str">
        <f aca="false">IF(OR(AC$4="",$C17=""),"",IF(AND($C17&gt;=AC$4,$C17&lt;EDATE(AC$4,1)),"◆",""))</f>
        <v/>
      </c>
      <c r="AD17" s="63" t="str">
        <f aca="false">IF(OR(AD$4="",$C17=""),"",IF(AND($C17&gt;=AD$4,$C17&lt;EDATE(AD$4,1)),"◆",""))</f>
        <v/>
      </c>
      <c r="AE17" s="63" t="str">
        <f aca="false">IF(OR(AE$4="",$C17=""),"",IF(AND($C17&gt;=AE$4,$C17&lt;EDATE(AE$4,1)),"◆",""))</f>
        <v/>
      </c>
      <c r="AF17" s="63" t="str">
        <f aca="false">IF(OR(AF$4="",$C17=""),"",IF(AND($C17&gt;=AF$4,$C17&lt;EDATE(AF$4,1)),"◆",""))</f>
        <v/>
      </c>
      <c r="AG17" s="63" t="str">
        <f aca="false">IF(OR(AG$4="",$C17=""),"",IF(AND($C17&gt;=AG$4,$C17&lt;EDATE(AG$4,1)),"◆",""))</f>
        <v/>
      </c>
      <c r="AH17" s="63" t="str">
        <f aca="false">IF(OR(AH$4="",$C17=""),"",IF(AND($C17&gt;=AH$4,$C17&lt;EDATE(AH$4,1)),"◆",""))</f>
        <v/>
      </c>
      <c r="AI17" s="63" t="str">
        <f aca="false">IF(OR(AI$4="",$C17=""),"",IF(AND($C17&gt;=AI$4,$C17&lt;EDATE(AI$4,1)),"◆",""))</f>
        <v/>
      </c>
      <c r="AJ17" s="63" t="str">
        <f aca="false">IF(OR(AJ$4="",$C17=""),"",IF(AND($C17&gt;=AJ$4,$C17&lt;EDATE(AJ$4,1)),"◆",""))</f>
        <v/>
      </c>
      <c r="AK17" s="63" t="str">
        <f aca="false">IF(OR(AK$4="",$C17=""),"",IF(AND($C17&gt;=AK$4,$C17&lt;EDATE(AK$4,1)),"◆",""))</f>
        <v/>
      </c>
      <c r="AL17" s="63" t="str">
        <f aca="false">IF(OR(AL$4="",$C17=""),"",IF(AND($C17&gt;=AL$4,$C17&lt;EDATE(AL$4,1)),"◆",""))</f>
        <v/>
      </c>
      <c r="AM17" s="63" t="str">
        <f aca="false">IF(OR(AM$4="",$C17=""),"",IF(AND($C17&gt;=AM$4,$C17&lt;EDATE(AM$4,1)),"◆",""))</f>
        <v/>
      </c>
      <c r="AN17" s="63" t="str">
        <f aca="false">IF(OR(AN$4="",$C17=""),"",IF(AND($C17&gt;=AN$4,$C17&lt;EDATE(AN$4,1)),"◆",""))</f>
        <v/>
      </c>
      <c r="AO17" s="63" t="str">
        <f aca="false">IF(OR(AO$4="",$C17=""),"",IF(AND($C17&gt;=AO$4,$C17&lt;EDATE(AO$4,1)),"◆",""))</f>
        <v/>
      </c>
      <c r="AP17" s="63" t="str">
        <f aca="false">IF(OR(AP$4="",$C17=""),"",IF(AND($C17&gt;=AP$4,$C17&lt;EDATE(AP$4,1)),"◆",""))</f>
        <v/>
      </c>
      <c r="AQ17" s="63" t="str">
        <f aca="false">IF(OR(AQ$4="",$C17=""),"",IF(AND($C17&gt;=AQ$4,$C17&lt;EDATE(AQ$4,1)),"◆",""))</f>
        <v/>
      </c>
      <c r="AR17" s="63" t="str">
        <f aca="false">IF(OR(AR$4="",$C17=""),"",IF(AND($C17&gt;=AR$4,$C17&lt;EDATE(AR$4,1)),"◆",""))</f>
        <v/>
      </c>
      <c r="AS17" s="63" t="str">
        <f aca="false">IF(OR(AS$4="",$C17=""),"",IF(AND($C17&gt;=AS$4,$C17&lt;EDATE(AS$4,1)),"◆",""))</f>
        <v/>
      </c>
      <c r="AT17" s="63" t="str">
        <f aca="false">IF(OR(AT$4="",$C17=""),"",IF(AND($C17&gt;=AT$4,$C17&lt;EDATE(AT$4,1)),"◆",""))</f>
        <v/>
      </c>
      <c r="AU17" s="63" t="str">
        <f aca="false">IF(OR(AU$4="",$C17=""),"",IF(AND($C17&gt;=AU$4,$C17&lt;EDATE(AU$4,1)),"◆",""))</f>
        <v/>
      </c>
      <c r="AV17" s="63" t="str">
        <f aca="false">IF(OR(AV$4="",$C17=""),"",IF(AND($C17&gt;=AV$4,$C17&lt;EDATE(AV$4,1)),"◆",""))</f>
        <v/>
      </c>
      <c r="AW17" s="63" t="str">
        <f aca="false">IF(OR(AW$4="",$C17=""),"",IF(AND($C17&gt;=AW$4,$C17&lt;EDATE(AW$4,1)),"◆",""))</f>
        <v/>
      </c>
      <c r="AX17" s="63" t="str">
        <f aca="false">IF(OR(AX$4="",$C17=""),"",IF(AND($C17&gt;=AX$4,$C17&lt;EDATE(AX$4,1)),"◆",""))</f>
        <v/>
      </c>
      <c r="AY17" s="63" t="str">
        <f aca="false">IF(OR(AY$4="",$C17=""),"",IF(AND($C17&gt;=AY$4,$C17&lt;EDATE(AY$4,1)),"◆",""))</f>
        <v/>
      </c>
      <c r="AZ17" s="63" t="str">
        <f aca="false">IF(OR(AZ$4="",$C17=""),"",IF(AND($C17&gt;=AZ$4,$C17&lt;EDATE(AZ$4,1)),"◆",""))</f>
        <v/>
      </c>
      <c r="BA17" s="63" t="str">
        <f aca="false">IF(OR(BA$4="",$C17=""),"",IF(AND($C17&gt;=BA$4,$C17&lt;EDATE(BA$4,1)),"◆",""))</f>
        <v/>
      </c>
      <c r="BB17" s="63" t="str">
        <f aca="false">IF(OR(BB$4="",$C17=""),"",IF(AND($C17&gt;=BB$4,$C17&lt;EDATE(BB$4,1)),"◆",""))</f>
        <v/>
      </c>
      <c r="BC17" s="63" t="str">
        <f aca="false">IF(OR(BC$4="",$C17=""),"",IF(AND($C17&gt;=BC$4,$C17&lt;EDATE(BC$4,1)),"◆",""))</f>
        <v/>
      </c>
      <c r="BD17" s="63" t="str">
        <f aca="false">IF(OR(BD$4="",$C17=""),"",IF(AND($C17&gt;=BD$4,$C17&lt;EDATE(BD$4,1)),"◆",""))</f>
        <v/>
      </c>
      <c r="BE17" s="63" t="str">
        <f aca="false">IF(OR(BE$4="",$C17=""),"",IF(AND($C17&gt;=BE$4,$C17&lt;EDATE(BE$4,1)),"◆",""))</f>
        <v/>
      </c>
      <c r="BF17" s="63" t="str">
        <f aca="false">IF(OR(BF$4="",$C17=""),"",IF(AND($C17&gt;=BF$4,$C17&lt;EDATE(BF$4,1)),"◆",""))</f>
        <v/>
      </c>
      <c r="BG17" s="63" t="str">
        <f aca="false">IF(OR(BG$4="",$C17=""),"",IF(AND($C17&gt;=BG$4,$C17&lt;EDATE(BG$4,1)),"◆",""))</f>
        <v/>
      </c>
      <c r="BH17" s="63" t="str">
        <f aca="false">IF(OR(BH$4="",$C17=""),"",IF(AND($C17&gt;=BH$4,$C17&lt;EDATE(BH$4,1)),"◆",""))</f>
        <v/>
      </c>
      <c r="BI17" s="63" t="str">
        <f aca="false">IF(OR(BI$4="",$C17=""),"",IF(AND($C17&gt;=BI$4,$C17&lt;EDATE(BI$4,1)),"◆",""))</f>
        <v/>
      </c>
      <c r="BJ17" s="63" t="str">
        <f aca="false">IF(OR(BJ$4="",$C17=""),"",IF(AND($C17&gt;=BJ$4,$C17&lt;EDATE(BJ$4,1)),"◆",""))</f>
        <v/>
      </c>
      <c r="BK17" s="63" t="str">
        <f aca="false">IF(OR(BK$4="",$C17=""),"",IF(AND($C17&gt;=BK$4,$C17&lt;EDATE(BK$4,1)),"◆",""))</f>
        <v/>
      </c>
      <c r="BL17" s="63" t="str">
        <f aca="false">IF(OR(BL$4="",$C17=""),"",IF(AND($C17&gt;=BL$4,$C17&lt;EDATE(BL$4,1)),"◆",""))</f>
        <v/>
      </c>
      <c r="BM17" s="63" t="str">
        <f aca="false">IF(OR(BM$4="",$C17=""),"",IF(AND($C17&gt;=BM$4,$C17&lt;EDATE(BM$4,1)),"◆",""))</f>
        <v/>
      </c>
      <c r="BN17" s="63" t="str">
        <f aca="false">IF(OR(BN$4="",$C17=""),"",IF(AND($C17&gt;=BN$4,$C17&lt;EDATE(BN$4,1)),"◆",""))</f>
        <v/>
      </c>
      <c r="BO17" s="63" t="str">
        <f aca="false">IF(OR(BO$4="",$C17=""),"",IF(AND($C17&gt;=BO$4,$C17&lt;EDATE(BO$4,1)),"◆",""))</f>
        <v/>
      </c>
      <c r="BP17" s="63" t="str">
        <f aca="false">IF(OR(BP$4="",$C17=""),"",IF(AND($C17&gt;=BP$4,$C17&lt;EDATE(BP$4,1)),"◆",""))</f>
        <v/>
      </c>
      <c r="BQ17" s="63" t="str">
        <f aca="false">IF(OR(BQ$4="",$C17=""),"",IF(AND($C17&gt;=BQ$4,$C17&lt;EDATE(BQ$4,1)),"◆",""))</f>
        <v/>
      </c>
      <c r="BR17" s="63" t="str">
        <f aca="false">IF(OR(BR$4="",$C17=""),"",IF(AND($C17&gt;=BR$4,$C17&lt;EDATE(BR$4,1)),"◆",""))</f>
        <v/>
      </c>
      <c r="BS17" s="63" t="str">
        <f aca="false">IF(OR(BS$4="",$C17=""),"",IF(AND($C17&gt;=BS$4,$C17&lt;EDATE(BS$4,1)),"◆",""))</f>
        <v/>
      </c>
      <c r="BT17" s="63" t="str">
        <f aca="false">IF(OR(BT$4="",$C17=""),"",IF(AND($C17&gt;=BT$4,$C17&lt;EDATE(BT$4,1)),"◆",""))</f>
        <v/>
      </c>
      <c r="BU17" s="63" t="str">
        <f aca="false">IF(OR(BU$4="",$C17=""),"",IF(AND($C17&gt;=BU$4,$C17&lt;EDATE(BU$4,1)),"◆",""))</f>
        <v/>
      </c>
      <c r="BV17" s="63" t="str">
        <f aca="false">IF(OR(BV$4="",$C17=""),"",IF(AND($C17&gt;=BV$4,$C17&lt;EDATE(BV$4,1)),"◆",""))</f>
        <v/>
      </c>
      <c r="BW17" s="63" t="str">
        <f aca="false">IF(OR(BW$4="",$C17=""),"",IF(AND($C17&gt;=BW$4,$C17&lt;EDATE(BW$4,1)),"◆",""))</f>
        <v/>
      </c>
      <c r="BX17" s="63" t="str">
        <f aca="false">IF(OR(BX$4="",$C17=""),"",IF(AND($C17&gt;=BX$4,$C17&lt;EDATE(BX$4,1)),"◆",""))</f>
        <v/>
      </c>
      <c r="BY17" s="63" t="str">
        <f aca="false">IF(OR(BY$4="",$C17=""),"",IF(AND($C17&gt;=BY$4,$C17&lt;EDATE(BY$4,1)),"◆",""))</f>
        <v/>
      </c>
    </row>
    <row r="18" customFormat="false" ht="15" hidden="false" customHeight="false" outlineLevel="0" collapsed="false">
      <c r="A18" s="4"/>
      <c r="B18" s="53" t="str">
        <f aca="false">IF(Milestones!$B17="","",Milestones!$B17)</f>
        <v/>
      </c>
      <c r="C18" s="54" t="str">
        <f aca="false">IF(Milestones!$E17="","",Milestones!$E17)</f>
        <v/>
      </c>
      <c r="D18" s="4"/>
      <c r="E18" s="4"/>
      <c r="F18" s="63" t="str">
        <f aca="false">IF(OR(F$4="",$C18=""),"",IF(AND($C18&gt;=F$4,$C18&lt;EDATE(F$4,1)),"◆",""))</f>
        <v/>
      </c>
      <c r="G18" s="63" t="str">
        <f aca="false">IF(OR(G$4="",$C18=""),"",IF(AND($C18&gt;=G$4,$C18&lt;EDATE(G$4,1)),"◆",""))</f>
        <v/>
      </c>
      <c r="H18" s="63" t="str">
        <f aca="false">IF(OR(H$4="",$C18=""),"",IF(AND($C18&gt;=H$4,$C18&lt;EDATE(H$4,1)),"◆",""))</f>
        <v/>
      </c>
      <c r="I18" s="63" t="str">
        <f aca="false">IF(OR(I$4="",$C18=""),"",IF(AND($C18&gt;=I$4,$C18&lt;EDATE(I$4,1)),"◆",""))</f>
        <v/>
      </c>
      <c r="J18" s="63" t="str">
        <f aca="false">IF(OR(J$4="",$C18=""),"",IF(AND($C18&gt;=J$4,$C18&lt;EDATE(J$4,1)),"◆",""))</f>
        <v/>
      </c>
      <c r="K18" s="63" t="str">
        <f aca="false">IF(OR(K$4="",$C18=""),"",IF(AND($C18&gt;=K$4,$C18&lt;EDATE(K$4,1)),"◆",""))</f>
        <v/>
      </c>
      <c r="L18" s="63" t="str">
        <f aca="false">IF(OR(L$4="",$C18=""),"",IF(AND($C18&gt;=L$4,$C18&lt;EDATE(L$4,1)),"◆",""))</f>
        <v/>
      </c>
      <c r="M18" s="63" t="str">
        <f aca="false">IF(OR(M$4="",$C18=""),"",IF(AND($C18&gt;=M$4,$C18&lt;EDATE(M$4,1)),"◆",""))</f>
        <v/>
      </c>
      <c r="N18" s="63" t="str">
        <f aca="false">IF(OR(N$4="",$C18=""),"",IF(AND($C18&gt;=N$4,$C18&lt;EDATE(N$4,1)),"◆",""))</f>
        <v/>
      </c>
      <c r="O18" s="63" t="str">
        <f aca="false">IF(OR(O$4="",$C18=""),"",IF(AND($C18&gt;=O$4,$C18&lt;EDATE(O$4,1)),"◆",""))</f>
        <v/>
      </c>
      <c r="P18" s="63" t="str">
        <f aca="false">IF(OR(P$4="",$C18=""),"",IF(AND($C18&gt;=P$4,$C18&lt;EDATE(P$4,1)),"◆",""))</f>
        <v/>
      </c>
      <c r="Q18" s="63" t="str">
        <f aca="false">IF(OR(Q$4="",$C18=""),"",IF(AND($C18&gt;=Q$4,$C18&lt;EDATE(Q$4,1)),"◆",""))</f>
        <v/>
      </c>
      <c r="R18" s="63" t="str">
        <f aca="false">IF(OR(R$4="",$C18=""),"",IF(AND($C18&gt;=R$4,$C18&lt;EDATE(R$4,1)),"◆",""))</f>
        <v/>
      </c>
      <c r="S18" s="63" t="str">
        <f aca="false">IF(OR(S$4="",$C18=""),"",IF(AND($C18&gt;=S$4,$C18&lt;EDATE(S$4,1)),"◆",""))</f>
        <v/>
      </c>
      <c r="T18" s="63" t="str">
        <f aca="false">IF(OR(T$4="",$C18=""),"",IF(AND($C18&gt;=T$4,$C18&lt;EDATE(T$4,1)),"◆",""))</f>
        <v/>
      </c>
      <c r="U18" s="63" t="str">
        <f aca="false">IF(OR(U$4="",$C18=""),"",IF(AND($C18&gt;=U$4,$C18&lt;EDATE(U$4,1)),"◆",""))</f>
        <v/>
      </c>
      <c r="V18" s="63" t="str">
        <f aca="false">IF(OR(V$4="",$C18=""),"",IF(AND($C18&gt;=V$4,$C18&lt;EDATE(V$4,1)),"◆",""))</f>
        <v/>
      </c>
      <c r="W18" s="63" t="str">
        <f aca="false">IF(OR(W$4="",$C18=""),"",IF(AND($C18&gt;=W$4,$C18&lt;EDATE(W$4,1)),"◆",""))</f>
        <v/>
      </c>
      <c r="X18" s="63" t="str">
        <f aca="false">IF(OR(X$4="",$C18=""),"",IF(AND($C18&gt;=X$4,$C18&lt;EDATE(X$4,1)),"◆",""))</f>
        <v/>
      </c>
      <c r="Y18" s="63" t="str">
        <f aca="false">IF(OR(Y$4="",$C18=""),"",IF(AND($C18&gt;=Y$4,$C18&lt;EDATE(Y$4,1)),"◆",""))</f>
        <v/>
      </c>
      <c r="Z18" s="63" t="str">
        <f aca="false">IF(OR(Z$4="",$C18=""),"",IF(AND($C18&gt;=Z$4,$C18&lt;EDATE(Z$4,1)),"◆",""))</f>
        <v/>
      </c>
      <c r="AA18" s="63" t="str">
        <f aca="false">IF(OR(AA$4="",$C18=""),"",IF(AND($C18&gt;=AA$4,$C18&lt;EDATE(AA$4,1)),"◆",""))</f>
        <v/>
      </c>
      <c r="AB18" s="63" t="str">
        <f aca="false">IF(OR(AB$4="",$C18=""),"",IF(AND($C18&gt;=AB$4,$C18&lt;EDATE(AB$4,1)),"◆",""))</f>
        <v/>
      </c>
      <c r="AC18" s="63" t="str">
        <f aca="false">IF(OR(AC$4="",$C18=""),"",IF(AND($C18&gt;=AC$4,$C18&lt;EDATE(AC$4,1)),"◆",""))</f>
        <v/>
      </c>
      <c r="AD18" s="63" t="str">
        <f aca="false">IF(OR(AD$4="",$C18=""),"",IF(AND($C18&gt;=AD$4,$C18&lt;EDATE(AD$4,1)),"◆",""))</f>
        <v/>
      </c>
      <c r="AE18" s="63" t="str">
        <f aca="false">IF(OR(AE$4="",$C18=""),"",IF(AND($C18&gt;=AE$4,$C18&lt;EDATE(AE$4,1)),"◆",""))</f>
        <v/>
      </c>
      <c r="AF18" s="63" t="str">
        <f aca="false">IF(OR(AF$4="",$C18=""),"",IF(AND($C18&gt;=AF$4,$C18&lt;EDATE(AF$4,1)),"◆",""))</f>
        <v/>
      </c>
      <c r="AG18" s="63" t="str">
        <f aca="false">IF(OR(AG$4="",$C18=""),"",IF(AND($C18&gt;=AG$4,$C18&lt;EDATE(AG$4,1)),"◆",""))</f>
        <v/>
      </c>
      <c r="AH18" s="63" t="str">
        <f aca="false">IF(OR(AH$4="",$C18=""),"",IF(AND($C18&gt;=AH$4,$C18&lt;EDATE(AH$4,1)),"◆",""))</f>
        <v/>
      </c>
      <c r="AI18" s="63" t="str">
        <f aca="false">IF(OR(AI$4="",$C18=""),"",IF(AND($C18&gt;=AI$4,$C18&lt;EDATE(AI$4,1)),"◆",""))</f>
        <v/>
      </c>
      <c r="AJ18" s="63" t="str">
        <f aca="false">IF(OR(AJ$4="",$C18=""),"",IF(AND($C18&gt;=AJ$4,$C18&lt;EDATE(AJ$4,1)),"◆",""))</f>
        <v/>
      </c>
      <c r="AK18" s="63" t="str">
        <f aca="false">IF(OR(AK$4="",$C18=""),"",IF(AND($C18&gt;=AK$4,$C18&lt;EDATE(AK$4,1)),"◆",""))</f>
        <v/>
      </c>
      <c r="AL18" s="63" t="str">
        <f aca="false">IF(OR(AL$4="",$C18=""),"",IF(AND($C18&gt;=AL$4,$C18&lt;EDATE(AL$4,1)),"◆",""))</f>
        <v/>
      </c>
      <c r="AM18" s="63" t="str">
        <f aca="false">IF(OR(AM$4="",$C18=""),"",IF(AND($C18&gt;=AM$4,$C18&lt;EDATE(AM$4,1)),"◆",""))</f>
        <v/>
      </c>
      <c r="AN18" s="63" t="str">
        <f aca="false">IF(OR(AN$4="",$C18=""),"",IF(AND($C18&gt;=AN$4,$C18&lt;EDATE(AN$4,1)),"◆",""))</f>
        <v/>
      </c>
      <c r="AO18" s="63" t="str">
        <f aca="false">IF(OR(AO$4="",$C18=""),"",IF(AND($C18&gt;=AO$4,$C18&lt;EDATE(AO$4,1)),"◆",""))</f>
        <v/>
      </c>
      <c r="AP18" s="63" t="str">
        <f aca="false">IF(OR(AP$4="",$C18=""),"",IF(AND($C18&gt;=AP$4,$C18&lt;EDATE(AP$4,1)),"◆",""))</f>
        <v/>
      </c>
      <c r="AQ18" s="63" t="str">
        <f aca="false">IF(OR(AQ$4="",$C18=""),"",IF(AND($C18&gt;=AQ$4,$C18&lt;EDATE(AQ$4,1)),"◆",""))</f>
        <v/>
      </c>
      <c r="AR18" s="63" t="str">
        <f aca="false">IF(OR(AR$4="",$C18=""),"",IF(AND($C18&gt;=AR$4,$C18&lt;EDATE(AR$4,1)),"◆",""))</f>
        <v/>
      </c>
      <c r="AS18" s="63" t="str">
        <f aca="false">IF(OR(AS$4="",$C18=""),"",IF(AND($C18&gt;=AS$4,$C18&lt;EDATE(AS$4,1)),"◆",""))</f>
        <v/>
      </c>
      <c r="AT18" s="63" t="str">
        <f aca="false">IF(OR(AT$4="",$C18=""),"",IF(AND($C18&gt;=AT$4,$C18&lt;EDATE(AT$4,1)),"◆",""))</f>
        <v/>
      </c>
      <c r="AU18" s="63" t="str">
        <f aca="false">IF(OR(AU$4="",$C18=""),"",IF(AND($C18&gt;=AU$4,$C18&lt;EDATE(AU$4,1)),"◆",""))</f>
        <v/>
      </c>
      <c r="AV18" s="63" t="str">
        <f aca="false">IF(OR(AV$4="",$C18=""),"",IF(AND($C18&gt;=AV$4,$C18&lt;EDATE(AV$4,1)),"◆",""))</f>
        <v/>
      </c>
      <c r="AW18" s="63" t="str">
        <f aca="false">IF(OR(AW$4="",$C18=""),"",IF(AND($C18&gt;=AW$4,$C18&lt;EDATE(AW$4,1)),"◆",""))</f>
        <v/>
      </c>
      <c r="AX18" s="63" t="str">
        <f aca="false">IF(OR(AX$4="",$C18=""),"",IF(AND($C18&gt;=AX$4,$C18&lt;EDATE(AX$4,1)),"◆",""))</f>
        <v/>
      </c>
      <c r="AY18" s="63" t="str">
        <f aca="false">IF(OR(AY$4="",$C18=""),"",IF(AND($C18&gt;=AY$4,$C18&lt;EDATE(AY$4,1)),"◆",""))</f>
        <v/>
      </c>
      <c r="AZ18" s="63" t="str">
        <f aca="false">IF(OR(AZ$4="",$C18=""),"",IF(AND($C18&gt;=AZ$4,$C18&lt;EDATE(AZ$4,1)),"◆",""))</f>
        <v/>
      </c>
      <c r="BA18" s="63" t="str">
        <f aca="false">IF(OR(BA$4="",$C18=""),"",IF(AND($C18&gt;=BA$4,$C18&lt;EDATE(BA$4,1)),"◆",""))</f>
        <v/>
      </c>
      <c r="BB18" s="63" t="str">
        <f aca="false">IF(OR(BB$4="",$C18=""),"",IF(AND($C18&gt;=BB$4,$C18&lt;EDATE(BB$4,1)),"◆",""))</f>
        <v/>
      </c>
      <c r="BC18" s="63" t="str">
        <f aca="false">IF(OR(BC$4="",$C18=""),"",IF(AND($C18&gt;=BC$4,$C18&lt;EDATE(BC$4,1)),"◆",""))</f>
        <v/>
      </c>
      <c r="BD18" s="63" t="str">
        <f aca="false">IF(OR(BD$4="",$C18=""),"",IF(AND($C18&gt;=BD$4,$C18&lt;EDATE(BD$4,1)),"◆",""))</f>
        <v/>
      </c>
      <c r="BE18" s="63" t="str">
        <f aca="false">IF(OR(BE$4="",$C18=""),"",IF(AND($C18&gt;=BE$4,$C18&lt;EDATE(BE$4,1)),"◆",""))</f>
        <v/>
      </c>
      <c r="BF18" s="63" t="str">
        <f aca="false">IF(OR(BF$4="",$C18=""),"",IF(AND($C18&gt;=BF$4,$C18&lt;EDATE(BF$4,1)),"◆",""))</f>
        <v/>
      </c>
      <c r="BG18" s="63" t="str">
        <f aca="false">IF(OR(BG$4="",$C18=""),"",IF(AND($C18&gt;=BG$4,$C18&lt;EDATE(BG$4,1)),"◆",""))</f>
        <v/>
      </c>
      <c r="BH18" s="63" t="str">
        <f aca="false">IF(OR(BH$4="",$C18=""),"",IF(AND($C18&gt;=BH$4,$C18&lt;EDATE(BH$4,1)),"◆",""))</f>
        <v/>
      </c>
      <c r="BI18" s="63" t="str">
        <f aca="false">IF(OR(BI$4="",$C18=""),"",IF(AND($C18&gt;=BI$4,$C18&lt;EDATE(BI$4,1)),"◆",""))</f>
        <v/>
      </c>
      <c r="BJ18" s="63" t="str">
        <f aca="false">IF(OR(BJ$4="",$C18=""),"",IF(AND($C18&gt;=BJ$4,$C18&lt;EDATE(BJ$4,1)),"◆",""))</f>
        <v/>
      </c>
      <c r="BK18" s="63" t="str">
        <f aca="false">IF(OR(BK$4="",$C18=""),"",IF(AND($C18&gt;=BK$4,$C18&lt;EDATE(BK$4,1)),"◆",""))</f>
        <v/>
      </c>
      <c r="BL18" s="63" t="str">
        <f aca="false">IF(OR(BL$4="",$C18=""),"",IF(AND($C18&gt;=BL$4,$C18&lt;EDATE(BL$4,1)),"◆",""))</f>
        <v/>
      </c>
      <c r="BM18" s="63" t="str">
        <f aca="false">IF(OR(BM$4="",$C18=""),"",IF(AND($C18&gt;=BM$4,$C18&lt;EDATE(BM$4,1)),"◆",""))</f>
        <v/>
      </c>
      <c r="BN18" s="63" t="str">
        <f aca="false">IF(OR(BN$4="",$C18=""),"",IF(AND($C18&gt;=BN$4,$C18&lt;EDATE(BN$4,1)),"◆",""))</f>
        <v/>
      </c>
      <c r="BO18" s="63" t="str">
        <f aca="false">IF(OR(BO$4="",$C18=""),"",IF(AND($C18&gt;=BO$4,$C18&lt;EDATE(BO$4,1)),"◆",""))</f>
        <v/>
      </c>
      <c r="BP18" s="63" t="str">
        <f aca="false">IF(OR(BP$4="",$C18=""),"",IF(AND($C18&gt;=BP$4,$C18&lt;EDATE(BP$4,1)),"◆",""))</f>
        <v/>
      </c>
      <c r="BQ18" s="63" t="str">
        <f aca="false">IF(OR(BQ$4="",$C18=""),"",IF(AND($C18&gt;=BQ$4,$C18&lt;EDATE(BQ$4,1)),"◆",""))</f>
        <v/>
      </c>
      <c r="BR18" s="63" t="str">
        <f aca="false">IF(OR(BR$4="",$C18=""),"",IF(AND($C18&gt;=BR$4,$C18&lt;EDATE(BR$4,1)),"◆",""))</f>
        <v/>
      </c>
      <c r="BS18" s="63" t="str">
        <f aca="false">IF(OR(BS$4="",$C18=""),"",IF(AND($C18&gt;=BS$4,$C18&lt;EDATE(BS$4,1)),"◆",""))</f>
        <v/>
      </c>
      <c r="BT18" s="63" t="str">
        <f aca="false">IF(OR(BT$4="",$C18=""),"",IF(AND($C18&gt;=BT$4,$C18&lt;EDATE(BT$4,1)),"◆",""))</f>
        <v/>
      </c>
      <c r="BU18" s="63" t="str">
        <f aca="false">IF(OR(BU$4="",$C18=""),"",IF(AND($C18&gt;=BU$4,$C18&lt;EDATE(BU$4,1)),"◆",""))</f>
        <v/>
      </c>
      <c r="BV18" s="63" t="str">
        <f aca="false">IF(OR(BV$4="",$C18=""),"",IF(AND($C18&gt;=BV$4,$C18&lt;EDATE(BV$4,1)),"◆",""))</f>
        <v/>
      </c>
      <c r="BW18" s="63" t="str">
        <f aca="false">IF(OR(BW$4="",$C18=""),"",IF(AND($C18&gt;=BW$4,$C18&lt;EDATE(BW$4,1)),"◆",""))</f>
        <v/>
      </c>
      <c r="BX18" s="63" t="str">
        <f aca="false">IF(OR(BX$4="",$C18=""),"",IF(AND($C18&gt;=BX$4,$C18&lt;EDATE(BX$4,1)),"◆",""))</f>
        <v/>
      </c>
      <c r="BY18" s="63" t="str">
        <f aca="false">IF(OR(BY$4="",$C18=""),"",IF(AND($C18&gt;=BY$4,$C18&lt;EDATE(BY$4,1)),"◆",""))</f>
        <v/>
      </c>
    </row>
    <row r="19" customFormat="false" ht="15" hidden="false" customHeight="false" outlineLevel="0" collapsed="false">
      <c r="A19" s="4"/>
      <c r="B19" s="53" t="str">
        <f aca="false">IF(Milestones!$B18="","",Milestones!$B18)</f>
        <v/>
      </c>
      <c r="C19" s="54" t="str">
        <f aca="false">IF(Milestones!$E18="","",Milestones!$E18)</f>
        <v/>
      </c>
      <c r="D19" s="4"/>
      <c r="E19" s="4"/>
      <c r="F19" s="63" t="str">
        <f aca="false">IF(OR(F$4="",$C19=""),"",IF(AND($C19&gt;=F$4,$C19&lt;EDATE(F$4,1)),"◆",""))</f>
        <v/>
      </c>
      <c r="G19" s="63" t="str">
        <f aca="false">IF(OR(G$4="",$C19=""),"",IF(AND($C19&gt;=G$4,$C19&lt;EDATE(G$4,1)),"◆",""))</f>
        <v/>
      </c>
      <c r="H19" s="63" t="str">
        <f aca="false">IF(OR(H$4="",$C19=""),"",IF(AND($C19&gt;=H$4,$C19&lt;EDATE(H$4,1)),"◆",""))</f>
        <v/>
      </c>
      <c r="I19" s="63" t="str">
        <f aca="false">IF(OR(I$4="",$C19=""),"",IF(AND($C19&gt;=I$4,$C19&lt;EDATE(I$4,1)),"◆",""))</f>
        <v/>
      </c>
      <c r="J19" s="63" t="str">
        <f aca="false">IF(OR(J$4="",$C19=""),"",IF(AND($C19&gt;=J$4,$C19&lt;EDATE(J$4,1)),"◆",""))</f>
        <v/>
      </c>
      <c r="K19" s="63" t="str">
        <f aca="false">IF(OR(K$4="",$C19=""),"",IF(AND($C19&gt;=K$4,$C19&lt;EDATE(K$4,1)),"◆",""))</f>
        <v/>
      </c>
      <c r="L19" s="63" t="str">
        <f aca="false">IF(OR(L$4="",$C19=""),"",IF(AND($C19&gt;=L$4,$C19&lt;EDATE(L$4,1)),"◆",""))</f>
        <v/>
      </c>
      <c r="M19" s="63" t="str">
        <f aca="false">IF(OR(M$4="",$C19=""),"",IF(AND($C19&gt;=M$4,$C19&lt;EDATE(M$4,1)),"◆",""))</f>
        <v/>
      </c>
      <c r="N19" s="63" t="str">
        <f aca="false">IF(OR(N$4="",$C19=""),"",IF(AND($C19&gt;=N$4,$C19&lt;EDATE(N$4,1)),"◆",""))</f>
        <v/>
      </c>
      <c r="O19" s="63" t="str">
        <f aca="false">IF(OR(O$4="",$C19=""),"",IF(AND($C19&gt;=O$4,$C19&lt;EDATE(O$4,1)),"◆",""))</f>
        <v/>
      </c>
      <c r="P19" s="63" t="str">
        <f aca="false">IF(OR(P$4="",$C19=""),"",IF(AND($C19&gt;=P$4,$C19&lt;EDATE(P$4,1)),"◆",""))</f>
        <v/>
      </c>
      <c r="Q19" s="63" t="str">
        <f aca="false">IF(OR(Q$4="",$C19=""),"",IF(AND($C19&gt;=Q$4,$C19&lt;EDATE(Q$4,1)),"◆",""))</f>
        <v/>
      </c>
      <c r="R19" s="63" t="str">
        <f aca="false">IF(OR(R$4="",$C19=""),"",IF(AND($C19&gt;=R$4,$C19&lt;EDATE(R$4,1)),"◆",""))</f>
        <v/>
      </c>
      <c r="S19" s="63" t="str">
        <f aca="false">IF(OR(S$4="",$C19=""),"",IF(AND($C19&gt;=S$4,$C19&lt;EDATE(S$4,1)),"◆",""))</f>
        <v/>
      </c>
      <c r="T19" s="63" t="str">
        <f aca="false">IF(OR(T$4="",$C19=""),"",IF(AND($C19&gt;=T$4,$C19&lt;EDATE(T$4,1)),"◆",""))</f>
        <v/>
      </c>
      <c r="U19" s="63" t="str">
        <f aca="false">IF(OR(U$4="",$C19=""),"",IF(AND($C19&gt;=U$4,$C19&lt;EDATE(U$4,1)),"◆",""))</f>
        <v/>
      </c>
      <c r="V19" s="63" t="str">
        <f aca="false">IF(OR(V$4="",$C19=""),"",IF(AND($C19&gt;=V$4,$C19&lt;EDATE(V$4,1)),"◆",""))</f>
        <v/>
      </c>
      <c r="W19" s="63" t="str">
        <f aca="false">IF(OR(W$4="",$C19=""),"",IF(AND($C19&gt;=W$4,$C19&lt;EDATE(W$4,1)),"◆",""))</f>
        <v/>
      </c>
      <c r="X19" s="63" t="str">
        <f aca="false">IF(OR(X$4="",$C19=""),"",IF(AND($C19&gt;=X$4,$C19&lt;EDATE(X$4,1)),"◆",""))</f>
        <v/>
      </c>
      <c r="Y19" s="63" t="str">
        <f aca="false">IF(OR(Y$4="",$C19=""),"",IF(AND($C19&gt;=Y$4,$C19&lt;EDATE(Y$4,1)),"◆",""))</f>
        <v/>
      </c>
      <c r="Z19" s="63" t="str">
        <f aca="false">IF(OR(Z$4="",$C19=""),"",IF(AND($C19&gt;=Z$4,$C19&lt;EDATE(Z$4,1)),"◆",""))</f>
        <v/>
      </c>
      <c r="AA19" s="63" t="str">
        <f aca="false">IF(OR(AA$4="",$C19=""),"",IF(AND($C19&gt;=AA$4,$C19&lt;EDATE(AA$4,1)),"◆",""))</f>
        <v/>
      </c>
      <c r="AB19" s="63" t="str">
        <f aca="false">IF(OR(AB$4="",$C19=""),"",IF(AND($C19&gt;=AB$4,$C19&lt;EDATE(AB$4,1)),"◆",""))</f>
        <v/>
      </c>
      <c r="AC19" s="63" t="str">
        <f aca="false">IF(OR(AC$4="",$C19=""),"",IF(AND($C19&gt;=AC$4,$C19&lt;EDATE(AC$4,1)),"◆",""))</f>
        <v/>
      </c>
      <c r="AD19" s="63" t="str">
        <f aca="false">IF(OR(AD$4="",$C19=""),"",IF(AND($C19&gt;=AD$4,$C19&lt;EDATE(AD$4,1)),"◆",""))</f>
        <v/>
      </c>
      <c r="AE19" s="63" t="str">
        <f aca="false">IF(OR(AE$4="",$C19=""),"",IF(AND($C19&gt;=AE$4,$C19&lt;EDATE(AE$4,1)),"◆",""))</f>
        <v/>
      </c>
      <c r="AF19" s="63" t="str">
        <f aca="false">IF(OR(AF$4="",$C19=""),"",IF(AND($C19&gt;=AF$4,$C19&lt;EDATE(AF$4,1)),"◆",""))</f>
        <v/>
      </c>
      <c r="AG19" s="63" t="str">
        <f aca="false">IF(OR(AG$4="",$C19=""),"",IF(AND($C19&gt;=AG$4,$C19&lt;EDATE(AG$4,1)),"◆",""))</f>
        <v/>
      </c>
      <c r="AH19" s="63" t="str">
        <f aca="false">IF(OR(AH$4="",$C19=""),"",IF(AND($C19&gt;=AH$4,$C19&lt;EDATE(AH$4,1)),"◆",""))</f>
        <v/>
      </c>
      <c r="AI19" s="63" t="str">
        <f aca="false">IF(OR(AI$4="",$C19=""),"",IF(AND($C19&gt;=AI$4,$C19&lt;EDATE(AI$4,1)),"◆",""))</f>
        <v/>
      </c>
      <c r="AJ19" s="63" t="str">
        <f aca="false">IF(OR(AJ$4="",$C19=""),"",IF(AND($C19&gt;=AJ$4,$C19&lt;EDATE(AJ$4,1)),"◆",""))</f>
        <v/>
      </c>
      <c r="AK19" s="63" t="str">
        <f aca="false">IF(OR(AK$4="",$C19=""),"",IF(AND($C19&gt;=AK$4,$C19&lt;EDATE(AK$4,1)),"◆",""))</f>
        <v/>
      </c>
      <c r="AL19" s="63" t="str">
        <f aca="false">IF(OR(AL$4="",$C19=""),"",IF(AND($C19&gt;=AL$4,$C19&lt;EDATE(AL$4,1)),"◆",""))</f>
        <v/>
      </c>
      <c r="AM19" s="63" t="str">
        <f aca="false">IF(OR(AM$4="",$C19=""),"",IF(AND($C19&gt;=AM$4,$C19&lt;EDATE(AM$4,1)),"◆",""))</f>
        <v/>
      </c>
      <c r="AN19" s="63" t="str">
        <f aca="false">IF(OR(AN$4="",$C19=""),"",IF(AND($C19&gt;=AN$4,$C19&lt;EDATE(AN$4,1)),"◆",""))</f>
        <v/>
      </c>
      <c r="AO19" s="63" t="str">
        <f aca="false">IF(OR(AO$4="",$C19=""),"",IF(AND($C19&gt;=AO$4,$C19&lt;EDATE(AO$4,1)),"◆",""))</f>
        <v/>
      </c>
      <c r="AP19" s="63" t="str">
        <f aca="false">IF(OR(AP$4="",$C19=""),"",IF(AND($C19&gt;=AP$4,$C19&lt;EDATE(AP$4,1)),"◆",""))</f>
        <v/>
      </c>
      <c r="AQ19" s="63" t="str">
        <f aca="false">IF(OR(AQ$4="",$C19=""),"",IF(AND($C19&gt;=AQ$4,$C19&lt;EDATE(AQ$4,1)),"◆",""))</f>
        <v/>
      </c>
      <c r="AR19" s="63" t="str">
        <f aca="false">IF(OR(AR$4="",$C19=""),"",IF(AND($C19&gt;=AR$4,$C19&lt;EDATE(AR$4,1)),"◆",""))</f>
        <v/>
      </c>
      <c r="AS19" s="63" t="str">
        <f aca="false">IF(OR(AS$4="",$C19=""),"",IF(AND($C19&gt;=AS$4,$C19&lt;EDATE(AS$4,1)),"◆",""))</f>
        <v/>
      </c>
      <c r="AT19" s="63" t="str">
        <f aca="false">IF(OR(AT$4="",$C19=""),"",IF(AND($C19&gt;=AT$4,$C19&lt;EDATE(AT$4,1)),"◆",""))</f>
        <v/>
      </c>
      <c r="AU19" s="63" t="str">
        <f aca="false">IF(OR(AU$4="",$C19=""),"",IF(AND($C19&gt;=AU$4,$C19&lt;EDATE(AU$4,1)),"◆",""))</f>
        <v/>
      </c>
      <c r="AV19" s="63" t="str">
        <f aca="false">IF(OR(AV$4="",$C19=""),"",IF(AND($C19&gt;=AV$4,$C19&lt;EDATE(AV$4,1)),"◆",""))</f>
        <v/>
      </c>
      <c r="AW19" s="63" t="str">
        <f aca="false">IF(OR(AW$4="",$C19=""),"",IF(AND($C19&gt;=AW$4,$C19&lt;EDATE(AW$4,1)),"◆",""))</f>
        <v/>
      </c>
      <c r="AX19" s="63" t="str">
        <f aca="false">IF(OR(AX$4="",$C19=""),"",IF(AND($C19&gt;=AX$4,$C19&lt;EDATE(AX$4,1)),"◆",""))</f>
        <v/>
      </c>
      <c r="AY19" s="63" t="str">
        <f aca="false">IF(OR(AY$4="",$C19=""),"",IF(AND($C19&gt;=AY$4,$C19&lt;EDATE(AY$4,1)),"◆",""))</f>
        <v/>
      </c>
      <c r="AZ19" s="63" t="str">
        <f aca="false">IF(OR(AZ$4="",$C19=""),"",IF(AND($C19&gt;=AZ$4,$C19&lt;EDATE(AZ$4,1)),"◆",""))</f>
        <v/>
      </c>
      <c r="BA19" s="63" t="str">
        <f aca="false">IF(OR(BA$4="",$C19=""),"",IF(AND($C19&gt;=BA$4,$C19&lt;EDATE(BA$4,1)),"◆",""))</f>
        <v/>
      </c>
      <c r="BB19" s="63" t="str">
        <f aca="false">IF(OR(BB$4="",$C19=""),"",IF(AND($C19&gt;=BB$4,$C19&lt;EDATE(BB$4,1)),"◆",""))</f>
        <v/>
      </c>
      <c r="BC19" s="63" t="str">
        <f aca="false">IF(OR(BC$4="",$C19=""),"",IF(AND($C19&gt;=BC$4,$C19&lt;EDATE(BC$4,1)),"◆",""))</f>
        <v/>
      </c>
      <c r="BD19" s="63" t="str">
        <f aca="false">IF(OR(BD$4="",$C19=""),"",IF(AND($C19&gt;=BD$4,$C19&lt;EDATE(BD$4,1)),"◆",""))</f>
        <v/>
      </c>
      <c r="BE19" s="63" t="str">
        <f aca="false">IF(OR(BE$4="",$C19=""),"",IF(AND($C19&gt;=BE$4,$C19&lt;EDATE(BE$4,1)),"◆",""))</f>
        <v/>
      </c>
      <c r="BF19" s="63" t="str">
        <f aca="false">IF(OR(BF$4="",$C19=""),"",IF(AND($C19&gt;=BF$4,$C19&lt;EDATE(BF$4,1)),"◆",""))</f>
        <v/>
      </c>
      <c r="BG19" s="63" t="str">
        <f aca="false">IF(OR(BG$4="",$C19=""),"",IF(AND($C19&gt;=BG$4,$C19&lt;EDATE(BG$4,1)),"◆",""))</f>
        <v/>
      </c>
      <c r="BH19" s="63" t="str">
        <f aca="false">IF(OR(BH$4="",$C19=""),"",IF(AND($C19&gt;=BH$4,$C19&lt;EDATE(BH$4,1)),"◆",""))</f>
        <v/>
      </c>
      <c r="BI19" s="63" t="str">
        <f aca="false">IF(OR(BI$4="",$C19=""),"",IF(AND($C19&gt;=BI$4,$C19&lt;EDATE(BI$4,1)),"◆",""))</f>
        <v/>
      </c>
      <c r="BJ19" s="63" t="str">
        <f aca="false">IF(OR(BJ$4="",$C19=""),"",IF(AND($C19&gt;=BJ$4,$C19&lt;EDATE(BJ$4,1)),"◆",""))</f>
        <v/>
      </c>
      <c r="BK19" s="63" t="str">
        <f aca="false">IF(OR(BK$4="",$C19=""),"",IF(AND($C19&gt;=BK$4,$C19&lt;EDATE(BK$4,1)),"◆",""))</f>
        <v/>
      </c>
      <c r="BL19" s="63" t="str">
        <f aca="false">IF(OR(BL$4="",$C19=""),"",IF(AND($C19&gt;=BL$4,$C19&lt;EDATE(BL$4,1)),"◆",""))</f>
        <v/>
      </c>
      <c r="BM19" s="63" t="str">
        <f aca="false">IF(OR(BM$4="",$C19=""),"",IF(AND($C19&gt;=BM$4,$C19&lt;EDATE(BM$4,1)),"◆",""))</f>
        <v/>
      </c>
      <c r="BN19" s="63" t="str">
        <f aca="false">IF(OR(BN$4="",$C19=""),"",IF(AND($C19&gt;=BN$4,$C19&lt;EDATE(BN$4,1)),"◆",""))</f>
        <v/>
      </c>
      <c r="BO19" s="63" t="str">
        <f aca="false">IF(OR(BO$4="",$C19=""),"",IF(AND($C19&gt;=BO$4,$C19&lt;EDATE(BO$4,1)),"◆",""))</f>
        <v/>
      </c>
      <c r="BP19" s="63" t="str">
        <f aca="false">IF(OR(BP$4="",$C19=""),"",IF(AND($C19&gt;=BP$4,$C19&lt;EDATE(BP$4,1)),"◆",""))</f>
        <v/>
      </c>
      <c r="BQ19" s="63" t="str">
        <f aca="false">IF(OR(BQ$4="",$C19=""),"",IF(AND($C19&gt;=BQ$4,$C19&lt;EDATE(BQ$4,1)),"◆",""))</f>
        <v/>
      </c>
      <c r="BR19" s="63" t="str">
        <f aca="false">IF(OR(BR$4="",$C19=""),"",IF(AND($C19&gt;=BR$4,$C19&lt;EDATE(BR$4,1)),"◆",""))</f>
        <v/>
      </c>
      <c r="BS19" s="63" t="str">
        <f aca="false">IF(OR(BS$4="",$C19=""),"",IF(AND($C19&gt;=BS$4,$C19&lt;EDATE(BS$4,1)),"◆",""))</f>
        <v/>
      </c>
      <c r="BT19" s="63" t="str">
        <f aca="false">IF(OR(BT$4="",$C19=""),"",IF(AND($C19&gt;=BT$4,$C19&lt;EDATE(BT$4,1)),"◆",""))</f>
        <v/>
      </c>
      <c r="BU19" s="63" t="str">
        <f aca="false">IF(OR(BU$4="",$C19=""),"",IF(AND($C19&gt;=BU$4,$C19&lt;EDATE(BU$4,1)),"◆",""))</f>
        <v/>
      </c>
      <c r="BV19" s="63" t="str">
        <f aca="false">IF(OR(BV$4="",$C19=""),"",IF(AND($C19&gt;=BV$4,$C19&lt;EDATE(BV$4,1)),"◆",""))</f>
        <v/>
      </c>
      <c r="BW19" s="63" t="str">
        <f aca="false">IF(OR(BW$4="",$C19=""),"",IF(AND($C19&gt;=BW$4,$C19&lt;EDATE(BW$4,1)),"◆",""))</f>
        <v/>
      </c>
      <c r="BX19" s="63" t="str">
        <f aca="false">IF(OR(BX$4="",$C19=""),"",IF(AND($C19&gt;=BX$4,$C19&lt;EDATE(BX$4,1)),"◆",""))</f>
        <v/>
      </c>
      <c r="BY19" s="63" t="str">
        <f aca="false">IF(OR(BY$4="",$C19=""),"",IF(AND($C19&gt;=BY$4,$C19&lt;EDATE(BY$4,1)),"◆",""))</f>
        <v/>
      </c>
    </row>
    <row r="20" customFormat="false" ht="15" hidden="false" customHeight="false" outlineLevel="0" collapsed="false">
      <c r="A20" s="4"/>
      <c r="B20" s="53" t="str">
        <f aca="false">IF(Milestones!$B19="","",Milestones!$B19)</f>
        <v/>
      </c>
      <c r="C20" s="54" t="str">
        <f aca="false">IF(Milestones!$E19="","",Milestones!$E19)</f>
        <v/>
      </c>
      <c r="D20" s="4"/>
      <c r="E20" s="4"/>
      <c r="F20" s="63" t="str">
        <f aca="false">IF(OR(F$4="",$C20=""),"",IF(AND($C20&gt;=F$4,$C20&lt;EDATE(F$4,1)),"◆",""))</f>
        <v/>
      </c>
      <c r="G20" s="63" t="str">
        <f aca="false">IF(OR(G$4="",$C20=""),"",IF(AND($C20&gt;=G$4,$C20&lt;EDATE(G$4,1)),"◆",""))</f>
        <v/>
      </c>
      <c r="H20" s="63" t="str">
        <f aca="false">IF(OR(H$4="",$C20=""),"",IF(AND($C20&gt;=H$4,$C20&lt;EDATE(H$4,1)),"◆",""))</f>
        <v/>
      </c>
      <c r="I20" s="63" t="str">
        <f aca="false">IF(OR(I$4="",$C20=""),"",IF(AND($C20&gt;=I$4,$C20&lt;EDATE(I$4,1)),"◆",""))</f>
        <v/>
      </c>
      <c r="J20" s="63" t="str">
        <f aca="false">IF(OR(J$4="",$C20=""),"",IF(AND($C20&gt;=J$4,$C20&lt;EDATE(J$4,1)),"◆",""))</f>
        <v/>
      </c>
      <c r="K20" s="63" t="str">
        <f aca="false">IF(OR(K$4="",$C20=""),"",IF(AND($C20&gt;=K$4,$C20&lt;EDATE(K$4,1)),"◆",""))</f>
        <v/>
      </c>
      <c r="L20" s="63" t="str">
        <f aca="false">IF(OR(L$4="",$C20=""),"",IF(AND($C20&gt;=L$4,$C20&lt;EDATE(L$4,1)),"◆",""))</f>
        <v/>
      </c>
      <c r="M20" s="63" t="str">
        <f aca="false">IF(OR(M$4="",$C20=""),"",IF(AND($C20&gt;=M$4,$C20&lt;EDATE(M$4,1)),"◆",""))</f>
        <v/>
      </c>
      <c r="N20" s="63" t="str">
        <f aca="false">IF(OR(N$4="",$C20=""),"",IF(AND($C20&gt;=N$4,$C20&lt;EDATE(N$4,1)),"◆",""))</f>
        <v/>
      </c>
      <c r="O20" s="63" t="str">
        <f aca="false">IF(OR(O$4="",$C20=""),"",IF(AND($C20&gt;=O$4,$C20&lt;EDATE(O$4,1)),"◆",""))</f>
        <v/>
      </c>
      <c r="P20" s="63" t="str">
        <f aca="false">IF(OR(P$4="",$C20=""),"",IF(AND($C20&gt;=P$4,$C20&lt;EDATE(P$4,1)),"◆",""))</f>
        <v/>
      </c>
      <c r="Q20" s="63" t="str">
        <f aca="false">IF(OR(Q$4="",$C20=""),"",IF(AND($C20&gt;=Q$4,$C20&lt;EDATE(Q$4,1)),"◆",""))</f>
        <v/>
      </c>
      <c r="R20" s="63" t="str">
        <f aca="false">IF(OR(R$4="",$C20=""),"",IF(AND($C20&gt;=R$4,$C20&lt;EDATE(R$4,1)),"◆",""))</f>
        <v/>
      </c>
      <c r="S20" s="63" t="str">
        <f aca="false">IF(OR(S$4="",$C20=""),"",IF(AND($C20&gt;=S$4,$C20&lt;EDATE(S$4,1)),"◆",""))</f>
        <v/>
      </c>
      <c r="T20" s="63" t="str">
        <f aca="false">IF(OR(T$4="",$C20=""),"",IF(AND($C20&gt;=T$4,$C20&lt;EDATE(T$4,1)),"◆",""))</f>
        <v/>
      </c>
      <c r="U20" s="63" t="str">
        <f aca="false">IF(OR(U$4="",$C20=""),"",IF(AND($C20&gt;=U$4,$C20&lt;EDATE(U$4,1)),"◆",""))</f>
        <v/>
      </c>
      <c r="V20" s="63" t="str">
        <f aca="false">IF(OR(V$4="",$C20=""),"",IF(AND($C20&gt;=V$4,$C20&lt;EDATE(V$4,1)),"◆",""))</f>
        <v/>
      </c>
      <c r="W20" s="63" t="str">
        <f aca="false">IF(OR(W$4="",$C20=""),"",IF(AND($C20&gt;=W$4,$C20&lt;EDATE(W$4,1)),"◆",""))</f>
        <v/>
      </c>
      <c r="X20" s="63" t="str">
        <f aca="false">IF(OR(X$4="",$C20=""),"",IF(AND($C20&gt;=X$4,$C20&lt;EDATE(X$4,1)),"◆",""))</f>
        <v/>
      </c>
      <c r="Y20" s="63" t="str">
        <f aca="false">IF(OR(Y$4="",$C20=""),"",IF(AND($C20&gt;=Y$4,$C20&lt;EDATE(Y$4,1)),"◆",""))</f>
        <v/>
      </c>
      <c r="Z20" s="63" t="str">
        <f aca="false">IF(OR(Z$4="",$C20=""),"",IF(AND($C20&gt;=Z$4,$C20&lt;EDATE(Z$4,1)),"◆",""))</f>
        <v/>
      </c>
      <c r="AA20" s="63" t="str">
        <f aca="false">IF(OR(AA$4="",$C20=""),"",IF(AND($C20&gt;=AA$4,$C20&lt;EDATE(AA$4,1)),"◆",""))</f>
        <v/>
      </c>
      <c r="AB20" s="63" t="str">
        <f aca="false">IF(OR(AB$4="",$C20=""),"",IF(AND($C20&gt;=AB$4,$C20&lt;EDATE(AB$4,1)),"◆",""))</f>
        <v/>
      </c>
      <c r="AC20" s="63" t="str">
        <f aca="false">IF(OR(AC$4="",$C20=""),"",IF(AND($C20&gt;=AC$4,$C20&lt;EDATE(AC$4,1)),"◆",""))</f>
        <v/>
      </c>
      <c r="AD20" s="63" t="str">
        <f aca="false">IF(OR(AD$4="",$C20=""),"",IF(AND($C20&gt;=AD$4,$C20&lt;EDATE(AD$4,1)),"◆",""))</f>
        <v/>
      </c>
      <c r="AE20" s="63" t="str">
        <f aca="false">IF(OR(AE$4="",$C20=""),"",IF(AND($C20&gt;=AE$4,$C20&lt;EDATE(AE$4,1)),"◆",""))</f>
        <v/>
      </c>
      <c r="AF20" s="63" t="str">
        <f aca="false">IF(OR(AF$4="",$C20=""),"",IF(AND($C20&gt;=AF$4,$C20&lt;EDATE(AF$4,1)),"◆",""))</f>
        <v/>
      </c>
      <c r="AG20" s="63" t="str">
        <f aca="false">IF(OR(AG$4="",$C20=""),"",IF(AND($C20&gt;=AG$4,$C20&lt;EDATE(AG$4,1)),"◆",""))</f>
        <v/>
      </c>
      <c r="AH20" s="63" t="str">
        <f aca="false">IF(OR(AH$4="",$C20=""),"",IF(AND($C20&gt;=AH$4,$C20&lt;EDATE(AH$4,1)),"◆",""))</f>
        <v/>
      </c>
      <c r="AI20" s="63" t="str">
        <f aca="false">IF(OR(AI$4="",$C20=""),"",IF(AND($C20&gt;=AI$4,$C20&lt;EDATE(AI$4,1)),"◆",""))</f>
        <v/>
      </c>
      <c r="AJ20" s="63" t="str">
        <f aca="false">IF(OR(AJ$4="",$C20=""),"",IF(AND($C20&gt;=AJ$4,$C20&lt;EDATE(AJ$4,1)),"◆",""))</f>
        <v/>
      </c>
      <c r="AK20" s="63" t="str">
        <f aca="false">IF(OR(AK$4="",$C20=""),"",IF(AND($C20&gt;=AK$4,$C20&lt;EDATE(AK$4,1)),"◆",""))</f>
        <v/>
      </c>
      <c r="AL20" s="63" t="str">
        <f aca="false">IF(OR(AL$4="",$C20=""),"",IF(AND($C20&gt;=AL$4,$C20&lt;EDATE(AL$4,1)),"◆",""))</f>
        <v/>
      </c>
      <c r="AM20" s="63" t="str">
        <f aca="false">IF(OR(AM$4="",$C20=""),"",IF(AND($C20&gt;=AM$4,$C20&lt;EDATE(AM$4,1)),"◆",""))</f>
        <v/>
      </c>
      <c r="AN20" s="63" t="str">
        <f aca="false">IF(OR(AN$4="",$C20=""),"",IF(AND($C20&gt;=AN$4,$C20&lt;EDATE(AN$4,1)),"◆",""))</f>
        <v/>
      </c>
      <c r="AO20" s="63" t="str">
        <f aca="false">IF(OR(AO$4="",$C20=""),"",IF(AND($C20&gt;=AO$4,$C20&lt;EDATE(AO$4,1)),"◆",""))</f>
        <v/>
      </c>
      <c r="AP20" s="63" t="str">
        <f aca="false">IF(OR(AP$4="",$C20=""),"",IF(AND($C20&gt;=AP$4,$C20&lt;EDATE(AP$4,1)),"◆",""))</f>
        <v/>
      </c>
      <c r="AQ20" s="63" t="str">
        <f aca="false">IF(OR(AQ$4="",$C20=""),"",IF(AND($C20&gt;=AQ$4,$C20&lt;EDATE(AQ$4,1)),"◆",""))</f>
        <v/>
      </c>
      <c r="AR20" s="63" t="str">
        <f aca="false">IF(OR(AR$4="",$C20=""),"",IF(AND($C20&gt;=AR$4,$C20&lt;EDATE(AR$4,1)),"◆",""))</f>
        <v/>
      </c>
      <c r="AS20" s="63" t="str">
        <f aca="false">IF(OR(AS$4="",$C20=""),"",IF(AND($C20&gt;=AS$4,$C20&lt;EDATE(AS$4,1)),"◆",""))</f>
        <v/>
      </c>
      <c r="AT20" s="63" t="str">
        <f aca="false">IF(OR(AT$4="",$C20=""),"",IF(AND($C20&gt;=AT$4,$C20&lt;EDATE(AT$4,1)),"◆",""))</f>
        <v/>
      </c>
      <c r="AU20" s="63" t="str">
        <f aca="false">IF(OR(AU$4="",$C20=""),"",IF(AND($C20&gt;=AU$4,$C20&lt;EDATE(AU$4,1)),"◆",""))</f>
        <v/>
      </c>
      <c r="AV20" s="63" t="str">
        <f aca="false">IF(OR(AV$4="",$C20=""),"",IF(AND($C20&gt;=AV$4,$C20&lt;EDATE(AV$4,1)),"◆",""))</f>
        <v/>
      </c>
      <c r="AW20" s="63" t="str">
        <f aca="false">IF(OR(AW$4="",$C20=""),"",IF(AND($C20&gt;=AW$4,$C20&lt;EDATE(AW$4,1)),"◆",""))</f>
        <v/>
      </c>
      <c r="AX20" s="63" t="str">
        <f aca="false">IF(OR(AX$4="",$C20=""),"",IF(AND($C20&gt;=AX$4,$C20&lt;EDATE(AX$4,1)),"◆",""))</f>
        <v/>
      </c>
      <c r="AY20" s="63" t="str">
        <f aca="false">IF(OR(AY$4="",$C20=""),"",IF(AND($C20&gt;=AY$4,$C20&lt;EDATE(AY$4,1)),"◆",""))</f>
        <v/>
      </c>
      <c r="AZ20" s="63" t="str">
        <f aca="false">IF(OR(AZ$4="",$C20=""),"",IF(AND($C20&gt;=AZ$4,$C20&lt;EDATE(AZ$4,1)),"◆",""))</f>
        <v/>
      </c>
      <c r="BA20" s="63" t="str">
        <f aca="false">IF(OR(BA$4="",$C20=""),"",IF(AND($C20&gt;=BA$4,$C20&lt;EDATE(BA$4,1)),"◆",""))</f>
        <v/>
      </c>
      <c r="BB20" s="63" t="str">
        <f aca="false">IF(OR(BB$4="",$C20=""),"",IF(AND($C20&gt;=BB$4,$C20&lt;EDATE(BB$4,1)),"◆",""))</f>
        <v/>
      </c>
      <c r="BC20" s="63" t="str">
        <f aca="false">IF(OR(BC$4="",$C20=""),"",IF(AND($C20&gt;=BC$4,$C20&lt;EDATE(BC$4,1)),"◆",""))</f>
        <v/>
      </c>
      <c r="BD20" s="63" t="str">
        <f aca="false">IF(OR(BD$4="",$C20=""),"",IF(AND($C20&gt;=BD$4,$C20&lt;EDATE(BD$4,1)),"◆",""))</f>
        <v/>
      </c>
      <c r="BE20" s="63" t="str">
        <f aca="false">IF(OR(BE$4="",$C20=""),"",IF(AND($C20&gt;=BE$4,$C20&lt;EDATE(BE$4,1)),"◆",""))</f>
        <v/>
      </c>
      <c r="BF20" s="63" t="str">
        <f aca="false">IF(OR(BF$4="",$C20=""),"",IF(AND($C20&gt;=BF$4,$C20&lt;EDATE(BF$4,1)),"◆",""))</f>
        <v/>
      </c>
      <c r="BG20" s="63" t="str">
        <f aca="false">IF(OR(BG$4="",$C20=""),"",IF(AND($C20&gt;=BG$4,$C20&lt;EDATE(BG$4,1)),"◆",""))</f>
        <v/>
      </c>
      <c r="BH20" s="63" t="str">
        <f aca="false">IF(OR(BH$4="",$C20=""),"",IF(AND($C20&gt;=BH$4,$C20&lt;EDATE(BH$4,1)),"◆",""))</f>
        <v/>
      </c>
      <c r="BI20" s="63" t="str">
        <f aca="false">IF(OR(BI$4="",$C20=""),"",IF(AND($C20&gt;=BI$4,$C20&lt;EDATE(BI$4,1)),"◆",""))</f>
        <v/>
      </c>
      <c r="BJ20" s="63" t="str">
        <f aca="false">IF(OR(BJ$4="",$C20=""),"",IF(AND($C20&gt;=BJ$4,$C20&lt;EDATE(BJ$4,1)),"◆",""))</f>
        <v/>
      </c>
      <c r="BK20" s="63" t="str">
        <f aca="false">IF(OR(BK$4="",$C20=""),"",IF(AND($C20&gt;=BK$4,$C20&lt;EDATE(BK$4,1)),"◆",""))</f>
        <v/>
      </c>
      <c r="BL20" s="63" t="str">
        <f aca="false">IF(OR(BL$4="",$C20=""),"",IF(AND($C20&gt;=BL$4,$C20&lt;EDATE(BL$4,1)),"◆",""))</f>
        <v/>
      </c>
      <c r="BM20" s="63" t="str">
        <f aca="false">IF(OR(BM$4="",$C20=""),"",IF(AND($C20&gt;=BM$4,$C20&lt;EDATE(BM$4,1)),"◆",""))</f>
        <v/>
      </c>
      <c r="BN20" s="63" t="str">
        <f aca="false">IF(OR(BN$4="",$C20=""),"",IF(AND($C20&gt;=BN$4,$C20&lt;EDATE(BN$4,1)),"◆",""))</f>
        <v/>
      </c>
      <c r="BO20" s="63" t="str">
        <f aca="false">IF(OR(BO$4="",$C20=""),"",IF(AND($C20&gt;=BO$4,$C20&lt;EDATE(BO$4,1)),"◆",""))</f>
        <v/>
      </c>
      <c r="BP20" s="63" t="str">
        <f aca="false">IF(OR(BP$4="",$C20=""),"",IF(AND($C20&gt;=BP$4,$C20&lt;EDATE(BP$4,1)),"◆",""))</f>
        <v/>
      </c>
      <c r="BQ20" s="63" t="str">
        <f aca="false">IF(OR(BQ$4="",$C20=""),"",IF(AND($C20&gt;=BQ$4,$C20&lt;EDATE(BQ$4,1)),"◆",""))</f>
        <v/>
      </c>
      <c r="BR20" s="63" t="str">
        <f aca="false">IF(OR(BR$4="",$C20=""),"",IF(AND($C20&gt;=BR$4,$C20&lt;EDATE(BR$4,1)),"◆",""))</f>
        <v/>
      </c>
      <c r="BS20" s="63" t="str">
        <f aca="false">IF(OR(BS$4="",$C20=""),"",IF(AND($C20&gt;=BS$4,$C20&lt;EDATE(BS$4,1)),"◆",""))</f>
        <v/>
      </c>
      <c r="BT20" s="63" t="str">
        <f aca="false">IF(OR(BT$4="",$C20=""),"",IF(AND($C20&gt;=BT$4,$C20&lt;EDATE(BT$4,1)),"◆",""))</f>
        <v/>
      </c>
      <c r="BU20" s="63" t="str">
        <f aca="false">IF(OR(BU$4="",$C20=""),"",IF(AND($C20&gt;=BU$4,$C20&lt;EDATE(BU$4,1)),"◆",""))</f>
        <v/>
      </c>
      <c r="BV20" s="63" t="str">
        <f aca="false">IF(OR(BV$4="",$C20=""),"",IF(AND($C20&gt;=BV$4,$C20&lt;EDATE(BV$4,1)),"◆",""))</f>
        <v/>
      </c>
      <c r="BW20" s="63" t="str">
        <f aca="false">IF(OR(BW$4="",$C20=""),"",IF(AND($C20&gt;=BW$4,$C20&lt;EDATE(BW$4,1)),"◆",""))</f>
        <v/>
      </c>
      <c r="BX20" s="63" t="str">
        <f aca="false">IF(OR(BX$4="",$C20=""),"",IF(AND($C20&gt;=BX$4,$C20&lt;EDATE(BX$4,1)),"◆",""))</f>
        <v/>
      </c>
      <c r="BY20" s="63" t="str">
        <f aca="false">IF(OR(BY$4="",$C20=""),"",IF(AND($C20&gt;=BY$4,$C20&lt;EDATE(BY$4,1)),"◆",""))</f>
        <v/>
      </c>
    </row>
    <row r="21" customFormat="false" ht="15" hidden="false" customHeight="false" outlineLevel="0" collapsed="false">
      <c r="A21" s="4"/>
      <c r="B21" s="53" t="str">
        <f aca="false">IF(Milestones!$B20="","",Milestones!$B20)</f>
        <v/>
      </c>
      <c r="C21" s="54" t="str">
        <f aca="false">IF(Milestones!$E20="","",Milestones!$E20)</f>
        <v/>
      </c>
      <c r="D21" s="4"/>
      <c r="E21" s="4"/>
      <c r="F21" s="63" t="str">
        <f aca="false">IF(OR(F$4="",$C21=""),"",IF(AND($C21&gt;=F$4,$C21&lt;EDATE(F$4,1)),"◆",""))</f>
        <v/>
      </c>
      <c r="G21" s="63" t="str">
        <f aca="false">IF(OR(G$4="",$C21=""),"",IF(AND($C21&gt;=G$4,$C21&lt;EDATE(G$4,1)),"◆",""))</f>
        <v/>
      </c>
      <c r="H21" s="63" t="str">
        <f aca="false">IF(OR(H$4="",$C21=""),"",IF(AND($C21&gt;=H$4,$C21&lt;EDATE(H$4,1)),"◆",""))</f>
        <v/>
      </c>
      <c r="I21" s="63" t="str">
        <f aca="false">IF(OR(I$4="",$C21=""),"",IF(AND($C21&gt;=I$4,$C21&lt;EDATE(I$4,1)),"◆",""))</f>
        <v/>
      </c>
      <c r="J21" s="63" t="str">
        <f aca="false">IF(OR(J$4="",$C21=""),"",IF(AND($C21&gt;=J$4,$C21&lt;EDATE(J$4,1)),"◆",""))</f>
        <v/>
      </c>
      <c r="K21" s="63" t="str">
        <f aca="false">IF(OR(K$4="",$C21=""),"",IF(AND($C21&gt;=K$4,$C21&lt;EDATE(K$4,1)),"◆",""))</f>
        <v/>
      </c>
      <c r="L21" s="63" t="str">
        <f aca="false">IF(OR(L$4="",$C21=""),"",IF(AND($C21&gt;=L$4,$C21&lt;EDATE(L$4,1)),"◆",""))</f>
        <v/>
      </c>
      <c r="M21" s="63" t="str">
        <f aca="false">IF(OR(M$4="",$C21=""),"",IF(AND($C21&gt;=M$4,$C21&lt;EDATE(M$4,1)),"◆",""))</f>
        <v/>
      </c>
      <c r="N21" s="63" t="str">
        <f aca="false">IF(OR(N$4="",$C21=""),"",IF(AND($C21&gt;=N$4,$C21&lt;EDATE(N$4,1)),"◆",""))</f>
        <v/>
      </c>
      <c r="O21" s="63" t="str">
        <f aca="false">IF(OR(O$4="",$C21=""),"",IF(AND($C21&gt;=O$4,$C21&lt;EDATE(O$4,1)),"◆",""))</f>
        <v/>
      </c>
      <c r="P21" s="63" t="str">
        <f aca="false">IF(OR(P$4="",$C21=""),"",IF(AND($C21&gt;=P$4,$C21&lt;EDATE(P$4,1)),"◆",""))</f>
        <v/>
      </c>
      <c r="Q21" s="63" t="str">
        <f aca="false">IF(OR(Q$4="",$C21=""),"",IF(AND($C21&gt;=Q$4,$C21&lt;EDATE(Q$4,1)),"◆",""))</f>
        <v/>
      </c>
      <c r="R21" s="63" t="str">
        <f aca="false">IF(OR(R$4="",$C21=""),"",IF(AND($C21&gt;=R$4,$C21&lt;EDATE(R$4,1)),"◆",""))</f>
        <v/>
      </c>
      <c r="S21" s="63" t="str">
        <f aca="false">IF(OR(S$4="",$C21=""),"",IF(AND($C21&gt;=S$4,$C21&lt;EDATE(S$4,1)),"◆",""))</f>
        <v/>
      </c>
      <c r="T21" s="63" t="str">
        <f aca="false">IF(OR(T$4="",$C21=""),"",IF(AND($C21&gt;=T$4,$C21&lt;EDATE(T$4,1)),"◆",""))</f>
        <v/>
      </c>
      <c r="U21" s="63" t="str">
        <f aca="false">IF(OR(U$4="",$C21=""),"",IF(AND($C21&gt;=U$4,$C21&lt;EDATE(U$4,1)),"◆",""))</f>
        <v/>
      </c>
      <c r="V21" s="63" t="str">
        <f aca="false">IF(OR(V$4="",$C21=""),"",IF(AND($C21&gt;=V$4,$C21&lt;EDATE(V$4,1)),"◆",""))</f>
        <v/>
      </c>
      <c r="W21" s="63" t="str">
        <f aca="false">IF(OR(W$4="",$C21=""),"",IF(AND($C21&gt;=W$4,$C21&lt;EDATE(W$4,1)),"◆",""))</f>
        <v/>
      </c>
      <c r="X21" s="63" t="str">
        <f aca="false">IF(OR(X$4="",$C21=""),"",IF(AND($C21&gt;=X$4,$C21&lt;EDATE(X$4,1)),"◆",""))</f>
        <v/>
      </c>
      <c r="Y21" s="63" t="str">
        <f aca="false">IF(OR(Y$4="",$C21=""),"",IF(AND($C21&gt;=Y$4,$C21&lt;EDATE(Y$4,1)),"◆",""))</f>
        <v/>
      </c>
      <c r="Z21" s="63" t="str">
        <f aca="false">IF(OR(Z$4="",$C21=""),"",IF(AND($C21&gt;=Z$4,$C21&lt;EDATE(Z$4,1)),"◆",""))</f>
        <v/>
      </c>
      <c r="AA21" s="63" t="str">
        <f aca="false">IF(OR(AA$4="",$C21=""),"",IF(AND($C21&gt;=AA$4,$C21&lt;EDATE(AA$4,1)),"◆",""))</f>
        <v/>
      </c>
      <c r="AB21" s="63" t="str">
        <f aca="false">IF(OR(AB$4="",$C21=""),"",IF(AND($C21&gt;=AB$4,$C21&lt;EDATE(AB$4,1)),"◆",""))</f>
        <v/>
      </c>
      <c r="AC21" s="63" t="str">
        <f aca="false">IF(OR(AC$4="",$C21=""),"",IF(AND($C21&gt;=AC$4,$C21&lt;EDATE(AC$4,1)),"◆",""))</f>
        <v/>
      </c>
      <c r="AD21" s="63" t="str">
        <f aca="false">IF(OR(AD$4="",$C21=""),"",IF(AND($C21&gt;=AD$4,$C21&lt;EDATE(AD$4,1)),"◆",""))</f>
        <v/>
      </c>
      <c r="AE21" s="63" t="str">
        <f aca="false">IF(OR(AE$4="",$C21=""),"",IF(AND($C21&gt;=AE$4,$C21&lt;EDATE(AE$4,1)),"◆",""))</f>
        <v/>
      </c>
      <c r="AF21" s="63" t="str">
        <f aca="false">IF(OR(AF$4="",$C21=""),"",IF(AND($C21&gt;=AF$4,$C21&lt;EDATE(AF$4,1)),"◆",""))</f>
        <v/>
      </c>
      <c r="AG21" s="63" t="str">
        <f aca="false">IF(OR(AG$4="",$C21=""),"",IF(AND($C21&gt;=AG$4,$C21&lt;EDATE(AG$4,1)),"◆",""))</f>
        <v/>
      </c>
      <c r="AH21" s="63" t="str">
        <f aca="false">IF(OR(AH$4="",$C21=""),"",IF(AND($C21&gt;=AH$4,$C21&lt;EDATE(AH$4,1)),"◆",""))</f>
        <v/>
      </c>
      <c r="AI21" s="63" t="str">
        <f aca="false">IF(OR(AI$4="",$C21=""),"",IF(AND($C21&gt;=AI$4,$C21&lt;EDATE(AI$4,1)),"◆",""))</f>
        <v/>
      </c>
      <c r="AJ21" s="63" t="str">
        <f aca="false">IF(OR(AJ$4="",$C21=""),"",IF(AND($C21&gt;=AJ$4,$C21&lt;EDATE(AJ$4,1)),"◆",""))</f>
        <v/>
      </c>
      <c r="AK21" s="63" t="str">
        <f aca="false">IF(OR(AK$4="",$C21=""),"",IF(AND($C21&gt;=AK$4,$C21&lt;EDATE(AK$4,1)),"◆",""))</f>
        <v/>
      </c>
      <c r="AL21" s="63" t="str">
        <f aca="false">IF(OR(AL$4="",$C21=""),"",IF(AND($C21&gt;=AL$4,$C21&lt;EDATE(AL$4,1)),"◆",""))</f>
        <v/>
      </c>
      <c r="AM21" s="63" t="str">
        <f aca="false">IF(OR(AM$4="",$C21=""),"",IF(AND($C21&gt;=AM$4,$C21&lt;EDATE(AM$4,1)),"◆",""))</f>
        <v/>
      </c>
      <c r="AN21" s="63" t="str">
        <f aca="false">IF(OR(AN$4="",$C21=""),"",IF(AND($C21&gt;=AN$4,$C21&lt;EDATE(AN$4,1)),"◆",""))</f>
        <v/>
      </c>
      <c r="AO21" s="63" t="str">
        <f aca="false">IF(OR(AO$4="",$C21=""),"",IF(AND($C21&gt;=AO$4,$C21&lt;EDATE(AO$4,1)),"◆",""))</f>
        <v/>
      </c>
      <c r="AP21" s="63" t="str">
        <f aca="false">IF(OR(AP$4="",$C21=""),"",IF(AND($C21&gt;=AP$4,$C21&lt;EDATE(AP$4,1)),"◆",""))</f>
        <v/>
      </c>
      <c r="AQ21" s="63" t="str">
        <f aca="false">IF(OR(AQ$4="",$C21=""),"",IF(AND($C21&gt;=AQ$4,$C21&lt;EDATE(AQ$4,1)),"◆",""))</f>
        <v/>
      </c>
      <c r="AR21" s="63" t="str">
        <f aca="false">IF(OR(AR$4="",$C21=""),"",IF(AND($C21&gt;=AR$4,$C21&lt;EDATE(AR$4,1)),"◆",""))</f>
        <v/>
      </c>
      <c r="AS21" s="63" t="str">
        <f aca="false">IF(OR(AS$4="",$C21=""),"",IF(AND($C21&gt;=AS$4,$C21&lt;EDATE(AS$4,1)),"◆",""))</f>
        <v/>
      </c>
      <c r="AT21" s="63" t="str">
        <f aca="false">IF(OR(AT$4="",$C21=""),"",IF(AND($C21&gt;=AT$4,$C21&lt;EDATE(AT$4,1)),"◆",""))</f>
        <v/>
      </c>
      <c r="AU21" s="63" t="str">
        <f aca="false">IF(OR(AU$4="",$C21=""),"",IF(AND($C21&gt;=AU$4,$C21&lt;EDATE(AU$4,1)),"◆",""))</f>
        <v/>
      </c>
      <c r="AV21" s="63" t="str">
        <f aca="false">IF(OR(AV$4="",$C21=""),"",IF(AND($C21&gt;=AV$4,$C21&lt;EDATE(AV$4,1)),"◆",""))</f>
        <v/>
      </c>
      <c r="AW21" s="63" t="str">
        <f aca="false">IF(OR(AW$4="",$C21=""),"",IF(AND($C21&gt;=AW$4,$C21&lt;EDATE(AW$4,1)),"◆",""))</f>
        <v/>
      </c>
      <c r="AX21" s="63" t="str">
        <f aca="false">IF(OR(AX$4="",$C21=""),"",IF(AND($C21&gt;=AX$4,$C21&lt;EDATE(AX$4,1)),"◆",""))</f>
        <v/>
      </c>
      <c r="AY21" s="63" t="str">
        <f aca="false">IF(OR(AY$4="",$C21=""),"",IF(AND($C21&gt;=AY$4,$C21&lt;EDATE(AY$4,1)),"◆",""))</f>
        <v/>
      </c>
      <c r="AZ21" s="63" t="str">
        <f aca="false">IF(OR(AZ$4="",$C21=""),"",IF(AND($C21&gt;=AZ$4,$C21&lt;EDATE(AZ$4,1)),"◆",""))</f>
        <v/>
      </c>
      <c r="BA21" s="63" t="str">
        <f aca="false">IF(OR(BA$4="",$C21=""),"",IF(AND($C21&gt;=BA$4,$C21&lt;EDATE(BA$4,1)),"◆",""))</f>
        <v/>
      </c>
      <c r="BB21" s="63" t="str">
        <f aca="false">IF(OR(BB$4="",$C21=""),"",IF(AND($C21&gt;=BB$4,$C21&lt;EDATE(BB$4,1)),"◆",""))</f>
        <v/>
      </c>
      <c r="BC21" s="63" t="str">
        <f aca="false">IF(OR(BC$4="",$C21=""),"",IF(AND($C21&gt;=BC$4,$C21&lt;EDATE(BC$4,1)),"◆",""))</f>
        <v/>
      </c>
      <c r="BD21" s="63" t="str">
        <f aca="false">IF(OR(BD$4="",$C21=""),"",IF(AND($C21&gt;=BD$4,$C21&lt;EDATE(BD$4,1)),"◆",""))</f>
        <v/>
      </c>
      <c r="BE21" s="63" t="str">
        <f aca="false">IF(OR(BE$4="",$C21=""),"",IF(AND($C21&gt;=BE$4,$C21&lt;EDATE(BE$4,1)),"◆",""))</f>
        <v/>
      </c>
      <c r="BF21" s="63" t="str">
        <f aca="false">IF(OR(BF$4="",$C21=""),"",IF(AND($C21&gt;=BF$4,$C21&lt;EDATE(BF$4,1)),"◆",""))</f>
        <v/>
      </c>
      <c r="BG21" s="63" t="str">
        <f aca="false">IF(OR(BG$4="",$C21=""),"",IF(AND($C21&gt;=BG$4,$C21&lt;EDATE(BG$4,1)),"◆",""))</f>
        <v/>
      </c>
      <c r="BH21" s="63" t="str">
        <f aca="false">IF(OR(BH$4="",$C21=""),"",IF(AND($C21&gt;=BH$4,$C21&lt;EDATE(BH$4,1)),"◆",""))</f>
        <v/>
      </c>
      <c r="BI21" s="63" t="str">
        <f aca="false">IF(OR(BI$4="",$C21=""),"",IF(AND($C21&gt;=BI$4,$C21&lt;EDATE(BI$4,1)),"◆",""))</f>
        <v/>
      </c>
      <c r="BJ21" s="63" t="str">
        <f aca="false">IF(OR(BJ$4="",$C21=""),"",IF(AND($C21&gt;=BJ$4,$C21&lt;EDATE(BJ$4,1)),"◆",""))</f>
        <v/>
      </c>
      <c r="BK21" s="63" t="str">
        <f aca="false">IF(OR(BK$4="",$C21=""),"",IF(AND($C21&gt;=BK$4,$C21&lt;EDATE(BK$4,1)),"◆",""))</f>
        <v/>
      </c>
      <c r="BL21" s="63" t="str">
        <f aca="false">IF(OR(BL$4="",$C21=""),"",IF(AND($C21&gt;=BL$4,$C21&lt;EDATE(BL$4,1)),"◆",""))</f>
        <v/>
      </c>
      <c r="BM21" s="63" t="str">
        <f aca="false">IF(OR(BM$4="",$C21=""),"",IF(AND($C21&gt;=BM$4,$C21&lt;EDATE(BM$4,1)),"◆",""))</f>
        <v/>
      </c>
      <c r="BN21" s="63" t="str">
        <f aca="false">IF(OR(BN$4="",$C21=""),"",IF(AND($C21&gt;=BN$4,$C21&lt;EDATE(BN$4,1)),"◆",""))</f>
        <v/>
      </c>
      <c r="BO21" s="63" t="str">
        <f aca="false">IF(OR(BO$4="",$C21=""),"",IF(AND($C21&gt;=BO$4,$C21&lt;EDATE(BO$4,1)),"◆",""))</f>
        <v/>
      </c>
      <c r="BP21" s="63" t="str">
        <f aca="false">IF(OR(BP$4="",$C21=""),"",IF(AND($C21&gt;=BP$4,$C21&lt;EDATE(BP$4,1)),"◆",""))</f>
        <v/>
      </c>
      <c r="BQ21" s="63" t="str">
        <f aca="false">IF(OR(BQ$4="",$C21=""),"",IF(AND($C21&gt;=BQ$4,$C21&lt;EDATE(BQ$4,1)),"◆",""))</f>
        <v/>
      </c>
      <c r="BR21" s="63" t="str">
        <f aca="false">IF(OR(BR$4="",$C21=""),"",IF(AND($C21&gt;=BR$4,$C21&lt;EDATE(BR$4,1)),"◆",""))</f>
        <v/>
      </c>
      <c r="BS21" s="63" t="str">
        <f aca="false">IF(OR(BS$4="",$C21=""),"",IF(AND($C21&gt;=BS$4,$C21&lt;EDATE(BS$4,1)),"◆",""))</f>
        <v/>
      </c>
      <c r="BT21" s="63" t="str">
        <f aca="false">IF(OR(BT$4="",$C21=""),"",IF(AND($C21&gt;=BT$4,$C21&lt;EDATE(BT$4,1)),"◆",""))</f>
        <v/>
      </c>
      <c r="BU21" s="63" t="str">
        <f aca="false">IF(OR(BU$4="",$C21=""),"",IF(AND($C21&gt;=BU$4,$C21&lt;EDATE(BU$4,1)),"◆",""))</f>
        <v/>
      </c>
      <c r="BV21" s="63" t="str">
        <f aca="false">IF(OR(BV$4="",$C21=""),"",IF(AND($C21&gt;=BV$4,$C21&lt;EDATE(BV$4,1)),"◆",""))</f>
        <v/>
      </c>
      <c r="BW21" s="63" t="str">
        <f aca="false">IF(OR(BW$4="",$C21=""),"",IF(AND($C21&gt;=BW$4,$C21&lt;EDATE(BW$4,1)),"◆",""))</f>
        <v/>
      </c>
      <c r="BX21" s="63" t="str">
        <f aca="false">IF(OR(BX$4="",$C21=""),"",IF(AND($C21&gt;=BX$4,$C21&lt;EDATE(BX$4,1)),"◆",""))</f>
        <v/>
      </c>
      <c r="BY21" s="63" t="str">
        <f aca="false">IF(OR(BY$4="",$C21=""),"",IF(AND($C21&gt;=BY$4,$C21&lt;EDATE(BY$4,1)),"◆",""))</f>
        <v/>
      </c>
    </row>
    <row r="22" customFormat="false" ht="15" hidden="false" customHeight="false" outlineLevel="0" collapsed="false">
      <c r="A22" s="4"/>
      <c r="B22" s="53" t="str">
        <f aca="false">IF(Milestones!$B21="","",Milestones!$B21)</f>
        <v/>
      </c>
      <c r="C22" s="54" t="str">
        <f aca="false">IF(Milestones!$E21="","",Milestones!$E21)</f>
        <v/>
      </c>
      <c r="D22" s="4"/>
      <c r="E22" s="4"/>
      <c r="F22" s="63" t="str">
        <f aca="false">IF(OR(F$4="",$C22=""),"",IF(AND($C22&gt;=F$4,$C22&lt;EDATE(F$4,1)),"◆",""))</f>
        <v/>
      </c>
      <c r="G22" s="63" t="str">
        <f aca="false">IF(OR(G$4="",$C22=""),"",IF(AND($C22&gt;=G$4,$C22&lt;EDATE(G$4,1)),"◆",""))</f>
        <v/>
      </c>
      <c r="H22" s="63" t="str">
        <f aca="false">IF(OR(H$4="",$C22=""),"",IF(AND($C22&gt;=H$4,$C22&lt;EDATE(H$4,1)),"◆",""))</f>
        <v/>
      </c>
      <c r="I22" s="63" t="str">
        <f aca="false">IF(OR(I$4="",$C22=""),"",IF(AND($C22&gt;=I$4,$C22&lt;EDATE(I$4,1)),"◆",""))</f>
        <v/>
      </c>
      <c r="J22" s="63" t="str">
        <f aca="false">IF(OR(J$4="",$C22=""),"",IF(AND($C22&gt;=J$4,$C22&lt;EDATE(J$4,1)),"◆",""))</f>
        <v/>
      </c>
      <c r="K22" s="63" t="str">
        <f aca="false">IF(OR(K$4="",$C22=""),"",IF(AND($C22&gt;=K$4,$C22&lt;EDATE(K$4,1)),"◆",""))</f>
        <v/>
      </c>
      <c r="L22" s="63" t="str">
        <f aca="false">IF(OR(L$4="",$C22=""),"",IF(AND($C22&gt;=L$4,$C22&lt;EDATE(L$4,1)),"◆",""))</f>
        <v/>
      </c>
      <c r="M22" s="63" t="str">
        <f aca="false">IF(OR(M$4="",$C22=""),"",IF(AND($C22&gt;=M$4,$C22&lt;EDATE(M$4,1)),"◆",""))</f>
        <v/>
      </c>
      <c r="N22" s="63" t="str">
        <f aca="false">IF(OR(N$4="",$C22=""),"",IF(AND($C22&gt;=N$4,$C22&lt;EDATE(N$4,1)),"◆",""))</f>
        <v/>
      </c>
      <c r="O22" s="63" t="str">
        <f aca="false">IF(OR(O$4="",$C22=""),"",IF(AND($C22&gt;=O$4,$C22&lt;EDATE(O$4,1)),"◆",""))</f>
        <v/>
      </c>
      <c r="P22" s="63" t="str">
        <f aca="false">IF(OR(P$4="",$C22=""),"",IF(AND($C22&gt;=P$4,$C22&lt;EDATE(P$4,1)),"◆",""))</f>
        <v/>
      </c>
      <c r="Q22" s="63" t="str">
        <f aca="false">IF(OR(Q$4="",$C22=""),"",IF(AND($C22&gt;=Q$4,$C22&lt;EDATE(Q$4,1)),"◆",""))</f>
        <v/>
      </c>
      <c r="R22" s="63" t="str">
        <f aca="false">IF(OR(R$4="",$C22=""),"",IF(AND($C22&gt;=R$4,$C22&lt;EDATE(R$4,1)),"◆",""))</f>
        <v/>
      </c>
      <c r="S22" s="63" t="str">
        <f aca="false">IF(OR(S$4="",$C22=""),"",IF(AND($C22&gt;=S$4,$C22&lt;EDATE(S$4,1)),"◆",""))</f>
        <v/>
      </c>
      <c r="T22" s="63" t="str">
        <f aca="false">IF(OR(T$4="",$C22=""),"",IF(AND($C22&gt;=T$4,$C22&lt;EDATE(T$4,1)),"◆",""))</f>
        <v/>
      </c>
      <c r="U22" s="63" t="str">
        <f aca="false">IF(OR(U$4="",$C22=""),"",IF(AND($C22&gt;=U$4,$C22&lt;EDATE(U$4,1)),"◆",""))</f>
        <v/>
      </c>
      <c r="V22" s="63" t="str">
        <f aca="false">IF(OR(V$4="",$C22=""),"",IF(AND($C22&gt;=V$4,$C22&lt;EDATE(V$4,1)),"◆",""))</f>
        <v/>
      </c>
      <c r="W22" s="63" t="str">
        <f aca="false">IF(OR(W$4="",$C22=""),"",IF(AND($C22&gt;=W$4,$C22&lt;EDATE(W$4,1)),"◆",""))</f>
        <v/>
      </c>
      <c r="X22" s="63" t="str">
        <f aca="false">IF(OR(X$4="",$C22=""),"",IF(AND($C22&gt;=X$4,$C22&lt;EDATE(X$4,1)),"◆",""))</f>
        <v/>
      </c>
      <c r="Y22" s="63" t="str">
        <f aca="false">IF(OR(Y$4="",$C22=""),"",IF(AND($C22&gt;=Y$4,$C22&lt;EDATE(Y$4,1)),"◆",""))</f>
        <v/>
      </c>
      <c r="Z22" s="63" t="str">
        <f aca="false">IF(OR(Z$4="",$C22=""),"",IF(AND($C22&gt;=Z$4,$C22&lt;EDATE(Z$4,1)),"◆",""))</f>
        <v/>
      </c>
      <c r="AA22" s="63" t="str">
        <f aca="false">IF(OR(AA$4="",$C22=""),"",IF(AND($C22&gt;=AA$4,$C22&lt;EDATE(AA$4,1)),"◆",""))</f>
        <v/>
      </c>
      <c r="AB22" s="63" t="str">
        <f aca="false">IF(OR(AB$4="",$C22=""),"",IF(AND($C22&gt;=AB$4,$C22&lt;EDATE(AB$4,1)),"◆",""))</f>
        <v/>
      </c>
      <c r="AC22" s="63" t="str">
        <f aca="false">IF(OR(AC$4="",$C22=""),"",IF(AND($C22&gt;=AC$4,$C22&lt;EDATE(AC$4,1)),"◆",""))</f>
        <v/>
      </c>
      <c r="AD22" s="63" t="str">
        <f aca="false">IF(OR(AD$4="",$C22=""),"",IF(AND($C22&gt;=AD$4,$C22&lt;EDATE(AD$4,1)),"◆",""))</f>
        <v/>
      </c>
      <c r="AE22" s="63" t="str">
        <f aca="false">IF(OR(AE$4="",$C22=""),"",IF(AND($C22&gt;=AE$4,$C22&lt;EDATE(AE$4,1)),"◆",""))</f>
        <v/>
      </c>
      <c r="AF22" s="63" t="str">
        <f aca="false">IF(OR(AF$4="",$C22=""),"",IF(AND($C22&gt;=AF$4,$C22&lt;EDATE(AF$4,1)),"◆",""))</f>
        <v/>
      </c>
      <c r="AG22" s="63" t="str">
        <f aca="false">IF(OR(AG$4="",$C22=""),"",IF(AND($C22&gt;=AG$4,$C22&lt;EDATE(AG$4,1)),"◆",""))</f>
        <v/>
      </c>
      <c r="AH22" s="63" t="str">
        <f aca="false">IF(OR(AH$4="",$C22=""),"",IF(AND($C22&gt;=AH$4,$C22&lt;EDATE(AH$4,1)),"◆",""))</f>
        <v/>
      </c>
      <c r="AI22" s="63" t="str">
        <f aca="false">IF(OR(AI$4="",$C22=""),"",IF(AND($C22&gt;=AI$4,$C22&lt;EDATE(AI$4,1)),"◆",""))</f>
        <v/>
      </c>
      <c r="AJ22" s="63" t="str">
        <f aca="false">IF(OR(AJ$4="",$C22=""),"",IF(AND($C22&gt;=AJ$4,$C22&lt;EDATE(AJ$4,1)),"◆",""))</f>
        <v/>
      </c>
      <c r="AK22" s="63" t="str">
        <f aca="false">IF(OR(AK$4="",$C22=""),"",IF(AND($C22&gt;=AK$4,$C22&lt;EDATE(AK$4,1)),"◆",""))</f>
        <v/>
      </c>
      <c r="AL22" s="63" t="str">
        <f aca="false">IF(OR(AL$4="",$C22=""),"",IF(AND($C22&gt;=AL$4,$C22&lt;EDATE(AL$4,1)),"◆",""))</f>
        <v/>
      </c>
      <c r="AM22" s="63" t="str">
        <f aca="false">IF(OR(AM$4="",$C22=""),"",IF(AND($C22&gt;=AM$4,$C22&lt;EDATE(AM$4,1)),"◆",""))</f>
        <v/>
      </c>
      <c r="AN22" s="63" t="str">
        <f aca="false">IF(OR(AN$4="",$C22=""),"",IF(AND($C22&gt;=AN$4,$C22&lt;EDATE(AN$4,1)),"◆",""))</f>
        <v/>
      </c>
      <c r="AO22" s="63" t="str">
        <f aca="false">IF(OR(AO$4="",$C22=""),"",IF(AND($C22&gt;=AO$4,$C22&lt;EDATE(AO$4,1)),"◆",""))</f>
        <v/>
      </c>
      <c r="AP22" s="63" t="str">
        <f aca="false">IF(OR(AP$4="",$C22=""),"",IF(AND($C22&gt;=AP$4,$C22&lt;EDATE(AP$4,1)),"◆",""))</f>
        <v/>
      </c>
      <c r="AQ22" s="63" t="str">
        <f aca="false">IF(OR(AQ$4="",$C22=""),"",IF(AND($C22&gt;=AQ$4,$C22&lt;EDATE(AQ$4,1)),"◆",""))</f>
        <v/>
      </c>
      <c r="AR22" s="63" t="str">
        <f aca="false">IF(OR(AR$4="",$C22=""),"",IF(AND($C22&gt;=AR$4,$C22&lt;EDATE(AR$4,1)),"◆",""))</f>
        <v/>
      </c>
      <c r="AS22" s="63" t="str">
        <f aca="false">IF(OR(AS$4="",$C22=""),"",IF(AND($C22&gt;=AS$4,$C22&lt;EDATE(AS$4,1)),"◆",""))</f>
        <v/>
      </c>
      <c r="AT22" s="63" t="str">
        <f aca="false">IF(OR(AT$4="",$C22=""),"",IF(AND($C22&gt;=AT$4,$C22&lt;EDATE(AT$4,1)),"◆",""))</f>
        <v/>
      </c>
      <c r="AU22" s="63" t="str">
        <f aca="false">IF(OR(AU$4="",$C22=""),"",IF(AND($C22&gt;=AU$4,$C22&lt;EDATE(AU$4,1)),"◆",""))</f>
        <v/>
      </c>
      <c r="AV22" s="63" t="str">
        <f aca="false">IF(OR(AV$4="",$C22=""),"",IF(AND($C22&gt;=AV$4,$C22&lt;EDATE(AV$4,1)),"◆",""))</f>
        <v/>
      </c>
      <c r="AW22" s="63" t="str">
        <f aca="false">IF(OR(AW$4="",$C22=""),"",IF(AND($C22&gt;=AW$4,$C22&lt;EDATE(AW$4,1)),"◆",""))</f>
        <v/>
      </c>
      <c r="AX22" s="63" t="str">
        <f aca="false">IF(OR(AX$4="",$C22=""),"",IF(AND($C22&gt;=AX$4,$C22&lt;EDATE(AX$4,1)),"◆",""))</f>
        <v/>
      </c>
      <c r="AY22" s="63" t="str">
        <f aca="false">IF(OR(AY$4="",$C22=""),"",IF(AND($C22&gt;=AY$4,$C22&lt;EDATE(AY$4,1)),"◆",""))</f>
        <v/>
      </c>
      <c r="AZ22" s="63" t="str">
        <f aca="false">IF(OR(AZ$4="",$C22=""),"",IF(AND($C22&gt;=AZ$4,$C22&lt;EDATE(AZ$4,1)),"◆",""))</f>
        <v/>
      </c>
      <c r="BA22" s="63" t="str">
        <f aca="false">IF(OR(BA$4="",$C22=""),"",IF(AND($C22&gt;=BA$4,$C22&lt;EDATE(BA$4,1)),"◆",""))</f>
        <v/>
      </c>
      <c r="BB22" s="63" t="str">
        <f aca="false">IF(OR(BB$4="",$C22=""),"",IF(AND($C22&gt;=BB$4,$C22&lt;EDATE(BB$4,1)),"◆",""))</f>
        <v/>
      </c>
      <c r="BC22" s="63" t="str">
        <f aca="false">IF(OR(BC$4="",$C22=""),"",IF(AND($C22&gt;=BC$4,$C22&lt;EDATE(BC$4,1)),"◆",""))</f>
        <v/>
      </c>
      <c r="BD22" s="63" t="str">
        <f aca="false">IF(OR(BD$4="",$C22=""),"",IF(AND($C22&gt;=BD$4,$C22&lt;EDATE(BD$4,1)),"◆",""))</f>
        <v/>
      </c>
      <c r="BE22" s="63" t="str">
        <f aca="false">IF(OR(BE$4="",$C22=""),"",IF(AND($C22&gt;=BE$4,$C22&lt;EDATE(BE$4,1)),"◆",""))</f>
        <v/>
      </c>
      <c r="BF22" s="63" t="str">
        <f aca="false">IF(OR(BF$4="",$C22=""),"",IF(AND($C22&gt;=BF$4,$C22&lt;EDATE(BF$4,1)),"◆",""))</f>
        <v/>
      </c>
      <c r="BG22" s="63" t="str">
        <f aca="false">IF(OR(BG$4="",$C22=""),"",IF(AND($C22&gt;=BG$4,$C22&lt;EDATE(BG$4,1)),"◆",""))</f>
        <v/>
      </c>
      <c r="BH22" s="63" t="str">
        <f aca="false">IF(OR(BH$4="",$C22=""),"",IF(AND($C22&gt;=BH$4,$C22&lt;EDATE(BH$4,1)),"◆",""))</f>
        <v/>
      </c>
      <c r="BI22" s="63" t="str">
        <f aca="false">IF(OR(BI$4="",$C22=""),"",IF(AND($C22&gt;=BI$4,$C22&lt;EDATE(BI$4,1)),"◆",""))</f>
        <v/>
      </c>
      <c r="BJ22" s="63" t="str">
        <f aca="false">IF(OR(BJ$4="",$C22=""),"",IF(AND($C22&gt;=BJ$4,$C22&lt;EDATE(BJ$4,1)),"◆",""))</f>
        <v/>
      </c>
      <c r="BK22" s="63" t="str">
        <f aca="false">IF(OR(BK$4="",$C22=""),"",IF(AND($C22&gt;=BK$4,$C22&lt;EDATE(BK$4,1)),"◆",""))</f>
        <v/>
      </c>
      <c r="BL22" s="63" t="str">
        <f aca="false">IF(OR(BL$4="",$C22=""),"",IF(AND($C22&gt;=BL$4,$C22&lt;EDATE(BL$4,1)),"◆",""))</f>
        <v/>
      </c>
      <c r="BM22" s="63" t="str">
        <f aca="false">IF(OR(BM$4="",$C22=""),"",IF(AND($C22&gt;=BM$4,$C22&lt;EDATE(BM$4,1)),"◆",""))</f>
        <v/>
      </c>
      <c r="BN22" s="63" t="str">
        <f aca="false">IF(OR(BN$4="",$C22=""),"",IF(AND($C22&gt;=BN$4,$C22&lt;EDATE(BN$4,1)),"◆",""))</f>
        <v/>
      </c>
      <c r="BO22" s="63" t="str">
        <f aca="false">IF(OR(BO$4="",$C22=""),"",IF(AND($C22&gt;=BO$4,$C22&lt;EDATE(BO$4,1)),"◆",""))</f>
        <v/>
      </c>
      <c r="BP22" s="63" t="str">
        <f aca="false">IF(OR(BP$4="",$C22=""),"",IF(AND($C22&gt;=BP$4,$C22&lt;EDATE(BP$4,1)),"◆",""))</f>
        <v/>
      </c>
      <c r="BQ22" s="63" t="str">
        <f aca="false">IF(OR(BQ$4="",$C22=""),"",IF(AND($C22&gt;=BQ$4,$C22&lt;EDATE(BQ$4,1)),"◆",""))</f>
        <v/>
      </c>
      <c r="BR22" s="63" t="str">
        <f aca="false">IF(OR(BR$4="",$C22=""),"",IF(AND($C22&gt;=BR$4,$C22&lt;EDATE(BR$4,1)),"◆",""))</f>
        <v/>
      </c>
      <c r="BS22" s="63" t="str">
        <f aca="false">IF(OR(BS$4="",$C22=""),"",IF(AND($C22&gt;=BS$4,$C22&lt;EDATE(BS$4,1)),"◆",""))</f>
        <v/>
      </c>
      <c r="BT22" s="63" t="str">
        <f aca="false">IF(OR(BT$4="",$C22=""),"",IF(AND($C22&gt;=BT$4,$C22&lt;EDATE(BT$4,1)),"◆",""))</f>
        <v/>
      </c>
      <c r="BU22" s="63" t="str">
        <f aca="false">IF(OR(BU$4="",$C22=""),"",IF(AND($C22&gt;=BU$4,$C22&lt;EDATE(BU$4,1)),"◆",""))</f>
        <v/>
      </c>
      <c r="BV22" s="63" t="str">
        <f aca="false">IF(OR(BV$4="",$C22=""),"",IF(AND($C22&gt;=BV$4,$C22&lt;EDATE(BV$4,1)),"◆",""))</f>
        <v/>
      </c>
      <c r="BW22" s="63" t="str">
        <f aca="false">IF(OR(BW$4="",$C22=""),"",IF(AND($C22&gt;=BW$4,$C22&lt;EDATE(BW$4,1)),"◆",""))</f>
        <v/>
      </c>
      <c r="BX22" s="63" t="str">
        <f aca="false">IF(OR(BX$4="",$C22=""),"",IF(AND($C22&gt;=BX$4,$C22&lt;EDATE(BX$4,1)),"◆",""))</f>
        <v/>
      </c>
      <c r="BY22" s="63" t="str">
        <f aca="false">IF(OR(BY$4="",$C22=""),"",IF(AND($C22&gt;=BY$4,$C22&lt;EDATE(BY$4,1)),"◆",""))</f>
        <v/>
      </c>
    </row>
    <row r="23" customFormat="false" ht="15" hidden="false" customHeight="false" outlineLevel="0" collapsed="false">
      <c r="A23" s="4"/>
      <c r="B23" s="53" t="str">
        <f aca="false">IF(Milestones!$B22="","",Milestones!$B22)</f>
        <v/>
      </c>
      <c r="C23" s="54" t="str">
        <f aca="false">IF(Milestones!$E22="","",Milestones!$E22)</f>
        <v/>
      </c>
      <c r="D23" s="4"/>
      <c r="E23" s="4"/>
      <c r="F23" s="63" t="str">
        <f aca="false">IF(OR(F$4="",$C23=""),"",IF(AND($C23&gt;=F$4,$C23&lt;EDATE(F$4,1)),"◆",""))</f>
        <v/>
      </c>
      <c r="G23" s="63" t="str">
        <f aca="false">IF(OR(G$4="",$C23=""),"",IF(AND($C23&gt;=G$4,$C23&lt;EDATE(G$4,1)),"◆",""))</f>
        <v/>
      </c>
      <c r="H23" s="63" t="str">
        <f aca="false">IF(OR(H$4="",$C23=""),"",IF(AND($C23&gt;=H$4,$C23&lt;EDATE(H$4,1)),"◆",""))</f>
        <v/>
      </c>
      <c r="I23" s="63" t="str">
        <f aca="false">IF(OR(I$4="",$C23=""),"",IF(AND($C23&gt;=I$4,$C23&lt;EDATE(I$4,1)),"◆",""))</f>
        <v/>
      </c>
      <c r="J23" s="63" t="str">
        <f aca="false">IF(OR(J$4="",$C23=""),"",IF(AND($C23&gt;=J$4,$C23&lt;EDATE(J$4,1)),"◆",""))</f>
        <v/>
      </c>
      <c r="K23" s="63" t="str">
        <f aca="false">IF(OR(K$4="",$C23=""),"",IF(AND($C23&gt;=K$4,$C23&lt;EDATE(K$4,1)),"◆",""))</f>
        <v/>
      </c>
      <c r="L23" s="63" t="str">
        <f aca="false">IF(OR(L$4="",$C23=""),"",IF(AND($C23&gt;=L$4,$C23&lt;EDATE(L$4,1)),"◆",""))</f>
        <v/>
      </c>
      <c r="M23" s="63" t="str">
        <f aca="false">IF(OR(M$4="",$C23=""),"",IF(AND($C23&gt;=M$4,$C23&lt;EDATE(M$4,1)),"◆",""))</f>
        <v/>
      </c>
      <c r="N23" s="63" t="str">
        <f aca="false">IF(OR(N$4="",$C23=""),"",IF(AND($C23&gt;=N$4,$C23&lt;EDATE(N$4,1)),"◆",""))</f>
        <v/>
      </c>
      <c r="O23" s="63" t="str">
        <f aca="false">IF(OR(O$4="",$C23=""),"",IF(AND($C23&gt;=O$4,$C23&lt;EDATE(O$4,1)),"◆",""))</f>
        <v/>
      </c>
      <c r="P23" s="63" t="str">
        <f aca="false">IF(OR(P$4="",$C23=""),"",IF(AND($C23&gt;=P$4,$C23&lt;EDATE(P$4,1)),"◆",""))</f>
        <v/>
      </c>
      <c r="Q23" s="63" t="str">
        <f aca="false">IF(OR(Q$4="",$C23=""),"",IF(AND($C23&gt;=Q$4,$C23&lt;EDATE(Q$4,1)),"◆",""))</f>
        <v/>
      </c>
      <c r="R23" s="63" t="str">
        <f aca="false">IF(OR(R$4="",$C23=""),"",IF(AND($C23&gt;=R$4,$C23&lt;EDATE(R$4,1)),"◆",""))</f>
        <v/>
      </c>
      <c r="S23" s="63" t="str">
        <f aca="false">IF(OR(S$4="",$C23=""),"",IF(AND($C23&gt;=S$4,$C23&lt;EDATE(S$4,1)),"◆",""))</f>
        <v/>
      </c>
      <c r="T23" s="63" t="str">
        <f aca="false">IF(OR(T$4="",$C23=""),"",IF(AND($C23&gt;=T$4,$C23&lt;EDATE(T$4,1)),"◆",""))</f>
        <v/>
      </c>
      <c r="U23" s="63" t="str">
        <f aca="false">IF(OR(U$4="",$C23=""),"",IF(AND($C23&gt;=U$4,$C23&lt;EDATE(U$4,1)),"◆",""))</f>
        <v/>
      </c>
      <c r="V23" s="63" t="str">
        <f aca="false">IF(OR(V$4="",$C23=""),"",IF(AND($C23&gt;=V$4,$C23&lt;EDATE(V$4,1)),"◆",""))</f>
        <v/>
      </c>
      <c r="W23" s="63" t="str">
        <f aca="false">IF(OR(W$4="",$C23=""),"",IF(AND($C23&gt;=W$4,$C23&lt;EDATE(W$4,1)),"◆",""))</f>
        <v/>
      </c>
      <c r="X23" s="63" t="str">
        <f aca="false">IF(OR(X$4="",$C23=""),"",IF(AND($C23&gt;=X$4,$C23&lt;EDATE(X$4,1)),"◆",""))</f>
        <v/>
      </c>
      <c r="Y23" s="63" t="str">
        <f aca="false">IF(OR(Y$4="",$C23=""),"",IF(AND($C23&gt;=Y$4,$C23&lt;EDATE(Y$4,1)),"◆",""))</f>
        <v/>
      </c>
      <c r="Z23" s="63" t="str">
        <f aca="false">IF(OR(Z$4="",$C23=""),"",IF(AND($C23&gt;=Z$4,$C23&lt;EDATE(Z$4,1)),"◆",""))</f>
        <v/>
      </c>
      <c r="AA23" s="63" t="str">
        <f aca="false">IF(OR(AA$4="",$C23=""),"",IF(AND($C23&gt;=AA$4,$C23&lt;EDATE(AA$4,1)),"◆",""))</f>
        <v/>
      </c>
      <c r="AB23" s="63" t="str">
        <f aca="false">IF(OR(AB$4="",$C23=""),"",IF(AND($C23&gt;=AB$4,$C23&lt;EDATE(AB$4,1)),"◆",""))</f>
        <v/>
      </c>
      <c r="AC23" s="63" t="str">
        <f aca="false">IF(OR(AC$4="",$C23=""),"",IF(AND($C23&gt;=AC$4,$C23&lt;EDATE(AC$4,1)),"◆",""))</f>
        <v/>
      </c>
      <c r="AD23" s="63" t="str">
        <f aca="false">IF(OR(AD$4="",$C23=""),"",IF(AND($C23&gt;=AD$4,$C23&lt;EDATE(AD$4,1)),"◆",""))</f>
        <v/>
      </c>
      <c r="AE23" s="63" t="str">
        <f aca="false">IF(OR(AE$4="",$C23=""),"",IF(AND($C23&gt;=AE$4,$C23&lt;EDATE(AE$4,1)),"◆",""))</f>
        <v/>
      </c>
      <c r="AF23" s="63" t="str">
        <f aca="false">IF(OR(AF$4="",$C23=""),"",IF(AND($C23&gt;=AF$4,$C23&lt;EDATE(AF$4,1)),"◆",""))</f>
        <v/>
      </c>
      <c r="AG23" s="63" t="str">
        <f aca="false">IF(OR(AG$4="",$C23=""),"",IF(AND($C23&gt;=AG$4,$C23&lt;EDATE(AG$4,1)),"◆",""))</f>
        <v/>
      </c>
      <c r="AH23" s="63" t="str">
        <f aca="false">IF(OR(AH$4="",$C23=""),"",IF(AND($C23&gt;=AH$4,$C23&lt;EDATE(AH$4,1)),"◆",""))</f>
        <v/>
      </c>
      <c r="AI23" s="63" t="str">
        <f aca="false">IF(OR(AI$4="",$C23=""),"",IF(AND($C23&gt;=AI$4,$C23&lt;EDATE(AI$4,1)),"◆",""))</f>
        <v/>
      </c>
      <c r="AJ23" s="63" t="str">
        <f aca="false">IF(OR(AJ$4="",$C23=""),"",IF(AND($C23&gt;=AJ$4,$C23&lt;EDATE(AJ$4,1)),"◆",""))</f>
        <v/>
      </c>
      <c r="AK23" s="63" t="str">
        <f aca="false">IF(OR(AK$4="",$C23=""),"",IF(AND($C23&gt;=AK$4,$C23&lt;EDATE(AK$4,1)),"◆",""))</f>
        <v/>
      </c>
      <c r="AL23" s="63" t="str">
        <f aca="false">IF(OR(AL$4="",$C23=""),"",IF(AND($C23&gt;=AL$4,$C23&lt;EDATE(AL$4,1)),"◆",""))</f>
        <v/>
      </c>
      <c r="AM23" s="63" t="str">
        <f aca="false">IF(OR(AM$4="",$C23=""),"",IF(AND($C23&gt;=AM$4,$C23&lt;EDATE(AM$4,1)),"◆",""))</f>
        <v/>
      </c>
      <c r="AN23" s="63" t="str">
        <f aca="false">IF(OR(AN$4="",$C23=""),"",IF(AND($C23&gt;=AN$4,$C23&lt;EDATE(AN$4,1)),"◆",""))</f>
        <v/>
      </c>
      <c r="AO23" s="63" t="str">
        <f aca="false">IF(OR(AO$4="",$C23=""),"",IF(AND($C23&gt;=AO$4,$C23&lt;EDATE(AO$4,1)),"◆",""))</f>
        <v/>
      </c>
      <c r="AP23" s="63" t="str">
        <f aca="false">IF(OR(AP$4="",$C23=""),"",IF(AND($C23&gt;=AP$4,$C23&lt;EDATE(AP$4,1)),"◆",""))</f>
        <v/>
      </c>
      <c r="AQ23" s="63" t="str">
        <f aca="false">IF(OR(AQ$4="",$C23=""),"",IF(AND($C23&gt;=AQ$4,$C23&lt;EDATE(AQ$4,1)),"◆",""))</f>
        <v/>
      </c>
      <c r="AR23" s="63" t="str">
        <f aca="false">IF(OR(AR$4="",$C23=""),"",IF(AND($C23&gt;=AR$4,$C23&lt;EDATE(AR$4,1)),"◆",""))</f>
        <v/>
      </c>
      <c r="AS23" s="63" t="str">
        <f aca="false">IF(OR(AS$4="",$C23=""),"",IF(AND($C23&gt;=AS$4,$C23&lt;EDATE(AS$4,1)),"◆",""))</f>
        <v/>
      </c>
      <c r="AT23" s="63" t="str">
        <f aca="false">IF(OR(AT$4="",$C23=""),"",IF(AND($C23&gt;=AT$4,$C23&lt;EDATE(AT$4,1)),"◆",""))</f>
        <v/>
      </c>
      <c r="AU23" s="63" t="str">
        <f aca="false">IF(OR(AU$4="",$C23=""),"",IF(AND($C23&gt;=AU$4,$C23&lt;EDATE(AU$4,1)),"◆",""))</f>
        <v/>
      </c>
      <c r="AV23" s="63" t="str">
        <f aca="false">IF(OR(AV$4="",$C23=""),"",IF(AND($C23&gt;=AV$4,$C23&lt;EDATE(AV$4,1)),"◆",""))</f>
        <v/>
      </c>
      <c r="AW23" s="63" t="str">
        <f aca="false">IF(OR(AW$4="",$C23=""),"",IF(AND($C23&gt;=AW$4,$C23&lt;EDATE(AW$4,1)),"◆",""))</f>
        <v/>
      </c>
      <c r="AX23" s="63" t="str">
        <f aca="false">IF(OR(AX$4="",$C23=""),"",IF(AND($C23&gt;=AX$4,$C23&lt;EDATE(AX$4,1)),"◆",""))</f>
        <v/>
      </c>
      <c r="AY23" s="63" t="str">
        <f aca="false">IF(OR(AY$4="",$C23=""),"",IF(AND($C23&gt;=AY$4,$C23&lt;EDATE(AY$4,1)),"◆",""))</f>
        <v/>
      </c>
      <c r="AZ23" s="63" t="str">
        <f aca="false">IF(OR(AZ$4="",$C23=""),"",IF(AND($C23&gt;=AZ$4,$C23&lt;EDATE(AZ$4,1)),"◆",""))</f>
        <v/>
      </c>
      <c r="BA23" s="63" t="str">
        <f aca="false">IF(OR(BA$4="",$C23=""),"",IF(AND($C23&gt;=BA$4,$C23&lt;EDATE(BA$4,1)),"◆",""))</f>
        <v/>
      </c>
      <c r="BB23" s="63" t="str">
        <f aca="false">IF(OR(BB$4="",$C23=""),"",IF(AND($C23&gt;=BB$4,$C23&lt;EDATE(BB$4,1)),"◆",""))</f>
        <v/>
      </c>
      <c r="BC23" s="63" t="str">
        <f aca="false">IF(OR(BC$4="",$C23=""),"",IF(AND($C23&gt;=BC$4,$C23&lt;EDATE(BC$4,1)),"◆",""))</f>
        <v/>
      </c>
      <c r="BD23" s="63" t="str">
        <f aca="false">IF(OR(BD$4="",$C23=""),"",IF(AND($C23&gt;=BD$4,$C23&lt;EDATE(BD$4,1)),"◆",""))</f>
        <v/>
      </c>
      <c r="BE23" s="63" t="str">
        <f aca="false">IF(OR(BE$4="",$C23=""),"",IF(AND($C23&gt;=BE$4,$C23&lt;EDATE(BE$4,1)),"◆",""))</f>
        <v/>
      </c>
      <c r="BF23" s="63" t="str">
        <f aca="false">IF(OR(BF$4="",$C23=""),"",IF(AND($C23&gt;=BF$4,$C23&lt;EDATE(BF$4,1)),"◆",""))</f>
        <v/>
      </c>
      <c r="BG23" s="63" t="str">
        <f aca="false">IF(OR(BG$4="",$C23=""),"",IF(AND($C23&gt;=BG$4,$C23&lt;EDATE(BG$4,1)),"◆",""))</f>
        <v/>
      </c>
      <c r="BH23" s="63" t="str">
        <f aca="false">IF(OR(BH$4="",$C23=""),"",IF(AND($C23&gt;=BH$4,$C23&lt;EDATE(BH$4,1)),"◆",""))</f>
        <v/>
      </c>
      <c r="BI23" s="63" t="str">
        <f aca="false">IF(OR(BI$4="",$C23=""),"",IF(AND($C23&gt;=BI$4,$C23&lt;EDATE(BI$4,1)),"◆",""))</f>
        <v/>
      </c>
      <c r="BJ23" s="63" t="str">
        <f aca="false">IF(OR(BJ$4="",$C23=""),"",IF(AND($C23&gt;=BJ$4,$C23&lt;EDATE(BJ$4,1)),"◆",""))</f>
        <v/>
      </c>
      <c r="BK23" s="63" t="str">
        <f aca="false">IF(OR(BK$4="",$C23=""),"",IF(AND($C23&gt;=BK$4,$C23&lt;EDATE(BK$4,1)),"◆",""))</f>
        <v/>
      </c>
      <c r="BL23" s="63" t="str">
        <f aca="false">IF(OR(BL$4="",$C23=""),"",IF(AND($C23&gt;=BL$4,$C23&lt;EDATE(BL$4,1)),"◆",""))</f>
        <v/>
      </c>
      <c r="BM23" s="63" t="str">
        <f aca="false">IF(OR(BM$4="",$C23=""),"",IF(AND($C23&gt;=BM$4,$C23&lt;EDATE(BM$4,1)),"◆",""))</f>
        <v/>
      </c>
      <c r="BN23" s="63" t="str">
        <f aca="false">IF(OR(BN$4="",$C23=""),"",IF(AND($C23&gt;=BN$4,$C23&lt;EDATE(BN$4,1)),"◆",""))</f>
        <v/>
      </c>
      <c r="BO23" s="63" t="str">
        <f aca="false">IF(OR(BO$4="",$C23=""),"",IF(AND($C23&gt;=BO$4,$C23&lt;EDATE(BO$4,1)),"◆",""))</f>
        <v/>
      </c>
      <c r="BP23" s="63" t="str">
        <f aca="false">IF(OR(BP$4="",$C23=""),"",IF(AND($C23&gt;=BP$4,$C23&lt;EDATE(BP$4,1)),"◆",""))</f>
        <v/>
      </c>
      <c r="BQ23" s="63" t="str">
        <f aca="false">IF(OR(BQ$4="",$C23=""),"",IF(AND($C23&gt;=BQ$4,$C23&lt;EDATE(BQ$4,1)),"◆",""))</f>
        <v/>
      </c>
      <c r="BR23" s="63" t="str">
        <f aca="false">IF(OR(BR$4="",$C23=""),"",IF(AND($C23&gt;=BR$4,$C23&lt;EDATE(BR$4,1)),"◆",""))</f>
        <v/>
      </c>
      <c r="BS23" s="63" t="str">
        <f aca="false">IF(OR(BS$4="",$C23=""),"",IF(AND($C23&gt;=BS$4,$C23&lt;EDATE(BS$4,1)),"◆",""))</f>
        <v/>
      </c>
      <c r="BT23" s="63" t="str">
        <f aca="false">IF(OR(BT$4="",$C23=""),"",IF(AND($C23&gt;=BT$4,$C23&lt;EDATE(BT$4,1)),"◆",""))</f>
        <v/>
      </c>
      <c r="BU23" s="63" t="str">
        <f aca="false">IF(OR(BU$4="",$C23=""),"",IF(AND($C23&gt;=BU$4,$C23&lt;EDATE(BU$4,1)),"◆",""))</f>
        <v/>
      </c>
      <c r="BV23" s="63" t="str">
        <f aca="false">IF(OR(BV$4="",$C23=""),"",IF(AND($C23&gt;=BV$4,$C23&lt;EDATE(BV$4,1)),"◆",""))</f>
        <v/>
      </c>
      <c r="BW23" s="63" t="str">
        <f aca="false">IF(OR(BW$4="",$C23=""),"",IF(AND($C23&gt;=BW$4,$C23&lt;EDATE(BW$4,1)),"◆",""))</f>
        <v/>
      </c>
      <c r="BX23" s="63" t="str">
        <f aca="false">IF(OR(BX$4="",$C23=""),"",IF(AND($C23&gt;=BX$4,$C23&lt;EDATE(BX$4,1)),"◆",""))</f>
        <v/>
      </c>
      <c r="BY23" s="63" t="str">
        <f aca="false">IF(OR(BY$4="",$C23=""),"",IF(AND($C23&gt;=BY$4,$C23&lt;EDATE(BY$4,1)),"◆",""))</f>
        <v/>
      </c>
    </row>
    <row r="24" customFormat="false" ht="15" hidden="false" customHeight="false" outlineLevel="0" collapsed="false">
      <c r="A24" s="4"/>
      <c r="B24" s="53" t="str">
        <f aca="false">IF(Milestones!$B23="","",Milestones!$B23)</f>
        <v/>
      </c>
      <c r="C24" s="54" t="str">
        <f aca="false">IF(Milestones!$E23="","",Milestones!$E23)</f>
        <v/>
      </c>
      <c r="D24" s="4"/>
      <c r="E24" s="4"/>
      <c r="F24" s="63" t="str">
        <f aca="false">IF(OR(F$4="",$C24=""),"",IF(AND($C24&gt;=F$4,$C24&lt;EDATE(F$4,1)),"◆",""))</f>
        <v/>
      </c>
      <c r="G24" s="63" t="str">
        <f aca="false">IF(OR(G$4="",$C24=""),"",IF(AND($C24&gt;=G$4,$C24&lt;EDATE(G$4,1)),"◆",""))</f>
        <v/>
      </c>
      <c r="H24" s="63" t="str">
        <f aca="false">IF(OR(H$4="",$C24=""),"",IF(AND($C24&gt;=H$4,$C24&lt;EDATE(H$4,1)),"◆",""))</f>
        <v/>
      </c>
      <c r="I24" s="63" t="str">
        <f aca="false">IF(OR(I$4="",$C24=""),"",IF(AND($C24&gt;=I$4,$C24&lt;EDATE(I$4,1)),"◆",""))</f>
        <v/>
      </c>
      <c r="J24" s="63" t="str">
        <f aca="false">IF(OR(J$4="",$C24=""),"",IF(AND($C24&gt;=J$4,$C24&lt;EDATE(J$4,1)),"◆",""))</f>
        <v/>
      </c>
      <c r="K24" s="63" t="str">
        <f aca="false">IF(OR(K$4="",$C24=""),"",IF(AND($C24&gt;=K$4,$C24&lt;EDATE(K$4,1)),"◆",""))</f>
        <v/>
      </c>
      <c r="L24" s="63" t="str">
        <f aca="false">IF(OR(L$4="",$C24=""),"",IF(AND($C24&gt;=L$4,$C24&lt;EDATE(L$4,1)),"◆",""))</f>
        <v/>
      </c>
      <c r="M24" s="63" t="str">
        <f aca="false">IF(OR(M$4="",$C24=""),"",IF(AND($C24&gt;=M$4,$C24&lt;EDATE(M$4,1)),"◆",""))</f>
        <v/>
      </c>
      <c r="N24" s="63" t="str">
        <f aca="false">IF(OR(N$4="",$C24=""),"",IF(AND($C24&gt;=N$4,$C24&lt;EDATE(N$4,1)),"◆",""))</f>
        <v/>
      </c>
      <c r="O24" s="63" t="str">
        <f aca="false">IF(OR(O$4="",$C24=""),"",IF(AND($C24&gt;=O$4,$C24&lt;EDATE(O$4,1)),"◆",""))</f>
        <v/>
      </c>
      <c r="P24" s="63" t="str">
        <f aca="false">IF(OR(P$4="",$C24=""),"",IF(AND($C24&gt;=P$4,$C24&lt;EDATE(P$4,1)),"◆",""))</f>
        <v/>
      </c>
      <c r="Q24" s="63" t="str">
        <f aca="false">IF(OR(Q$4="",$C24=""),"",IF(AND($C24&gt;=Q$4,$C24&lt;EDATE(Q$4,1)),"◆",""))</f>
        <v/>
      </c>
      <c r="R24" s="63" t="str">
        <f aca="false">IF(OR(R$4="",$C24=""),"",IF(AND($C24&gt;=R$4,$C24&lt;EDATE(R$4,1)),"◆",""))</f>
        <v/>
      </c>
      <c r="S24" s="63" t="str">
        <f aca="false">IF(OR(S$4="",$C24=""),"",IF(AND($C24&gt;=S$4,$C24&lt;EDATE(S$4,1)),"◆",""))</f>
        <v/>
      </c>
      <c r="T24" s="63" t="str">
        <f aca="false">IF(OR(T$4="",$C24=""),"",IF(AND($C24&gt;=T$4,$C24&lt;EDATE(T$4,1)),"◆",""))</f>
        <v/>
      </c>
      <c r="U24" s="63" t="str">
        <f aca="false">IF(OR(U$4="",$C24=""),"",IF(AND($C24&gt;=U$4,$C24&lt;EDATE(U$4,1)),"◆",""))</f>
        <v/>
      </c>
      <c r="V24" s="63" t="str">
        <f aca="false">IF(OR(V$4="",$C24=""),"",IF(AND($C24&gt;=V$4,$C24&lt;EDATE(V$4,1)),"◆",""))</f>
        <v/>
      </c>
      <c r="W24" s="63" t="str">
        <f aca="false">IF(OR(W$4="",$C24=""),"",IF(AND($C24&gt;=W$4,$C24&lt;EDATE(W$4,1)),"◆",""))</f>
        <v/>
      </c>
      <c r="X24" s="63" t="str">
        <f aca="false">IF(OR(X$4="",$C24=""),"",IF(AND($C24&gt;=X$4,$C24&lt;EDATE(X$4,1)),"◆",""))</f>
        <v/>
      </c>
      <c r="Y24" s="63" t="str">
        <f aca="false">IF(OR(Y$4="",$C24=""),"",IF(AND($C24&gt;=Y$4,$C24&lt;EDATE(Y$4,1)),"◆",""))</f>
        <v/>
      </c>
      <c r="Z24" s="63" t="str">
        <f aca="false">IF(OR(Z$4="",$C24=""),"",IF(AND($C24&gt;=Z$4,$C24&lt;EDATE(Z$4,1)),"◆",""))</f>
        <v/>
      </c>
      <c r="AA24" s="63" t="str">
        <f aca="false">IF(OR(AA$4="",$C24=""),"",IF(AND($C24&gt;=AA$4,$C24&lt;EDATE(AA$4,1)),"◆",""))</f>
        <v/>
      </c>
      <c r="AB24" s="63" t="str">
        <f aca="false">IF(OR(AB$4="",$C24=""),"",IF(AND($C24&gt;=AB$4,$C24&lt;EDATE(AB$4,1)),"◆",""))</f>
        <v/>
      </c>
      <c r="AC24" s="63" t="str">
        <f aca="false">IF(OR(AC$4="",$C24=""),"",IF(AND($C24&gt;=AC$4,$C24&lt;EDATE(AC$4,1)),"◆",""))</f>
        <v/>
      </c>
      <c r="AD24" s="63" t="str">
        <f aca="false">IF(OR(AD$4="",$C24=""),"",IF(AND($C24&gt;=AD$4,$C24&lt;EDATE(AD$4,1)),"◆",""))</f>
        <v/>
      </c>
      <c r="AE24" s="63" t="str">
        <f aca="false">IF(OR(AE$4="",$C24=""),"",IF(AND($C24&gt;=AE$4,$C24&lt;EDATE(AE$4,1)),"◆",""))</f>
        <v/>
      </c>
      <c r="AF24" s="63" t="str">
        <f aca="false">IF(OR(AF$4="",$C24=""),"",IF(AND($C24&gt;=AF$4,$C24&lt;EDATE(AF$4,1)),"◆",""))</f>
        <v/>
      </c>
      <c r="AG24" s="63" t="str">
        <f aca="false">IF(OR(AG$4="",$C24=""),"",IF(AND($C24&gt;=AG$4,$C24&lt;EDATE(AG$4,1)),"◆",""))</f>
        <v/>
      </c>
      <c r="AH24" s="63" t="str">
        <f aca="false">IF(OR(AH$4="",$C24=""),"",IF(AND($C24&gt;=AH$4,$C24&lt;EDATE(AH$4,1)),"◆",""))</f>
        <v/>
      </c>
      <c r="AI24" s="63" t="str">
        <f aca="false">IF(OR(AI$4="",$C24=""),"",IF(AND($C24&gt;=AI$4,$C24&lt;EDATE(AI$4,1)),"◆",""))</f>
        <v/>
      </c>
      <c r="AJ24" s="63" t="str">
        <f aca="false">IF(OR(AJ$4="",$C24=""),"",IF(AND($C24&gt;=AJ$4,$C24&lt;EDATE(AJ$4,1)),"◆",""))</f>
        <v/>
      </c>
      <c r="AK24" s="63" t="str">
        <f aca="false">IF(OR(AK$4="",$C24=""),"",IF(AND($C24&gt;=AK$4,$C24&lt;EDATE(AK$4,1)),"◆",""))</f>
        <v/>
      </c>
      <c r="AL24" s="63" t="str">
        <f aca="false">IF(OR(AL$4="",$C24=""),"",IF(AND($C24&gt;=AL$4,$C24&lt;EDATE(AL$4,1)),"◆",""))</f>
        <v/>
      </c>
      <c r="AM24" s="63" t="str">
        <f aca="false">IF(OR(AM$4="",$C24=""),"",IF(AND($C24&gt;=AM$4,$C24&lt;EDATE(AM$4,1)),"◆",""))</f>
        <v/>
      </c>
      <c r="AN24" s="63" t="str">
        <f aca="false">IF(OR(AN$4="",$C24=""),"",IF(AND($C24&gt;=AN$4,$C24&lt;EDATE(AN$4,1)),"◆",""))</f>
        <v/>
      </c>
      <c r="AO24" s="63" t="str">
        <f aca="false">IF(OR(AO$4="",$C24=""),"",IF(AND($C24&gt;=AO$4,$C24&lt;EDATE(AO$4,1)),"◆",""))</f>
        <v/>
      </c>
      <c r="AP24" s="63" t="str">
        <f aca="false">IF(OR(AP$4="",$C24=""),"",IF(AND($C24&gt;=AP$4,$C24&lt;EDATE(AP$4,1)),"◆",""))</f>
        <v/>
      </c>
      <c r="AQ24" s="63" t="str">
        <f aca="false">IF(OR(AQ$4="",$C24=""),"",IF(AND($C24&gt;=AQ$4,$C24&lt;EDATE(AQ$4,1)),"◆",""))</f>
        <v/>
      </c>
      <c r="AR24" s="63" t="str">
        <f aca="false">IF(OR(AR$4="",$C24=""),"",IF(AND($C24&gt;=AR$4,$C24&lt;EDATE(AR$4,1)),"◆",""))</f>
        <v/>
      </c>
      <c r="AS24" s="63" t="str">
        <f aca="false">IF(OR(AS$4="",$C24=""),"",IF(AND($C24&gt;=AS$4,$C24&lt;EDATE(AS$4,1)),"◆",""))</f>
        <v/>
      </c>
      <c r="AT24" s="63" t="str">
        <f aca="false">IF(OR(AT$4="",$C24=""),"",IF(AND($C24&gt;=AT$4,$C24&lt;EDATE(AT$4,1)),"◆",""))</f>
        <v/>
      </c>
      <c r="AU24" s="63" t="str">
        <f aca="false">IF(OR(AU$4="",$C24=""),"",IF(AND($C24&gt;=AU$4,$C24&lt;EDATE(AU$4,1)),"◆",""))</f>
        <v/>
      </c>
      <c r="AV24" s="63" t="str">
        <f aca="false">IF(OR(AV$4="",$C24=""),"",IF(AND($C24&gt;=AV$4,$C24&lt;EDATE(AV$4,1)),"◆",""))</f>
        <v/>
      </c>
      <c r="AW24" s="63" t="str">
        <f aca="false">IF(OR(AW$4="",$C24=""),"",IF(AND($C24&gt;=AW$4,$C24&lt;EDATE(AW$4,1)),"◆",""))</f>
        <v/>
      </c>
      <c r="AX24" s="63" t="str">
        <f aca="false">IF(OR(AX$4="",$C24=""),"",IF(AND($C24&gt;=AX$4,$C24&lt;EDATE(AX$4,1)),"◆",""))</f>
        <v/>
      </c>
      <c r="AY24" s="63" t="str">
        <f aca="false">IF(OR(AY$4="",$C24=""),"",IF(AND($C24&gt;=AY$4,$C24&lt;EDATE(AY$4,1)),"◆",""))</f>
        <v/>
      </c>
      <c r="AZ24" s="63" t="str">
        <f aca="false">IF(OR(AZ$4="",$C24=""),"",IF(AND($C24&gt;=AZ$4,$C24&lt;EDATE(AZ$4,1)),"◆",""))</f>
        <v/>
      </c>
      <c r="BA24" s="63" t="str">
        <f aca="false">IF(OR(BA$4="",$C24=""),"",IF(AND($C24&gt;=BA$4,$C24&lt;EDATE(BA$4,1)),"◆",""))</f>
        <v/>
      </c>
      <c r="BB24" s="63" t="str">
        <f aca="false">IF(OR(BB$4="",$C24=""),"",IF(AND($C24&gt;=BB$4,$C24&lt;EDATE(BB$4,1)),"◆",""))</f>
        <v/>
      </c>
      <c r="BC24" s="63" t="str">
        <f aca="false">IF(OR(BC$4="",$C24=""),"",IF(AND($C24&gt;=BC$4,$C24&lt;EDATE(BC$4,1)),"◆",""))</f>
        <v/>
      </c>
      <c r="BD24" s="63" t="str">
        <f aca="false">IF(OR(BD$4="",$C24=""),"",IF(AND($C24&gt;=BD$4,$C24&lt;EDATE(BD$4,1)),"◆",""))</f>
        <v/>
      </c>
      <c r="BE24" s="63" t="str">
        <f aca="false">IF(OR(BE$4="",$C24=""),"",IF(AND($C24&gt;=BE$4,$C24&lt;EDATE(BE$4,1)),"◆",""))</f>
        <v/>
      </c>
      <c r="BF24" s="63" t="str">
        <f aca="false">IF(OR(BF$4="",$C24=""),"",IF(AND($C24&gt;=BF$4,$C24&lt;EDATE(BF$4,1)),"◆",""))</f>
        <v/>
      </c>
      <c r="BG24" s="63" t="str">
        <f aca="false">IF(OR(BG$4="",$C24=""),"",IF(AND($C24&gt;=BG$4,$C24&lt;EDATE(BG$4,1)),"◆",""))</f>
        <v/>
      </c>
      <c r="BH24" s="63" t="str">
        <f aca="false">IF(OR(BH$4="",$C24=""),"",IF(AND($C24&gt;=BH$4,$C24&lt;EDATE(BH$4,1)),"◆",""))</f>
        <v/>
      </c>
      <c r="BI24" s="63" t="str">
        <f aca="false">IF(OR(BI$4="",$C24=""),"",IF(AND($C24&gt;=BI$4,$C24&lt;EDATE(BI$4,1)),"◆",""))</f>
        <v/>
      </c>
      <c r="BJ24" s="63" t="str">
        <f aca="false">IF(OR(BJ$4="",$C24=""),"",IF(AND($C24&gt;=BJ$4,$C24&lt;EDATE(BJ$4,1)),"◆",""))</f>
        <v/>
      </c>
      <c r="BK24" s="63" t="str">
        <f aca="false">IF(OR(BK$4="",$C24=""),"",IF(AND($C24&gt;=BK$4,$C24&lt;EDATE(BK$4,1)),"◆",""))</f>
        <v/>
      </c>
      <c r="BL24" s="63" t="str">
        <f aca="false">IF(OR(BL$4="",$C24=""),"",IF(AND($C24&gt;=BL$4,$C24&lt;EDATE(BL$4,1)),"◆",""))</f>
        <v/>
      </c>
      <c r="BM24" s="63" t="str">
        <f aca="false">IF(OR(BM$4="",$C24=""),"",IF(AND($C24&gt;=BM$4,$C24&lt;EDATE(BM$4,1)),"◆",""))</f>
        <v/>
      </c>
      <c r="BN24" s="63" t="str">
        <f aca="false">IF(OR(BN$4="",$C24=""),"",IF(AND($C24&gt;=BN$4,$C24&lt;EDATE(BN$4,1)),"◆",""))</f>
        <v/>
      </c>
      <c r="BO24" s="63" t="str">
        <f aca="false">IF(OR(BO$4="",$C24=""),"",IF(AND($C24&gt;=BO$4,$C24&lt;EDATE(BO$4,1)),"◆",""))</f>
        <v/>
      </c>
      <c r="BP24" s="63" t="str">
        <f aca="false">IF(OR(BP$4="",$C24=""),"",IF(AND($C24&gt;=BP$4,$C24&lt;EDATE(BP$4,1)),"◆",""))</f>
        <v/>
      </c>
      <c r="BQ24" s="63" t="str">
        <f aca="false">IF(OR(BQ$4="",$C24=""),"",IF(AND($C24&gt;=BQ$4,$C24&lt;EDATE(BQ$4,1)),"◆",""))</f>
        <v/>
      </c>
      <c r="BR24" s="63" t="str">
        <f aca="false">IF(OR(BR$4="",$C24=""),"",IF(AND($C24&gt;=BR$4,$C24&lt;EDATE(BR$4,1)),"◆",""))</f>
        <v/>
      </c>
      <c r="BS24" s="63" t="str">
        <f aca="false">IF(OR(BS$4="",$C24=""),"",IF(AND($C24&gt;=BS$4,$C24&lt;EDATE(BS$4,1)),"◆",""))</f>
        <v/>
      </c>
      <c r="BT24" s="63" t="str">
        <f aca="false">IF(OR(BT$4="",$C24=""),"",IF(AND($C24&gt;=BT$4,$C24&lt;EDATE(BT$4,1)),"◆",""))</f>
        <v/>
      </c>
      <c r="BU24" s="63" t="str">
        <f aca="false">IF(OR(BU$4="",$C24=""),"",IF(AND($C24&gt;=BU$4,$C24&lt;EDATE(BU$4,1)),"◆",""))</f>
        <v/>
      </c>
      <c r="BV24" s="63" t="str">
        <f aca="false">IF(OR(BV$4="",$C24=""),"",IF(AND($C24&gt;=BV$4,$C24&lt;EDATE(BV$4,1)),"◆",""))</f>
        <v/>
      </c>
      <c r="BW24" s="63" t="str">
        <f aca="false">IF(OR(BW$4="",$C24=""),"",IF(AND($C24&gt;=BW$4,$C24&lt;EDATE(BW$4,1)),"◆",""))</f>
        <v/>
      </c>
      <c r="BX24" s="63" t="str">
        <f aca="false">IF(OR(BX$4="",$C24=""),"",IF(AND($C24&gt;=BX$4,$C24&lt;EDATE(BX$4,1)),"◆",""))</f>
        <v/>
      </c>
      <c r="BY24" s="63" t="str">
        <f aca="false">IF(OR(BY$4="",$C24=""),"",IF(AND($C24&gt;=BY$4,$C24&lt;EDATE(BY$4,1)),"◆",""))</f>
        <v/>
      </c>
    </row>
    <row r="25" customFormat="false" ht="15" hidden="false" customHeight="false" outlineLevel="0" collapsed="false">
      <c r="A25" s="4"/>
      <c r="B25" s="53" t="str">
        <f aca="false">IF(Milestones!$B24="","",Milestones!$B24)</f>
        <v/>
      </c>
      <c r="C25" s="54" t="str">
        <f aca="false">IF(Milestones!$E24="","",Milestones!$E24)</f>
        <v/>
      </c>
      <c r="D25" s="4"/>
      <c r="E25" s="4"/>
      <c r="F25" s="63" t="str">
        <f aca="false">IF(OR(F$4="",$C25=""),"",IF(AND($C25&gt;=F$4,$C25&lt;EDATE(F$4,1)),"◆",""))</f>
        <v/>
      </c>
      <c r="G25" s="63" t="str">
        <f aca="false">IF(OR(G$4="",$C25=""),"",IF(AND($C25&gt;=G$4,$C25&lt;EDATE(G$4,1)),"◆",""))</f>
        <v/>
      </c>
      <c r="H25" s="63" t="str">
        <f aca="false">IF(OR(H$4="",$C25=""),"",IF(AND($C25&gt;=H$4,$C25&lt;EDATE(H$4,1)),"◆",""))</f>
        <v/>
      </c>
      <c r="I25" s="63" t="str">
        <f aca="false">IF(OR(I$4="",$C25=""),"",IF(AND($C25&gt;=I$4,$C25&lt;EDATE(I$4,1)),"◆",""))</f>
        <v/>
      </c>
      <c r="J25" s="63" t="str">
        <f aca="false">IF(OR(J$4="",$C25=""),"",IF(AND($C25&gt;=J$4,$C25&lt;EDATE(J$4,1)),"◆",""))</f>
        <v/>
      </c>
      <c r="K25" s="63" t="str">
        <f aca="false">IF(OR(K$4="",$C25=""),"",IF(AND($C25&gt;=K$4,$C25&lt;EDATE(K$4,1)),"◆",""))</f>
        <v/>
      </c>
      <c r="L25" s="63" t="str">
        <f aca="false">IF(OR(L$4="",$C25=""),"",IF(AND($C25&gt;=L$4,$C25&lt;EDATE(L$4,1)),"◆",""))</f>
        <v/>
      </c>
      <c r="M25" s="63" t="str">
        <f aca="false">IF(OR(M$4="",$C25=""),"",IF(AND($C25&gt;=M$4,$C25&lt;EDATE(M$4,1)),"◆",""))</f>
        <v/>
      </c>
      <c r="N25" s="63" t="str">
        <f aca="false">IF(OR(N$4="",$C25=""),"",IF(AND($C25&gt;=N$4,$C25&lt;EDATE(N$4,1)),"◆",""))</f>
        <v/>
      </c>
      <c r="O25" s="63" t="str">
        <f aca="false">IF(OR(O$4="",$C25=""),"",IF(AND($C25&gt;=O$4,$C25&lt;EDATE(O$4,1)),"◆",""))</f>
        <v/>
      </c>
      <c r="P25" s="63" t="str">
        <f aca="false">IF(OR(P$4="",$C25=""),"",IF(AND($C25&gt;=P$4,$C25&lt;EDATE(P$4,1)),"◆",""))</f>
        <v/>
      </c>
      <c r="Q25" s="63" t="str">
        <f aca="false">IF(OR(Q$4="",$C25=""),"",IF(AND($C25&gt;=Q$4,$C25&lt;EDATE(Q$4,1)),"◆",""))</f>
        <v/>
      </c>
      <c r="R25" s="63" t="str">
        <f aca="false">IF(OR(R$4="",$C25=""),"",IF(AND($C25&gt;=R$4,$C25&lt;EDATE(R$4,1)),"◆",""))</f>
        <v/>
      </c>
      <c r="S25" s="63" t="str">
        <f aca="false">IF(OR(S$4="",$C25=""),"",IF(AND($C25&gt;=S$4,$C25&lt;EDATE(S$4,1)),"◆",""))</f>
        <v/>
      </c>
      <c r="T25" s="63" t="str">
        <f aca="false">IF(OR(T$4="",$C25=""),"",IF(AND($C25&gt;=T$4,$C25&lt;EDATE(T$4,1)),"◆",""))</f>
        <v/>
      </c>
      <c r="U25" s="63" t="str">
        <f aca="false">IF(OR(U$4="",$C25=""),"",IF(AND($C25&gt;=U$4,$C25&lt;EDATE(U$4,1)),"◆",""))</f>
        <v/>
      </c>
      <c r="V25" s="63" t="str">
        <f aca="false">IF(OR(V$4="",$C25=""),"",IF(AND($C25&gt;=V$4,$C25&lt;EDATE(V$4,1)),"◆",""))</f>
        <v/>
      </c>
      <c r="W25" s="63" t="str">
        <f aca="false">IF(OR(W$4="",$C25=""),"",IF(AND($C25&gt;=W$4,$C25&lt;EDATE(W$4,1)),"◆",""))</f>
        <v/>
      </c>
      <c r="X25" s="63" t="str">
        <f aca="false">IF(OR(X$4="",$C25=""),"",IF(AND($C25&gt;=X$4,$C25&lt;EDATE(X$4,1)),"◆",""))</f>
        <v/>
      </c>
      <c r="Y25" s="63" t="str">
        <f aca="false">IF(OR(Y$4="",$C25=""),"",IF(AND($C25&gt;=Y$4,$C25&lt;EDATE(Y$4,1)),"◆",""))</f>
        <v/>
      </c>
      <c r="Z25" s="63" t="str">
        <f aca="false">IF(OR(Z$4="",$C25=""),"",IF(AND($C25&gt;=Z$4,$C25&lt;EDATE(Z$4,1)),"◆",""))</f>
        <v/>
      </c>
      <c r="AA25" s="63" t="str">
        <f aca="false">IF(OR(AA$4="",$C25=""),"",IF(AND($C25&gt;=AA$4,$C25&lt;EDATE(AA$4,1)),"◆",""))</f>
        <v/>
      </c>
      <c r="AB25" s="63" t="str">
        <f aca="false">IF(OR(AB$4="",$C25=""),"",IF(AND($C25&gt;=AB$4,$C25&lt;EDATE(AB$4,1)),"◆",""))</f>
        <v/>
      </c>
      <c r="AC25" s="63" t="str">
        <f aca="false">IF(OR(AC$4="",$C25=""),"",IF(AND($C25&gt;=AC$4,$C25&lt;EDATE(AC$4,1)),"◆",""))</f>
        <v/>
      </c>
      <c r="AD25" s="63" t="str">
        <f aca="false">IF(OR(AD$4="",$C25=""),"",IF(AND($C25&gt;=AD$4,$C25&lt;EDATE(AD$4,1)),"◆",""))</f>
        <v/>
      </c>
      <c r="AE25" s="63" t="str">
        <f aca="false">IF(OR(AE$4="",$C25=""),"",IF(AND($C25&gt;=AE$4,$C25&lt;EDATE(AE$4,1)),"◆",""))</f>
        <v/>
      </c>
      <c r="AF25" s="63" t="str">
        <f aca="false">IF(OR(AF$4="",$C25=""),"",IF(AND($C25&gt;=AF$4,$C25&lt;EDATE(AF$4,1)),"◆",""))</f>
        <v/>
      </c>
      <c r="AG25" s="63" t="str">
        <f aca="false">IF(OR(AG$4="",$C25=""),"",IF(AND($C25&gt;=AG$4,$C25&lt;EDATE(AG$4,1)),"◆",""))</f>
        <v/>
      </c>
      <c r="AH25" s="63" t="str">
        <f aca="false">IF(OR(AH$4="",$C25=""),"",IF(AND($C25&gt;=AH$4,$C25&lt;EDATE(AH$4,1)),"◆",""))</f>
        <v/>
      </c>
      <c r="AI25" s="63" t="str">
        <f aca="false">IF(OR(AI$4="",$C25=""),"",IF(AND($C25&gt;=AI$4,$C25&lt;EDATE(AI$4,1)),"◆",""))</f>
        <v/>
      </c>
      <c r="AJ25" s="63" t="str">
        <f aca="false">IF(OR(AJ$4="",$C25=""),"",IF(AND($C25&gt;=AJ$4,$C25&lt;EDATE(AJ$4,1)),"◆",""))</f>
        <v/>
      </c>
      <c r="AK25" s="63" t="str">
        <f aca="false">IF(OR(AK$4="",$C25=""),"",IF(AND($C25&gt;=AK$4,$C25&lt;EDATE(AK$4,1)),"◆",""))</f>
        <v/>
      </c>
      <c r="AL25" s="63" t="str">
        <f aca="false">IF(OR(AL$4="",$C25=""),"",IF(AND($C25&gt;=AL$4,$C25&lt;EDATE(AL$4,1)),"◆",""))</f>
        <v/>
      </c>
      <c r="AM25" s="63" t="str">
        <f aca="false">IF(OR(AM$4="",$C25=""),"",IF(AND($C25&gt;=AM$4,$C25&lt;EDATE(AM$4,1)),"◆",""))</f>
        <v/>
      </c>
      <c r="AN25" s="63" t="str">
        <f aca="false">IF(OR(AN$4="",$C25=""),"",IF(AND($C25&gt;=AN$4,$C25&lt;EDATE(AN$4,1)),"◆",""))</f>
        <v/>
      </c>
      <c r="AO25" s="63" t="str">
        <f aca="false">IF(OR(AO$4="",$C25=""),"",IF(AND($C25&gt;=AO$4,$C25&lt;EDATE(AO$4,1)),"◆",""))</f>
        <v/>
      </c>
      <c r="AP25" s="63" t="str">
        <f aca="false">IF(OR(AP$4="",$C25=""),"",IF(AND($C25&gt;=AP$4,$C25&lt;EDATE(AP$4,1)),"◆",""))</f>
        <v/>
      </c>
      <c r="AQ25" s="63" t="str">
        <f aca="false">IF(OR(AQ$4="",$C25=""),"",IF(AND($C25&gt;=AQ$4,$C25&lt;EDATE(AQ$4,1)),"◆",""))</f>
        <v/>
      </c>
      <c r="AR25" s="63" t="str">
        <f aca="false">IF(OR(AR$4="",$C25=""),"",IF(AND($C25&gt;=AR$4,$C25&lt;EDATE(AR$4,1)),"◆",""))</f>
        <v/>
      </c>
      <c r="AS25" s="63" t="str">
        <f aca="false">IF(OR(AS$4="",$C25=""),"",IF(AND($C25&gt;=AS$4,$C25&lt;EDATE(AS$4,1)),"◆",""))</f>
        <v/>
      </c>
      <c r="AT25" s="63" t="str">
        <f aca="false">IF(OR(AT$4="",$C25=""),"",IF(AND($C25&gt;=AT$4,$C25&lt;EDATE(AT$4,1)),"◆",""))</f>
        <v/>
      </c>
      <c r="AU25" s="63" t="str">
        <f aca="false">IF(OR(AU$4="",$C25=""),"",IF(AND($C25&gt;=AU$4,$C25&lt;EDATE(AU$4,1)),"◆",""))</f>
        <v/>
      </c>
      <c r="AV25" s="63" t="str">
        <f aca="false">IF(OR(AV$4="",$C25=""),"",IF(AND($C25&gt;=AV$4,$C25&lt;EDATE(AV$4,1)),"◆",""))</f>
        <v/>
      </c>
      <c r="AW25" s="63" t="str">
        <f aca="false">IF(OR(AW$4="",$C25=""),"",IF(AND($C25&gt;=AW$4,$C25&lt;EDATE(AW$4,1)),"◆",""))</f>
        <v/>
      </c>
      <c r="AX25" s="63" t="str">
        <f aca="false">IF(OR(AX$4="",$C25=""),"",IF(AND($C25&gt;=AX$4,$C25&lt;EDATE(AX$4,1)),"◆",""))</f>
        <v/>
      </c>
      <c r="AY25" s="63" t="str">
        <f aca="false">IF(OR(AY$4="",$C25=""),"",IF(AND($C25&gt;=AY$4,$C25&lt;EDATE(AY$4,1)),"◆",""))</f>
        <v/>
      </c>
      <c r="AZ25" s="63" t="str">
        <f aca="false">IF(OR(AZ$4="",$C25=""),"",IF(AND($C25&gt;=AZ$4,$C25&lt;EDATE(AZ$4,1)),"◆",""))</f>
        <v/>
      </c>
      <c r="BA25" s="63" t="str">
        <f aca="false">IF(OR(BA$4="",$C25=""),"",IF(AND($C25&gt;=BA$4,$C25&lt;EDATE(BA$4,1)),"◆",""))</f>
        <v/>
      </c>
      <c r="BB25" s="63" t="str">
        <f aca="false">IF(OR(BB$4="",$C25=""),"",IF(AND($C25&gt;=BB$4,$C25&lt;EDATE(BB$4,1)),"◆",""))</f>
        <v/>
      </c>
      <c r="BC25" s="63" t="str">
        <f aca="false">IF(OR(BC$4="",$C25=""),"",IF(AND($C25&gt;=BC$4,$C25&lt;EDATE(BC$4,1)),"◆",""))</f>
        <v/>
      </c>
      <c r="BD25" s="63" t="str">
        <f aca="false">IF(OR(BD$4="",$C25=""),"",IF(AND($C25&gt;=BD$4,$C25&lt;EDATE(BD$4,1)),"◆",""))</f>
        <v/>
      </c>
      <c r="BE25" s="63" t="str">
        <f aca="false">IF(OR(BE$4="",$C25=""),"",IF(AND($C25&gt;=BE$4,$C25&lt;EDATE(BE$4,1)),"◆",""))</f>
        <v/>
      </c>
      <c r="BF25" s="63" t="str">
        <f aca="false">IF(OR(BF$4="",$C25=""),"",IF(AND($C25&gt;=BF$4,$C25&lt;EDATE(BF$4,1)),"◆",""))</f>
        <v/>
      </c>
      <c r="BG25" s="63" t="str">
        <f aca="false">IF(OR(BG$4="",$C25=""),"",IF(AND($C25&gt;=BG$4,$C25&lt;EDATE(BG$4,1)),"◆",""))</f>
        <v/>
      </c>
      <c r="BH25" s="63" t="str">
        <f aca="false">IF(OR(BH$4="",$C25=""),"",IF(AND($C25&gt;=BH$4,$C25&lt;EDATE(BH$4,1)),"◆",""))</f>
        <v/>
      </c>
      <c r="BI25" s="63" t="str">
        <f aca="false">IF(OR(BI$4="",$C25=""),"",IF(AND($C25&gt;=BI$4,$C25&lt;EDATE(BI$4,1)),"◆",""))</f>
        <v/>
      </c>
      <c r="BJ25" s="63" t="str">
        <f aca="false">IF(OR(BJ$4="",$C25=""),"",IF(AND($C25&gt;=BJ$4,$C25&lt;EDATE(BJ$4,1)),"◆",""))</f>
        <v/>
      </c>
      <c r="BK25" s="63" t="str">
        <f aca="false">IF(OR(BK$4="",$C25=""),"",IF(AND($C25&gt;=BK$4,$C25&lt;EDATE(BK$4,1)),"◆",""))</f>
        <v/>
      </c>
      <c r="BL25" s="63" t="str">
        <f aca="false">IF(OR(BL$4="",$C25=""),"",IF(AND($C25&gt;=BL$4,$C25&lt;EDATE(BL$4,1)),"◆",""))</f>
        <v/>
      </c>
      <c r="BM25" s="63" t="str">
        <f aca="false">IF(OR(BM$4="",$C25=""),"",IF(AND($C25&gt;=BM$4,$C25&lt;EDATE(BM$4,1)),"◆",""))</f>
        <v/>
      </c>
      <c r="BN25" s="63" t="str">
        <f aca="false">IF(OR(BN$4="",$C25=""),"",IF(AND($C25&gt;=BN$4,$C25&lt;EDATE(BN$4,1)),"◆",""))</f>
        <v/>
      </c>
      <c r="BO25" s="63" t="str">
        <f aca="false">IF(OR(BO$4="",$C25=""),"",IF(AND($C25&gt;=BO$4,$C25&lt;EDATE(BO$4,1)),"◆",""))</f>
        <v/>
      </c>
      <c r="BP25" s="63" t="str">
        <f aca="false">IF(OR(BP$4="",$C25=""),"",IF(AND($C25&gt;=BP$4,$C25&lt;EDATE(BP$4,1)),"◆",""))</f>
        <v/>
      </c>
      <c r="BQ25" s="63" t="str">
        <f aca="false">IF(OR(BQ$4="",$C25=""),"",IF(AND($C25&gt;=BQ$4,$C25&lt;EDATE(BQ$4,1)),"◆",""))</f>
        <v/>
      </c>
      <c r="BR25" s="63" t="str">
        <f aca="false">IF(OR(BR$4="",$C25=""),"",IF(AND($C25&gt;=BR$4,$C25&lt;EDATE(BR$4,1)),"◆",""))</f>
        <v/>
      </c>
      <c r="BS25" s="63" t="str">
        <f aca="false">IF(OR(BS$4="",$C25=""),"",IF(AND($C25&gt;=BS$4,$C25&lt;EDATE(BS$4,1)),"◆",""))</f>
        <v/>
      </c>
      <c r="BT25" s="63" t="str">
        <f aca="false">IF(OR(BT$4="",$C25=""),"",IF(AND($C25&gt;=BT$4,$C25&lt;EDATE(BT$4,1)),"◆",""))</f>
        <v/>
      </c>
      <c r="BU25" s="63" t="str">
        <f aca="false">IF(OR(BU$4="",$C25=""),"",IF(AND($C25&gt;=BU$4,$C25&lt;EDATE(BU$4,1)),"◆",""))</f>
        <v/>
      </c>
      <c r="BV25" s="63" t="str">
        <f aca="false">IF(OR(BV$4="",$C25=""),"",IF(AND($C25&gt;=BV$4,$C25&lt;EDATE(BV$4,1)),"◆",""))</f>
        <v/>
      </c>
      <c r="BW25" s="63" t="str">
        <f aca="false">IF(OR(BW$4="",$C25=""),"",IF(AND($C25&gt;=BW$4,$C25&lt;EDATE(BW$4,1)),"◆",""))</f>
        <v/>
      </c>
      <c r="BX25" s="63" t="str">
        <f aca="false">IF(OR(BX$4="",$C25=""),"",IF(AND($C25&gt;=BX$4,$C25&lt;EDATE(BX$4,1)),"◆",""))</f>
        <v/>
      </c>
      <c r="BY25" s="63" t="str">
        <f aca="false">IF(OR(BY$4="",$C25=""),"",IF(AND($C25&gt;=BY$4,$C25&lt;EDATE(BY$4,1)),"◆",""))</f>
        <v/>
      </c>
    </row>
    <row r="26" customFormat="false" ht="15" hidden="false" customHeight="false" outlineLevel="0" collapsed="false">
      <c r="A26" s="4"/>
      <c r="B26" s="53" t="str">
        <f aca="false">IF(Milestones!$B25="","",Milestones!$B25)</f>
        <v/>
      </c>
      <c r="C26" s="54" t="str">
        <f aca="false">IF(Milestones!$E25="","",Milestones!$E25)</f>
        <v/>
      </c>
      <c r="D26" s="4"/>
      <c r="E26" s="4"/>
      <c r="F26" s="63" t="str">
        <f aca="false">IF(OR(F$4="",$C26=""),"",IF(AND($C26&gt;=F$4,$C26&lt;EDATE(F$4,1)),"◆",""))</f>
        <v/>
      </c>
      <c r="G26" s="63" t="str">
        <f aca="false">IF(OR(G$4="",$C26=""),"",IF(AND($C26&gt;=G$4,$C26&lt;EDATE(G$4,1)),"◆",""))</f>
        <v/>
      </c>
      <c r="H26" s="63" t="str">
        <f aca="false">IF(OR(H$4="",$C26=""),"",IF(AND($C26&gt;=H$4,$C26&lt;EDATE(H$4,1)),"◆",""))</f>
        <v/>
      </c>
      <c r="I26" s="63" t="str">
        <f aca="false">IF(OR(I$4="",$C26=""),"",IF(AND($C26&gt;=I$4,$C26&lt;EDATE(I$4,1)),"◆",""))</f>
        <v/>
      </c>
      <c r="J26" s="63" t="str">
        <f aca="false">IF(OR(J$4="",$C26=""),"",IF(AND($C26&gt;=J$4,$C26&lt;EDATE(J$4,1)),"◆",""))</f>
        <v/>
      </c>
      <c r="K26" s="63" t="str">
        <f aca="false">IF(OR(K$4="",$C26=""),"",IF(AND($C26&gt;=K$4,$C26&lt;EDATE(K$4,1)),"◆",""))</f>
        <v/>
      </c>
      <c r="L26" s="63" t="str">
        <f aca="false">IF(OR(L$4="",$C26=""),"",IF(AND($C26&gt;=L$4,$C26&lt;EDATE(L$4,1)),"◆",""))</f>
        <v/>
      </c>
      <c r="M26" s="63" t="str">
        <f aca="false">IF(OR(M$4="",$C26=""),"",IF(AND($C26&gt;=M$4,$C26&lt;EDATE(M$4,1)),"◆",""))</f>
        <v/>
      </c>
      <c r="N26" s="63" t="str">
        <f aca="false">IF(OR(N$4="",$C26=""),"",IF(AND($C26&gt;=N$4,$C26&lt;EDATE(N$4,1)),"◆",""))</f>
        <v/>
      </c>
      <c r="O26" s="63" t="str">
        <f aca="false">IF(OR(O$4="",$C26=""),"",IF(AND($C26&gt;=O$4,$C26&lt;EDATE(O$4,1)),"◆",""))</f>
        <v/>
      </c>
      <c r="P26" s="63" t="str">
        <f aca="false">IF(OR(P$4="",$C26=""),"",IF(AND($C26&gt;=P$4,$C26&lt;EDATE(P$4,1)),"◆",""))</f>
        <v/>
      </c>
      <c r="Q26" s="63" t="str">
        <f aca="false">IF(OR(Q$4="",$C26=""),"",IF(AND($C26&gt;=Q$4,$C26&lt;EDATE(Q$4,1)),"◆",""))</f>
        <v/>
      </c>
      <c r="R26" s="63" t="str">
        <f aca="false">IF(OR(R$4="",$C26=""),"",IF(AND($C26&gt;=R$4,$C26&lt;EDATE(R$4,1)),"◆",""))</f>
        <v/>
      </c>
      <c r="S26" s="63" t="str">
        <f aca="false">IF(OR(S$4="",$C26=""),"",IF(AND($C26&gt;=S$4,$C26&lt;EDATE(S$4,1)),"◆",""))</f>
        <v/>
      </c>
      <c r="T26" s="63" t="str">
        <f aca="false">IF(OR(T$4="",$C26=""),"",IF(AND($C26&gt;=T$4,$C26&lt;EDATE(T$4,1)),"◆",""))</f>
        <v/>
      </c>
      <c r="U26" s="63" t="str">
        <f aca="false">IF(OR(U$4="",$C26=""),"",IF(AND($C26&gt;=U$4,$C26&lt;EDATE(U$4,1)),"◆",""))</f>
        <v/>
      </c>
      <c r="V26" s="63" t="str">
        <f aca="false">IF(OR(V$4="",$C26=""),"",IF(AND($C26&gt;=V$4,$C26&lt;EDATE(V$4,1)),"◆",""))</f>
        <v/>
      </c>
      <c r="W26" s="63" t="str">
        <f aca="false">IF(OR(W$4="",$C26=""),"",IF(AND($C26&gt;=W$4,$C26&lt;EDATE(W$4,1)),"◆",""))</f>
        <v/>
      </c>
      <c r="X26" s="63" t="str">
        <f aca="false">IF(OR(X$4="",$C26=""),"",IF(AND($C26&gt;=X$4,$C26&lt;EDATE(X$4,1)),"◆",""))</f>
        <v/>
      </c>
      <c r="Y26" s="63" t="str">
        <f aca="false">IF(OR(Y$4="",$C26=""),"",IF(AND($C26&gt;=Y$4,$C26&lt;EDATE(Y$4,1)),"◆",""))</f>
        <v/>
      </c>
      <c r="Z26" s="63" t="str">
        <f aca="false">IF(OR(Z$4="",$C26=""),"",IF(AND($C26&gt;=Z$4,$C26&lt;EDATE(Z$4,1)),"◆",""))</f>
        <v/>
      </c>
      <c r="AA26" s="63" t="str">
        <f aca="false">IF(OR(AA$4="",$C26=""),"",IF(AND($C26&gt;=AA$4,$C26&lt;EDATE(AA$4,1)),"◆",""))</f>
        <v/>
      </c>
      <c r="AB26" s="63" t="str">
        <f aca="false">IF(OR(AB$4="",$C26=""),"",IF(AND($C26&gt;=AB$4,$C26&lt;EDATE(AB$4,1)),"◆",""))</f>
        <v/>
      </c>
      <c r="AC26" s="63" t="str">
        <f aca="false">IF(OR(AC$4="",$C26=""),"",IF(AND($C26&gt;=AC$4,$C26&lt;EDATE(AC$4,1)),"◆",""))</f>
        <v/>
      </c>
      <c r="AD26" s="63" t="str">
        <f aca="false">IF(OR(AD$4="",$C26=""),"",IF(AND($C26&gt;=AD$4,$C26&lt;EDATE(AD$4,1)),"◆",""))</f>
        <v/>
      </c>
      <c r="AE26" s="63" t="str">
        <f aca="false">IF(OR(AE$4="",$C26=""),"",IF(AND($C26&gt;=AE$4,$C26&lt;EDATE(AE$4,1)),"◆",""))</f>
        <v/>
      </c>
      <c r="AF26" s="63" t="str">
        <f aca="false">IF(OR(AF$4="",$C26=""),"",IF(AND($C26&gt;=AF$4,$C26&lt;EDATE(AF$4,1)),"◆",""))</f>
        <v/>
      </c>
      <c r="AG26" s="63" t="str">
        <f aca="false">IF(OR(AG$4="",$C26=""),"",IF(AND($C26&gt;=AG$4,$C26&lt;EDATE(AG$4,1)),"◆",""))</f>
        <v/>
      </c>
      <c r="AH26" s="63" t="str">
        <f aca="false">IF(OR(AH$4="",$C26=""),"",IF(AND($C26&gt;=AH$4,$C26&lt;EDATE(AH$4,1)),"◆",""))</f>
        <v/>
      </c>
      <c r="AI26" s="63" t="str">
        <f aca="false">IF(OR(AI$4="",$C26=""),"",IF(AND($C26&gt;=AI$4,$C26&lt;EDATE(AI$4,1)),"◆",""))</f>
        <v/>
      </c>
      <c r="AJ26" s="63" t="str">
        <f aca="false">IF(OR(AJ$4="",$C26=""),"",IF(AND($C26&gt;=AJ$4,$C26&lt;EDATE(AJ$4,1)),"◆",""))</f>
        <v/>
      </c>
      <c r="AK26" s="63" t="str">
        <f aca="false">IF(OR(AK$4="",$C26=""),"",IF(AND($C26&gt;=AK$4,$C26&lt;EDATE(AK$4,1)),"◆",""))</f>
        <v/>
      </c>
      <c r="AL26" s="63" t="str">
        <f aca="false">IF(OR(AL$4="",$C26=""),"",IF(AND($C26&gt;=AL$4,$C26&lt;EDATE(AL$4,1)),"◆",""))</f>
        <v/>
      </c>
      <c r="AM26" s="63" t="str">
        <f aca="false">IF(OR(AM$4="",$C26=""),"",IF(AND($C26&gt;=AM$4,$C26&lt;EDATE(AM$4,1)),"◆",""))</f>
        <v/>
      </c>
      <c r="AN26" s="63" t="str">
        <f aca="false">IF(OR(AN$4="",$C26=""),"",IF(AND($C26&gt;=AN$4,$C26&lt;EDATE(AN$4,1)),"◆",""))</f>
        <v/>
      </c>
      <c r="AO26" s="63" t="str">
        <f aca="false">IF(OR(AO$4="",$C26=""),"",IF(AND($C26&gt;=AO$4,$C26&lt;EDATE(AO$4,1)),"◆",""))</f>
        <v/>
      </c>
      <c r="AP26" s="63" t="str">
        <f aca="false">IF(OR(AP$4="",$C26=""),"",IF(AND($C26&gt;=AP$4,$C26&lt;EDATE(AP$4,1)),"◆",""))</f>
        <v/>
      </c>
      <c r="AQ26" s="63" t="str">
        <f aca="false">IF(OR(AQ$4="",$C26=""),"",IF(AND($C26&gt;=AQ$4,$C26&lt;EDATE(AQ$4,1)),"◆",""))</f>
        <v/>
      </c>
      <c r="AR26" s="63" t="str">
        <f aca="false">IF(OR(AR$4="",$C26=""),"",IF(AND($C26&gt;=AR$4,$C26&lt;EDATE(AR$4,1)),"◆",""))</f>
        <v/>
      </c>
      <c r="AS26" s="63" t="str">
        <f aca="false">IF(OR(AS$4="",$C26=""),"",IF(AND($C26&gt;=AS$4,$C26&lt;EDATE(AS$4,1)),"◆",""))</f>
        <v/>
      </c>
      <c r="AT26" s="63" t="str">
        <f aca="false">IF(OR(AT$4="",$C26=""),"",IF(AND($C26&gt;=AT$4,$C26&lt;EDATE(AT$4,1)),"◆",""))</f>
        <v/>
      </c>
      <c r="AU26" s="63" t="str">
        <f aca="false">IF(OR(AU$4="",$C26=""),"",IF(AND($C26&gt;=AU$4,$C26&lt;EDATE(AU$4,1)),"◆",""))</f>
        <v/>
      </c>
      <c r="AV26" s="63" t="str">
        <f aca="false">IF(OR(AV$4="",$C26=""),"",IF(AND($C26&gt;=AV$4,$C26&lt;EDATE(AV$4,1)),"◆",""))</f>
        <v/>
      </c>
      <c r="AW26" s="63" t="str">
        <f aca="false">IF(OR(AW$4="",$C26=""),"",IF(AND($C26&gt;=AW$4,$C26&lt;EDATE(AW$4,1)),"◆",""))</f>
        <v/>
      </c>
      <c r="AX26" s="63" t="str">
        <f aca="false">IF(OR(AX$4="",$C26=""),"",IF(AND($C26&gt;=AX$4,$C26&lt;EDATE(AX$4,1)),"◆",""))</f>
        <v/>
      </c>
      <c r="AY26" s="63" t="str">
        <f aca="false">IF(OR(AY$4="",$C26=""),"",IF(AND($C26&gt;=AY$4,$C26&lt;EDATE(AY$4,1)),"◆",""))</f>
        <v/>
      </c>
      <c r="AZ26" s="63" t="str">
        <f aca="false">IF(OR(AZ$4="",$C26=""),"",IF(AND($C26&gt;=AZ$4,$C26&lt;EDATE(AZ$4,1)),"◆",""))</f>
        <v/>
      </c>
      <c r="BA26" s="63" t="str">
        <f aca="false">IF(OR(BA$4="",$C26=""),"",IF(AND($C26&gt;=BA$4,$C26&lt;EDATE(BA$4,1)),"◆",""))</f>
        <v/>
      </c>
      <c r="BB26" s="63" t="str">
        <f aca="false">IF(OR(BB$4="",$C26=""),"",IF(AND($C26&gt;=BB$4,$C26&lt;EDATE(BB$4,1)),"◆",""))</f>
        <v/>
      </c>
      <c r="BC26" s="63" t="str">
        <f aca="false">IF(OR(BC$4="",$C26=""),"",IF(AND($C26&gt;=BC$4,$C26&lt;EDATE(BC$4,1)),"◆",""))</f>
        <v/>
      </c>
      <c r="BD26" s="63" t="str">
        <f aca="false">IF(OR(BD$4="",$C26=""),"",IF(AND($C26&gt;=BD$4,$C26&lt;EDATE(BD$4,1)),"◆",""))</f>
        <v/>
      </c>
      <c r="BE26" s="63" t="str">
        <f aca="false">IF(OR(BE$4="",$C26=""),"",IF(AND($C26&gt;=BE$4,$C26&lt;EDATE(BE$4,1)),"◆",""))</f>
        <v/>
      </c>
      <c r="BF26" s="63" t="str">
        <f aca="false">IF(OR(BF$4="",$C26=""),"",IF(AND($C26&gt;=BF$4,$C26&lt;EDATE(BF$4,1)),"◆",""))</f>
        <v/>
      </c>
      <c r="BG26" s="63" t="str">
        <f aca="false">IF(OR(BG$4="",$C26=""),"",IF(AND($C26&gt;=BG$4,$C26&lt;EDATE(BG$4,1)),"◆",""))</f>
        <v/>
      </c>
      <c r="BH26" s="63" t="str">
        <f aca="false">IF(OR(BH$4="",$C26=""),"",IF(AND($C26&gt;=BH$4,$C26&lt;EDATE(BH$4,1)),"◆",""))</f>
        <v/>
      </c>
      <c r="BI26" s="63" t="str">
        <f aca="false">IF(OR(BI$4="",$C26=""),"",IF(AND($C26&gt;=BI$4,$C26&lt;EDATE(BI$4,1)),"◆",""))</f>
        <v/>
      </c>
      <c r="BJ26" s="63" t="str">
        <f aca="false">IF(OR(BJ$4="",$C26=""),"",IF(AND($C26&gt;=BJ$4,$C26&lt;EDATE(BJ$4,1)),"◆",""))</f>
        <v/>
      </c>
      <c r="BK26" s="63" t="str">
        <f aca="false">IF(OR(BK$4="",$C26=""),"",IF(AND($C26&gt;=BK$4,$C26&lt;EDATE(BK$4,1)),"◆",""))</f>
        <v/>
      </c>
      <c r="BL26" s="63" t="str">
        <f aca="false">IF(OR(BL$4="",$C26=""),"",IF(AND($C26&gt;=BL$4,$C26&lt;EDATE(BL$4,1)),"◆",""))</f>
        <v/>
      </c>
      <c r="BM26" s="63" t="str">
        <f aca="false">IF(OR(BM$4="",$C26=""),"",IF(AND($C26&gt;=BM$4,$C26&lt;EDATE(BM$4,1)),"◆",""))</f>
        <v/>
      </c>
      <c r="BN26" s="63" t="str">
        <f aca="false">IF(OR(BN$4="",$C26=""),"",IF(AND($C26&gt;=BN$4,$C26&lt;EDATE(BN$4,1)),"◆",""))</f>
        <v/>
      </c>
      <c r="BO26" s="63" t="str">
        <f aca="false">IF(OR(BO$4="",$C26=""),"",IF(AND($C26&gt;=BO$4,$C26&lt;EDATE(BO$4,1)),"◆",""))</f>
        <v/>
      </c>
      <c r="BP26" s="63" t="str">
        <f aca="false">IF(OR(BP$4="",$C26=""),"",IF(AND($C26&gt;=BP$4,$C26&lt;EDATE(BP$4,1)),"◆",""))</f>
        <v/>
      </c>
      <c r="BQ26" s="63" t="str">
        <f aca="false">IF(OR(BQ$4="",$C26=""),"",IF(AND($C26&gt;=BQ$4,$C26&lt;EDATE(BQ$4,1)),"◆",""))</f>
        <v/>
      </c>
      <c r="BR26" s="63" t="str">
        <f aca="false">IF(OR(BR$4="",$C26=""),"",IF(AND($C26&gt;=BR$4,$C26&lt;EDATE(BR$4,1)),"◆",""))</f>
        <v/>
      </c>
      <c r="BS26" s="63" t="str">
        <f aca="false">IF(OR(BS$4="",$C26=""),"",IF(AND($C26&gt;=BS$4,$C26&lt;EDATE(BS$4,1)),"◆",""))</f>
        <v/>
      </c>
      <c r="BT26" s="63" t="str">
        <f aca="false">IF(OR(BT$4="",$C26=""),"",IF(AND($C26&gt;=BT$4,$C26&lt;EDATE(BT$4,1)),"◆",""))</f>
        <v/>
      </c>
      <c r="BU26" s="63" t="str">
        <f aca="false">IF(OR(BU$4="",$C26=""),"",IF(AND($C26&gt;=BU$4,$C26&lt;EDATE(BU$4,1)),"◆",""))</f>
        <v/>
      </c>
      <c r="BV26" s="63" t="str">
        <f aca="false">IF(OR(BV$4="",$C26=""),"",IF(AND($C26&gt;=BV$4,$C26&lt;EDATE(BV$4,1)),"◆",""))</f>
        <v/>
      </c>
      <c r="BW26" s="63" t="str">
        <f aca="false">IF(OR(BW$4="",$C26=""),"",IF(AND($C26&gt;=BW$4,$C26&lt;EDATE(BW$4,1)),"◆",""))</f>
        <v/>
      </c>
      <c r="BX26" s="63" t="str">
        <f aca="false">IF(OR(BX$4="",$C26=""),"",IF(AND($C26&gt;=BX$4,$C26&lt;EDATE(BX$4,1)),"◆",""))</f>
        <v/>
      </c>
      <c r="BY26" s="63" t="str">
        <f aca="false">IF(OR(BY$4="",$C26=""),"",IF(AND($C26&gt;=BY$4,$C26&lt;EDATE(BY$4,1)),"◆",""))</f>
        <v/>
      </c>
    </row>
    <row r="27" customFormat="false" ht="15" hidden="false" customHeight="false" outlineLevel="0" collapsed="false">
      <c r="A27" s="4"/>
      <c r="B27" s="53" t="str">
        <f aca="false">IF(Milestones!$B26="","",Milestones!$B26)</f>
        <v/>
      </c>
      <c r="C27" s="54" t="str">
        <f aca="false">IF(Milestones!$E26="","",Milestones!$E26)</f>
        <v/>
      </c>
      <c r="D27" s="4"/>
      <c r="E27" s="4"/>
      <c r="F27" s="63" t="str">
        <f aca="false">IF(OR(F$4="",$C27=""),"",IF(AND($C27&gt;=F$4,$C27&lt;EDATE(F$4,1)),"◆",""))</f>
        <v/>
      </c>
      <c r="G27" s="63" t="str">
        <f aca="false">IF(OR(G$4="",$C27=""),"",IF(AND($C27&gt;=G$4,$C27&lt;EDATE(G$4,1)),"◆",""))</f>
        <v/>
      </c>
      <c r="H27" s="63" t="str">
        <f aca="false">IF(OR(H$4="",$C27=""),"",IF(AND($C27&gt;=H$4,$C27&lt;EDATE(H$4,1)),"◆",""))</f>
        <v/>
      </c>
      <c r="I27" s="63" t="str">
        <f aca="false">IF(OR(I$4="",$C27=""),"",IF(AND($C27&gt;=I$4,$C27&lt;EDATE(I$4,1)),"◆",""))</f>
        <v/>
      </c>
      <c r="J27" s="63" t="str">
        <f aca="false">IF(OR(J$4="",$C27=""),"",IF(AND($C27&gt;=J$4,$C27&lt;EDATE(J$4,1)),"◆",""))</f>
        <v/>
      </c>
      <c r="K27" s="63" t="str">
        <f aca="false">IF(OR(K$4="",$C27=""),"",IF(AND($C27&gt;=K$4,$C27&lt;EDATE(K$4,1)),"◆",""))</f>
        <v/>
      </c>
      <c r="L27" s="63" t="str">
        <f aca="false">IF(OR(L$4="",$C27=""),"",IF(AND($C27&gt;=L$4,$C27&lt;EDATE(L$4,1)),"◆",""))</f>
        <v/>
      </c>
      <c r="M27" s="63" t="str">
        <f aca="false">IF(OR(M$4="",$C27=""),"",IF(AND($C27&gt;=M$4,$C27&lt;EDATE(M$4,1)),"◆",""))</f>
        <v/>
      </c>
      <c r="N27" s="63" t="str">
        <f aca="false">IF(OR(N$4="",$C27=""),"",IF(AND($C27&gt;=N$4,$C27&lt;EDATE(N$4,1)),"◆",""))</f>
        <v/>
      </c>
      <c r="O27" s="63" t="str">
        <f aca="false">IF(OR(O$4="",$C27=""),"",IF(AND($C27&gt;=O$4,$C27&lt;EDATE(O$4,1)),"◆",""))</f>
        <v/>
      </c>
      <c r="P27" s="63" t="str">
        <f aca="false">IF(OR(P$4="",$C27=""),"",IF(AND($C27&gt;=P$4,$C27&lt;EDATE(P$4,1)),"◆",""))</f>
        <v/>
      </c>
      <c r="Q27" s="63" t="str">
        <f aca="false">IF(OR(Q$4="",$C27=""),"",IF(AND($C27&gt;=Q$4,$C27&lt;EDATE(Q$4,1)),"◆",""))</f>
        <v/>
      </c>
      <c r="R27" s="63" t="str">
        <f aca="false">IF(OR(R$4="",$C27=""),"",IF(AND($C27&gt;=R$4,$C27&lt;EDATE(R$4,1)),"◆",""))</f>
        <v/>
      </c>
      <c r="S27" s="63" t="str">
        <f aca="false">IF(OR(S$4="",$C27=""),"",IF(AND($C27&gt;=S$4,$C27&lt;EDATE(S$4,1)),"◆",""))</f>
        <v/>
      </c>
      <c r="T27" s="63" t="str">
        <f aca="false">IF(OR(T$4="",$C27=""),"",IF(AND($C27&gt;=T$4,$C27&lt;EDATE(T$4,1)),"◆",""))</f>
        <v/>
      </c>
      <c r="U27" s="63" t="str">
        <f aca="false">IF(OR(U$4="",$C27=""),"",IF(AND($C27&gt;=U$4,$C27&lt;EDATE(U$4,1)),"◆",""))</f>
        <v/>
      </c>
      <c r="V27" s="63" t="str">
        <f aca="false">IF(OR(V$4="",$C27=""),"",IF(AND($C27&gt;=V$4,$C27&lt;EDATE(V$4,1)),"◆",""))</f>
        <v/>
      </c>
      <c r="W27" s="63" t="str">
        <f aca="false">IF(OR(W$4="",$C27=""),"",IF(AND($C27&gt;=W$4,$C27&lt;EDATE(W$4,1)),"◆",""))</f>
        <v/>
      </c>
      <c r="X27" s="63" t="str">
        <f aca="false">IF(OR(X$4="",$C27=""),"",IF(AND($C27&gt;=X$4,$C27&lt;EDATE(X$4,1)),"◆",""))</f>
        <v/>
      </c>
      <c r="Y27" s="63" t="str">
        <f aca="false">IF(OR(Y$4="",$C27=""),"",IF(AND($C27&gt;=Y$4,$C27&lt;EDATE(Y$4,1)),"◆",""))</f>
        <v/>
      </c>
      <c r="Z27" s="63" t="str">
        <f aca="false">IF(OR(Z$4="",$C27=""),"",IF(AND($C27&gt;=Z$4,$C27&lt;EDATE(Z$4,1)),"◆",""))</f>
        <v/>
      </c>
      <c r="AA27" s="63" t="str">
        <f aca="false">IF(OR(AA$4="",$C27=""),"",IF(AND($C27&gt;=AA$4,$C27&lt;EDATE(AA$4,1)),"◆",""))</f>
        <v/>
      </c>
      <c r="AB27" s="63" t="str">
        <f aca="false">IF(OR(AB$4="",$C27=""),"",IF(AND($C27&gt;=AB$4,$C27&lt;EDATE(AB$4,1)),"◆",""))</f>
        <v/>
      </c>
      <c r="AC27" s="63" t="str">
        <f aca="false">IF(OR(AC$4="",$C27=""),"",IF(AND($C27&gt;=AC$4,$C27&lt;EDATE(AC$4,1)),"◆",""))</f>
        <v/>
      </c>
      <c r="AD27" s="63" t="str">
        <f aca="false">IF(OR(AD$4="",$C27=""),"",IF(AND($C27&gt;=AD$4,$C27&lt;EDATE(AD$4,1)),"◆",""))</f>
        <v/>
      </c>
      <c r="AE27" s="63" t="str">
        <f aca="false">IF(OR(AE$4="",$C27=""),"",IF(AND($C27&gt;=AE$4,$C27&lt;EDATE(AE$4,1)),"◆",""))</f>
        <v/>
      </c>
      <c r="AF27" s="63" t="str">
        <f aca="false">IF(OR(AF$4="",$C27=""),"",IF(AND($C27&gt;=AF$4,$C27&lt;EDATE(AF$4,1)),"◆",""))</f>
        <v/>
      </c>
      <c r="AG27" s="63" t="str">
        <f aca="false">IF(OR(AG$4="",$C27=""),"",IF(AND($C27&gt;=AG$4,$C27&lt;EDATE(AG$4,1)),"◆",""))</f>
        <v/>
      </c>
      <c r="AH27" s="63" t="str">
        <f aca="false">IF(OR(AH$4="",$C27=""),"",IF(AND($C27&gt;=AH$4,$C27&lt;EDATE(AH$4,1)),"◆",""))</f>
        <v/>
      </c>
      <c r="AI27" s="63" t="str">
        <f aca="false">IF(OR(AI$4="",$C27=""),"",IF(AND($C27&gt;=AI$4,$C27&lt;EDATE(AI$4,1)),"◆",""))</f>
        <v/>
      </c>
      <c r="AJ27" s="63" t="str">
        <f aca="false">IF(OR(AJ$4="",$C27=""),"",IF(AND($C27&gt;=AJ$4,$C27&lt;EDATE(AJ$4,1)),"◆",""))</f>
        <v/>
      </c>
      <c r="AK27" s="63" t="str">
        <f aca="false">IF(OR(AK$4="",$C27=""),"",IF(AND($C27&gt;=AK$4,$C27&lt;EDATE(AK$4,1)),"◆",""))</f>
        <v/>
      </c>
      <c r="AL27" s="63" t="str">
        <f aca="false">IF(OR(AL$4="",$C27=""),"",IF(AND($C27&gt;=AL$4,$C27&lt;EDATE(AL$4,1)),"◆",""))</f>
        <v/>
      </c>
      <c r="AM27" s="63" t="str">
        <f aca="false">IF(OR(AM$4="",$C27=""),"",IF(AND($C27&gt;=AM$4,$C27&lt;EDATE(AM$4,1)),"◆",""))</f>
        <v/>
      </c>
      <c r="AN27" s="63" t="str">
        <f aca="false">IF(OR(AN$4="",$C27=""),"",IF(AND($C27&gt;=AN$4,$C27&lt;EDATE(AN$4,1)),"◆",""))</f>
        <v/>
      </c>
      <c r="AO27" s="63" t="str">
        <f aca="false">IF(OR(AO$4="",$C27=""),"",IF(AND($C27&gt;=AO$4,$C27&lt;EDATE(AO$4,1)),"◆",""))</f>
        <v/>
      </c>
      <c r="AP27" s="63" t="str">
        <f aca="false">IF(OR(AP$4="",$C27=""),"",IF(AND($C27&gt;=AP$4,$C27&lt;EDATE(AP$4,1)),"◆",""))</f>
        <v/>
      </c>
      <c r="AQ27" s="63" t="str">
        <f aca="false">IF(OR(AQ$4="",$C27=""),"",IF(AND($C27&gt;=AQ$4,$C27&lt;EDATE(AQ$4,1)),"◆",""))</f>
        <v/>
      </c>
      <c r="AR27" s="63" t="str">
        <f aca="false">IF(OR(AR$4="",$C27=""),"",IF(AND($C27&gt;=AR$4,$C27&lt;EDATE(AR$4,1)),"◆",""))</f>
        <v/>
      </c>
      <c r="AS27" s="63" t="str">
        <f aca="false">IF(OR(AS$4="",$C27=""),"",IF(AND($C27&gt;=AS$4,$C27&lt;EDATE(AS$4,1)),"◆",""))</f>
        <v/>
      </c>
      <c r="AT27" s="63" t="str">
        <f aca="false">IF(OR(AT$4="",$C27=""),"",IF(AND($C27&gt;=AT$4,$C27&lt;EDATE(AT$4,1)),"◆",""))</f>
        <v/>
      </c>
      <c r="AU27" s="63" t="str">
        <f aca="false">IF(OR(AU$4="",$C27=""),"",IF(AND($C27&gt;=AU$4,$C27&lt;EDATE(AU$4,1)),"◆",""))</f>
        <v/>
      </c>
      <c r="AV27" s="63" t="str">
        <f aca="false">IF(OR(AV$4="",$C27=""),"",IF(AND($C27&gt;=AV$4,$C27&lt;EDATE(AV$4,1)),"◆",""))</f>
        <v/>
      </c>
      <c r="AW27" s="63" t="str">
        <f aca="false">IF(OR(AW$4="",$C27=""),"",IF(AND($C27&gt;=AW$4,$C27&lt;EDATE(AW$4,1)),"◆",""))</f>
        <v/>
      </c>
      <c r="AX27" s="63" t="str">
        <f aca="false">IF(OR(AX$4="",$C27=""),"",IF(AND($C27&gt;=AX$4,$C27&lt;EDATE(AX$4,1)),"◆",""))</f>
        <v/>
      </c>
      <c r="AY27" s="63" t="str">
        <f aca="false">IF(OR(AY$4="",$C27=""),"",IF(AND($C27&gt;=AY$4,$C27&lt;EDATE(AY$4,1)),"◆",""))</f>
        <v/>
      </c>
      <c r="AZ27" s="63" t="str">
        <f aca="false">IF(OR(AZ$4="",$C27=""),"",IF(AND($C27&gt;=AZ$4,$C27&lt;EDATE(AZ$4,1)),"◆",""))</f>
        <v/>
      </c>
      <c r="BA27" s="63" t="str">
        <f aca="false">IF(OR(BA$4="",$C27=""),"",IF(AND($C27&gt;=BA$4,$C27&lt;EDATE(BA$4,1)),"◆",""))</f>
        <v/>
      </c>
      <c r="BB27" s="63" t="str">
        <f aca="false">IF(OR(BB$4="",$C27=""),"",IF(AND($C27&gt;=BB$4,$C27&lt;EDATE(BB$4,1)),"◆",""))</f>
        <v/>
      </c>
      <c r="BC27" s="63" t="str">
        <f aca="false">IF(OR(BC$4="",$C27=""),"",IF(AND($C27&gt;=BC$4,$C27&lt;EDATE(BC$4,1)),"◆",""))</f>
        <v/>
      </c>
      <c r="BD27" s="63" t="str">
        <f aca="false">IF(OR(BD$4="",$C27=""),"",IF(AND($C27&gt;=BD$4,$C27&lt;EDATE(BD$4,1)),"◆",""))</f>
        <v/>
      </c>
      <c r="BE27" s="63" t="str">
        <f aca="false">IF(OR(BE$4="",$C27=""),"",IF(AND($C27&gt;=BE$4,$C27&lt;EDATE(BE$4,1)),"◆",""))</f>
        <v/>
      </c>
      <c r="BF27" s="63" t="str">
        <f aca="false">IF(OR(BF$4="",$C27=""),"",IF(AND($C27&gt;=BF$4,$C27&lt;EDATE(BF$4,1)),"◆",""))</f>
        <v/>
      </c>
      <c r="BG27" s="63" t="str">
        <f aca="false">IF(OR(BG$4="",$C27=""),"",IF(AND($C27&gt;=BG$4,$C27&lt;EDATE(BG$4,1)),"◆",""))</f>
        <v/>
      </c>
      <c r="BH27" s="63" t="str">
        <f aca="false">IF(OR(BH$4="",$C27=""),"",IF(AND($C27&gt;=BH$4,$C27&lt;EDATE(BH$4,1)),"◆",""))</f>
        <v/>
      </c>
      <c r="BI27" s="63" t="str">
        <f aca="false">IF(OR(BI$4="",$C27=""),"",IF(AND($C27&gt;=BI$4,$C27&lt;EDATE(BI$4,1)),"◆",""))</f>
        <v/>
      </c>
      <c r="BJ27" s="63" t="str">
        <f aca="false">IF(OR(BJ$4="",$C27=""),"",IF(AND($C27&gt;=BJ$4,$C27&lt;EDATE(BJ$4,1)),"◆",""))</f>
        <v/>
      </c>
      <c r="BK27" s="63" t="str">
        <f aca="false">IF(OR(BK$4="",$C27=""),"",IF(AND($C27&gt;=BK$4,$C27&lt;EDATE(BK$4,1)),"◆",""))</f>
        <v/>
      </c>
      <c r="BL27" s="63" t="str">
        <f aca="false">IF(OR(BL$4="",$C27=""),"",IF(AND($C27&gt;=BL$4,$C27&lt;EDATE(BL$4,1)),"◆",""))</f>
        <v/>
      </c>
      <c r="BM27" s="63" t="str">
        <f aca="false">IF(OR(BM$4="",$C27=""),"",IF(AND($C27&gt;=BM$4,$C27&lt;EDATE(BM$4,1)),"◆",""))</f>
        <v/>
      </c>
      <c r="BN27" s="63" t="str">
        <f aca="false">IF(OR(BN$4="",$C27=""),"",IF(AND($C27&gt;=BN$4,$C27&lt;EDATE(BN$4,1)),"◆",""))</f>
        <v/>
      </c>
      <c r="BO27" s="63" t="str">
        <f aca="false">IF(OR(BO$4="",$C27=""),"",IF(AND($C27&gt;=BO$4,$C27&lt;EDATE(BO$4,1)),"◆",""))</f>
        <v/>
      </c>
      <c r="BP27" s="63" t="str">
        <f aca="false">IF(OR(BP$4="",$C27=""),"",IF(AND($C27&gt;=BP$4,$C27&lt;EDATE(BP$4,1)),"◆",""))</f>
        <v/>
      </c>
      <c r="BQ27" s="63" t="str">
        <f aca="false">IF(OR(BQ$4="",$C27=""),"",IF(AND($C27&gt;=BQ$4,$C27&lt;EDATE(BQ$4,1)),"◆",""))</f>
        <v/>
      </c>
      <c r="BR27" s="63" t="str">
        <f aca="false">IF(OR(BR$4="",$C27=""),"",IF(AND($C27&gt;=BR$4,$C27&lt;EDATE(BR$4,1)),"◆",""))</f>
        <v/>
      </c>
      <c r="BS27" s="63" t="str">
        <f aca="false">IF(OR(BS$4="",$C27=""),"",IF(AND($C27&gt;=BS$4,$C27&lt;EDATE(BS$4,1)),"◆",""))</f>
        <v/>
      </c>
      <c r="BT27" s="63" t="str">
        <f aca="false">IF(OR(BT$4="",$C27=""),"",IF(AND($C27&gt;=BT$4,$C27&lt;EDATE(BT$4,1)),"◆",""))</f>
        <v/>
      </c>
      <c r="BU27" s="63" t="str">
        <f aca="false">IF(OR(BU$4="",$C27=""),"",IF(AND($C27&gt;=BU$4,$C27&lt;EDATE(BU$4,1)),"◆",""))</f>
        <v/>
      </c>
      <c r="BV27" s="63" t="str">
        <f aca="false">IF(OR(BV$4="",$C27=""),"",IF(AND($C27&gt;=BV$4,$C27&lt;EDATE(BV$4,1)),"◆",""))</f>
        <v/>
      </c>
      <c r="BW27" s="63" t="str">
        <f aca="false">IF(OR(BW$4="",$C27=""),"",IF(AND($C27&gt;=BW$4,$C27&lt;EDATE(BW$4,1)),"◆",""))</f>
        <v/>
      </c>
      <c r="BX27" s="63" t="str">
        <f aca="false">IF(OR(BX$4="",$C27=""),"",IF(AND($C27&gt;=BX$4,$C27&lt;EDATE(BX$4,1)),"◆",""))</f>
        <v/>
      </c>
      <c r="BY27" s="63" t="str">
        <f aca="false">IF(OR(BY$4="",$C27=""),"",IF(AND($C27&gt;=BY$4,$C27&lt;EDATE(BY$4,1)),"◆",""))</f>
        <v/>
      </c>
    </row>
    <row r="28" customFormat="false" ht="15" hidden="false" customHeight="false" outlineLevel="0" collapsed="false">
      <c r="A28" s="4"/>
      <c r="B28" s="53" t="str">
        <f aca="false">IF(Milestones!$B27="","",Milestones!$B27)</f>
        <v/>
      </c>
      <c r="C28" s="54" t="str">
        <f aca="false">IF(Milestones!$E27="","",Milestones!$E27)</f>
        <v/>
      </c>
      <c r="D28" s="4"/>
      <c r="E28" s="4"/>
      <c r="F28" s="63" t="str">
        <f aca="false">IF(OR(F$4="",$C28=""),"",IF(AND($C28&gt;=F$4,$C28&lt;EDATE(F$4,1)),"◆",""))</f>
        <v/>
      </c>
      <c r="G28" s="63" t="str">
        <f aca="false">IF(OR(G$4="",$C28=""),"",IF(AND($C28&gt;=G$4,$C28&lt;EDATE(G$4,1)),"◆",""))</f>
        <v/>
      </c>
      <c r="H28" s="63" t="str">
        <f aca="false">IF(OR(H$4="",$C28=""),"",IF(AND($C28&gt;=H$4,$C28&lt;EDATE(H$4,1)),"◆",""))</f>
        <v/>
      </c>
      <c r="I28" s="63" t="str">
        <f aca="false">IF(OR(I$4="",$C28=""),"",IF(AND($C28&gt;=I$4,$C28&lt;EDATE(I$4,1)),"◆",""))</f>
        <v/>
      </c>
      <c r="J28" s="63" t="str">
        <f aca="false">IF(OR(J$4="",$C28=""),"",IF(AND($C28&gt;=J$4,$C28&lt;EDATE(J$4,1)),"◆",""))</f>
        <v/>
      </c>
      <c r="K28" s="63" t="str">
        <f aca="false">IF(OR(K$4="",$C28=""),"",IF(AND($C28&gt;=K$4,$C28&lt;EDATE(K$4,1)),"◆",""))</f>
        <v/>
      </c>
      <c r="L28" s="63" t="str">
        <f aca="false">IF(OR(L$4="",$C28=""),"",IF(AND($C28&gt;=L$4,$C28&lt;EDATE(L$4,1)),"◆",""))</f>
        <v/>
      </c>
      <c r="M28" s="63" t="str">
        <f aca="false">IF(OR(M$4="",$C28=""),"",IF(AND($C28&gt;=M$4,$C28&lt;EDATE(M$4,1)),"◆",""))</f>
        <v/>
      </c>
      <c r="N28" s="63" t="str">
        <f aca="false">IF(OR(N$4="",$C28=""),"",IF(AND($C28&gt;=N$4,$C28&lt;EDATE(N$4,1)),"◆",""))</f>
        <v/>
      </c>
      <c r="O28" s="63" t="str">
        <f aca="false">IF(OR(O$4="",$C28=""),"",IF(AND($C28&gt;=O$4,$C28&lt;EDATE(O$4,1)),"◆",""))</f>
        <v/>
      </c>
      <c r="P28" s="63" t="str">
        <f aca="false">IF(OR(P$4="",$C28=""),"",IF(AND($C28&gt;=P$4,$C28&lt;EDATE(P$4,1)),"◆",""))</f>
        <v/>
      </c>
      <c r="Q28" s="63" t="str">
        <f aca="false">IF(OR(Q$4="",$C28=""),"",IF(AND($C28&gt;=Q$4,$C28&lt;EDATE(Q$4,1)),"◆",""))</f>
        <v/>
      </c>
      <c r="R28" s="63" t="str">
        <f aca="false">IF(OR(R$4="",$C28=""),"",IF(AND($C28&gt;=R$4,$C28&lt;EDATE(R$4,1)),"◆",""))</f>
        <v/>
      </c>
      <c r="S28" s="63" t="str">
        <f aca="false">IF(OR(S$4="",$C28=""),"",IF(AND($C28&gt;=S$4,$C28&lt;EDATE(S$4,1)),"◆",""))</f>
        <v/>
      </c>
      <c r="T28" s="63" t="str">
        <f aca="false">IF(OR(T$4="",$C28=""),"",IF(AND($C28&gt;=T$4,$C28&lt;EDATE(T$4,1)),"◆",""))</f>
        <v/>
      </c>
      <c r="U28" s="63" t="str">
        <f aca="false">IF(OR(U$4="",$C28=""),"",IF(AND($C28&gt;=U$4,$C28&lt;EDATE(U$4,1)),"◆",""))</f>
        <v/>
      </c>
      <c r="V28" s="63" t="str">
        <f aca="false">IF(OR(V$4="",$C28=""),"",IF(AND($C28&gt;=V$4,$C28&lt;EDATE(V$4,1)),"◆",""))</f>
        <v/>
      </c>
      <c r="W28" s="63" t="str">
        <f aca="false">IF(OR(W$4="",$C28=""),"",IF(AND($C28&gt;=W$4,$C28&lt;EDATE(W$4,1)),"◆",""))</f>
        <v/>
      </c>
      <c r="X28" s="63" t="str">
        <f aca="false">IF(OR(X$4="",$C28=""),"",IF(AND($C28&gt;=X$4,$C28&lt;EDATE(X$4,1)),"◆",""))</f>
        <v/>
      </c>
      <c r="Y28" s="63" t="str">
        <f aca="false">IF(OR(Y$4="",$C28=""),"",IF(AND($C28&gt;=Y$4,$C28&lt;EDATE(Y$4,1)),"◆",""))</f>
        <v/>
      </c>
      <c r="Z28" s="63" t="str">
        <f aca="false">IF(OR(Z$4="",$C28=""),"",IF(AND($C28&gt;=Z$4,$C28&lt;EDATE(Z$4,1)),"◆",""))</f>
        <v/>
      </c>
      <c r="AA28" s="63" t="str">
        <f aca="false">IF(OR(AA$4="",$C28=""),"",IF(AND($C28&gt;=AA$4,$C28&lt;EDATE(AA$4,1)),"◆",""))</f>
        <v/>
      </c>
      <c r="AB28" s="63" t="str">
        <f aca="false">IF(OR(AB$4="",$C28=""),"",IF(AND($C28&gt;=AB$4,$C28&lt;EDATE(AB$4,1)),"◆",""))</f>
        <v/>
      </c>
      <c r="AC28" s="63" t="str">
        <f aca="false">IF(OR(AC$4="",$C28=""),"",IF(AND($C28&gt;=AC$4,$C28&lt;EDATE(AC$4,1)),"◆",""))</f>
        <v/>
      </c>
      <c r="AD28" s="63" t="str">
        <f aca="false">IF(OR(AD$4="",$C28=""),"",IF(AND($C28&gt;=AD$4,$C28&lt;EDATE(AD$4,1)),"◆",""))</f>
        <v/>
      </c>
      <c r="AE28" s="63" t="str">
        <f aca="false">IF(OR(AE$4="",$C28=""),"",IF(AND($C28&gt;=AE$4,$C28&lt;EDATE(AE$4,1)),"◆",""))</f>
        <v/>
      </c>
      <c r="AF28" s="63" t="str">
        <f aca="false">IF(OR(AF$4="",$C28=""),"",IF(AND($C28&gt;=AF$4,$C28&lt;EDATE(AF$4,1)),"◆",""))</f>
        <v/>
      </c>
      <c r="AG28" s="63" t="str">
        <f aca="false">IF(OR(AG$4="",$C28=""),"",IF(AND($C28&gt;=AG$4,$C28&lt;EDATE(AG$4,1)),"◆",""))</f>
        <v/>
      </c>
      <c r="AH28" s="63" t="str">
        <f aca="false">IF(OR(AH$4="",$C28=""),"",IF(AND($C28&gt;=AH$4,$C28&lt;EDATE(AH$4,1)),"◆",""))</f>
        <v/>
      </c>
      <c r="AI28" s="63" t="str">
        <f aca="false">IF(OR(AI$4="",$C28=""),"",IF(AND($C28&gt;=AI$4,$C28&lt;EDATE(AI$4,1)),"◆",""))</f>
        <v/>
      </c>
      <c r="AJ28" s="63" t="str">
        <f aca="false">IF(OR(AJ$4="",$C28=""),"",IF(AND($C28&gt;=AJ$4,$C28&lt;EDATE(AJ$4,1)),"◆",""))</f>
        <v/>
      </c>
      <c r="AK28" s="63" t="str">
        <f aca="false">IF(OR(AK$4="",$C28=""),"",IF(AND($C28&gt;=AK$4,$C28&lt;EDATE(AK$4,1)),"◆",""))</f>
        <v/>
      </c>
      <c r="AL28" s="63" t="str">
        <f aca="false">IF(OR(AL$4="",$C28=""),"",IF(AND($C28&gt;=AL$4,$C28&lt;EDATE(AL$4,1)),"◆",""))</f>
        <v/>
      </c>
      <c r="AM28" s="63" t="str">
        <f aca="false">IF(OR(AM$4="",$C28=""),"",IF(AND($C28&gt;=AM$4,$C28&lt;EDATE(AM$4,1)),"◆",""))</f>
        <v/>
      </c>
      <c r="AN28" s="63" t="str">
        <f aca="false">IF(OR(AN$4="",$C28=""),"",IF(AND($C28&gt;=AN$4,$C28&lt;EDATE(AN$4,1)),"◆",""))</f>
        <v/>
      </c>
      <c r="AO28" s="63" t="str">
        <f aca="false">IF(OR(AO$4="",$C28=""),"",IF(AND($C28&gt;=AO$4,$C28&lt;EDATE(AO$4,1)),"◆",""))</f>
        <v/>
      </c>
      <c r="AP28" s="63" t="str">
        <f aca="false">IF(OR(AP$4="",$C28=""),"",IF(AND($C28&gt;=AP$4,$C28&lt;EDATE(AP$4,1)),"◆",""))</f>
        <v/>
      </c>
      <c r="AQ28" s="63" t="str">
        <f aca="false">IF(OR(AQ$4="",$C28=""),"",IF(AND($C28&gt;=AQ$4,$C28&lt;EDATE(AQ$4,1)),"◆",""))</f>
        <v/>
      </c>
      <c r="AR28" s="63" t="str">
        <f aca="false">IF(OR(AR$4="",$C28=""),"",IF(AND($C28&gt;=AR$4,$C28&lt;EDATE(AR$4,1)),"◆",""))</f>
        <v/>
      </c>
      <c r="AS28" s="63" t="str">
        <f aca="false">IF(OR(AS$4="",$C28=""),"",IF(AND($C28&gt;=AS$4,$C28&lt;EDATE(AS$4,1)),"◆",""))</f>
        <v/>
      </c>
      <c r="AT28" s="63" t="str">
        <f aca="false">IF(OR(AT$4="",$C28=""),"",IF(AND($C28&gt;=AT$4,$C28&lt;EDATE(AT$4,1)),"◆",""))</f>
        <v/>
      </c>
      <c r="AU28" s="63" t="str">
        <f aca="false">IF(OR(AU$4="",$C28=""),"",IF(AND($C28&gt;=AU$4,$C28&lt;EDATE(AU$4,1)),"◆",""))</f>
        <v/>
      </c>
      <c r="AV28" s="63" t="str">
        <f aca="false">IF(OR(AV$4="",$C28=""),"",IF(AND($C28&gt;=AV$4,$C28&lt;EDATE(AV$4,1)),"◆",""))</f>
        <v/>
      </c>
      <c r="AW28" s="63" t="str">
        <f aca="false">IF(OR(AW$4="",$C28=""),"",IF(AND($C28&gt;=AW$4,$C28&lt;EDATE(AW$4,1)),"◆",""))</f>
        <v/>
      </c>
      <c r="AX28" s="63" t="str">
        <f aca="false">IF(OR(AX$4="",$C28=""),"",IF(AND($C28&gt;=AX$4,$C28&lt;EDATE(AX$4,1)),"◆",""))</f>
        <v/>
      </c>
      <c r="AY28" s="63" t="str">
        <f aca="false">IF(OR(AY$4="",$C28=""),"",IF(AND($C28&gt;=AY$4,$C28&lt;EDATE(AY$4,1)),"◆",""))</f>
        <v/>
      </c>
      <c r="AZ28" s="63" t="str">
        <f aca="false">IF(OR(AZ$4="",$C28=""),"",IF(AND($C28&gt;=AZ$4,$C28&lt;EDATE(AZ$4,1)),"◆",""))</f>
        <v/>
      </c>
      <c r="BA28" s="63" t="str">
        <f aca="false">IF(OR(BA$4="",$C28=""),"",IF(AND($C28&gt;=BA$4,$C28&lt;EDATE(BA$4,1)),"◆",""))</f>
        <v/>
      </c>
      <c r="BB28" s="63" t="str">
        <f aca="false">IF(OR(BB$4="",$C28=""),"",IF(AND($C28&gt;=BB$4,$C28&lt;EDATE(BB$4,1)),"◆",""))</f>
        <v/>
      </c>
      <c r="BC28" s="63" t="str">
        <f aca="false">IF(OR(BC$4="",$C28=""),"",IF(AND($C28&gt;=BC$4,$C28&lt;EDATE(BC$4,1)),"◆",""))</f>
        <v/>
      </c>
      <c r="BD28" s="63" t="str">
        <f aca="false">IF(OR(BD$4="",$C28=""),"",IF(AND($C28&gt;=BD$4,$C28&lt;EDATE(BD$4,1)),"◆",""))</f>
        <v/>
      </c>
      <c r="BE28" s="63" t="str">
        <f aca="false">IF(OR(BE$4="",$C28=""),"",IF(AND($C28&gt;=BE$4,$C28&lt;EDATE(BE$4,1)),"◆",""))</f>
        <v/>
      </c>
      <c r="BF28" s="63" t="str">
        <f aca="false">IF(OR(BF$4="",$C28=""),"",IF(AND($C28&gt;=BF$4,$C28&lt;EDATE(BF$4,1)),"◆",""))</f>
        <v/>
      </c>
      <c r="BG28" s="63" t="str">
        <f aca="false">IF(OR(BG$4="",$C28=""),"",IF(AND($C28&gt;=BG$4,$C28&lt;EDATE(BG$4,1)),"◆",""))</f>
        <v/>
      </c>
      <c r="BH28" s="63" t="str">
        <f aca="false">IF(OR(BH$4="",$C28=""),"",IF(AND($C28&gt;=BH$4,$C28&lt;EDATE(BH$4,1)),"◆",""))</f>
        <v/>
      </c>
      <c r="BI28" s="63" t="str">
        <f aca="false">IF(OR(BI$4="",$C28=""),"",IF(AND($C28&gt;=BI$4,$C28&lt;EDATE(BI$4,1)),"◆",""))</f>
        <v/>
      </c>
      <c r="BJ28" s="63" t="str">
        <f aca="false">IF(OR(BJ$4="",$C28=""),"",IF(AND($C28&gt;=BJ$4,$C28&lt;EDATE(BJ$4,1)),"◆",""))</f>
        <v/>
      </c>
      <c r="BK28" s="63" t="str">
        <f aca="false">IF(OR(BK$4="",$C28=""),"",IF(AND($C28&gt;=BK$4,$C28&lt;EDATE(BK$4,1)),"◆",""))</f>
        <v/>
      </c>
      <c r="BL28" s="63" t="str">
        <f aca="false">IF(OR(BL$4="",$C28=""),"",IF(AND($C28&gt;=BL$4,$C28&lt;EDATE(BL$4,1)),"◆",""))</f>
        <v/>
      </c>
      <c r="BM28" s="63" t="str">
        <f aca="false">IF(OR(BM$4="",$C28=""),"",IF(AND($C28&gt;=BM$4,$C28&lt;EDATE(BM$4,1)),"◆",""))</f>
        <v/>
      </c>
      <c r="BN28" s="63" t="str">
        <f aca="false">IF(OR(BN$4="",$C28=""),"",IF(AND($C28&gt;=BN$4,$C28&lt;EDATE(BN$4,1)),"◆",""))</f>
        <v/>
      </c>
      <c r="BO28" s="63" t="str">
        <f aca="false">IF(OR(BO$4="",$C28=""),"",IF(AND($C28&gt;=BO$4,$C28&lt;EDATE(BO$4,1)),"◆",""))</f>
        <v/>
      </c>
      <c r="BP28" s="63" t="str">
        <f aca="false">IF(OR(BP$4="",$C28=""),"",IF(AND($C28&gt;=BP$4,$C28&lt;EDATE(BP$4,1)),"◆",""))</f>
        <v/>
      </c>
      <c r="BQ28" s="63" t="str">
        <f aca="false">IF(OR(BQ$4="",$C28=""),"",IF(AND($C28&gt;=BQ$4,$C28&lt;EDATE(BQ$4,1)),"◆",""))</f>
        <v/>
      </c>
      <c r="BR28" s="63" t="str">
        <f aca="false">IF(OR(BR$4="",$C28=""),"",IF(AND($C28&gt;=BR$4,$C28&lt;EDATE(BR$4,1)),"◆",""))</f>
        <v/>
      </c>
      <c r="BS28" s="63" t="str">
        <f aca="false">IF(OR(BS$4="",$C28=""),"",IF(AND($C28&gt;=BS$4,$C28&lt;EDATE(BS$4,1)),"◆",""))</f>
        <v/>
      </c>
      <c r="BT28" s="63" t="str">
        <f aca="false">IF(OR(BT$4="",$C28=""),"",IF(AND($C28&gt;=BT$4,$C28&lt;EDATE(BT$4,1)),"◆",""))</f>
        <v/>
      </c>
      <c r="BU28" s="63" t="str">
        <f aca="false">IF(OR(BU$4="",$C28=""),"",IF(AND($C28&gt;=BU$4,$C28&lt;EDATE(BU$4,1)),"◆",""))</f>
        <v/>
      </c>
      <c r="BV28" s="63" t="str">
        <f aca="false">IF(OR(BV$4="",$C28=""),"",IF(AND($C28&gt;=BV$4,$C28&lt;EDATE(BV$4,1)),"◆",""))</f>
        <v/>
      </c>
      <c r="BW28" s="63" t="str">
        <f aca="false">IF(OR(BW$4="",$C28=""),"",IF(AND($C28&gt;=BW$4,$C28&lt;EDATE(BW$4,1)),"◆",""))</f>
        <v/>
      </c>
      <c r="BX28" s="63" t="str">
        <f aca="false">IF(OR(BX$4="",$C28=""),"",IF(AND($C28&gt;=BX$4,$C28&lt;EDATE(BX$4,1)),"◆",""))</f>
        <v/>
      </c>
      <c r="BY28" s="63" t="str">
        <f aca="false">IF(OR(BY$4="",$C28=""),"",IF(AND($C28&gt;=BY$4,$C28&lt;EDATE(BY$4,1)),"◆",""))</f>
        <v/>
      </c>
    </row>
    <row r="29" customFormat="false" ht="15" hidden="false" customHeight="false" outlineLevel="0" collapsed="false">
      <c r="A29" s="4"/>
      <c r="B29" s="53" t="str">
        <f aca="false">IF(Milestones!$B28="","",Milestones!$B28)</f>
        <v/>
      </c>
      <c r="C29" s="54" t="str">
        <f aca="false">IF(Milestones!$E28="","",Milestones!$E28)</f>
        <v/>
      </c>
      <c r="D29" s="4"/>
      <c r="E29" s="4"/>
      <c r="F29" s="63" t="str">
        <f aca="false">IF(OR(F$4="",$C29=""),"",IF(AND($C29&gt;=F$4,$C29&lt;EDATE(F$4,1)),"◆",""))</f>
        <v/>
      </c>
      <c r="G29" s="63" t="str">
        <f aca="false">IF(OR(G$4="",$C29=""),"",IF(AND($C29&gt;=G$4,$C29&lt;EDATE(G$4,1)),"◆",""))</f>
        <v/>
      </c>
      <c r="H29" s="63" t="str">
        <f aca="false">IF(OR(H$4="",$C29=""),"",IF(AND($C29&gt;=H$4,$C29&lt;EDATE(H$4,1)),"◆",""))</f>
        <v/>
      </c>
      <c r="I29" s="63" t="str">
        <f aca="false">IF(OR(I$4="",$C29=""),"",IF(AND($C29&gt;=I$4,$C29&lt;EDATE(I$4,1)),"◆",""))</f>
        <v/>
      </c>
      <c r="J29" s="63" t="str">
        <f aca="false">IF(OR(J$4="",$C29=""),"",IF(AND($C29&gt;=J$4,$C29&lt;EDATE(J$4,1)),"◆",""))</f>
        <v/>
      </c>
      <c r="K29" s="63" t="str">
        <f aca="false">IF(OR(K$4="",$C29=""),"",IF(AND($C29&gt;=K$4,$C29&lt;EDATE(K$4,1)),"◆",""))</f>
        <v/>
      </c>
      <c r="L29" s="63" t="str">
        <f aca="false">IF(OR(L$4="",$C29=""),"",IF(AND($C29&gt;=L$4,$C29&lt;EDATE(L$4,1)),"◆",""))</f>
        <v/>
      </c>
      <c r="M29" s="63" t="str">
        <f aca="false">IF(OR(M$4="",$C29=""),"",IF(AND($C29&gt;=M$4,$C29&lt;EDATE(M$4,1)),"◆",""))</f>
        <v/>
      </c>
      <c r="N29" s="63" t="str">
        <f aca="false">IF(OR(N$4="",$C29=""),"",IF(AND($C29&gt;=N$4,$C29&lt;EDATE(N$4,1)),"◆",""))</f>
        <v/>
      </c>
      <c r="O29" s="63" t="str">
        <f aca="false">IF(OR(O$4="",$C29=""),"",IF(AND($C29&gt;=O$4,$C29&lt;EDATE(O$4,1)),"◆",""))</f>
        <v/>
      </c>
      <c r="P29" s="63" t="str">
        <f aca="false">IF(OR(P$4="",$C29=""),"",IF(AND($C29&gt;=P$4,$C29&lt;EDATE(P$4,1)),"◆",""))</f>
        <v/>
      </c>
      <c r="Q29" s="63" t="str">
        <f aca="false">IF(OR(Q$4="",$C29=""),"",IF(AND($C29&gt;=Q$4,$C29&lt;EDATE(Q$4,1)),"◆",""))</f>
        <v/>
      </c>
      <c r="R29" s="63" t="str">
        <f aca="false">IF(OR(R$4="",$C29=""),"",IF(AND($C29&gt;=R$4,$C29&lt;EDATE(R$4,1)),"◆",""))</f>
        <v/>
      </c>
      <c r="S29" s="63" t="str">
        <f aca="false">IF(OR(S$4="",$C29=""),"",IF(AND($C29&gt;=S$4,$C29&lt;EDATE(S$4,1)),"◆",""))</f>
        <v/>
      </c>
      <c r="T29" s="63" t="str">
        <f aca="false">IF(OR(T$4="",$C29=""),"",IF(AND($C29&gt;=T$4,$C29&lt;EDATE(T$4,1)),"◆",""))</f>
        <v/>
      </c>
      <c r="U29" s="63" t="str">
        <f aca="false">IF(OR(U$4="",$C29=""),"",IF(AND($C29&gt;=U$4,$C29&lt;EDATE(U$4,1)),"◆",""))</f>
        <v/>
      </c>
      <c r="V29" s="63" t="str">
        <f aca="false">IF(OR(V$4="",$C29=""),"",IF(AND($C29&gt;=V$4,$C29&lt;EDATE(V$4,1)),"◆",""))</f>
        <v/>
      </c>
      <c r="W29" s="63" t="str">
        <f aca="false">IF(OR(W$4="",$C29=""),"",IF(AND($C29&gt;=W$4,$C29&lt;EDATE(W$4,1)),"◆",""))</f>
        <v/>
      </c>
      <c r="X29" s="63" t="str">
        <f aca="false">IF(OR(X$4="",$C29=""),"",IF(AND($C29&gt;=X$4,$C29&lt;EDATE(X$4,1)),"◆",""))</f>
        <v/>
      </c>
      <c r="Y29" s="63" t="str">
        <f aca="false">IF(OR(Y$4="",$C29=""),"",IF(AND($C29&gt;=Y$4,$C29&lt;EDATE(Y$4,1)),"◆",""))</f>
        <v/>
      </c>
      <c r="Z29" s="63" t="str">
        <f aca="false">IF(OR(Z$4="",$C29=""),"",IF(AND($C29&gt;=Z$4,$C29&lt;EDATE(Z$4,1)),"◆",""))</f>
        <v/>
      </c>
      <c r="AA29" s="63" t="str">
        <f aca="false">IF(OR(AA$4="",$C29=""),"",IF(AND($C29&gt;=AA$4,$C29&lt;EDATE(AA$4,1)),"◆",""))</f>
        <v/>
      </c>
      <c r="AB29" s="63" t="str">
        <f aca="false">IF(OR(AB$4="",$C29=""),"",IF(AND($C29&gt;=AB$4,$C29&lt;EDATE(AB$4,1)),"◆",""))</f>
        <v/>
      </c>
      <c r="AC29" s="63" t="str">
        <f aca="false">IF(OR(AC$4="",$C29=""),"",IF(AND($C29&gt;=AC$4,$C29&lt;EDATE(AC$4,1)),"◆",""))</f>
        <v/>
      </c>
      <c r="AD29" s="63" t="str">
        <f aca="false">IF(OR(AD$4="",$C29=""),"",IF(AND($C29&gt;=AD$4,$C29&lt;EDATE(AD$4,1)),"◆",""))</f>
        <v/>
      </c>
      <c r="AE29" s="63" t="str">
        <f aca="false">IF(OR(AE$4="",$C29=""),"",IF(AND($C29&gt;=AE$4,$C29&lt;EDATE(AE$4,1)),"◆",""))</f>
        <v/>
      </c>
      <c r="AF29" s="63" t="str">
        <f aca="false">IF(OR(AF$4="",$C29=""),"",IF(AND($C29&gt;=AF$4,$C29&lt;EDATE(AF$4,1)),"◆",""))</f>
        <v/>
      </c>
      <c r="AG29" s="63" t="str">
        <f aca="false">IF(OR(AG$4="",$C29=""),"",IF(AND($C29&gt;=AG$4,$C29&lt;EDATE(AG$4,1)),"◆",""))</f>
        <v/>
      </c>
      <c r="AH29" s="63" t="str">
        <f aca="false">IF(OR(AH$4="",$C29=""),"",IF(AND($C29&gt;=AH$4,$C29&lt;EDATE(AH$4,1)),"◆",""))</f>
        <v/>
      </c>
      <c r="AI29" s="63" t="str">
        <f aca="false">IF(OR(AI$4="",$C29=""),"",IF(AND($C29&gt;=AI$4,$C29&lt;EDATE(AI$4,1)),"◆",""))</f>
        <v/>
      </c>
      <c r="AJ29" s="63" t="str">
        <f aca="false">IF(OR(AJ$4="",$C29=""),"",IF(AND($C29&gt;=AJ$4,$C29&lt;EDATE(AJ$4,1)),"◆",""))</f>
        <v/>
      </c>
      <c r="AK29" s="63" t="str">
        <f aca="false">IF(OR(AK$4="",$C29=""),"",IF(AND($C29&gt;=AK$4,$C29&lt;EDATE(AK$4,1)),"◆",""))</f>
        <v/>
      </c>
      <c r="AL29" s="63" t="str">
        <f aca="false">IF(OR(AL$4="",$C29=""),"",IF(AND($C29&gt;=AL$4,$C29&lt;EDATE(AL$4,1)),"◆",""))</f>
        <v/>
      </c>
      <c r="AM29" s="63" t="str">
        <f aca="false">IF(OR(AM$4="",$C29=""),"",IF(AND($C29&gt;=AM$4,$C29&lt;EDATE(AM$4,1)),"◆",""))</f>
        <v/>
      </c>
      <c r="AN29" s="63" t="str">
        <f aca="false">IF(OR(AN$4="",$C29=""),"",IF(AND($C29&gt;=AN$4,$C29&lt;EDATE(AN$4,1)),"◆",""))</f>
        <v/>
      </c>
      <c r="AO29" s="63" t="str">
        <f aca="false">IF(OR(AO$4="",$C29=""),"",IF(AND($C29&gt;=AO$4,$C29&lt;EDATE(AO$4,1)),"◆",""))</f>
        <v/>
      </c>
      <c r="AP29" s="63" t="str">
        <f aca="false">IF(OR(AP$4="",$C29=""),"",IF(AND($C29&gt;=AP$4,$C29&lt;EDATE(AP$4,1)),"◆",""))</f>
        <v/>
      </c>
      <c r="AQ29" s="63" t="str">
        <f aca="false">IF(OR(AQ$4="",$C29=""),"",IF(AND($C29&gt;=AQ$4,$C29&lt;EDATE(AQ$4,1)),"◆",""))</f>
        <v/>
      </c>
      <c r="AR29" s="63" t="str">
        <f aca="false">IF(OR(AR$4="",$C29=""),"",IF(AND($C29&gt;=AR$4,$C29&lt;EDATE(AR$4,1)),"◆",""))</f>
        <v/>
      </c>
      <c r="AS29" s="63" t="str">
        <f aca="false">IF(OR(AS$4="",$C29=""),"",IF(AND($C29&gt;=AS$4,$C29&lt;EDATE(AS$4,1)),"◆",""))</f>
        <v/>
      </c>
      <c r="AT29" s="63" t="str">
        <f aca="false">IF(OR(AT$4="",$C29=""),"",IF(AND($C29&gt;=AT$4,$C29&lt;EDATE(AT$4,1)),"◆",""))</f>
        <v/>
      </c>
      <c r="AU29" s="63" t="str">
        <f aca="false">IF(OR(AU$4="",$C29=""),"",IF(AND($C29&gt;=AU$4,$C29&lt;EDATE(AU$4,1)),"◆",""))</f>
        <v/>
      </c>
      <c r="AV29" s="63" t="str">
        <f aca="false">IF(OR(AV$4="",$C29=""),"",IF(AND($C29&gt;=AV$4,$C29&lt;EDATE(AV$4,1)),"◆",""))</f>
        <v/>
      </c>
      <c r="AW29" s="63" t="str">
        <f aca="false">IF(OR(AW$4="",$C29=""),"",IF(AND($C29&gt;=AW$4,$C29&lt;EDATE(AW$4,1)),"◆",""))</f>
        <v/>
      </c>
      <c r="AX29" s="63" t="str">
        <f aca="false">IF(OR(AX$4="",$C29=""),"",IF(AND($C29&gt;=AX$4,$C29&lt;EDATE(AX$4,1)),"◆",""))</f>
        <v/>
      </c>
      <c r="AY29" s="63" t="str">
        <f aca="false">IF(OR(AY$4="",$C29=""),"",IF(AND($C29&gt;=AY$4,$C29&lt;EDATE(AY$4,1)),"◆",""))</f>
        <v/>
      </c>
      <c r="AZ29" s="63" t="str">
        <f aca="false">IF(OR(AZ$4="",$C29=""),"",IF(AND($C29&gt;=AZ$4,$C29&lt;EDATE(AZ$4,1)),"◆",""))</f>
        <v/>
      </c>
      <c r="BA29" s="63" t="str">
        <f aca="false">IF(OR(BA$4="",$C29=""),"",IF(AND($C29&gt;=BA$4,$C29&lt;EDATE(BA$4,1)),"◆",""))</f>
        <v/>
      </c>
      <c r="BB29" s="63" t="str">
        <f aca="false">IF(OR(BB$4="",$C29=""),"",IF(AND($C29&gt;=BB$4,$C29&lt;EDATE(BB$4,1)),"◆",""))</f>
        <v/>
      </c>
      <c r="BC29" s="63" t="str">
        <f aca="false">IF(OR(BC$4="",$C29=""),"",IF(AND($C29&gt;=BC$4,$C29&lt;EDATE(BC$4,1)),"◆",""))</f>
        <v/>
      </c>
      <c r="BD29" s="63" t="str">
        <f aca="false">IF(OR(BD$4="",$C29=""),"",IF(AND($C29&gt;=BD$4,$C29&lt;EDATE(BD$4,1)),"◆",""))</f>
        <v/>
      </c>
      <c r="BE29" s="63" t="str">
        <f aca="false">IF(OR(BE$4="",$C29=""),"",IF(AND($C29&gt;=BE$4,$C29&lt;EDATE(BE$4,1)),"◆",""))</f>
        <v/>
      </c>
      <c r="BF29" s="63" t="str">
        <f aca="false">IF(OR(BF$4="",$C29=""),"",IF(AND($C29&gt;=BF$4,$C29&lt;EDATE(BF$4,1)),"◆",""))</f>
        <v/>
      </c>
      <c r="BG29" s="63" t="str">
        <f aca="false">IF(OR(BG$4="",$C29=""),"",IF(AND($C29&gt;=BG$4,$C29&lt;EDATE(BG$4,1)),"◆",""))</f>
        <v/>
      </c>
      <c r="BH29" s="63" t="str">
        <f aca="false">IF(OR(BH$4="",$C29=""),"",IF(AND($C29&gt;=BH$4,$C29&lt;EDATE(BH$4,1)),"◆",""))</f>
        <v/>
      </c>
      <c r="BI29" s="63" t="str">
        <f aca="false">IF(OR(BI$4="",$C29=""),"",IF(AND($C29&gt;=BI$4,$C29&lt;EDATE(BI$4,1)),"◆",""))</f>
        <v/>
      </c>
      <c r="BJ29" s="63" t="str">
        <f aca="false">IF(OR(BJ$4="",$C29=""),"",IF(AND($C29&gt;=BJ$4,$C29&lt;EDATE(BJ$4,1)),"◆",""))</f>
        <v/>
      </c>
      <c r="BK29" s="63" t="str">
        <f aca="false">IF(OR(BK$4="",$C29=""),"",IF(AND($C29&gt;=BK$4,$C29&lt;EDATE(BK$4,1)),"◆",""))</f>
        <v/>
      </c>
      <c r="BL29" s="63" t="str">
        <f aca="false">IF(OR(BL$4="",$C29=""),"",IF(AND($C29&gt;=BL$4,$C29&lt;EDATE(BL$4,1)),"◆",""))</f>
        <v/>
      </c>
      <c r="BM29" s="63" t="str">
        <f aca="false">IF(OR(BM$4="",$C29=""),"",IF(AND($C29&gt;=BM$4,$C29&lt;EDATE(BM$4,1)),"◆",""))</f>
        <v/>
      </c>
      <c r="BN29" s="63" t="str">
        <f aca="false">IF(OR(BN$4="",$C29=""),"",IF(AND($C29&gt;=BN$4,$C29&lt;EDATE(BN$4,1)),"◆",""))</f>
        <v/>
      </c>
      <c r="BO29" s="63" t="str">
        <f aca="false">IF(OR(BO$4="",$C29=""),"",IF(AND($C29&gt;=BO$4,$C29&lt;EDATE(BO$4,1)),"◆",""))</f>
        <v/>
      </c>
      <c r="BP29" s="63" t="str">
        <f aca="false">IF(OR(BP$4="",$C29=""),"",IF(AND($C29&gt;=BP$4,$C29&lt;EDATE(BP$4,1)),"◆",""))</f>
        <v/>
      </c>
      <c r="BQ29" s="63" t="str">
        <f aca="false">IF(OR(BQ$4="",$C29=""),"",IF(AND($C29&gt;=BQ$4,$C29&lt;EDATE(BQ$4,1)),"◆",""))</f>
        <v/>
      </c>
      <c r="BR29" s="63" t="str">
        <f aca="false">IF(OR(BR$4="",$C29=""),"",IF(AND($C29&gt;=BR$4,$C29&lt;EDATE(BR$4,1)),"◆",""))</f>
        <v/>
      </c>
      <c r="BS29" s="63" t="str">
        <f aca="false">IF(OR(BS$4="",$C29=""),"",IF(AND($C29&gt;=BS$4,$C29&lt;EDATE(BS$4,1)),"◆",""))</f>
        <v/>
      </c>
      <c r="BT29" s="63" t="str">
        <f aca="false">IF(OR(BT$4="",$C29=""),"",IF(AND($C29&gt;=BT$4,$C29&lt;EDATE(BT$4,1)),"◆",""))</f>
        <v/>
      </c>
      <c r="BU29" s="63" t="str">
        <f aca="false">IF(OR(BU$4="",$C29=""),"",IF(AND($C29&gt;=BU$4,$C29&lt;EDATE(BU$4,1)),"◆",""))</f>
        <v/>
      </c>
      <c r="BV29" s="63" t="str">
        <f aca="false">IF(OR(BV$4="",$C29=""),"",IF(AND($C29&gt;=BV$4,$C29&lt;EDATE(BV$4,1)),"◆",""))</f>
        <v/>
      </c>
      <c r="BW29" s="63" t="str">
        <f aca="false">IF(OR(BW$4="",$C29=""),"",IF(AND($C29&gt;=BW$4,$C29&lt;EDATE(BW$4,1)),"◆",""))</f>
        <v/>
      </c>
      <c r="BX29" s="63" t="str">
        <f aca="false">IF(OR(BX$4="",$C29=""),"",IF(AND($C29&gt;=BX$4,$C29&lt;EDATE(BX$4,1)),"◆",""))</f>
        <v/>
      </c>
      <c r="BY29" s="63" t="str">
        <f aca="false">IF(OR(BY$4="",$C29=""),"",IF(AND($C29&gt;=BY$4,$C29&lt;EDATE(BY$4,1)),"◆",""))</f>
        <v/>
      </c>
    </row>
    <row r="30" customFormat="false" ht="15" hidden="false" customHeight="false" outlineLevel="0" collapsed="false">
      <c r="A30" s="4"/>
      <c r="B30" s="53" t="str">
        <f aca="false">IF(Milestones!$B29="","",Milestones!$B29)</f>
        <v/>
      </c>
      <c r="C30" s="54" t="str">
        <f aca="false">IF(Milestones!$E29="","",Milestones!$E29)</f>
        <v/>
      </c>
      <c r="D30" s="4"/>
      <c r="E30" s="4"/>
      <c r="F30" s="63" t="str">
        <f aca="false">IF(OR(F$4="",$C30=""),"",IF(AND($C30&gt;=F$4,$C30&lt;EDATE(F$4,1)),"◆",""))</f>
        <v/>
      </c>
      <c r="G30" s="63" t="str">
        <f aca="false">IF(OR(G$4="",$C30=""),"",IF(AND($C30&gt;=G$4,$C30&lt;EDATE(G$4,1)),"◆",""))</f>
        <v/>
      </c>
      <c r="H30" s="63" t="str">
        <f aca="false">IF(OR(H$4="",$C30=""),"",IF(AND($C30&gt;=H$4,$C30&lt;EDATE(H$4,1)),"◆",""))</f>
        <v/>
      </c>
      <c r="I30" s="63" t="str">
        <f aca="false">IF(OR(I$4="",$C30=""),"",IF(AND($C30&gt;=I$4,$C30&lt;EDATE(I$4,1)),"◆",""))</f>
        <v/>
      </c>
      <c r="J30" s="63" t="str">
        <f aca="false">IF(OR(J$4="",$C30=""),"",IF(AND($C30&gt;=J$4,$C30&lt;EDATE(J$4,1)),"◆",""))</f>
        <v/>
      </c>
      <c r="K30" s="63" t="str">
        <f aca="false">IF(OR(K$4="",$C30=""),"",IF(AND($C30&gt;=K$4,$C30&lt;EDATE(K$4,1)),"◆",""))</f>
        <v/>
      </c>
      <c r="L30" s="63" t="str">
        <f aca="false">IF(OR(L$4="",$C30=""),"",IF(AND($C30&gt;=L$4,$C30&lt;EDATE(L$4,1)),"◆",""))</f>
        <v/>
      </c>
      <c r="M30" s="63" t="str">
        <f aca="false">IF(OR(M$4="",$C30=""),"",IF(AND($C30&gt;=M$4,$C30&lt;EDATE(M$4,1)),"◆",""))</f>
        <v/>
      </c>
      <c r="N30" s="63" t="str">
        <f aca="false">IF(OR(N$4="",$C30=""),"",IF(AND($C30&gt;=N$4,$C30&lt;EDATE(N$4,1)),"◆",""))</f>
        <v/>
      </c>
      <c r="O30" s="63" t="str">
        <f aca="false">IF(OR(O$4="",$C30=""),"",IF(AND($C30&gt;=O$4,$C30&lt;EDATE(O$4,1)),"◆",""))</f>
        <v/>
      </c>
      <c r="P30" s="63" t="str">
        <f aca="false">IF(OR(P$4="",$C30=""),"",IF(AND($C30&gt;=P$4,$C30&lt;EDATE(P$4,1)),"◆",""))</f>
        <v/>
      </c>
      <c r="Q30" s="63" t="str">
        <f aca="false">IF(OR(Q$4="",$C30=""),"",IF(AND($C30&gt;=Q$4,$C30&lt;EDATE(Q$4,1)),"◆",""))</f>
        <v/>
      </c>
      <c r="R30" s="63" t="str">
        <f aca="false">IF(OR(R$4="",$C30=""),"",IF(AND($C30&gt;=R$4,$C30&lt;EDATE(R$4,1)),"◆",""))</f>
        <v/>
      </c>
      <c r="S30" s="63" t="str">
        <f aca="false">IF(OR(S$4="",$C30=""),"",IF(AND($C30&gt;=S$4,$C30&lt;EDATE(S$4,1)),"◆",""))</f>
        <v/>
      </c>
      <c r="T30" s="63" t="str">
        <f aca="false">IF(OR(T$4="",$C30=""),"",IF(AND($C30&gt;=T$4,$C30&lt;EDATE(T$4,1)),"◆",""))</f>
        <v/>
      </c>
      <c r="U30" s="63" t="str">
        <f aca="false">IF(OR(U$4="",$C30=""),"",IF(AND($C30&gt;=U$4,$C30&lt;EDATE(U$4,1)),"◆",""))</f>
        <v/>
      </c>
      <c r="V30" s="63" t="str">
        <f aca="false">IF(OR(V$4="",$C30=""),"",IF(AND($C30&gt;=V$4,$C30&lt;EDATE(V$4,1)),"◆",""))</f>
        <v/>
      </c>
      <c r="W30" s="63" t="str">
        <f aca="false">IF(OR(W$4="",$C30=""),"",IF(AND($C30&gt;=W$4,$C30&lt;EDATE(W$4,1)),"◆",""))</f>
        <v/>
      </c>
      <c r="X30" s="63" t="str">
        <f aca="false">IF(OR(X$4="",$C30=""),"",IF(AND($C30&gt;=X$4,$C30&lt;EDATE(X$4,1)),"◆",""))</f>
        <v/>
      </c>
      <c r="Y30" s="63" t="str">
        <f aca="false">IF(OR(Y$4="",$C30=""),"",IF(AND($C30&gt;=Y$4,$C30&lt;EDATE(Y$4,1)),"◆",""))</f>
        <v/>
      </c>
      <c r="Z30" s="63" t="str">
        <f aca="false">IF(OR(Z$4="",$C30=""),"",IF(AND($C30&gt;=Z$4,$C30&lt;EDATE(Z$4,1)),"◆",""))</f>
        <v/>
      </c>
      <c r="AA30" s="63" t="str">
        <f aca="false">IF(OR(AA$4="",$C30=""),"",IF(AND($C30&gt;=AA$4,$C30&lt;EDATE(AA$4,1)),"◆",""))</f>
        <v/>
      </c>
      <c r="AB30" s="63" t="str">
        <f aca="false">IF(OR(AB$4="",$C30=""),"",IF(AND($C30&gt;=AB$4,$C30&lt;EDATE(AB$4,1)),"◆",""))</f>
        <v/>
      </c>
      <c r="AC30" s="63" t="str">
        <f aca="false">IF(OR(AC$4="",$C30=""),"",IF(AND($C30&gt;=AC$4,$C30&lt;EDATE(AC$4,1)),"◆",""))</f>
        <v/>
      </c>
      <c r="AD30" s="63" t="str">
        <f aca="false">IF(OR(AD$4="",$C30=""),"",IF(AND($C30&gt;=AD$4,$C30&lt;EDATE(AD$4,1)),"◆",""))</f>
        <v/>
      </c>
      <c r="AE30" s="63" t="str">
        <f aca="false">IF(OR(AE$4="",$C30=""),"",IF(AND($C30&gt;=AE$4,$C30&lt;EDATE(AE$4,1)),"◆",""))</f>
        <v/>
      </c>
      <c r="AF30" s="63" t="str">
        <f aca="false">IF(OR(AF$4="",$C30=""),"",IF(AND($C30&gt;=AF$4,$C30&lt;EDATE(AF$4,1)),"◆",""))</f>
        <v/>
      </c>
      <c r="AG30" s="63" t="str">
        <f aca="false">IF(OR(AG$4="",$C30=""),"",IF(AND($C30&gt;=AG$4,$C30&lt;EDATE(AG$4,1)),"◆",""))</f>
        <v/>
      </c>
      <c r="AH30" s="63" t="str">
        <f aca="false">IF(OR(AH$4="",$C30=""),"",IF(AND($C30&gt;=AH$4,$C30&lt;EDATE(AH$4,1)),"◆",""))</f>
        <v/>
      </c>
      <c r="AI30" s="63" t="str">
        <f aca="false">IF(OR(AI$4="",$C30=""),"",IF(AND($C30&gt;=AI$4,$C30&lt;EDATE(AI$4,1)),"◆",""))</f>
        <v/>
      </c>
      <c r="AJ30" s="63" t="str">
        <f aca="false">IF(OR(AJ$4="",$C30=""),"",IF(AND($C30&gt;=AJ$4,$C30&lt;EDATE(AJ$4,1)),"◆",""))</f>
        <v/>
      </c>
      <c r="AK30" s="63" t="str">
        <f aca="false">IF(OR(AK$4="",$C30=""),"",IF(AND($C30&gt;=AK$4,$C30&lt;EDATE(AK$4,1)),"◆",""))</f>
        <v/>
      </c>
      <c r="AL30" s="63" t="str">
        <f aca="false">IF(OR(AL$4="",$C30=""),"",IF(AND($C30&gt;=AL$4,$C30&lt;EDATE(AL$4,1)),"◆",""))</f>
        <v/>
      </c>
      <c r="AM30" s="63" t="str">
        <f aca="false">IF(OR(AM$4="",$C30=""),"",IF(AND($C30&gt;=AM$4,$C30&lt;EDATE(AM$4,1)),"◆",""))</f>
        <v/>
      </c>
      <c r="AN30" s="63" t="str">
        <f aca="false">IF(OR(AN$4="",$C30=""),"",IF(AND($C30&gt;=AN$4,$C30&lt;EDATE(AN$4,1)),"◆",""))</f>
        <v/>
      </c>
      <c r="AO30" s="63" t="str">
        <f aca="false">IF(OR(AO$4="",$C30=""),"",IF(AND($C30&gt;=AO$4,$C30&lt;EDATE(AO$4,1)),"◆",""))</f>
        <v/>
      </c>
      <c r="AP30" s="63" t="str">
        <f aca="false">IF(OR(AP$4="",$C30=""),"",IF(AND($C30&gt;=AP$4,$C30&lt;EDATE(AP$4,1)),"◆",""))</f>
        <v/>
      </c>
      <c r="AQ30" s="63" t="str">
        <f aca="false">IF(OR(AQ$4="",$C30=""),"",IF(AND($C30&gt;=AQ$4,$C30&lt;EDATE(AQ$4,1)),"◆",""))</f>
        <v/>
      </c>
      <c r="AR30" s="63" t="str">
        <f aca="false">IF(OR(AR$4="",$C30=""),"",IF(AND($C30&gt;=AR$4,$C30&lt;EDATE(AR$4,1)),"◆",""))</f>
        <v/>
      </c>
      <c r="AS30" s="63" t="str">
        <f aca="false">IF(OR(AS$4="",$C30=""),"",IF(AND($C30&gt;=AS$4,$C30&lt;EDATE(AS$4,1)),"◆",""))</f>
        <v/>
      </c>
      <c r="AT30" s="63" t="str">
        <f aca="false">IF(OR(AT$4="",$C30=""),"",IF(AND($C30&gt;=AT$4,$C30&lt;EDATE(AT$4,1)),"◆",""))</f>
        <v/>
      </c>
      <c r="AU30" s="63" t="str">
        <f aca="false">IF(OR(AU$4="",$C30=""),"",IF(AND($C30&gt;=AU$4,$C30&lt;EDATE(AU$4,1)),"◆",""))</f>
        <v/>
      </c>
      <c r="AV30" s="63" t="str">
        <f aca="false">IF(OR(AV$4="",$C30=""),"",IF(AND($C30&gt;=AV$4,$C30&lt;EDATE(AV$4,1)),"◆",""))</f>
        <v/>
      </c>
      <c r="AW30" s="63" t="str">
        <f aca="false">IF(OR(AW$4="",$C30=""),"",IF(AND($C30&gt;=AW$4,$C30&lt;EDATE(AW$4,1)),"◆",""))</f>
        <v/>
      </c>
      <c r="AX30" s="63" t="str">
        <f aca="false">IF(OR(AX$4="",$C30=""),"",IF(AND($C30&gt;=AX$4,$C30&lt;EDATE(AX$4,1)),"◆",""))</f>
        <v/>
      </c>
      <c r="AY30" s="63" t="str">
        <f aca="false">IF(OR(AY$4="",$C30=""),"",IF(AND($C30&gt;=AY$4,$C30&lt;EDATE(AY$4,1)),"◆",""))</f>
        <v/>
      </c>
      <c r="AZ30" s="63" t="str">
        <f aca="false">IF(OR(AZ$4="",$C30=""),"",IF(AND($C30&gt;=AZ$4,$C30&lt;EDATE(AZ$4,1)),"◆",""))</f>
        <v/>
      </c>
      <c r="BA30" s="63" t="str">
        <f aca="false">IF(OR(BA$4="",$C30=""),"",IF(AND($C30&gt;=BA$4,$C30&lt;EDATE(BA$4,1)),"◆",""))</f>
        <v/>
      </c>
      <c r="BB30" s="63" t="str">
        <f aca="false">IF(OR(BB$4="",$C30=""),"",IF(AND($C30&gt;=BB$4,$C30&lt;EDATE(BB$4,1)),"◆",""))</f>
        <v/>
      </c>
      <c r="BC30" s="63" t="str">
        <f aca="false">IF(OR(BC$4="",$C30=""),"",IF(AND($C30&gt;=BC$4,$C30&lt;EDATE(BC$4,1)),"◆",""))</f>
        <v/>
      </c>
      <c r="BD30" s="63" t="str">
        <f aca="false">IF(OR(BD$4="",$C30=""),"",IF(AND($C30&gt;=BD$4,$C30&lt;EDATE(BD$4,1)),"◆",""))</f>
        <v/>
      </c>
      <c r="BE30" s="63" t="str">
        <f aca="false">IF(OR(BE$4="",$C30=""),"",IF(AND($C30&gt;=BE$4,$C30&lt;EDATE(BE$4,1)),"◆",""))</f>
        <v/>
      </c>
      <c r="BF30" s="63" t="str">
        <f aca="false">IF(OR(BF$4="",$C30=""),"",IF(AND($C30&gt;=BF$4,$C30&lt;EDATE(BF$4,1)),"◆",""))</f>
        <v/>
      </c>
      <c r="BG30" s="63" t="str">
        <f aca="false">IF(OR(BG$4="",$C30=""),"",IF(AND($C30&gt;=BG$4,$C30&lt;EDATE(BG$4,1)),"◆",""))</f>
        <v/>
      </c>
      <c r="BH30" s="63" t="str">
        <f aca="false">IF(OR(BH$4="",$C30=""),"",IF(AND($C30&gt;=BH$4,$C30&lt;EDATE(BH$4,1)),"◆",""))</f>
        <v/>
      </c>
      <c r="BI30" s="63" t="str">
        <f aca="false">IF(OR(BI$4="",$C30=""),"",IF(AND($C30&gt;=BI$4,$C30&lt;EDATE(BI$4,1)),"◆",""))</f>
        <v/>
      </c>
      <c r="BJ30" s="63" t="str">
        <f aca="false">IF(OR(BJ$4="",$C30=""),"",IF(AND($C30&gt;=BJ$4,$C30&lt;EDATE(BJ$4,1)),"◆",""))</f>
        <v/>
      </c>
      <c r="BK30" s="63" t="str">
        <f aca="false">IF(OR(BK$4="",$C30=""),"",IF(AND($C30&gt;=BK$4,$C30&lt;EDATE(BK$4,1)),"◆",""))</f>
        <v/>
      </c>
      <c r="BL30" s="63" t="str">
        <f aca="false">IF(OR(BL$4="",$C30=""),"",IF(AND($C30&gt;=BL$4,$C30&lt;EDATE(BL$4,1)),"◆",""))</f>
        <v/>
      </c>
      <c r="BM30" s="63" t="str">
        <f aca="false">IF(OR(BM$4="",$C30=""),"",IF(AND($C30&gt;=BM$4,$C30&lt;EDATE(BM$4,1)),"◆",""))</f>
        <v/>
      </c>
      <c r="BN30" s="63" t="str">
        <f aca="false">IF(OR(BN$4="",$C30=""),"",IF(AND($C30&gt;=BN$4,$C30&lt;EDATE(BN$4,1)),"◆",""))</f>
        <v/>
      </c>
      <c r="BO30" s="63" t="str">
        <f aca="false">IF(OR(BO$4="",$C30=""),"",IF(AND($C30&gt;=BO$4,$C30&lt;EDATE(BO$4,1)),"◆",""))</f>
        <v/>
      </c>
      <c r="BP30" s="63" t="str">
        <f aca="false">IF(OR(BP$4="",$C30=""),"",IF(AND($C30&gt;=BP$4,$C30&lt;EDATE(BP$4,1)),"◆",""))</f>
        <v/>
      </c>
      <c r="BQ30" s="63" t="str">
        <f aca="false">IF(OR(BQ$4="",$C30=""),"",IF(AND($C30&gt;=BQ$4,$C30&lt;EDATE(BQ$4,1)),"◆",""))</f>
        <v/>
      </c>
      <c r="BR30" s="63" t="str">
        <f aca="false">IF(OR(BR$4="",$C30=""),"",IF(AND($C30&gt;=BR$4,$C30&lt;EDATE(BR$4,1)),"◆",""))</f>
        <v/>
      </c>
      <c r="BS30" s="63" t="str">
        <f aca="false">IF(OR(BS$4="",$C30=""),"",IF(AND($C30&gt;=BS$4,$C30&lt;EDATE(BS$4,1)),"◆",""))</f>
        <v/>
      </c>
      <c r="BT30" s="63" t="str">
        <f aca="false">IF(OR(BT$4="",$C30=""),"",IF(AND($C30&gt;=BT$4,$C30&lt;EDATE(BT$4,1)),"◆",""))</f>
        <v/>
      </c>
      <c r="BU30" s="63" t="str">
        <f aca="false">IF(OR(BU$4="",$C30=""),"",IF(AND($C30&gt;=BU$4,$C30&lt;EDATE(BU$4,1)),"◆",""))</f>
        <v/>
      </c>
      <c r="BV30" s="63" t="str">
        <f aca="false">IF(OR(BV$4="",$C30=""),"",IF(AND($C30&gt;=BV$4,$C30&lt;EDATE(BV$4,1)),"◆",""))</f>
        <v/>
      </c>
      <c r="BW30" s="63" t="str">
        <f aca="false">IF(OR(BW$4="",$C30=""),"",IF(AND($C30&gt;=BW$4,$C30&lt;EDATE(BW$4,1)),"◆",""))</f>
        <v/>
      </c>
      <c r="BX30" s="63" t="str">
        <f aca="false">IF(OR(BX$4="",$C30=""),"",IF(AND($C30&gt;=BX$4,$C30&lt;EDATE(BX$4,1)),"◆",""))</f>
        <v/>
      </c>
      <c r="BY30" s="63" t="str">
        <f aca="false">IF(OR(BY$4="",$C30=""),"",IF(AND($C30&gt;=BY$4,$C30&lt;EDATE(BY$4,1)),"◆",""))</f>
        <v/>
      </c>
    </row>
    <row r="31" customFormat="false" ht="15" hidden="false" customHeight="false" outlineLevel="0" collapsed="false">
      <c r="A31" s="4"/>
      <c r="B31" s="53" t="str">
        <f aca="false">IF(Milestones!$B30="","",Milestones!$B30)</f>
        <v/>
      </c>
      <c r="C31" s="54" t="str">
        <f aca="false">IF(Milestones!$E30="","",Milestones!$E30)</f>
        <v/>
      </c>
      <c r="D31" s="4"/>
      <c r="E31" s="4"/>
      <c r="F31" s="63" t="str">
        <f aca="false">IF(OR(F$4="",$C31=""),"",IF(AND($C31&gt;=F$4,$C31&lt;EDATE(F$4,1)),"◆",""))</f>
        <v/>
      </c>
      <c r="G31" s="63" t="str">
        <f aca="false">IF(OR(G$4="",$C31=""),"",IF(AND($C31&gt;=G$4,$C31&lt;EDATE(G$4,1)),"◆",""))</f>
        <v/>
      </c>
      <c r="H31" s="63" t="str">
        <f aca="false">IF(OR(H$4="",$C31=""),"",IF(AND($C31&gt;=H$4,$C31&lt;EDATE(H$4,1)),"◆",""))</f>
        <v/>
      </c>
      <c r="I31" s="63" t="str">
        <f aca="false">IF(OR(I$4="",$C31=""),"",IF(AND($C31&gt;=I$4,$C31&lt;EDATE(I$4,1)),"◆",""))</f>
        <v/>
      </c>
      <c r="J31" s="63" t="str">
        <f aca="false">IF(OR(J$4="",$C31=""),"",IF(AND($C31&gt;=J$4,$C31&lt;EDATE(J$4,1)),"◆",""))</f>
        <v/>
      </c>
      <c r="K31" s="63" t="str">
        <f aca="false">IF(OR(K$4="",$C31=""),"",IF(AND($C31&gt;=K$4,$C31&lt;EDATE(K$4,1)),"◆",""))</f>
        <v/>
      </c>
      <c r="L31" s="63" t="str">
        <f aca="false">IF(OR(L$4="",$C31=""),"",IF(AND($C31&gt;=L$4,$C31&lt;EDATE(L$4,1)),"◆",""))</f>
        <v/>
      </c>
      <c r="M31" s="63" t="str">
        <f aca="false">IF(OR(M$4="",$C31=""),"",IF(AND($C31&gt;=M$4,$C31&lt;EDATE(M$4,1)),"◆",""))</f>
        <v/>
      </c>
      <c r="N31" s="63" t="str">
        <f aca="false">IF(OR(N$4="",$C31=""),"",IF(AND($C31&gt;=N$4,$C31&lt;EDATE(N$4,1)),"◆",""))</f>
        <v/>
      </c>
      <c r="O31" s="63" t="str">
        <f aca="false">IF(OR(O$4="",$C31=""),"",IF(AND($C31&gt;=O$4,$C31&lt;EDATE(O$4,1)),"◆",""))</f>
        <v/>
      </c>
      <c r="P31" s="63" t="str">
        <f aca="false">IF(OR(P$4="",$C31=""),"",IF(AND($C31&gt;=P$4,$C31&lt;EDATE(P$4,1)),"◆",""))</f>
        <v/>
      </c>
      <c r="Q31" s="63" t="str">
        <f aca="false">IF(OR(Q$4="",$C31=""),"",IF(AND($C31&gt;=Q$4,$C31&lt;EDATE(Q$4,1)),"◆",""))</f>
        <v/>
      </c>
      <c r="R31" s="63" t="str">
        <f aca="false">IF(OR(R$4="",$C31=""),"",IF(AND($C31&gt;=R$4,$C31&lt;EDATE(R$4,1)),"◆",""))</f>
        <v/>
      </c>
      <c r="S31" s="63" t="str">
        <f aca="false">IF(OR(S$4="",$C31=""),"",IF(AND($C31&gt;=S$4,$C31&lt;EDATE(S$4,1)),"◆",""))</f>
        <v/>
      </c>
      <c r="T31" s="63" t="str">
        <f aca="false">IF(OR(T$4="",$C31=""),"",IF(AND($C31&gt;=T$4,$C31&lt;EDATE(T$4,1)),"◆",""))</f>
        <v/>
      </c>
      <c r="U31" s="63" t="str">
        <f aca="false">IF(OR(U$4="",$C31=""),"",IF(AND($C31&gt;=U$4,$C31&lt;EDATE(U$4,1)),"◆",""))</f>
        <v/>
      </c>
      <c r="V31" s="63" t="str">
        <f aca="false">IF(OR(V$4="",$C31=""),"",IF(AND($C31&gt;=V$4,$C31&lt;EDATE(V$4,1)),"◆",""))</f>
        <v/>
      </c>
      <c r="W31" s="63" t="str">
        <f aca="false">IF(OR(W$4="",$C31=""),"",IF(AND($C31&gt;=W$4,$C31&lt;EDATE(W$4,1)),"◆",""))</f>
        <v/>
      </c>
      <c r="X31" s="63" t="str">
        <f aca="false">IF(OR(X$4="",$C31=""),"",IF(AND($C31&gt;=X$4,$C31&lt;EDATE(X$4,1)),"◆",""))</f>
        <v/>
      </c>
      <c r="Y31" s="63" t="str">
        <f aca="false">IF(OR(Y$4="",$C31=""),"",IF(AND($C31&gt;=Y$4,$C31&lt;EDATE(Y$4,1)),"◆",""))</f>
        <v/>
      </c>
      <c r="Z31" s="63" t="str">
        <f aca="false">IF(OR(Z$4="",$C31=""),"",IF(AND($C31&gt;=Z$4,$C31&lt;EDATE(Z$4,1)),"◆",""))</f>
        <v/>
      </c>
      <c r="AA31" s="63" t="str">
        <f aca="false">IF(OR(AA$4="",$C31=""),"",IF(AND($C31&gt;=AA$4,$C31&lt;EDATE(AA$4,1)),"◆",""))</f>
        <v/>
      </c>
      <c r="AB31" s="63" t="str">
        <f aca="false">IF(OR(AB$4="",$C31=""),"",IF(AND($C31&gt;=AB$4,$C31&lt;EDATE(AB$4,1)),"◆",""))</f>
        <v/>
      </c>
      <c r="AC31" s="63" t="str">
        <f aca="false">IF(OR(AC$4="",$C31=""),"",IF(AND($C31&gt;=AC$4,$C31&lt;EDATE(AC$4,1)),"◆",""))</f>
        <v/>
      </c>
      <c r="AD31" s="63" t="str">
        <f aca="false">IF(OR(AD$4="",$C31=""),"",IF(AND($C31&gt;=AD$4,$C31&lt;EDATE(AD$4,1)),"◆",""))</f>
        <v/>
      </c>
      <c r="AE31" s="63" t="str">
        <f aca="false">IF(OR(AE$4="",$C31=""),"",IF(AND($C31&gt;=AE$4,$C31&lt;EDATE(AE$4,1)),"◆",""))</f>
        <v/>
      </c>
      <c r="AF31" s="63" t="str">
        <f aca="false">IF(OR(AF$4="",$C31=""),"",IF(AND($C31&gt;=AF$4,$C31&lt;EDATE(AF$4,1)),"◆",""))</f>
        <v/>
      </c>
      <c r="AG31" s="63" t="str">
        <f aca="false">IF(OR(AG$4="",$C31=""),"",IF(AND($C31&gt;=AG$4,$C31&lt;EDATE(AG$4,1)),"◆",""))</f>
        <v/>
      </c>
      <c r="AH31" s="63" t="str">
        <f aca="false">IF(OR(AH$4="",$C31=""),"",IF(AND($C31&gt;=AH$4,$C31&lt;EDATE(AH$4,1)),"◆",""))</f>
        <v/>
      </c>
      <c r="AI31" s="63" t="str">
        <f aca="false">IF(OR(AI$4="",$C31=""),"",IF(AND($C31&gt;=AI$4,$C31&lt;EDATE(AI$4,1)),"◆",""))</f>
        <v/>
      </c>
      <c r="AJ31" s="63" t="str">
        <f aca="false">IF(OR(AJ$4="",$C31=""),"",IF(AND($C31&gt;=AJ$4,$C31&lt;EDATE(AJ$4,1)),"◆",""))</f>
        <v/>
      </c>
      <c r="AK31" s="63" t="str">
        <f aca="false">IF(OR(AK$4="",$C31=""),"",IF(AND($C31&gt;=AK$4,$C31&lt;EDATE(AK$4,1)),"◆",""))</f>
        <v/>
      </c>
      <c r="AL31" s="63" t="str">
        <f aca="false">IF(OR(AL$4="",$C31=""),"",IF(AND($C31&gt;=AL$4,$C31&lt;EDATE(AL$4,1)),"◆",""))</f>
        <v/>
      </c>
      <c r="AM31" s="63" t="str">
        <f aca="false">IF(OR(AM$4="",$C31=""),"",IF(AND($C31&gt;=AM$4,$C31&lt;EDATE(AM$4,1)),"◆",""))</f>
        <v/>
      </c>
      <c r="AN31" s="63" t="str">
        <f aca="false">IF(OR(AN$4="",$C31=""),"",IF(AND($C31&gt;=AN$4,$C31&lt;EDATE(AN$4,1)),"◆",""))</f>
        <v/>
      </c>
      <c r="AO31" s="63" t="str">
        <f aca="false">IF(OR(AO$4="",$C31=""),"",IF(AND($C31&gt;=AO$4,$C31&lt;EDATE(AO$4,1)),"◆",""))</f>
        <v/>
      </c>
      <c r="AP31" s="63" t="str">
        <f aca="false">IF(OR(AP$4="",$C31=""),"",IF(AND($C31&gt;=AP$4,$C31&lt;EDATE(AP$4,1)),"◆",""))</f>
        <v/>
      </c>
      <c r="AQ31" s="63" t="str">
        <f aca="false">IF(OR(AQ$4="",$C31=""),"",IF(AND($C31&gt;=AQ$4,$C31&lt;EDATE(AQ$4,1)),"◆",""))</f>
        <v/>
      </c>
      <c r="AR31" s="63" t="str">
        <f aca="false">IF(OR(AR$4="",$C31=""),"",IF(AND($C31&gt;=AR$4,$C31&lt;EDATE(AR$4,1)),"◆",""))</f>
        <v/>
      </c>
      <c r="AS31" s="63" t="str">
        <f aca="false">IF(OR(AS$4="",$C31=""),"",IF(AND($C31&gt;=AS$4,$C31&lt;EDATE(AS$4,1)),"◆",""))</f>
        <v/>
      </c>
      <c r="AT31" s="63" t="str">
        <f aca="false">IF(OR(AT$4="",$C31=""),"",IF(AND($C31&gt;=AT$4,$C31&lt;EDATE(AT$4,1)),"◆",""))</f>
        <v/>
      </c>
      <c r="AU31" s="63" t="str">
        <f aca="false">IF(OR(AU$4="",$C31=""),"",IF(AND($C31&gt;=AU$4,$C31&lt;EDATE(AU$4,1)),"◆",""))</f>
        <v/>
      </c>
      <c r="AV31" s="63" t="str">
        <f aca="false">IF(OR(AV$4="",$C31=""),"",IF(AND($C31&gt;=AV$4,$C31&lt;EDATE(AV$4,1)),"◆",""))</f>
        <v/>
      </c>
      <c r="AW31" s="63" t="str">
        <f aca="false">IF(OR(AW$4="",$C31=""),"",IF(AND($C31&gt;=AW$4,$C31&lt;EDATE(AW$4,1)),"◆",""))</f>
        <v/>
      </c>
      <c r="AX31" s="63" t="str">
        <f aca="false">IF(OR(AX$4="",$C31=""),"",IF(AND($C31&gt;=AX$4,$C31&lt;EDATE(AX$4,1)),"◆",""))</f>
        <v/>
      </c>
      <c r="AY31" s="63" t="str">
        <f aca="false">IF(OR(AY$4="",$C31=""),"",IF(AND($C31&gt;=AY$4,$C31&lt;EDATE(AY$4,1)),"◆",""))</f>
        <v/>
      </c>
      <c r="AZ31" s="63" t="str">
        <f aca="false">IF(OR(AZ$4="",$C31=""),"",IF(AND($C31&gt;=AZ$4,$C31&lt;EDATE(AZ$4,1)),"◆",""))</f>
        <v/>
      </c>
      <c r="BA31" s="63" t="str">
        <f aca="false">IF(OR(BA$4="",$C31=""),"",IF(AND($C31&gt;=BA$4,$C31&lt;EDATE(BA$4,1)),"◆",""))</f>
        <v/>
      </c>
      <c r="BB31" s="63" t="str">
        <f aca="false">IF(OR(BB$4="",$C31=""),"",IF(AND($C31&gt;=BB$4,$C31&lt;EDATE(BB$4,1)),"◆",""))</f>
        <v/>
      </c>
      <c r="BC31" s="63" t="str">
        <f aca="false">IF(OR(BC$4="",$C31=""),"",IF(AND($C31&gt;=BC$4,$C31&lt;EDATE(BC$4,1)),"◆",""))</f>
        <v/>
      </c>
      <c r="BD31" s="63" t="str">
        <f aca="false">IF(OR(BD$4="",$C31=""),"",IF(AND($C31&gt;=BD$4,$C31&lt;EDATE(BD$4,1)),"◆",""))</f>
        <v/>
      </c>
      <c r="BE31" s="63" t="str">
        <f aca="false">IF(OR(BE$4="",$C31=""),"",IF(AND($C31&gt;=BE$4,$C31&lt;EDATE(BE$4,1)),"◆",""))</f>
        <v/>
      </c>
      <c r="BF31" s="63" t="str">
        <f aca="false">IF(OR(BF$4="",$C31=""),"",IF(AND($C31&gt;=BF$4,$C31&lt;EDATE(BF$4,1)),"◆",""))</f>
        <v/>
      </c>
      <c r="BG31" s="63" t="str">
        <f aca="false">IF(OR(BG$4="",$C31=""),"",IF(AND($C31&gt;=BG$4,$C31&lt;EDATE(BG$4,1)),"◆",""))</f>
        <v/>
      </c>
      <c r="BH31" s="63" t="str">
        <f aca="false">IF(OR(BH$4="",$C31=""),"",IF(AND($C31&gt;=BH$4,$C31&lt;EDATE(BH$4,1)),"◆",""))</f>
        <v/>
      </c>
      <c r="BI31" s="63" t="str">
        <f aca="false">IF(OR(BI$4="",$C31=""),"",IF(AND($C31&gt;=BI$4,$C31&lt;EDATE(BI$4,1)),"◆",""))</f>
        <v/>
      </c>
      <c r="BJ31" s="63" t="str">
        <f aca="false">IF(OR(BJ$4="",$C31=""),"",IF(AND($C31&gt;=BJ$4,$C31&lt;EDATE(BJ$4,1)),"◆",""))</f>
        <v/>
      </c>
      <c r="BK31" s="63" t="str">
        <f aca="false">IF(OR(BK$4="",$C31=""),"",IF(AND($C31&gt;=BK$4,$C31&lt;EDATE(BK$4,1)),"◆",""))</f>
        <v/>
      </c>
      <c r="BL31" s="63" t="str">
        <f aca="false">IF(OR(BL$4="",$C31=""),"",IF(AND($C31&gt;=BL$4,$C31&lt;EDATE(BL$4,1)),"◆",""))</f>
        <v/>
      </c>
      <c r="BM31" s="63" t="str">
        <f aca="false">IF(OR(BM$4="",$C31=""),"",IF(AND($C31&gt;=BM$4,$C31&lt;EDATE(BM$4,1)),"◆",""))</f>
        <v/>
      </c>
      <c r="BN31" s="63" t="str">
        <f aca="false">IF(OR(BN$4="",$C31=""),"",IF(AND($C31&gt;=BN$4,$C31&lt;EDATE(BN$4,1)),"◆",""))</f>
        <v/>
      </c>
      <c r="BO31" s="63" t="str">
        <f aca="false">IF(OR(BO$4="",$C31=""),"",IF(AND($C31&gt;=BO$4,$C31&lt;EDATE(BO$4,1)),"◆",""))</f>
        <v/>
      </c>
      <c r="BP31" s="63" t="str">
        <f aca="false">IF(OR(BP$4="",$C31=""),"",IF(AND($C31&gt;=BP$4,$C31&lt;EDATE(BP$4,1)),"◆",""))</f>
        <v/>
      </c>
      <c r="BQ31" s="63" t="str">
        <f aca="false">IF(OR(BQ$4="",$C31=""),"",IF(AND($C31&gt;=BQ$4,$C31&lt;EDATE(BQ$4,1)),"◆",""))</f>
        <v/>
      </c>
      <c r="BR31" s="63" t="str">
        <f aca="false">IF(OR(BR$4="",$C31=""),"",IF(AND($C31&gt;=BR$4,$C31&lt;EDATE(BR$4,1)),"◆",""))</f>
        <v/>
      </c>
      <c r="BS31" s="63" t="str">
        <f aca="false">IF(OR(BS$4="",$C31=""),"",IF(AND($C31&gt;=BS$4,$C31&lt;EDATE(BS$4,1)),"◆",""))</f>
        <v/>
      </c>
      <c r="BT31" s="63" t="str">
        <f aca="false">IF(OR(BT$4="",$C31=""),"",IF(AND($C31&gt;=BT$4,$C31&lt;EDATE(BT$4,1)),"◆",""))</f>
        <v/>
      </c>
      <c r="BU31" s="63" t="str">
        <f aca="false">IF(OR(BU$4="",$C31=""),"",IF(AND($C31&gt;=BU$4,$C31&lt;EDATE(BU$4,1)),"◆",""))</f>
        <v/>
      </c>
      <c r="BV31" s="63" t="str">
        <f aca="false">IF(OR(BV$4="",$C31=""),"",IF(AND($C31&gt;=BV$4,$C31&lt;EDATE(BV$4,1)),"◆",""))</f>
        <v/>
      </c>
      <c r="BW31" s="63" t="str">
        <f aca="false">IF(OR(BW$4="",$C31=""),"",IF(AND($C31&gt;=BW$4,$C31&lt;EDATE(BW$4,1)),"◆",""))</f>
        <v/>
      </c>
      <c r="BX31" s="63" t="str">
        <f aca="false">IF(OR(BX$4="",$C31=""),"",IF(AND($C31&gt;=BX$4,$C31&lt;EDATE(BX$4,1)),"◆",""))</f>
        <v/>
      </c>
      <c r="BY31" s="63" t="str">
        <f aca="false">IF(OR(BY$4="",$C31=""),"",IF(AND($C31&gt;=BY$4,$C31&lt;EDATE(BY$4,1)),"◆",""))</f>
        <v/>
      </c>
    </row>
    <row r="32" customFormat="false" ht="15" hidden="false" customHeight="false" outlineLevel="0" collapsed="false">
      <c r="A32" s="4"/>
      <c r="B32" s="53" t="str">
        <f aca="false">IF(Milestones!$B31="","",Milestones!$B31)</f>
        <v/>
      </c>
      <c r="C32" s="54" t="str">
        <f aca="false">IF(Milestones!$E31="","",Milestones!$E31)</f>
        <v/>
      </c>
      <c r="D32" s="4"/>
      <c r="E32" s="4"/>
      <c r="F32" s="63" t="str">
        <f aca="false">IF(OR(F$4="",$C32=""),"",IF(AND($C32&gt;=F$4,$C32&lt;EDATE(F$4,1)),"◆",""))</f>
        <v/>
      </c>
      <c r="G32" s="63" t="str">
        <f aca="false">IF(OR(G$4="",$C32=""),"",IF(AND($C32&gt;=G$4,$C32&lt;EDATE(G$4,1)),"◆",""))</f>
        <v/>
      </c>
      <c r="H32" s="63" t="str">
        <f aca="false">IF(OR(H$4="",$C32=""),"",IF(AND($C32&gt;=H$4,$C32&lt;EDATE(H$4,1)),"◆",""))</f>
        <v/>
      </c>
      <c r="I32" s="63" t="str">
        <f aca="false">IF(OR(I$4="",$C32=""),"",IF(AND($C32&gt;=I$4,$C32&lt;EDATE(I$4,1)),"◆",""))</f>
        <v/>
      </c>
      <c r="J32" s="63" t="str">
        <f aca="false">IF(OR(J$4="",$C32=""),"",IF(AND($C32&gt;=J$4,$C32&lt;EDATE(J$4,1)),"◆",""))</f>
        <v/>
      </c>
      <c r="K32" s="63" t="str">
        <f aca="false">IF(OR(K$4="",$C32=""),"",IF(AND($C32&gt;=K$4,$C32&lt;EDATE(K$4,1)),"◆",""))</f>
        <v/>
      </c>
      <c r="L32" s="63" t="str">
        <f aca="false">IF(OR(L$4="",$C32=""),"",IF(AND($C32&gt;=L$4,$C32&lt;EDATE(L$4,1)),"◆",""))</f>
        <v/>
      </c>
      <c r="M32" s="63" t="str">
        <f aca="false">IF(OR(M$4="",$C32=""),"",IF(AND($C32&gt;=M$4,$C32&lt;EDATE(M$4,1)),"◆",""))</f>
        <v/>
      </c>
      <c r="N32" s="63" t="str">
        <f aca="false">IF(OR(N$4="",$C32=""),"",IF(AND($C32&gt;=N$4,$C32&lt;EDATE(N$4,1)),"◆",""))</f>
        <v/>
      </c>
      <c r="O32" s="63" t="str">
        <f aca="false">IF(OR(O$4="",$C32=""),"",IF(AND($C32&gt;=O$4,$C32&lt;EDATE(O$4,1)),"◆",""))</f>
        <v/>
      </c>
      <c r="P32" s="63" t="str">
        <f aca="false">IF(OR(P$4="",$C32=""),"",IF(AND($C32&gt;=P$4,$C32&lt;EDATE(P$4,1)),"◆",""))</f>
        <v/>
      </c>
      <c r="Q32" s="63" t="str">
        <f aca="false">IF(OR(Q$4="",$C32=""),"",IF(AND($C32&gt;=Q$4,$C32&lt;EDATE(Q$4,1)),"◆",""))</f>
        <v/>
      </c>
      <c r="R32" s="63" t="str">
        <f aca="false">IF(OR(R$4="",$C32=""),"",IF(AND($C32&gt;=R$4,$C32&lt;EDATE(R$4,1)),"◆",""))</f>
        <v/>
      </c>
      <c r="S32" s="63" t="str">
        <f aca="false">IF(OR(S$4="",$C32=""),"",IF(AND($C32&gt;=S$4,$C32&lt;EDATE(S$4,1)),"◆",""))</f>
        <v/>
      </c>
      <c r="T32" s="63" t="str">
        <f aca="false">IF(OR(T$4="",$C32=""),"",IF(AND($C32&gt;=T$4,$C32&lt;EDATE(T$4,1)),"◆",""))</f>
        <v/>
      </c>
      <c r="U32" s="63" t="str">
        <f aca="false">IF(OR(U$4="",$C32=""),"",IF(AND($C32&gt;=U$4,$C32&lt;EDATE(U$4,1)),"◆",""))</f>
        <v/>
      </c>
      <c r="V32" s="63" t="str">
        <f aca="false">IF(OR(V$4="",$C32=""),"",IF(AND($C32&gt;=V$4,$C32&lt;EDATE(V$4,1)),"◆",""))</f>
        <v/>
      </c>
      <c r="W32" s="63" t="str">
        <f aca="false">IF(OR(W$4="",$C32=""),"",IF(AND($C32&gt;=W$4,$C32&lt;EDATE(W$4,1)),"◆",""))</f>
        <v/>
      </c>
      <c r="X32" s="63" t="str">
        <f aca="false">IF(OR(X$4="",$C32=""),"",IF(AND($C32&gt;=X$4,$C32&lt;EDATE(X$4,1)),"◆",""))</f>
        <v/>
      </c>
      <c r="Y32" s="63" t="str">
        <f aca="false">IF(OR(Y$4="",$C32=""),"",IF(AND($C32&gt;=Y$4,$C32&lt;EDATE(Y$4,1)),"◆",""))</f>
        <v/>
      </c>
      <c r="Z32" s="63" t="str">
        <f aca="false">IF(OR(Z$4="",$C32=""),"",IF(AND($C32&gt;=Z$4,$C32&lt;EDATE(Z$4,1)),"◆",""))</f>
        <v/>
      </c>
      <c r="AA32" s="63" t="str">
        <f aca="false">IF(OR(AA$4="",$C32=""),"",IF(AND($C32&gt;=AA$4,$C32&lt;EDATE(AA$4,1)),"◆",""))</f>
        <v/>
      </c>
      <c r="AB32" s="63" t="str">
        <f aca="false">IF(OR(AB$4="",$C32=""),"",IF(AND($C32&gt;=AB$4,$C32&lt;EDATE(AB$4,1)),"◆",""))</f>
        <v/>
      </c>
      <c r="AC32" s="63" t="str">
        <f aca="false">IF(OR(AC$4="",$C32=""),"",IF(AND($C32&gt;=AC$4,$C32&lt;EDATE(AC$4,1)),"◆",""))</f>
        <v/>
      </c>
      <c r="AD32" s="63" t="str">
        <f aca="false">IF(OR(AD$4="",$C32=""),"",IF(AND($C32&gt;=AD$4,$C32&lt;EDATE(AD$4,1)),"◆",""))</f>
        <v/>
      </c>
      <c r="AE32" s="63" t="str">
        <f aca="false">IF(OR(AE$4="",$C32=""),"",IF(AND($C32&gt;=AE$4,$C32&lt;EDATE(AE$4,1)),"◆",""))</f>
        <v/>
      </c>
      <c r="AF32" s="63" t="str">
        <f aca="false">IF(OR(AF$4="",$C32=""),"",IF(AND($C32&gt;=AF$4,$C32&lt;EDATE(AF$4,1)),"◆",""))</f>
        <v/>
      </c>
      <c r="AG32" s="63" t="str">
        <f aca="false">IF(OR(AG$4="",$C32=""),"",IF(AND($C32&gt;=AG$4,$C32&lt;EDATE(AG$4,1)),"◆",""))</f>
        <v/>
      </c>
      <c r="AH32" s="63" t="str">
        <f aca="false">IF(OR(AH$4="",$C32=""),"",IF(AND($C32&gt;=AH$4,$C32&lt;EDATE(AH$4,1)),"◆",""))</f>
        <v/>
      </c>
      <c r="AI32" s="63" t="str">
        <f aca="false">IF(OR(AI$4="",$C32=""),"",IF(AND($C32&gt;=AI$4,$C32&lt;EDATE(AI$4,1)),"◆",""))</f>
        <v/>
      </c>
      <c r="AJ32" s="63" t="str">
        <f aca="false">IF(OR(AJ$4="",$C32=""),"",IF(AND($C32&gt;=AJ$4,$C32&lt;EDATE(AJ$4,1)),"◆",""))</f>
        <v/>
      </c>
      <c r="AK32" s="63" t="str">
        <f aca="false">IF(OR(AK$4="",$C32=""),"",IF(AND($C32&gt;=AK$4,$C32&lt;EDATE(AK$4,1)),"◆",""))</f>
        <v/>
      </c>
      <c r="AL32" s="63" t="str">
        <f aca="false">IF(OR(AL$4="",$C32=""),"",IF(AND($C32&gt;=AL$4,$C32&lt;EDATE(AL$4,1)),"◆",""))</f>
        <v/>
      </c>
      <c r="AM32" s="63" t="str">
        <f aca="false">IF(OR(AM$4="",$C32=""),"",IF(AND($C32&gt;=AM$4,$C32&lt;EDATE(AM$4,1)),"◆",""))</f>
        <v/>
      </c>
      <c r="AN32" s="63" t="str">
        <f aca="false">IF(OR(AN$4="",$C32=""),"",IF(AND($C32&gt;=AN$4,$C32&lt;EDATE(AN$4,1)),"◆",""))</f>
        <v/>
      </c>
      <c r="AO32" s="63" t="str">
        <f aca="false">IF(OR(AO$4="",$C32=""),"",IF(AND($C32&gt;=AO$4,$C32&lt;EDATE(AO$4,1)),"◆",""))</f>
        <v/>
      </c>
      <c r="AP32" s="63" t="str">
        <f aca="false">IF(OR(AP$4="",$C32=""),"",IF(AND($C32&gt;=AP$4,$C32&lt;EDATE(AP$4,1)),"◆",""))</f>
        <v/>
      </c>
      <c r="AQ32" s="63" t="str">
        <f aca="false">IF(OR(AQ$4="",$C32=""),"",IF(AND($C32&gt;=AQ$4,$C32&lt;EDATE(AQ$4,1)),"◆",""))</f>
        <v/>
      </c>
      <c r="AR32" s="63" t="str">
        <f aca="false">IF(OR(AR$4="",$C32=""),"",IF(AND($C32&gt;=AR$4,$C32&lt;EDATE(AR$4,1)),"◆",""))</f>
        <v/>
      </c>
      <c r="AS32" s="63" t="str">
        <f aca="false">IF(OR(AS$4="",$C32=""),"",IF(AND($C32&gt;=AS$4,$C32&lt;EDATE(AS$4,1)),"◆",""))</f>
        <v/>
      </c>
      <c r="AT32" s="63" t="str">
        <f aca="false">IF(OR(AT$4="",$C32=""),"",IF(AND($C32&gt;=AT$4,$C32&lt;EDATE(AT$4,1)),"◆",""))</f>
        <v/>
      </c>
      <c r="AU32" s="63" t="str">
        <f aca="false">IF(OR(AU$4="",$C32=""),"",IF(AND($C32&gt;=AU$4,$C32&lt;EDATE(AU$4,1)),"◆",""))</f>
        <v/>
      </c>
      <c r="AV32" s="63" t="str">
        <f aca="false">IF(OR(AV$4="",$C32=""),"",IF(AND($C32&gt;=AV$4,$C32&lt;EDATE(AV$4,1)),"◆",""))</f>
        <v/>
      </c>
      <c r="AW32" s="63" t="str">
        <f aca="false">IF(OR(AW$4="",$C32=""),"",IF(AND($C32&gt;=AW$4,$C32&lt;EDATE(AW$4,1)),"◆",""))</f>
        <v/>
      </c>
      <c r="AX32" s="63" t="str">
        <f aca="false">IF(OR(AX$4="",$C32=""),"",IF(AND($C32&gt;=AX$4,$C32&lt;EDATE(AX$4,1)),"◆",""))</f>
        <v/>
      </c>
      <c r="AY32" s="63" t="str">
        <f aca="false">IF(OR(AY$4="",$C32=""),"",IF(AND($C32&gt;=AY$4,$C32&lt;EDATE(AY$4,1)),"◆",""))</f>
        <v/>
      </c>
      <c r="AZ32" s="63" t="str">
        <f aca="false">IF(OR(AZ$4="",$C32=""),"",IF(AND($C32&gt;=AZ$4,$C32&lt;EDATE(AZ$4,1)),"◆",""))</f>
        <v/>
      </c>
      <c r="BA32" s="63" t="str">
        <f aca="false">IF(OR(BA$4="",$C32=""),"",IF(AND($C32&gt;=BA$4,$C32&lt;EDATE(BA$4,1)),"◆",""))</f>
        <v/>
      </c>
      <c r="BB32" s="63" t="str">
        <f aca="false">IF(OR(BB$4="",$C32=""),"",IF(AND($C32&gt;=BB$4,$C32&lt;EDATE(BB$4,1)),"◆",""))</f>
        <v/>
      </c>
      <c r="BC32" s="63" t="str">
        <f aca="false">IF(OR(BC$4="",$C32=""),"",IF(AND($C32&gt;=BC$4,$C32&lt;EDATE(BC$4,1)),"◆",""))</f>
        <v/>
      </c>
      <c r="BD32" s="63" t="str">
        <f aca="false">IF(OR(BD$4="",$C32=""),"",IF(AND($C32&gt;=BD$4,$C32&lt;EDATE(BD$4,1)),"◆",""))</f>
        <v/>
      </c>
      <c r="BE32" s="63" t="str">
        <f aca="false">IF(OR(BE$4="",$C32=""),"",IF(AND($C32&gt;=BE$4,$C32&lt;EDATE(BE$4,1)),"◆",""))</f>
        <v/>
      </c>
      <c r="BF32" s="63" t="str">
        <f aca="false">IF(OR(BF$4="",$C32=""),"",IF(AND($C32&gt;=BF$4,$C32&lt;EDATE(BF$4,1)),"◆",""))</f>
        <v/>
      </c>
      <c r="BG32" s="63" t="str">
        <f aca="false">IF(OR(BG$4="",$C32=""),"",IF(AND($C32&gt;=BG$4,$C32&lt;EDATE(BG$4,1)),"◆",""))</f>
        <v/>
      </c>
      <c r="BH32" s="63" t="str">
        <f aca="false">IF(OR(BH$4="",$C32=""),"",IF(AND($C32&gt;=BH$4,$C32&lt;EDATE(BH$4,1)),"◆",""))</f>
        <v/>
      </c>
      <c r="BI32" s="63" t="str">
        <f aca="false">IF(OR(BI$4="",$C32=""),"",IF(AND($C32&gt;=BI$4,$C32&lt;EDATE(BI$4,1)),"◆",""))</f>
        <v/>
      </c>
      <c r="BJ32" s="63" t="str">
        <f aca="false">IF(OR(BJ$4="",$C32=""),"",IF(AND($C32&gt;=BJ$4,$C32&lt;EDATE(BJ$4,1)),"◆",""))</f>
        <v/>
      </c>
      <c r="BK32" s="63" t="str">
        <f aca="false">IF(OR(BK$4="",$C32=""),"",IF(AND($C32&gt;=BK$4,$C32&lt;EDATE(BK$4,1)),"◆",""))</f>
        <v/>
      </c>
      <c r="BL32" s="63" t="str">
        <f aca="false">IF(OR(BL$4="",$C32=""),"",IF(AND($C32&gt;=BL$4,$C32&lt;EDATE(BL$4,1)),"◆",""))</f>
        <v/>
      </c>
      <c r="BM32" s="63" t="str">
        <f aca="false">IF(OR(BM$4="",$C32=""),"",IF(AND($C32&gt;=BM$4,$C32&lt;EDATE(BM$4,1)),"◆",""))</f>
        <v/>
      </c>
      <c r="BN32" s="63" t="str">
        <f aca="false">IF(OR(BN$4="",$C32=""),"",IF(AND($C32&gt;=BN$4,$C32&lt;EDATE(BN$4,1)),"◆",""))</f>
        <v/>
      </c>
      <c r="BO32" s="63" t="str">
        <f aca="false">IF(OR(BO$4="",$C32=""),"",IF(AND($C32&gt;=BO$4,$C32&lt;EDATE(BO$4,1)),"◆",""))</f>
        <v/>
      </c>
      <c r="BP32" s="63" t="str">
        <f aca="false">IF(OR(BP$4="",$C32=""),"",IF(AND($C32&gt;=BP$4,$C32&lt;EDATE(BP$4,1)),"◆",""))</f>
        <v/>
      </c>
      <c r="BQ32" s="63" t="str">
        <f aca="false">IF(OR(BQ$4="",$C32=""),"",IF(AND($C32&gt;=BQ$4,$C32&lt;EDATE(BQ$4,1)),"◆",""))</f>
        <v/>
      </c>
      <c r="BR32" s="63" t="str">
        <f aca="false">IF(OR(BR$4="",$C32=""),"",IF(AND($C32&gt;=BR$4,$C32&lt;EDATE(BR$4,1)),"◆",""))</f>
        <v/>
      </c>
      <c r="BS32" s="63" t="str">
        <f aca="false">IF(OR(BS$4="",$C32=""),"",IF(AND($C32&gt;=BS$4,$C32&lt;EDATE(BS$4,1)),"◆",""))</f>
        <v/>
      </c>
      <c r="BT32" s="63" t="str">
        <f aca="false">IF(OR(BT$4="",$C32=""),"",IF(AND($C32&gt;=BT$4,$C32&lt;EDATE(BT$4,1)),"◆",""))</f>
        <v/>
      </c>
      <c r="BU32" s="63" t="str">
        <f aca="false">IF(OR(BU$4="",$C32=""),"",IF(AND($C32&gt;=BU$4,$C32&lt;EDATE(BU$4,1)),"◆",""))</f>
        <v/>
      </c>
      <c r="BV32" s="63" t="str">
        <f aca="false">IF(OR(BV$4="",$C32=""),"",IF(AND($C32&gt;=BV$4,$C32&lt;EDATE(BV$4,1)),"◆",""))</f>
        <v/>
      </c>
      <c r="BW32" s="63" t="str">
        <f aca="false">IF(OR(BW$4="",$C32=""),"",IF(AND($C32&gt;=BW$4,$C32&lt;EDATE(BW$4,1)),"◆",""))</f>
        <v/>
      </c>
      <c r="BX32" s="63" t="str">
        <f aca="false">IF(OR(BX$4="",$C32=""),"",IF(AND($C32&gt;=BX$4,$C32&lt;EDATE(BX$4,1)),"◆",""))</f>
        <v/>
      </c>
      <c r="BY32" s="63" t="str">
        <f aca="false">IF(OR(BY$4="",$C32=""),"",IF(AND($C32&gt;=BY$4,$C32&lt;EDATE(BY$4,1)),"◆",""))</f>
        <v/>
      </c>
    </row>
    <row r="33" customFormat="false" ht="15" hidden="false" customHeight="false" outlineLevel="0" collapsed="false">
      <c r="A33" s="4"/>
      <c r="B33" s="53" t="str">
        <f aca="false">IF(Milestones!$B32="","",Milestones!$B32)</f>
        <v/>
      </c>
      <c r="C33" s="54" t="str">
        <f aca="false">IF(Milestones!$E32="","",Milestones!$E32)</f>
        <v/>
      </c>
      <c r="D33" s="4"/>
      <c r="E33" s="4"/>
      <c r="F33" s="63" t="str">
        <f aca="false">IF(OR(F$4="",$C33=""),"",IF(AND($C33&gt;=F$4,$C33&lt;EDATE(F$4,1)),"◆",""))</f>
        <v/>
      </c>
      <c r="G33" s="63" t="str">
        <f aca="false">IF(OR(G$4="",$C33=""),"",IF(AND($C33&gt;=G$4,$C33&lt;EDATE(G$4,1)),"◆",""))</f>
        <v/>
      </c>
      <c r="H33" s="63" t="str">
        <f aca="false">IF(OR(H$4="",$C33=""),"",IF(AND($C33&gt;=H$4,$C33&lt;EDATE(H$4,1)),"◆",""))</f>
        <v/>
      </c>
      <c r="I33" s="63" t="str">
        <f aca="false">IF(OR(I$4="",$C33=""),"",IF(AND($C33&gt;=I$4,$C33&lt;EDATE(I$4,1)),"◆",""))</f>
        <v/>
      </c>
      <c r="J33" s="63" t="str">
        <f aca="false">IF(OR(J$4="",$C33=""),"",IF(AND($C33&gt;=J$4,$C33&lt;EDATE(J$4,1)),"◆",""))</f>
        <v/>
      </c>
      <c r="K33" s="63" t="str">
        <f aca="false">IF(OR(K$4="",$C33=""),"",IF(AND($C33&gt;=K$4,$C33&lt;EDATE(K$4,1)),"◆",""))</f>
        <v/>
      </c>
      <c r="L33" s="63" t="str">
        <f aca="false">IF(OR(L$4="",$C33=""),"",IF(AND($C33&gt;=L$4,$C33&lt;EDATE(L$4,1)),"◆",""))</f>
        <v/>
      </c>
      <c r="M33" s="63" t="str">
        <f aca="false">IF(OR(M$4="",$C33=""),"",IF(AND($C33&gt;=M$4,$C33&lt;EDATE(M$4,1)),"◆",""))</f>
        <v/>
      </c>
      <c r="N33" s="63" t="str">
        <f aca="false">IF(OR(N$4="",$C33=""),"",IF(AND($C33&gt;=N$4,$C33&lt;EDATE(N$4,1)),"◆",""))</f>
        <v/>
      </c>
      <c r="O33" s="63" t="str">
        <f aca="false">IF(OR(O$4="",$C33=""),"",IF(AND($C33&gt;=O$4,$C33&lt;EDATE(O$4,1)),"◆",""))</f>
        <v/>
      </c>
      <c r="P33" s="63" t="str">
        <f aca="false">IF(OR(P$4="",$C33=""),"",IF(AND($C33&gt;=P$4,$C33&lt;EDATE(P$4,1)),"◆",""))</f>
        <v/>
      </c>
      <c r="Q33" s="63" t="str">
        <f aca="false">IF(OR(Q$4="",$C33=""),"",IF(AND($C33&gt;=Q$4,$C33&lt;EDATE(Q$4,1)),"◆",""))</f>
        <v/>
      </c>
      <c r="R33" s="63" t="str">
        <f aca="false">IF(OR(R$4="",$C33=""),"",IF(AND($C33&gt;=R$4,$C33&lt;EDATE(R$4,1)),"◆",""))</f>
        <v/>
      </c>
      <c r="S33" s="63" t="str">
        <f aca="false">IF(OR(S$4="",$C33=""),"",IF(AND($C33&gt;=S$4,$C33&lt;EDATE(S$4,1)),"◆",""))</f>
        <v/>
      </c>
      <c r="T33" s="63" t="str">
        <f aca="false">IF(OR(T$4="",$C33=""),"",IF(AND($C33&gt;=T$4,$C33&lt;EDATE(T$4,1)),"◆",""))</f>
        <v/>
      </c>
      <c r="U33" s="63" t="str">
        <f aca="false">IF(OR(U$4="",$C33=""),"",IF(AND($C33&gt;=U$4,$C33&lt;EDATE(U$4,1)),"◆",""))</f>
        <v/>
      </c>
      <c r="V33" s="63" t="str">
        <f aca="false">IF(OR(V$4="",$C33=""),"",IF(AND($C33&gt;=V$4,$C33&lt;EDATE(V$4,1)),"◆",""))</f>
        <v/>
      </c>
      <c r="W33" s="63" t="str">
        <f aca="false">IF(OR(W$4="",$C33=""),"",IF(AND($C33&gt;=W$4,$C33&lt;EDATE(W$4,1)),"◆",""))</f>
        <v/>
      </c>
      <c r="X33" s="63" t="str">
        <f aca="false">IF(OR(X$4="",$C33=""),"",IF(AND($C33&gt;=X$4,$C33&lt;EDATE(X$4,1)),"◆",""))</f>
        <v/>
      </c>
      <c r="Y33" s="63" t="str">
        <f aca="false">IF(OR(Y$4="",$C33=""),"",IF(AND($C33&gt;=Y$4,$C33&lt;EDATE(Y$4,1)),"◆",""))</f>
        <v/>
      </c>
      <c r="Z33" s="63" t="str">
        <f aca="false">IF(OR(Z$4="",$C33=""),"",IF(AND($C33&gt;=Z$4,$C33&lt;EDATE(Z$4,1)),"◆",""))</f>
        <v/>
      </c>
      <c r="AA33" s="63" t="str">
        <f aca="false">IF(OR(AA$4="",$C33=""),"",IF(AND($C33&gt;=AA$4,$C33&lt;EDATE(AA$4,1)),"◆",""))</f>
        <v/>
      </c>
      <c r="AB33" s="63" t="str">
        <f aca="false">IF(OR(AB$4="",$C33=""),"",IF(AND($C33&gt;=AB$4,$C33&lt;EDATE(AB$4,1)),"◆",""))</f>
        <v/>
      </c>
      <c r="AC33" s="63" t="str">
        <f aca="false">IF(OR(AC$4="",$C33=""),"",IF(AND($C33&gt;=AC$4,$C33&lt;EDATE(AC$4,1)),"◆",""))</f>
        <v/>
      </c>
      <c r="AD33" s="63" t="str">
        <f aca="false">IF(OR(AD$4="",$C33=""),"",IF(AND($C33&gt;=AD$4,$C33&lt;EDATE(AD$4,1)),"◆",""))</f>
        <v/>
      </c>
      <c r="AE33" s="63" t="str">
        <f aca="false">IF(OR(AE$4="",$C33=""),"",IF(AND($C33&gt;=AE$4,$C33&lt;EDATE(AE$4,1)),"◆",""))</f>
        <v/>
      </c>
      <c r="AF33" s="63" t="str">
        <f aca="false">IF(OR(AF$4="",$C33=""),"",IF(AND($C33&gt;=AF$4,$C33&lt;EDATE(AF$4,1)),"◆",""))</f>
        <v/>
      </c>
      <c r="AG33" s="63" t="str">
        <f aca="false">IF(OR(AG$4="",$C33=""),"",IF(AND($C33&gt;=AG$4,$C33&lt;EDATE(AG$4,1)),"◆",""))</f>
        <v/>
      </c>
      <c r="AH33" s="63" t="str">
        <f aca="false">IF(OR(AH$4="",$C33=""),"",IF(AND($C33&gt;=AH$4,$C33&lt;EDATE(AH$4,1)),"◆",""))</f>
        <v/>
      </c>
      <c r="AI33" s="63" t="str">
        <f aca="false">IF(OR(AI$4="",$C33=""),"",IF(AND($C33&gt;=AI$4,$C33&lt;EDATE(AI$4,1)),"◆",""))</f>
        <v/>
      </c>
      <c r="AJ33" s="63" t="str">
        <f aca="false">IF(OR(AJ$4="",$C33=""),"",IF(AND($C33&gt;=AJ$4,$C33&lt;EDATE(AJ$4,1)),"◆",""))</f>
        <v/>
      </c>
      <c r="AK33" s="63" t="str">
        <f aca="false">IF(OR(AK$4="",$C33=""),"",IF(AND($C33&gt;=AK$4,$C33&lt;EDATE(AK$4,1)),"◆",""))</f>
        <v/>
      </c>
      <c r="AL33" s="63" t="str">
        <f aca="false">IF(OR(AL$4="",$C33=""),"",IF(AND($C33&gt;=AL$4,$C33&lt;EDATE(AL$4,1)),"◆",""))</f>
        <v/>
      </c>
      <c r="AM33" s="63" t="str">
        <f aca="false">IF(OR(AM$4="",$C33=""),"",IF(AND($C33&gt;=AM$4,$C33&lt;EDATE(AM$4,1)),"◆",""))</f>
        <v/>
      </c>
      <c r="AN33" s="63" t="str">
        <f aca="false">IF(OR(AN$4="",$C33=""),"",IF(AND($C33&gt;=AN$4,$C33&lt;EDATE(AN$4,1)),"◆",""))</f>
        <v/>
      </c>
      <c r="AO33" s="63" t="str">
        <f aca="false">IF(OR(AO$4="",$C33=""),"",IF(AND($C33&gt;=AO$4,$C33&lt;EDATE(AO$4,1)),"◆",""))</f>
        <v/>
      </c>
      <c r="AP33" s="63" t="str">
        <f aca="false">IF(OR(AP$4="",$C33=""),"",IF(AND($C33&gt;=AP$4,$C33&lt;EDATE(AP$4,1)),"◆",""))</f>
        <v/>
      </c>
      <c r="AQ33" s="63" t="str">
        <f aca="false">IF(OR(AQ$4="",$C33=""),"",IF(AND($C33&gt;=AQ$4,$C33&lt;EDATE(AQ$4,1)),"◆",""))</f>
        <v/>
      </c>
      <c r="AR33" s="63" t="str">
        <f aca="false">IF(OR(AR$4="",$C33=""),"",IF(AND($C33&gt;=AR$4,$C33&lt;EDATE(AR$4,1)),"◆",""))</f>
        <v/>
      </c>
      <c r="AS33" s="63" t="str">
        <f aca="false">IF(OR(AS$4="",$C33=""),"",IF(AND($C33&gt;=AS$4,$C33&lt;EDATE(AS$4,1)),"◆",""))</f>
        <v/>
      </c>
      <c r="AT33" s="63" t="str">
        <f aca="false">IF(OR(AT$4="",$C33=""),"",IF(AND($C33&gt;=AT$4,$C33&lt;EDATE(AT$4,1)),"◆",""))</f>
        <v/>
      </c>
      <c r="AU33" s="63" t="str">
        <f aca="false">IF(OR(AU$4="",$C33=""),"",IF(AND($C33&gt;=AU$4,$C33&lt;EDATE(AU$4,1)),"◆",""))</f>
        <v/>
      </c>
      <c r="AV33" s="63" t="str">
        <f aca="false">IF(OR(AV$4="",$C33=""),"",IF(AND($C33&gt;=AV$4,$C33&lt;EDATE(AV$4,1)),"◆",""))</f>
        <v/>
      </c>
      <c r="AW33" s="63" t="str">
        <f aca="false">IF(OR(AW$4="",$C33=""),"",IF(AND($C33&gt;=AW$4,$C33&lt;EDATE(AW$4,1)),"◆",""))</f>
        <v/>
      </c>
      <c r="AX33" s="63" t="str">
        <f aca="false">IF(OR(AX$4="",$C33=""),"",IF(AND($C33&gt;=AX$4,$C33&lt;EDATE(AX$4,1)),"◆",""))</f>
        <v/>
      </c>
      <c r="AY33" s="63" t="str">
        <f aca="false">IF(OR(AY$4="",$C33=""),"",IF(AND($C33&gt;=AY$4,$C33&lt;EDATE(AY$4,1)),"◆",""))</f>
        <v/>
      </c>
      <c r="AZ33" s="63" t="str">
        <f aca="false">IF(OR(AZ$4="",$C33=""),"",IF(AND($C33&gt;=AZ$4,$C33&lt;EDATE(AZ$4,1)),"◆",""))</f>
        <v/>
      </c>
      <c r="BA33" s="63" t="str">
        <f aca="false">IF(OR(BA$4="",$C33=""),"",IF(AND($C33&gt;=BA$4,$C33&lt;EDATE(BA$4,1)),"◆",""))</f>
        <v/>
      </c>
      <c r="BB33" s="63" t="str">
        <f aca="false">IF(OR(BB$4="",$C33=""),"",IF(AND($C33&gt;=BB$4,$C33&lt;EDATE(BB$4,1)),"◆",""))</f>
        <v/>
      </c>
      <c r="BC33" s="63" t="str">
        <f aca="false">IF(OR(BC$4="",$C33=""),"",IF(AND($C33&gt;=BC$4,$C33&lt;EDATE(BC$4,1)),"◆",""))</f>
        <v/>
      </c>
      <c r="BD33" s="63" t="str">
        <f aca="false">IF(OR(BD$4="",$C33=""),"",IF(AND($C33&gt;=BD$4,$C33&lt;EDATE(BD$4,1)),"◆",""))</f>
        <v/>
      </c>
      <c r="BE33" s="63" t="str">
        <f aca="false">IF(OR(BE$4="",$C33=""),"",IF(AND($C33&gt;=BE$4,$C33&lt;EDATE(BE$4,1)),"◆",""))</f>
        <v/>
      </c>
      <c r="BF33" s="63" t="str">
        <f aca="false">IF(OR(BF$4="",$C33=""),"",IF(AND($C33&gt;=BF$4,$C33&lt;EDATE(BF$4,1)),"◆",""))</f>
        <v/>
      </c>
      <c r="BG33" s="63" t="str">
        <f aca="false">IF(OR(BG$4="",$C33=""),"",IF(AND($C33&gt;=BG$4,$C33&lt;EDATE(BG$4,1)),"◆",""))</f>
        <v/>
      </c>
      <c r="BH33" s="63" t="str">
        <f aca="false">IF(OR(BH$4="",$C33=""),"",IF(AND($C33&gt;=BH$4,$C33&lt;EDATE(BH$4,1)),"◆",""))</f>
        <v/>
      </c>
      <c r="BI33" s="63" t="str">
        <f aca="false">IF(OR(BI$4="",$C33=""),"",IF(AND($C33&gt;=BI$4,$C33&lt;EDATE(BI$4,1)),"◆",""))</f>
        <v/>
      </c>
      <c r="BJ33" s="63" t="str">
        <f aca="false">IF(OR(BJ$4="",$C33=""),"",IF(AND($C33&gt;=BJ$4,$C33&lt;EDATE(BJ$4,1)),"◆",""))</f>
        <v/>
      </c>
      <c r="BK33" s="63" t="str">
        <f aca="false">IF(OR(BK$4="",$C33=""),"",IF(AND($C33&gt;=BK$4,$C33&lt;EDATE(BK$4,1)),"◆",""))</f>
        <v/>
      </c>
      <c r="BL33" s="63" t="str">
        <f aca="false">IF(OR(BL$4="",$C33=""),"",IF(AND($C33&gt;=BL$4,$C33&lt;EDATE(BL$4,1)),"◆",""))</f>
        <v/>
      </c>
      <c r="BM33" s="63" t="str">
        <f aca="false">IF(OR(BM$4="",$C33=""),"",IF(AND($C33&gt;=BM$4,$C33&lt;EDATE(BM$4,1)),"◆",""))</f>
        <v/>
      </c>
      <c r="BN33" s="63" t="str">
        <f aca="false">IF(OR(BN$4="",$C33=""),"",IF(AND($C33&gt;=BN$4,$C33&lt;EDATE(BN$4,1)),"◆",""))</f>
        <v/>
      </c>
      <c r="BO33" s="63" t="str">
        <f aca="false">IF(OR(BO$4="",$C33=""),"",IF(AND($C33&gt;=BO$4,$C33&lt;EDATE(BO$4,1)),"◆",""))</f>
        <v/>
      </c>
      <c r="BP33" s="63" t="str">
        <f aca="false">IF(OR(BP$4="",$C33=""),"",IF(AND($C33&gt;=BP$4,$C33&lt;EDATE(BP$4,1)),"◆",""))</f>
        <v/>
      </c>
      <c r="BQ33" s="63" t="str">
        <f aca="false">IF(OR(BQ$4="",$C33=""),"",IF(AND($C33&gt;=BQ$4,$C33&lt;EDATE(BQ$4,1)),"◆",""))</f>
        <v/>
      </c>
      <c r="BR33" s="63" t="str">
        <f aca="false">IF(OR(BR$4="",$C33=""),"",IF(AND($C33&gt;=BR$4,$C33&lt;EDATE(BR$4,1)),"◆",""))</f>
        <v/>
      </c>
      <c r="BS33" s="63" t="str">
        <f aca="false">IF(OR(BS$4="",$C33=""),"",IF(AND($C33&gt;=BS$4,$C33&lt;EDATE(BS$4,1)),"◆",""))</f>
        <v/>
      </c>
      <c r="BT33" s="63" t="str">
        <f aca="false">IF(OR(BT$4="",$C33=""),"",IF(AND($C33&gt;=BT$4,$C33&lt;EDATE(BT$4,1)),"◆",""))</f>
        <v/>
      </c>
      <c r="BU33" s="63" t="str">
        <f aca="false">IF(OR(BU$4="",$C33=""),"",IF(AND($C33&gt;=BU$4,$C33&lt;EDATE(BU$4,1)),"◆",""))</f>
        <v/>
      </c>
      <c r="BV33" s="63" t="str">
        <f aca="false">IF(OR(BV$4="",$C33=""),"",IF(AND($C33&gt;=BV$4,$C33&lt;EDATE(BV$4,1)),"◆",""))</f>
        <v/>
      </c>
      <c r="BW33" s="63" t="str">
        <f aca="false">IF(OR(BW$4="",$C33=""),"",IF(AND($C33&gt;=BW$4,$C33&lt;EDATE(BW$4,1)),"◆",""))</f>
        <v/>
      </c>
      <c r="BX33" s="63" t="str">
        <f aca="false">IF(OR(BX$4="",$C33=""),"",IF(AND($C33&gt;=BX$4,$C33&lt;EDATE(BX$4,1)),"◆",""))</f>
        <v/>
      </c>
      <c r="BY33" s="63" t="str">
        <f aca="false">IF(OR(BY$4="",$C33=""),"",IF(AND($C33&gt;=BY$4,$C33&lt;EDATE(BY$4,1)),"◆",""))</f>
        <v/>
      </c>
    </row>
    <row r="34" customFormat="false" ht="15" hidden="false" customHeight="false" outlineLevel="0" collapsed="false">
      <c r="A34" s="4"/>
      <c r="B34" s="53" t="str">
        <f aca="false">IF(Milestones!$B33="","",Milestones!$B33)</f>
        <v/>
      </c>
      <c r="C34" s="54" t="str">
        <f aca="false">IF(Milestones!$E33="","",Milestones!$E33)</f>
        <v/>
      </c>
      <c r="D34" s="4"/>
      <c r="E34" s="4"/>
      <c r="F34" s="63" t="str">
        <f aca="false">IF(OR(F$4="",$C34=""),"",IF(AND($C34&gt;=F$4,$C34&lt;EDATE(F$4,1)),"◆",""))</f>
        <v/>
      </c>
      <c r="G34" s="63" t="str">
        <f aca="false">IF(OR(G$4="",$C34=""),"",IF(AND($C34&gt;=G$4,$C34&lt;EDATE(G$4,1)),"◆",""))</f>
        <v/>
      </c>
      <c r="H34" s="63" t="str">
        <f aca="false">IF(OR(H$4="",$C34=""),"",IF(AND($C34&gt;=H$4,$C34&lt;EDATE(H$4,1)),"◆",""))</f>
        <v/>
      </c>
      <c r="I34" s="63" t="str">
        <f aca="false">IF(OR(I$4="",$C34=""),"",IF(AND($C34&gt;=I$4,$C34&lt;EDATE(I$4,1)),"◆",""))</f>
        <v/>
      </c>
      <c r="J34" s="63" t="str">
        <f aca="false">IF(OR(J$4="",$C34=""),"",IF(AND($C34&gt;=J$4,$C34&lt;EDATE(J$4,1)),"◆",""))</f>
        <v/>
      </c>
      <c r="K34" s="63" t="str">
        <f aca="false">IF(OR(K$4="",$C34=""),"",IF(AND($C34&gt;=K$4,$C34&lt;EDATE(K$4,1)),"◆",""))</f>
        <v/>
      </c>
      <c r="L34" s="63" t="str">
        <f aca="false">IF(OR(L$4="",$C34=""),"",IF(AND($C34&gt;=L$4,$C34&lt;EDATE(L$4,1)),"◆",""))</f>
        <v/>
      </c>
      <c r="M34" s="63" t="str">
        <f aca="false">IF(OR(M$4="",$C34=""),"",IF(AND($C34&gt;=M$4,$C34&lt;EDATE(M$4,1)),"◆",""))</f>
        <v/>
      </c>
      <c r="N34" s="63" t="str">
        <f aca="false">IF(OR(N$4="",$C34=""),"",IF(AND($C34&gt;=N$4,$C34&lt;EDATE(N$4,1)),"◆",""))</f>
        <v/>
      </c>
      <c r="O34" s="63" t="str">
        <f aca="false">IF(OR(O$4="",$C34=""),"",IF(AND($C34&gt;=O$4,$C34&lt;EDATE(O$4,1)),"◆",""))</f>
        <v/>
      </c>
      <c r="P34" s="63" t="str">
        <f aca="false">IF(OR(P$4="",$C34=""),"",IF(AND($C34&gt;=P$4,$C34&lt;EDATE(P$4,1)),"◆",""))</f>
        <v/>
      </c>
      <c r="Q34" s="63" t="str">
        <f aca="false">IF(OR(Q$4="",$C34=""),"",IF(AND($C34&gt;=Q$4,$C34&lt;EDATE(Q$4,1)),"◆",""))</f>
        <v/>
      </c>
      <c r="R34" s="63" t="str">
        <f aca="false">IF(OR(R$4="",$C34=""),"",IF(AND($C34&gt;=R$4,$C34&lt;EDATE(R$4,1)),"◆",""))</f>
        <v/>
      </c>
      <c r="S34" s="63" t="str">
        <f aca="false">IF(OR(S$4="",$C34=""),"",IF(AND($C34&gt;=S$4,$C34&lt;EDATE(S$4,1)),"◆",""))</f>
        <v/>
      </c>
      <c r="T34" s="63" t="str">
        <f aca="false">IF(OR(T$4="",$C34=""),"",IF(AND($C34&gt;=T$4,$C34&lt;EDATE(T$4,1)),"◆",""))</f>
        <v/>
      </c>
      <c r="U34" s="63" t="str">
        <f aca="false">IF(OR(U$4="",$C34=""),"",IF(AND($C34&gt;=U$4,$C34&lt;EDATE(U$4,1)),"◆",""))</f>
        <v/>
      </c>
      <c r="V34" s="63" t="str">
        <f aca="false">IF(OR(V$4="",$C34=""),"",IF(AND($C34&gt;=V$4,$C34&lt;EDATE(V$4,1)),"◆",""))</f>
        <v/>
      </c>
      <c r="W34" s="63" t="str">
        <f aca="false">IF(OR(W$4="",$C34=""),"",IF(AND($C34&gt;=W$4,$C34&lt;EDATE(W$4,1)),"◆",""))</f>
        <v/>
      </c>
      <c r="X34" s="63" t="str">
        <f aca="false">IF(OR(X$4="",$C34=""),"",IF(AND($C34&gt;=X$4,$C34&lt;EDATE(X$4,1)),"◆",""))</f>
        <v/>
      </c>
      <c r="Y34" s="63" t="str">
        <f aca="false">IF(OR(Y$4="",$C34=""),"",IF(AND($C34&gt;=Y$4,$C34&lt;EDATE(Y$4,1)),"◆",""))</f>
        <v/>
      </c>
      <c r="Z34" s="63" t="str">
        <f aca="false">IF(OR(Z$4="",$C34=""),"",IF(AND($C34&gt;=Z$4,$C34&lt;EDATE(Z$4,1)),"◆",""))</f>
        <v/>
      </c>
      <c r="AA34" s="63" t="str">
        <f aca="false">IF(OR(AA$4="",$C34=""),"",IF(AND($C34&gt;=AA$4,$C34&lt;EDATE(AA$4,1)),"◆",""))</f>
        <v/>
      </c>
      <c r="AB34" s="63" t="str">
        <f aca="false">IF(OR(AB$4="",$C34=""),"",IF(AND($C34&gt;=AB$4,$C34&lt;EDATE(AB$4,1)),"◆",""))</f>
        <v/>
      </c>
      <c r="AC34" s="63" t="str">
        <f aca="false">IF(OR(AC$4="",$C34=""),"",IF(AND($C34&gt;=AC$4,$C34&lt;EDATE(AC$4,1)),"◆",""))</f>
        <v/>
      </c>
      <c r="AD34" s="63" t="str">
        <f aca="false">IF(OR(AD$4="",$C34=""),"",IF(AND($C34&gt;=AD$4,$C34&lt;EDATE(AD$4,1)),"◆",""))</f>
        <v/>
      </c>
      <c r="AE34" s="63" t="str">
        <f aca="false">IF(OR(AE$4="",$C34=""),"",IF(AND($C34&gt;=AE$4,$C34&lt;EDATE(AE$4,1)),"◆",""))</f>
        <v/>
      </c>
      <c r="AF34" s="63" t="str">
        <f aca="false">IF(OR(AF$4="",$C34=""),"",IF(AND($C34&gt;=AF$4,$C34&lt;EDATE(AF$4,1)),"◆",""))</f>
        <v/>
      </c>
      <c r="AG34" s="63" t="str">
        <f aca="false">IF(OR(AG$4="",$C34=""),"",IF(AND($C34&gt;=AG$4,$C34&lt;EDATE(AG$4,1)),"◆",""))</f>
        <v/>
      </c>
      <c r="AH34" s="63" t="str">
        <f aca="false">IF(OR(AH$4="",$C34=""),"",IF(AND($C34&gt;=AH$4,$C34&lt;EDATE(AH$4,1)),"◆",""))</f>
        <v/>
      </c>
      <c r="AI34" s="63" t="str">
        <f aca="false">IF(OR(AI$4="",$C34=""),"",IF(AND($C34&gt;=AI$4,$C34&lt;EDATE(AI$4,1)),"◆",""))</f>
        <v/>
      </c>
      <c r="AJ34" s="63" t="str">
        <f aca="false">IF(OR(AJ$4="",$C34=""),"",IF(AND($C34&gt;=AJ$4,$C34&lt;EDATE(AJ$4,1)),"◆",""))</f>
        <v/>
      </c>
      <c r="AK34" s="63" t="str">
        <f aca="false">IF(OR(AK$4="",$C34=""),"",IF(AND($C34&gt;=AK$4,$C34&lt;EDATE(AK$4,1)),"◆",""))</f>
        <v/>
      </c>
      <c r="AL34" s="63" t="str">
        <f aca="false">IF(OR(AL$4="",$C34=""),"",IF(AND($C34&gt;=AL$4,$C34&lt;EDATE(AL$4,1)),"◆",""))</f>
        <v/>
      </c>
      <c r="AM34" s="63" t="str">
        <f aca="false">IF(OR(AM$4="",$C34=""),"",IF(AND($C34&gt;=AM$4,$C34&lt;EDATE(AM$4,1)),"◆",""))</f>
        <v/>
      </c>
      <c r="AN34" s="63" t="str">
        <f aca="false">IF(OR(AN$4="",$C34=""),"",IF(AND($C34&gt;=AN$4,$C34&lt;EDATE(AN$4,1)),"◆",""))</f>
        <v/>
      </c>
      <c r="AO34" s="63" t="str">
        <f aca="false">IF(OR(AO$4="",$C34=""),"",IF(AND($C34&gt;=AO$4,$C34&lt;EDATE(AO$4,1)),"◆",""))</f>
        <v/>
      </c>
      <c r="AP34" s="63" t="str">
        <f aca="false">IF(OR(AP$4="",$C34=""),"",IF(AND($C34&gt;=AP$4,$C34&lt;EDATE(AP$4,1)),"◆",""))</f>
        <v/>
      </c>
      <c r="AQ34" s="63" t="str">
        <f aca="false">IF(OR(AQ$4="",$C34=""),"",IF(AND($C34&gt;=AQ$4,$C34&lt;EDATE(AQ$4,1)),"◆",""))</f>
        <v/>
      </c>
      <c r="AR34" s="63" t="str">
        <f aca="false">IF(OR(AR$4="",$C34=""),"",IF(AND($C34&gt;=AR$4,$C34&lt;EDATE(AR$4,1)),"◆",""))</f>
        <v/>
      </c>
      <c r="AS34" s="63" t="str">
        <f aca="false">IF(OR(AS$4="",$C34=""),"",IF(AND($C34&gt;=AS$4,$C34&lt;EDATE(AS$4,1)),"◆",""))</f>
        <v/>
      </c>
      <c r="AT34" s="63" t="str">
        <f aca="false">IF(OR(AT$4="",$C34=""),"",IF(AND($C34&gt;=AT$4,$C34&lt;EDATE(AT$4,1)),"◆",""))</f>
        <v/>
      </c>
      <c r="AU34" s="63" t="str">
        <f aca="false">IF(OR(AU$4="",$C34=""),"",IF(AND($C34&gt;=AU$4,$C34&lt;EDATE(AU$4,1)),"◆",""))</f>
        <v/>
      </c>
      <c r="AV34" s="63" t="str">
        <f aca="false">IF(OR(AV$4="",$C34=""),"",IF(AND($C34&gt;=AV$4,$C34&lt;EDATE(AV$4,1)),"◆",""))</f>
        <v/>
      </c>
      <c r="AW34" s="63" t="str">
        <f aca="false">IF(OR(AW$4="",$C34=""),"",IF(AND($C34&gt;=AW$4,$C34&lt;EDATE(AW$4,1)),"◆",""))</f>
        <v/>
      </c>
      <c r="AX34" s="63" t="str">
        <f aca="false">IF(OR(AX$4="",$C34=""),"",IF(AND($C34&gt;=AX$4,$C34&lt;EDATE(AX$4,1)),"◆",""))</f>
        <v/>
      </c>
      <c r="AY34" s="63" t="str">
        <f aca="false">IF(OR(AY$4="",$C34=""),"",IF(AND($C34&gt;=AY$4,$C34&lt;EDATE(AY$4,1)),"◆",""))</f>
        <v/>
      </c>
      <c r="AZ34" s="63" t="str">
        <f aca="false">IF(OR(AZ$4="",$C34=""),"",IF(AND($C34&gt;=AZ$4,$C34&lt;EDATE(AZ$4,1)),"◆",""))</f>
        <v/>
      </c>
      <c r="BA34" s="63" t="str">
        <f aca="false">IF(OR(BA$4="",$C34=""),"",IF(AND($C34&gt;=BA$4,$C34&lt;EDATE(BA$4,1)),"◆",""))</f>
        <v/>
      </c>
      <c r="BB34" s="63" t="str">
        <f aca="false">IF(OR(BB$4="",$C34=""),"",IF(AND($C34&gt;=BB$4,$C34&lt;EDATE(BB$4,1)),"◆",""))</f>
        <v/>
      </c>
      <c r="BC34" s="63" t="str">
        <f aca="false">IF(OR(BC$4="",$C34=""),"",IF(AND($C34&gt;=BC$4,$C34&lt;EDATE(BC$4,1)),"◆",""))</f>
        <v/>
      </c>
      <c r="BD34" s="63" t="str">
        <f aca="false">IF(OR(BD$4="",$C34=""),"",IF(AND($C34&gt;=BD$4,$C34&lt;EDATE(BD$4,1)),"◆",""))</f>
        <v/>
      </c>
      <c r="BE34" s="63" t="str">
        <f aca="false">IF(OR(BE$4="",$C34=""),"",IF(AND($C34&gt;=BE$4,$C34&lt;EDATE(BE$4,1)),"◆",""))</f>
        <v/>
      </c>
      <c r="BF34" s="63" t="str">
        <f aca="false">IF(OR(BF$4="",$C34=""),"",IF(AND($C34&gt;=BF$4,$C34&lt;EDATE(BF$4,1)),"◆",""))</f>
        <v/>
      </c>
      <c r="BG34" s="63" t="str">
        <f aca="false">IF(OR(BG$4="",$C34=""),"",IF(AND($C34&gt;=BG$4,$C34&lt;EDATE(BG$4,1)),"◆",""))</f>
        <v/>
      </c>
      <c r="BH34" s="63" t="str">
        <f aca="false">IF(OR(BH$4="",$C34=""),"",IF(AND($C34&gt;=BH$4,$C34&lt;EDATE(BH$4,1)),"◆",""))</f>
        <v/>
      </c>
      <c r="BI34" s="63" t="str">
        <f aca="false">IF(OR(BI$4="",$C34=""),"",IF(AND($C34&gt;=BI$4,$C34&lt;EDATE(BI$4,1)),"◆",""))</f>
        <v/>
      </c>
      <c r="BJ34" s="63" t="str">
        <f aca="false">IF(OR(BJ$4="",$C34=""),"",IF(AND($C34&gt;=BJ$4,$C34&lt;EDATE(BJ$4,1)),"◆",""))</f>
        <v/>
      </c>
      <c r="BK34" s="63" t="str">
        <f aca="false">IF(OR(BK$4="",$C34=""),"",IF(AND($C34&gt;=BK$4,$C34&lt;EDATE(BK$4,1)),"◆",""))</f>
        <v/>
      </c>
      <c r="BL34" s="63" t="str">
        <f aca="false">IF(OR(BL$4="",$C34=""),"",IF(AND($C34&gt;=BL$4,$C34&lt;EDATE(BL$4,1)),"◆",""))</f>
        <v/>
      </c>
      <c r="BM34" s="63" t="str">
        <f aca="false">IF(OR(BM$4="",$C34=""),"",IF(AND($C34&gt;=BM$4,$C34&lt;EDATE(BM$4,1)),"◆",""))</f>
        <v/>
      </c>
      <c r="BN34" s="63" t="str">
        <f aca="false">IF(OR(BN$4="",$C34=""),"",IF(AND($C34&gt;=BN$4,$C34&lt;EDATE(BN$4,1)),"◆",""))</f>
        <v/>
      </c>
      <c r="BO34" s="63" t="str">
        <f aca="false">IF(OR(BO$4="",$C34=""),"",IF(AND($C34&gt;=BO$4,$C34&lt;EDATE(BO$4,1)),"◆",""))</f>
        <v/>
      </c>
      <c r="BP34" s="63" t="str">
        <f aca="false">IF(OR(BP$4="",$C34=""),"",IF(AND($C34&gt;=BP$4,$C34&lt;EDATE(BP$4,1)),"◆",""))</f>
        <v/>
      </c>
      <c r="BQ34" s="63" t="str">
        <f aca="false">IF(OR(BQ$4="",$C34=""),"",IF(AND($C34&gt;=BQ$4,$C34&lt;EDATE(BQ$4,1)),"◆",""))</f>
        <v/>
      </c>
      <c r="BR34" s="63" t="str">
        <f aca="false">IF(OR(BR$4="",$C34=""),"",IF(AND($C34&gt;=BR$4,$C34&lt;EDATE(BR$4,1)),"◆",""))</f>
        <v/>
      </c>
      <c r="BS34" s="63" t="str">
        <f aca="false">IF(OR(BS$4="",$C34=""),"",IF(AND($C34&gt;=BS$4,$C34&lt;EDATE(BS$4,1)),"◆",""))</f>
        <v/>
      </c>
      <c r="BT34" s="63" t="str">
        <f aca="false">IF(OR(BT$4="",$C34=""),"",IF(AND($C34&gt;=BT$4,$C34&lt;EDATE(BT$4,1)),"◆",""))</f>
        <v/>
      </c>
      <c r="BU34" s="63" t="str">
        <f aca="false">IF(OR(BU$4="",$C34=""),"",IF(AND($C34&gt;=BU$4,$C34&lt;EDATE(BU$4,1)),"◆",""))</f>
        <v/>
      </c>
      <c r="BV34" s="63" t="str">
        <f aca="false">IF(OR(BV$4="",$C34=""),"",IF(AND($C34&gt;=BV$4,$C34&lt;EDATE(BV$4,1)),"◆",""))</f>
        <v/>
      </c>
      <c r="BW34" s="63" t="str">
        <f aca="false">IF(OR(BW$4="",$C34=""),"",IF(AND($C34&gt;=BW$4,$C34&lt;EDATE(BW$4,1)),"◆",""))</f>
        <v/>
      </c>
      <c r="BX34" s="63" t="str">
        <f aca="false">IF(OR(BX$4="",$C34=""),"",IF(AND($C34&gt;=BX$4,$C34&lt;EDATE(BX$4,1)),"◆",""))</f>
        <v/>
      </c>
      <c r="BY34" s="63" t="str">
        <f aca="false">IF(OR(BY$4="",$C34=""),"",IF(AND($C34&gt;=BY$4,$C34&lt;EDATE(BY$4,1)),"◆",""))</f>
        <v/>
      </c>
    </row>
    <row r="35" customFormat="false" ht="15" hidden="false" customHeight="false" outlineLevel="0" collapsed="false">
      <c r="A35" s="4"/>
      <c r="B35" s="53" t="str">
        <f aca="false">IF(Milestones!$B34="","",Milestones!$B34)</f>
        <v/>
      </c>
      <c r="C35" s="54" t="str">
        <f aca="false">IF(Milestones!$E34="","",Milestones!$E34)</f>
        <v/>
      </c>
      <c r="D35" s="4"/>
      <c r="E35" s="4"/>
      <c r="F35" s="63" t="str">
        <f aca="false">IF(OR(F$4="",$C35=""),"",IF(AND($C35&gt;=F$4,$C35&lt;EDATE(F$4,1)),"◆",""))</f>
        <v/>
      </c>
      <c r="G35" s="63" t="str">
        <f aca="false">IF(OR(G$4="",$C35=""),"",IF(AND($C35&gt;=G$4,$C35&lt;EDATE(G$4,1)),"◆",""))</f>
        <v/>
      </c>
      <c r="H35" s="63" t="str">
        <f aca="false">IF(OR(H$4="",$C35=""),"",IF(AND($C35&gt;=H$4,$C35&lt;EDATE(H$4,1)),"◆",""))</f>
        <v/>
      </c>
      <c r="I35" s="63" t="str">
        <f aca="false">IF(OR(I$4="",$C35=""),"",IF(AND($C35&gt;=I$4,$C35&lt;EDATE(I$4,1)),"◆",""))</f>
        <v/>
      </c>
      <c r="J35" s="63" t="str">
        <f aca="false">IF(OR(J$4="",$C35=""),"",IF(AND($C35&gt;=J$4,$C35&lt;EDATE(J$4,1)),"◆",""))</f>
        <v/>
      </c>
      <c r="K35" s="63" t="str">
        <f aca="false">IF(OR(K$4="",$C35=""),"",IF(AND($C35&gt;=K$4,$C35&lt;EDATE(K$4,1)),"◆",""))</f>
        <v/>
      </c>
      <c r="L35" s="63" t="str">
        <f aca="false">IF(OR(L$4="",$C35=""),"",IF(AND($C35&gt;=L$4,$C35&lt;EDATE(L$4,1)),"◆",""))</f>
        <v/>
      </c>
      <c r="M35" s="63" t="str">
        <f aca="false">IF(OR(M$4="",$C35=""),"",IF(AND($C35&gt;=M$4,$C35&lt;EDATE(M$4,1)),"◆",""))</f>
        <v/>
      </c>
      <c r="N35" s="63" t="str">
        <f aca="false">IF(OR(N$4="",$C35=""),"",IF(AND($C35&gt;=N$4,$C35&lt;EDATE(N$4,1)),"◆",""))</f>
        <v/>
      </c>
      <c r="O35" s="63" t="str">
        <f aca="false">IF(OR(O$4="",$C35=""),"",IF(AND($C35&gt;=O$4,$C35&lt;EDATE(O$4,1)),"◆",""))</f>
        <v/>
      </c>
      <c r="P35" s="63" t="str">
        <f aca="false">IF(OR(P$4="",$C35=""),"",IF(AND($C35&gt;=P$4,$C35&lt;EDATE(P$4,1)),"◆",""))</f>
        <v/>
      </c>
      <c r="Q35" s="63" t="str">
        <f aca="false">IF(OR(Q$4="",$C35=""),"",IF(AND($C35&gt;=Q$4,$C35&lt;EDATE(Q$4,1)),"◆",""))</f>
        <v/>
      </c>
      <c r="R35" s="63" t="str">
        <f aca="false">IF(OR(R$4="",$C35=""),"",IF(AND($C35&gt;=R$4,$C35&lt;EDATE(R$4,1)),"◆",""))</f>
        <v/>
      </c>
      <c r="S35" s="63" t="str">
        <f aca="false">IF(OR(S$4="",$C35=""),"",IF(AND($C35&gt;=S$4,$C35&lt;EDATE(S$4,1)),"◆",""))</f>
        <v/>
      </c>
      <c r="T35" s="63" t="str">
        <f aca="false">IF(OR(T$4="",$C35=""),"",IF(AND($C35&gt;=T$4,$C35&lt;EDATE(T$4,1)),"◆",""))</f>
        <v/>
      </c>
      <c r="U35" s="63" t="str">
        <f aca="false">IF(OR(U$4="",$C35=""),"",IF(AND($C35&gt;=U$4,$C35&lt;EDATE(U$4,1)),"◆",""))</f>
        <v/>
      </c>
      <c r="V35" s="63" t="str">
        <f aca="false">IF(OR(V$4="",$C35=""),"",IF(AND($C35&gt;=V$4,$C35&lt;EDATE(V$4,1)),"◆",""))</f>
        <v/>
      </c>
      <c r="W35" s="63" t="str">
        <f aca="false">IF(OR(W$4="",$C35=""),"",IF(AND($C35&gt;=W$4,$C35&lt;EDATE(W$4,1)),"◆",""))</f>
        <v/>
      </c>
      <c r="X35" s="63" t="str">
        <f aca="false">IF(OR(X$4="",$C35=""),"",IF(AND($C35&gt;=X$4,$C35&lt;EDATE(X$4,1)),"◆",""))</f>
        <v/>
      </c>
      <c r="Y35" s="63" t="str">
        <f aca="false">IF(OR(Y$4="",$C35=""),"",IF(AND($C35&gt;=Y$4,$C35&lt;EDATE(Y$4,1)),"◆",""))</f>
        <v/>
      </c>
      <c r="Z35" s="63" t="str">
        <f aca="false">IF(OR(Z$4="",$C35=""),"",IF(AND($C35&gt;=Z$4,$C35&lt;EDATE(Z$4,1)),"◆",""))</f>
        <v/>
      </c>
      <c r="AA35" s="63" t="str">
        <f aca="false">IF(OR(AA$4="",$C35=""),"",IF(AND($C35&gt;=AA$4,$C35&lt;EDATE(AA$4,1)),"◆",""))</f>
        <v/>
      </c>
      <c r="AB35" s="63" t="str">
        <f aca="false">IF(OR(AB$4="",$C35=""),"",IF(AND($C35&gt;=AB$4,$C35&lt;EDATE(AB$4,1)),"◆",""))</f>
        <v/>
      </c>
      <c r="AC35" s="63" t="str">
        <f aca="false">IF(OR(AC$4="",$C35=""),"",IF(AND($C35&gt;=AC$4,$C35&lt;EDATE(AC$4,1)),"◆",""))</f>
        <v/>
      </c>
      <c r="AD35" s="63" t="str">
        <f aca="false">IF(OR(AD$4="",$C35=""),"",IF(AND($C35&gt;=AD$4,$C35&lt;EDATE(AD$4,1)),"◆",""))</f>
        <v/>
      </c>
      <c r="AE35" s="63" t="str">
        <f aca="false">IF(OR(AE$4="",$C35=""),"",IF(AND($C35&gt;=AE$4,$C35&lt;EDATE(AE$4,1)),"◆",""))</f>
        <v/>
      </c>
      <c r="AF35" s="63" t="str">
        <f aca="false">IF(OR(AF$4="",$C35=""),"",IF(AND($C35&gt;=AF$4,$C35&lt;EDATE(AF$4,1)),"◆",""))</f>
        <v/>
      </c>
      <c r="AG35" s="63" t="str">
        <f aca="false">IF(OR(AG$4="",$C35=""),"",IF(AND($C35&gt;=AG$4,$C35&lt;EDATE(AG$4,1)),"◆",""))</f>
        <v/>
      </c>
      <c r="AH35" s="63" t="str">
        <f aca="false">IF(OR(AH$4="",$C35=""),"",IF(AND($C35&gt;=AH$4,$C35&lt;EDATE(AH$4,1)),"◆",""))</f>
        <v/>
      </c>
      <c r="AI35" s="63" t="str">
        <f aca="false">IF(OR(AI$4="",$C35=""),"",IF(AND($C35&gt;=AI$4,$C35&lt;EDATE(AI$4,1)),"◆",""))</f>
        <v/>
      </c>
      <c r="AJ35" s="63" t="str">
        <f aca="false">IF(OR(AJ$4="",$C35=""),"",IF(AND($C35&gt;=AJ$4,$C35&lt;EDATE(AJ$4,1)),"◆",""))</f>
        <v/>
      </c>
      <c r="AK35" s="63" t="str">
        <f aca="false">IF(OR(AK$4="",$C35=""),"",IF(AND($C35&gt;=AK$4,$C35&lt;EDATE(AK$4,1)),"◆",""))</f>
        <v/>
      </c>
      <c r="AL35" s="63" t="str">
        <f aca="false">IF(OR(AL$4="",$C35=""),"",IF(AND($C35&gt;=AL$4,$C35&lt;EDATE(AL$4,1)),"◆",""))</f>
        <v/>
      </c>
      <c r="AM35" s="63" t="str">
        <f aca="false">IF(OR(AM$4="",$C35=""),"",IF(AND($C35&gt;=AM$4,$C35&lt;EDATE(AM$4,1)),"◆",""))</f>
        <v/>
      </c>
      <c r="AN35" s="63" t="str">
        <f aca="false">IF(OR(AN$4="",$C35=""),"",IF(AND($C35&gt;=AN$4,$C35&lt;EDATE(AN$4,1)),"◆",""))</f>
        <v/>
      </c>
      <c r="AO35" s="63" t="str">
        <f aca="false">IF(OR(AO$4="",$C35=""),"",IF(AND($C35&gt;=AO$4,$C35&lt;EDATE(AO$4,1)),"◆",""))</f>
        <v/>
      </c>
      <c r="AP35" s="63" t="str">
        <f aca="false">IF(OR(AP$4="",$C35=""),"",IF(AND($C35&gt;=AP$4,$C35&lt;EDATE(AP$4,1)),"◆",""))</f>
        <v/>
      </c>
      <c r="AQ35" s="63" t="str">
        <f aca="false">IF(OR(AQ$4="",$C35=""),"",IF(AND($C35&gt;=AQ$4,$C35&lt;EDATE(AQ$4,1)),"◆",""))</f>
        <v/>
      </c>
      <c r="AR35" s="63" t="str">
        <f aca="false">IF(OR(AR$4="",$C35=""),"",IF(AND($C35&gt;=AR$4,$C35&lt;EDATE(AR$4,1)),"◆",""))</f>
        <v/>
      </c>
      <c r="AS35" s="63" t="str">
        <f aca="false">IF(OR(AS$4="",$C35=""),"",IF(AND($C35&gt;=AS$4,$C35&lt;EDATE(AS$4,1)),"◆",""))</f>
        <v/>
      </c>
      <c r="AT35" s="63" t="str">
        <f aca="false">IF(OR(AT$4="",$C35=""),"",IF(AND($C35&gt;=AT$4,$C35&lt;EDATE(AT$4,1)),"◆",""))</f>
        <v/>
      </c>
      <c r="AU35" s="63" t="str">
        <f aca="false">IF(OR(AU$4="",$C35=""),"",IF(AND($C35&gt;=AU$4,$C35&lt;EDATE(AU$4,1)),"◆",""))</f>
        <v/>
      </c>
      <c r="AV35" s="63" t="str">
        <f aca="false">IF(OR(AV$4="",$C35=""),"",IF(AND($C35&gt;=AV$4,$C35&lt;EDATE(AV$4,1)),"◆",""))</f>
        <v/>
      </c>
      <c r="AW35" s="63" t="str">
        <f aca="false">IF(OR(AW$4="",$C35=""),"",IF(AND($C35&gt;=AW$4,$C35&lt;EDATE(AW$4,1)),"◆",""))</f>
        <v/>
      </c>
      <c r="AX35" s="63" t="str">
        <f aca="false">IF(OR(AX$4="",$C35=""),"",IF(AND($C35&gt;=AX$4,$C35&lt;EDATE(AX$4,1)),"◆",""))</f>
        <v/>
      </c>
      <c r="AY35" s="63" t="str">
        <f aca="false">IF(OR(AY$4="",$C35=""),"",IF(AND($C35&gt;=AY$4,$C35&lt;EDATE(AY$4,1)),"◆",""))</f>
        <v/>
      </c>
      <c r="AZ35" s="63" t="str">
        <f aca="false">IF(OR(AZ$4="",$C35=""),"",IF(AND($C35&gt;=AZ$4,$C35&lt;EDATE(AZ$4,1)),"◆",""))</f>
        <v/>
      </c>
      <c r="BA35" s="63" t="str">
        <f aca="false">IF(OR(BA$4="",$C35=""),"",IF(AND($C35&gt;=BA$4,$C35&lt;EDATE(BA$4,1)),"◆",""))</f>
        <v/>
      </c>
      <c r="BB35" s="63" t="str">
        <f aca="false">IF(OR(BB$4="",$C35=""),"",IF(AND($C35&gt;=BB$4,$C35&lt;EDATE(BB$4,1)),"◆",""))</f>
        <v/>
      </c>
      <c r="BC35" s="63" t="str">
        <f aca="false">IF(OR(BC$4="",$C35=""),"",IF(AND($C35&gt;=BC$4,$C35&lt;EDATE(BC$4,1)),"◆",""))</f>
        <v/>
      </c>
      <c r="BD35" s="63" t="str">
        <f aca="false">IF(OR(BD$4="",$C35=""),"",IF(AND($C35&gt;=BD$4,$C35&lt;EDATE(BD$4,1)),"◆",""))</f>
        <v/>
      </c>
      <c r="BE35" s="63" t="str">
        <f aca="false">IF(OR(BE$4="",$C35=""),"",IF(AND($C35&gt;=BE$4,$C35&lt;EDATE(BE$4,1)),"◆",""))</f>
        <v/>
      </c>
      <c r="BF35" s="63" t="str">
        <f aca="false">IF(OR(BF$4="",$C35=""),"",IF(AND($C35&gt;=BF$4,$C35&lt;EDATE(BF$4,1)),"◆",""))</f>
        <v/>
      </c>
      <c r="BG35" s="63" t="str">
        <f aca="false">IF(OR(BG$4="",$C35=""),"",IF(AND($C35&gt;=BG$4,$C35&lt;EDATE(BG$4,1)),"◆",""))</f>
        <v/>
      </c>
      <c r="BH35" s="63" t="str">
        <f aca="false">IF(OR(BH$4="",$C35=""),"",IF(AND($C35&gt;=BH$4,$C35&lt;EDATE(BH$4,1)),"◆",""))</f>
        <v/>
      </c>
      <c r="BI35" s="63" t="str">
        <f aca="false">IF(OR(BI$4="",$C35=""),"",IF(AND($C35&gt;=BI$4,$C35&lt;EDATE(BI$4,1)),"◆",""))</f>
        <v/>
      </c>
      <c r="BJ35" s="63" t="str">
        <f aca="false">IF(OR(BJ$4="",$C35=""),"",IF(AND($C35&gt;=BJ$4,$C35&lt;EDATE(BJ$4,1)),"◆",""))</f>
        <v/>
      </c>
      <c r="BK35" s="63" t="str">
        <f aca="false">IF(OR(BK$4="",$C35=""),"",IF(AND($C35&gt;=BK$4,$C35&lt;EDATE(BK$4,1)),"◆",""))</f>
        <v/>
      </c>
      <c r="BL35" s="63" t="str">
        <f aca="false">IF(OR(BL$4="",$C35=""),"",IF(AND($C35&gt;=BL$4,$C35&lt;EDATE(BL$4,1)),"◆",""))</f>
        <v/>
      </c>
      <c r="BM35" s="63" t="str">
        <f aca="false">IF(OR(BM$4="",$C35=""),"",IF(AND($C35&gt;=BM$4,$C35&lt;EDATE(BM$4,1)),"◆",""))</f>
        <v/>
      </c>
      <c r="BN35" s="63" t="str">
        <f aca="false">IF(OR(BN$4="",$C35=""),"",IF(AND($C35&gt;=BN$4,$C35&lt;EDATE(BN$4,1)),"◆",""))</f>
        <v/>
      </c>
      <c r="BO35" s="63" t="str">
        <f aca="false">IF(OR(BO$4="",$C35=""),"",IF(AND($C35&gt;=BO$4,$C35&lt;EDATE(BO$4,1)),"◆",""))</f>
        <v/>
      </c>
      <c r="BP35" s="63" t="str">
        <f aca="false">IF(OR(BP$4="",$C35=""),"",IF(AND($C35&gt;=BP$4,$C35&lt;EDATE(BP$4,1)),"◆",""))</f>
        <v/>
      </c>
      <c r="BQ35" s="63" t="str">
        <f aca="false">IF(OR(BQ$4="",$C35=""),"",IF(AND($C35&gt;=BQ$4,$C35&lt;EDATE(BQ$4,1)),"◆",""))</f>
        <v/>
      </c>
      <c r="BR35" s="63" t="str">
        <f aca="false">IF(OR(BR$4="",$C35=""),"",IF(AND($C35&gt;=BR$4,$C35&lt;EDATE(BR$4,1)),"◆",""))</f>
        <v/>
      </c>
      <c r="BS35" s="63" t="str">
        <f aca="false">IF(OR(BS$4="",$C35=""),"",IF(AND($C35&gt;=BS$4,$C35&lt;EDATE(BS$4,1)),"◆",""))</f>
        <v/>
      </c>
      <c r="BT35" s="63" t="str">
        <f aca="false">IF(OR(BT$4="",$C35=""),"",IF(AND($C35&gt;=BT$4,$C35&lt;EDATE(BT$4,1)),"◆",""))</f>
        <v/>
      </c>
      <c r="BU35" s="63" t="str">
        <f aca="false">IF(OR(BU$4="",$C35=""),"",IF(AND($C35&gt;=BU$4,$C35&lt;EDATE(BU$4,1)),"◆",""))</f>
        <v/>
      </c>
      <c r="BV35" s="63" t="str">
        <f aca="false">IF(OR(BV$4="",$C35=""),"",IF(AND($C35&gt;=BV$4,$C35&lt;EDATE(BV$4,1)),"◆",""))</f>
        <v/>
      </c>
      <c r="BW35" s="63" t="str">
        <f aca="false">IF(OR(BW$4="",$C35=""),"",IF(AND($C35&gt;=BW$4,$C35&lt;EDATE(BW$4,1)),"◆",""))</f>
        <v/>
      </c>
      <c r="BX35" s="63" t="str">
        <f aca="false">IF(OR(BX$4="",$C35=""),"",IF(AND($C35&gt;=BX$4,$C35&lt;EDATE(BX$4,1)),"◆",""))</f>
        <v/>
      </c>
      <c r="BY35" s="63" t="str">
        <f aca="false">IF(OR(BY$4="",$C35=""),"",IF(AND($C35&gt;=BY$4,$C35&lt;EDATE(BY$4,1)),"◆",""))</f>
        <v/>
      </c>
    </row>
    <row r="36" customFormat="false" ht="15" hidden="false" customHeight="false" outlineLevel="0" collapsed="false">
      <c r="A36" s="61" t="s">
        <v>287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</row>
    <row r="37" customFormat="false" ht="15" hidden="false" customHeight="false" outlineLevel="0" collapsed="false">
      <c r="A37" s="53" t="str">
        <f aca="false">IF(BOE!$A6="","",BOE!$A6)</f>
        <v>101</v>
      </c>
      <c r="B37" s="53" t="str">
        <f aca="false">IF(BOE!$A6="","",BOE!$C6)</f>
        <v>Hazard identification &amp; mitigation effort using the system safety methodology (program execution)</v>
      </c>
      <c r="C37" s="54" t="n">
        <f aca="false">IF(OR(BOE!$A6="",BOE!$E6&lt;&gt;"Y"),"",BOE!$O6)</f>
        <v>46391</v>
      </c>
      <c r="D37" s="54" t="n">
        <f aca="false">IF(OR(BOE!$A6="",BOE!$E6&lt;&gt;"Y"),"",BOE!$P6)</f>
        <v>47483</v>
      </c>
      <c r="E37" s="55" t="n">
        <f aca="false">IF(OR(BOE!$A6="",BOE!$E6&lt;&gt;"Y"),"",IF(Inputs!$B$7="P90",BOE!$T6,BOE!$R6))</f>
        <v>717.535934291581</v>
      </c>
      <c r="F37" s="64" t="n">
        <f aca="false">IF(OR(F$4="",$C37="",$D37=""),"",IF(AND($C37&lt;EDATE(F$4,1),$D37&gt;=F$4),1,""))</f>
        <v>1</v>
      </c>
      <c r="G37" s="64" t="n">
        <f aca="false">IF(OR(G$4="",$C37="",$D37=""),"",IF(AND($C37&lt;EDATE(G$4,1),$D37&gt;=G$4),1,""))</f>
        <v>1</v>
      </c>
      <c r="H37" s="64" t="n">
        <f aca="false">IF(OR(H$4="",$C37="",$D37=""),"",IF(AND($C37&lt;EDATE(H$4,1),$D37&gt;=H$4),1,""))</f>
        <v>1</v>
      </c>
      <c r="I37" s="64" t="n">
        <f aca="false">IF(OR(I$4="",$C37="",$D37=""),"",IF(AND($C37&lt;EDATE(I$4,1),$D37&gt;=I$4),1,""))</f>
        <v>1</v>
      </c>
      <c r="J37" s="64" t="n">
        <f aca="false">IF(OR(J$4="",$C37="",$D37=""),"",IF(AND($C37&lt;EDATE(J$4,1),$D37&gt;=J$4),1,""))</f>
        <v>1</v>
      </c>
      <c r="K37" s="64" t="n">
        <f aca="false">IF(OR(K$4="",$C37="",$D37=""),"",IF(AND($C37&lt;EDATE(K$4,1),$D37&gt;=K$4),1,""))</f>
        <v>1</v>
      </c>
      <c r="L37" s="64" t="n">
        <f aca="false">IF(OR(L$4="",$C37="",$D37=""),"",IF(AND($C37&lt;EDATE(L$4,1),$D37&gt;=L$4),1,""))</f>
        <v>1</v>
      </c>
      <c r="M37" s="64" t="n">
        <f aca="false">IF(OR(M$4="",$C37="",$D37=""),"",IF(AND($C37&lt;EDATE(M$4,1),$D37&gt;=M$4),1,""))</f>
        <v>1</v>
      </c>
      <c r="N37" s="64" t="n">
        <f aca="false">IF(OR(N$4="",$C37="",$D37=""),"",IF(AND($C37&lt;EDATE(N$4,1),$D37&gt;=N$4),1,""))</f>
        <v>1</v>
      </c>
      <c r="O37" s="64" t="n">
        <f aca="false">IF(OR(O$4="",$C37="",$D37=""),"",IF(AND($C37&lt;EDATE(O$4,1),$D37&gt;=O$4),1,""))</f>
        <v>1</v>
      </c>
      <c r="P37" s="64" t="n">
        <f aca="false">IF(OR(P$4="",$C37="",$D37=""),"",IF(AND($C37&lt;EDATE(P$4,1),$D37&gt;=P$4),1,""))</f>
        <v>1</v>
      </c>
      <c r="Q37" s="64" t="n">
        <f aca="false">IF(OR(Q$4="",$C37="",$D37=""),"",IF(AND($C37&lt;EDATE(Q$4,1),$D37&gt;=Q$4),1,""))</f>
        <v>1</v>
      </c>
      <c r="R37" s="64" t="n">
        <f aca="false">IF(OR(R$4="",$C37="",$D37=""),"",IF(AND($C37&lt;EDATE(R$4,1),$D37&gt;=R$4),1,""))</f>
        <v>1</v>
      </c>
      <c r="S37" s="64" t="n">
        <f aca="false">IF(OR(S$4="",$C37="",$D37=""),"",IF(AND($C37&lt;EDATE(S$4,1),$D37&gt;=S$4),1,""))</f>
        <v>1</v>
      </c>
      <c r="T37" s="64" t="n">
        <f aca="false">IF(OR(T$4="",$C37="",$D37=""),"",IF(AND($C37&lt;EDATE(T$4,1),$D37&gt;=T$4),1,""))</f>
        <v>1</v>
      </c>
      <c r="U37" s="64" t="n">
        <f aca="false">IF(OR(U$4="",$C37="",$D37=""),"",IF(AND($C37&lt;EDATE(U$4,1),$D37&gt;=U$4),1,""))</f>
        <v>1</v>
      </c>
      <c r="V37" s="64" t="n">
        <f aca="false">IF(OR(V$4="",$C37="",$D37=""),"",IF(AND($C37&lt;EDATE(V$4,1),$D37&gt;=V$4),1,""))</f>
        <v>1</v>
      </c>
      <c r="W37" s="64" t="n">
        <f aca="false">IF(OR(W$4="",$C37="",$D37=""),"",IF(AND($C37&lt;EDATE(W$4,1),$D37&gt;=W$4),1,""))</f>
        <v>1</v>
      </c>
      <c r="X37" s="64" t="n">
        <f aca="false">IF(OR(X$4="",$C37="",$D37=""),"",IF(AND($C37&lt;EDATE(X$4,1),$D37&gt;=X$4),1,""))</f>
        <v>1</v>
      </c>
      <c r="Y37" s="64" t="n">
        <f aca="false">IF(OR(Y$4="",$C37="",$D37=""),"",IF(AND($C37&lt;EDATE(Y$4,1),$D37&gt;=Y$4),1,""))</f>
        <v>1</v>
      </c>
      <c r="Z37" s="64" t="n">
        <f aca="false">IF(OR(Z$4="",$C37="",$D37=""),"",IF(AND($C37&lt;EDATE(Z$4,1),$D37&gt;=Z$4),1,""))</f>
        <v>1</v>
      </c>
      <c r="AA37" s="64" t="n">
        <f aca="false">IF(OR(AA$4="",$C37="",$D37=""),"",IF(AND($C37&lt;EDATE(AA$4,1),$D37&gt;=AA$4),1,""))</f>
        <v>1</v>
      </c>
      <c r="AB37" s="64" t="n">
        <f aca="false">IF(OR(AB$4="",$C37="",$D37=""),"",IF(AND($C37&lt;EDATE(AB$4,1),$D37&gt;=AB$4),1,""))</f>
        <v>1</v>
      </c>
      <c r="AC37" s="64" t="n">
        <f aca="false">IF(OR(AC$4="",$C37="",$D37=""),"",IF(AND($C37&lt;EDATE(AC$4,1),$D37&gt;=AC$4),1,""))</f>
        <v>1</v>
      </c>
      <c r="AD37" s="64" t="n">
        <f aca="false">IF(OR(AD$4="",$C37="",$D37=""),"",IF(AND($C37&lt;EDATE(AD$4,1),$D37&gt;=AD$4),1,""))</f>
        <v>1</v>
      </c>
      <c r="AE37" s="64" t="n">
        <f aca="false">IF(OR(AE$4="",$C37="",$D37=""),"",IF(AND($C37&lt;EDATE(AE$4,1),$D37&gt;=AE$4),1,""))</f>
        <v>1</v>
      </c>
      <c r="AF37" s="64" t="n">
        <f aca="false">IF(OR(AF$4="",$C37="",$D37=""),"",IF(AND($C37&lt;EDATE(AF$4,1),$D37&gt;=AF$4),1,""))</f>
        <v>1</v>
      </c>
      <c r="AG37" s="64" t="n">
        <f aca="false">IF(OR(AG$4="",$C37="",$D37=""),"",IF(AND($C37&lt;EDATE(AG$4,1),$D37&gt;=AG$4),1,""))</f>
        <v>1</v>
      </c>
      <c r="AH37" s="64" t="n">
        <f aca="false">IF(OR(AH$4="",$C37="",$D37=""),"",IF(AND($C37&lt;EDATE(AH$4,1),$D37&gt;=AH$4),1,""))</f>
        <v>1</v>
      </c>
      <c r="AI37" s="64" t="n">
        <f aca="false">IF(OR(AI$4="",$C37="",$D37=""),"",IF(AND($C37&lt;EDATE(AI$4,1),$D37&gt;=AI$4),1,""))</f>
        <v>1</v>
      </c>
      <c r="AJ37" s="64" t="n">
        <f aca="false">IF(OR(AJ$4="",$C37="",$D37=""),"",IF(AND($C37&lt;EDATE(AJ$4,1),$D37&gt;=AJ$4),1,""))</f>
        <v>1</v>
      </c>
      <c r="AK37" s="64" t="n">
        <f aca="false">IF(OR(AK$4="",$C37="",$D37=""),"",IF(AND($C37&lt;EDATE(AK$4,1),$D37&gt;=AK$4),1,""))</f>
        <v>1</v>
      </c>
      <c r="AL37" s="64" t="n">
        <f aca="false">IF(OR(AL$4="",$C37="",$D37=""),"",IF(AND($C37&lt;EDATE(AL$4,1),$D37&gt;=AL$4),1,""))</f>
        <v>1</v>
      </c>
      <c r="AM37" s="64" t="n">
        <f aca="false">IF(OR(AM$4="",$C37="",$D37=""),"",IF(AND($C37&lt;EDATE(AM$4,1),$D37&gt;=AM$4),1,""))</f>
        <v>1</v>
      </c>
      <c r="AN37" s="64" t="n">
        <f aca="false">IF(OR(AN$4="",$C37="",$D37=""),"",IF(AND($C37&lt;EDATE(AN$4,1),$D37&gt;=AN$4),1,""))</f>
        <v>1</v>
      </c>
      <c r="AO37" s="64" t="n">
        <f aca="false">IF(OR(AO$4="",$C37="",$D37=""),"",IF(AND($C37&lt;EDATE(AO$4,1),$D37&gt;=AO$4),1,""))</f>
        <v>1</v>
      </c>
      <c r="AP37" s="64" t="str">
        <f aca="false">IF(OR(AP$4="",$C37="",$D37=""),"",IF(AND($C37&lt;EDATE(AP$4,1),$D37&gt;=AP$4),1,""))</f>
        <v/>
      </c>
      <c r="AQ37" s="64" t="str">
        <f aca="false">IF(OR(AQ$4="",$C37="",$D37=""),"",IF(AND($C37&lt;EDATE(AQ$4,1),$D37&gt;=AQ$4),1,""))</f>
        <v/>
      </c>
      <c r="AR37" s="64" t="str">
        <f aca="false">IF(OR(AR$4="",$C37="",$D37=""),"",IF(AND($C37&lt;EDATE(AR$4,1),$D37&gt;=AR$4),1,""))</f>
        <v/>
      </c>
      <c r="AS37" s="64" t="str">
        <f aca="false">IF(OR(AS$4="",$C37="",$D37=""),"",IF(AND($C37&lt;EDATE(AS$4,1),$D37&gt;=AS$4),1,""))</f>
        <v/>
      </c>
      <c r="AT37" s="64" t="str">
        <f aca="false">IF(OR(AT$4="",$C37="",$D37=""),"",IF(AND($C37&lt;EDATE(AT$4,1),$D37&gt;=AT$4),1,""))</f>
        <v/>
      </c>
      <c r="AU37" s="64" t="str">
        <f aca="false">IF(OR(AU$4="",$C37="",$D37=""),"",IF(AND($C37&lt;EDATE(AU$4,1),$D37&gt;=AU$4),1,""))</f>
        <v/>
      </c>
      <c r="AV37" s="64" t="str">
        <f aca="false">IF(OR(AV$4="",$C37="",$D37=""),"",IF(AND($C37&lt;EDATE(AV$4,1),$D37&gt;=AV$4),1,""))</f>
        <v/>
      </c>
      <c r="AW37" s="64" t="str">
        <f aca="false">IF(OR(AW$4="",$C37="",$D37=""),"",IF(AND($C37&lt;EDATE(AW$4,1),$D37&gt;=AW$4),1,""))</f>
        <v/>
      </c>
      <c r="AX37" s="64" t="str">
        <f aca="false">IF(OR(AX$4="",$C37="",$D37=""),"",IF(AND($C37&lt;EDATE(AX$4,1),$D37&gt;=AX$4),1,""))</f>
        <v/>
      </c>
      <c r="AY37" s="64" t="str">
        <f aca="false">IF(OR(AY$4="",$C37="",$D37=""),"",IF(AND($C37&lt;EDATE(AY$4,1),$D37&gt;=AY$4),1,""))</f>
        <v/>
      </c>
      <c r="AZ37" s="64" t="str">
        <f aca="false">IF(OR(AZ$4="",$C37="",$D37=""),"",IF(AND($C37&lt;EDATE(AZ$4,1),$D37&gt;=AZ$4),1,""))</f>
        <v/>
      </c>
      <c r="BA37" s="64" t="str">
        <f aca="false">IF(OR(BA$4="",$C37="",$D37=""),"",IF(AND($C37&lt;EDATE(BA$4,1),$D37&gt;=BA$4),1,""))</f>
        <v/>
      </c>
      <c r="BB37" s="64" t="str">
        <f aca="false">IF(OR(BB$4="",$C37="",$D37=""),"",IF(AND($C37&lt;EDATE(BB$4,1),$D37&gt;=BB$4),1,""))</f>
        <v/>
      </c>
      <c r="BC37" s="64" t="str">
        <f aca="false">IF(OR(BC$4="",$C37="",$D37=""),"",IF(AND($C37&lt;EDATE(BC$4,1),$D37&gt;=BC$4),1,""))</f>
        <v/>
      </c>
      <c r="BD37" s="64" t="str">
        <f aca="false">IF(OR(BD$4="",$C37="",$D37=""),"",IF(AND($C37&lt;EDATE(BD$4,1),$D37&gt;=BD$4),1,""))</f>
        <v/>
      </c>
      <c r="BE37" s="64" t="str">
        <f aca="false">IF(OR(BE$4="",$C37="",$D37=""),"",IF(AND($C37&lt;EDATE(BE$4,1),$D37&gt;=BE$4),1,""))</f>
        <v/>
      </c>
      <c r="BF37" s="64" t="str">
        <f aca="false">IF(OR(BF$4="",$C37="",$D37=""),"",IF(AND($C37&lt;EDATE(BF$4,1),$D37&gt;=BF$4),1,""))</f>
        <v/>
      </c>
      <c r="BG37" s="64" t="str">
        <f aca="false">IF(OR(BG$4="",$C37="",$D37=""),"",IF(AND($C37&lt;EDATE(BG$4,1),$D37&gt;=BG$4),1,""))</f>
        <v/>
      </c>
      <c r="BH37" s="64" t="str">
        <f aca="false">IF(OR(BH$4="",$C37="",$D37=""),"",IF(AND($C37&lt;EDATE(BH$4,1),$D37&gt;=BH$4),1,""))</f>
        <v/>
      </c>
      <c r="BI37" s="64" t="str">
        <f aca="false">IF(OR(BI$4="",$C37="",$D37=""),"",IF(AND($C37&lt;EDATE(BI$4,1),$D37&gt;=BI$4),1,""))</f>
        <v/>
      </c>
      <c r="BJ37" s="64" t="str">
        <f aca="false">IF(OR(BJ$4="",$C37="",$D37=""),"",IF(AND($C37&lt;EDATE(BJ$4,1),$D37&gt;=BJ$4),1,""))</f>
        <v/>
      </c>
      <c r="BK37" s="64" t="str">
        <f aca="false">IF(OR(BK$4="",$C37="",$D37=""),"",IF(AND($C37&lt;EDATE(BK$4,1),$D37&gt;=BK$4),1,""))</f>
        <v/>
      </c>
      <c r="BL37" s="64" t="str">
        <f aca="false">IF(OR(BL$4="",$C37="",$D37=""),"",IF(AND($C37&lt;EDATE(BL$4,1),$D37&gt;=BL$4),1,""))</f>
        <v/>
      </c>
      <c r="BM37" s="64" t="str">
        <f aca="false">IF(OR(BM$4="",$C37="",$D37=""),"",IF(AND($C37&lt;EDATE(BM$4,1),$D37&gt;=BM$4),1,""))</f>
        <v/>
      </c>
      <c r="BN37" s="64" t="str">
        <f aca="false">IF(OR(BN$4="",$C37="",$D37=""),"",IF(AND($C37&lt;EDATE(BN$4,1),$D37&gt;=BN$4),1,""))</f>
        <v/>
      </c>
      <c r="BO37" s="64" t="str">
        <f aca="false">IF(OR(BO$4="",$C37="",$D37=""),"",IF(AND($C37&lt;EDATE(BO$4,1),$D37&gt;=BO$4),1,""))</f>
        <v/>
      </c>
      <c r="BP37" s="64" t="str">
        <f aca="false">IF(OR(BP$4="",$C37="",$D37=""),"",IF(AND($C37&lt;EDATE(BP$4,1),$D37&gt;=BP$4),1,""))</f>
        <v/>
      </c>
      <c r="BQ37" s="64" t="str">
        <f aca="false">IF(OR(BQ$4="",$C37="",$D37=""),"",IF(AND($C37&lt;EDATE(BQ$4,1),$D37&gt;=BQ$4),1,""))</f>
        <v/>
      </c>
      <c r="BR37" s="64" t="str">
        <f aca="false">IF(OR(BR$4="",$C37="",$D37=""),"",IF(AND($C37&lt;EDATE(BR$4,1),$D37&gt;=BR$4),1,""))</f>
        <v/>
      </c>
      <c r="BS37" s="64" t="str">
        <f aca="false">IF(OR(BS$4="",$C37="",$D37=""),"",IF(AND($C37&lt;EDATE(BS$4,1),$D37&gt;=BS$4),1,""))</f>
        <v/>
      </c>
      <c r="BT37" s="64" t="str">
        <f aca="false">IF(OR(BT$4="",$C37="",$D37=""),"",IF(AND($C37&lt;EDATE(BT$4,1),$D37&gt;=BT$4),1,""))</f>
        <v/>
      </c>
      <c r="BU37" s="64" t="str">
        <f aca="false">IF(OR(BU$4="",$C37="",$D37=""),"",IF(AND($C37&lt;EDATE(BU$4,1),$D37&gt;=BU$4),1,""))</f>
        <v/>
      </c>
      <c r="BV37" s="64" t="str">
        <f aca="false">IF(OR(BV$4="",$C37="",$D37=""),"",IF(AND($C37&lt;EDATE(BV$4,1),$D37&gt;=BV$4),1,""))</f>
        <v/>
      </c>
      <c r="BW37" s="64" t="str">
        <f aca="false">IF(OR(BW$4="",$C37="",$D37=""),"",IF(AND($C37&lt;EDATE(BW$4,1),$D37&gt;=BW$4),1,""))</f>
        <v/>
      </c>
      <c r="BX37" s="64" t="str">
        <f aca="false">IF(OR(BX$4="",$C37="",$D37=""),"",IF(AND($C37&lt;EDATE(BX$4,1),$D37&gt;=BX$4),1,""))</f>
        <v/>
      </c>
      <c r="BY37" s="64" t="str">
        <f aca="false">IF(OR(BY$4="",$C37="",$D37=""),"",IF(AND($C37&lt;EDATE(BY$4,1),$D37&gt;=BY$4),1,""))</f>
        <v/>
      </c>
    </row>
    <row r="38" customFormat="false" ht="15" hidden="false" customHeight="false" outlineLevel="0" collapsed="false">
      <c r="A38" s="53" t="str">
        <f aca="false">IF(BOE!$A7="","",BOE!$A7)</f>
        <v>102</v>
      </c>
      <c r="B38" s="53" t="str">
        <f aca="false">IF(BOE!$A7="","",BOE!$C7)</f>
        <v>System Safety Program Plan (SSPP)</v>
      </c>
      <c r="C38" s="54" t="n">
        <f aca="false">IF(OR(BOE!$A7="",BOE!$E7&lt;&gt;"Y"),"",BOE!$O7)</f>
        <v>46391</v>
      </c>
      <c r="D38" s="54" t="n">
        <f aca="false">IF(OR(BOE!$A7="",BOE!$E7&lt;&gt;"Y"),"",BOE!$P7)</f>
        <v>46481</v>
      </c>
      <c r="E38" s="55" t="n">
        <f aca="false">IF(OR(BOE!$A7="",BOE!$E7&lt;&gt;"Y"),"",IF(Inputs!$B$7="P90",BOE!$T7,BOE!$R7))</f>
        <v>320</v>
      </c>
      <c r="F38" s="64" t="n">
        <f aca="false">IF(OR(F$4="",$C38="",$D38=""),"",IF(AND($C38&lt;EDATE(F$4,1),$D38&gt;=F$4),1,""))</f>
        <v>1</v>
      </c>
      <c r="G38" s="64" t="n">
        <f aca="false">IF(OR(G$4="",$C38="",$D38=""),"",IF(AND($C38&lt;EDATE(G$4,1),$D38&gt;=G$4),1,""))</f>
        <v>1</v>
      </c>
      <c r="H38" s="64" t="n">
        <f aca="false">IF(OR(H$4="",$C38="",$D38=""),"",IF(AND($C38&lt;EDATE(H$4,1),$D38&gt;=H$4),1,""))</f>
        <v>1</v>
      </c>
      <c r="I38" s="64" t="n">
        <f aca="false">IF(OR(I$4="",$C38="",$D38=""),"",IF(AND($C38&lt;EDATE(I$4,1),$D38&gt;=I$4),1,""))</f>
        <v>1</v>
      </c>
      <c r="J38" s="64" t="str">
        <f aca="false">IF(OR(J$4="",$C38="",$D38=""),"",IF(AND($C38&lt;EDATE(J$4,1),$D38&gt;=J$4),1,""))</f>
        <v/>
      </c>
      <c r="K38" s="64" t="str">
        <f aca="false">IF(OR(K$4="",$C38="",$D38=""),"",IF(AND($C38&lt;EDATE(K$4,1),$D38&gt;=K$4),1,""))</f>
        <v/>
      </c>
      <c r="L38" s="64" t="str">
        <f aca="false">IF(OR(L$4="",$C38="",$D38=""),"",IF(AND($C38&lt;EDATE(L$4,1),$D38&gt;=L$4),1,""))</f>
        <v/>
      </c>
      <c r="M38" s="64" t="str">
        <f aca="false">IF(OR(M$4="",$C38="",$D38=""),"",IF(AND($C38&lt;EDATE(M$4,1),$D38&gt;=M$4),1,""))</f>
        <v/>
      </c>
      <c r="N38" s="64" t="str">
        <f aca="false">IF(OR(N$4="",$C38="",$D38=""),"",IF(AND($C38&lt;EDATE(N$4,1),$D38&gt;=N$4),1,""))</f>
        <v/>
      </c>
      <c r="O38" s="64" t="str">
        <f aca="false">IF(OR(O$4="",$C38="",$D38=""),"",IF(AND($C38&lt;EDATE(O$4,1),$D38&gt;=O$4),1,""))</f>
        <v/>
      </c>
      <c r="P38" s="64" t="str">
        <f aca="false">IF(OR(P$4="",$C38="",$D38=""),"",IF(AND($C38&lt;EDATE(P$4,1),$D38&gt;=P$4),1,""))</f>
        <v/>
      </c>
      <c r="Q38" s="64" t="str">
        <f aca="false">IF(OR(Q$4="",$C38="",$D38=""),"",IF(AND($C38&lt;EDATE(Q$4,1),$D38&gt;=Q$4),1,""))</f>
        <v/>
      </c>
      <c r="R38" s="64" t="str">
        <f aca="false">IF(OR(R$4="",$C38="",$D38=""),"",IF(AND($C38&lt;EDATE(R$4,1),$D38&gt;=R$4),1,""))</f>
        <v/>
      </c>
      <c r="S38" s="64" t="str">
        <f aca="false">IF(OR(S$4="",$C38="",$D38=""),"",IF(AND($C38&lt;EDATE(S$4,1),$D38&gt;=S$4),1,""))</f>
        <v/>
      </c>
      <c r="T38" s="64" t="str">
        <f aca="false">IF(OR(T$4="",$C38="",$D38=""),"",IF(AND($C38&lt;EDATE(T$4,1),$D38&gt;=T$4),1,""))</f>
        <v/>
      </c>
      <c r="U38" s="64" t="str">
        <f aca="false">IF(OR(U$4="",$C38="",$D38=""),"",IF(AND($C38&lt;EDATE(U$4,1),$D38&gt;=U$4),1,""))</f>
        <v/>
      </c>
      <c r="V38" s="64" t="str">
        <f aca="false">IF(OR(V$4="",$C38="",$D38=""),"",IF(AND($C38&lt;EDATE(V$4,1),$D38&gt;=V$4),1,""))</f>
        <v/>
      </c>
      <c r="W38" s="64" t="str">
        <f aca="false">IF(OR(W$4="",$C38="",$D38=""),"",IF(AND($C38&lt;EDATE(W$4,1),$D38&gt;=W$4),1,""))</f>
        <v/>
      </c>
      <c r="X38" s="64" t="str">
        <f aca="false">IF(OR(X$4="",$C38="",$D38=""),"",IF(AND($C38&lt;EDATE(X$4,1),$D38&gt;=X$4),1,""))</f>
        <v/>
      </c>
      <c r="Y38" s="64" t="str">
        <f aca="false">IF(OR(Y$4="",$C38="",$D38=""),"",IF(AND($C38&lt;EDATE(Y$4,1),$D38&gt;=Y$4),1,""))</f>
        <v/>
      </c>
      <c r="Z38" s="64" t="str">
        <f aca="false">IF(OR(Z$4="",$C38="",$D38=""),"",IF(AND($C38&lt;EDATE(Z$4,1),$D38&gt;=Z$4),1,""))</f>
        <v/>
      </c>
      <c r="AA38" s="64" t="str">
        <f aca="false">IF(OR(AA$4="",$C38="",$D38=""),"",IF(AND($C38&lt;EDATE(AA$4,1),$D38&gt;=AA$4),1,""))</f>
        <v/>
      </c>
      <c r="AB38" s="64" t="str">
        <f aca="false">IF(OR(AB$4="",$C38="",$D38=""),"",IF(AND($C38&lt;EDATE(AB$4,1),$D38&gt;=AB$4),1,""))</f>
        <v/>
      </c>
      <c r="AC38" s="64" t="str">
        <f aca="false">IF(OR(AC$4="",$C38="",$D38=""),"",IF(AND($C38&lt;EDATE(AC$4,1),$D38&gt;=AC$4),1,""))</f>
        <v/>
      </c>
      <c r="AD38" s="64" t="str">
        <f aca="false">IF(OR(AD$4="",$C38="",$D38=""),"",IF(AND($C38&lt;EDATE(AD$4,1),$D38&gt;=AD$4),1,""))</f>
        <v/>
      </c>
      <c r="AE38" s="64" t="str">
        <f aca="false">IF(OR(AE$4="",$C38="",$D38=""),"",IF(AND($C38&lt;EDATE(AE$4,1),$D38&gt;=AE$4),1,""))</f>
        <v/>
      </c>
      <c r="AF38" s="64" t="str">
        <f aca="false">IF(OR(AF$4="",$C38="",$D38=""),"",IF(AND($C38&lt;EDATE(AF$4,1),$D38&gt;=AF$4),1,""))</f>
        <v/>
      </c>
      <c r="AG38" s="64" t="str">
        <f aca="false">IF(OR(AG$4="",$C38="",$D38=""),"",IF(AND($C38&lt;EDATE(AG$4,1),$D38&gt;=AG$4),1,""))</f>
        <v/>
      </c>
      <c r="AH38" s="64" t="str">
        <f aca="false">IF(OR(AH$4="",$C38="",$D38=""),"",IF(AND($C38&lt;EDATE(AH$4,1),$D38&gt;=AH$4),1,""))</f>
        <v/>
      </c>
      <c r="AI38" s="64" t="str">
        <f aca="false">IF(OR(AI$4="",$C38="",$D38=""),"",IF(AND($C38&lt;EDATE(AI$4,1),$D38&gt;=AI$4),1,""))</f>
        <v/>
      </c>
      <c r="AJ38" s="64" t="str">
        <f aca="false">IF(OR(AJ$4="",$C38="",$D38=""),"",IF(AND($C38&lt;EDATE(AJ$4,1),$D38&gt;=AJ$4),1,""))</f>
        <v/>
      </c>
      <c r="AK38" s="64" t="str">
        <f aca="false">IF(OR(AK$4="",$C38="",$D38=""),"",IF(AND($C38&lt;EDATE(AK$4,1),$D38&gt;=AK$4),1,""))</f>
        <v/>
      </c>
      <c r="AL38" s="64" t="str">
        <f aca="false">IF(OR(AL$4="",$C38="",$D38=""),"",IF(AND($C38&lt;EDATE(AL$4,1),$D38&gt;=AL$4),1,""))</f>
        <v/>
      </c>
      <c r="AM38" s="64" t="str">
        <f aca="false">IF(OR(AM$4="",$C38="",$D38=""),"",IF(AND($C38&lt;EDATE(AM$4,1),$D38&gt;=AM$4),1,""))</f>
        <v/>
      </c>
      <c r="AN38" s="64" t="str">
        <f aca="false">IF(OR(AN$4="",$C38="",$D38=""),"",IF(AND($C38&lt;EDATE(AN$4,1),$D38&gt;=AN$4),1,""))</f>
        <v/>
      </c>
      <c r="AO38" s="64" t="str">
        <f aca="false">IF(OR(AO$4="",$C38="",$D38=""),"",IF(AND($C38&lt;EDATE(AO$4,1),$D38&gt;=AO$4),1,""))</f>
        <v/>
      </c>
      <c r="AP38" s="64" t="str">
        <f aca="false">IF(OR(AP$4="",$C38="",$D38=""),"",IF(AND($C38&lt;EDATE(AP$4,1),$D38&gt;=AP$4),1,""))</f>
        <v/>
      </c>
      <c r="AQ38" s="64" t="str">
        <f aca="false">IF(OR(AQ$4="",$C38="",$D38=""),"",IF(AND($C38&lt;EDATE(AQ$4,1),$D38&gt;=AQ$4),1,""))</f>
        <v/>
      </c>
      <c r="AR38" s="64" t="str">
        <f aca="false">IF(OR(AR$4="",$C38="",$D38=""),"",IF(AND($C38&lt;EDATE(AR$4,1),$D38&gt;=AR$4),1,""))</f>
        <v/>
      </c>
      <c r="AS38" s="64" t="str">
        <f aca="false">IF(OR(AS$4="",$C38="",$D38=""),"",IF(AND($C38&lt;EDATE(AS$4,1),$D38&gt;=AS$4),1,""))</f>
        <v/>
      </c>
      <c r="AT38" s="64" t="str">
        <f aca="false">IF(OR(AT$4="",$C38="",$D38=""),"",IF(AND($C38&lt;EDATE(AT$4,1),$D38&gt;=AT$4),1,""))</f>
        <v/>
      </c>
      <c r="AU38" s="64" t="str">
        <f aca="false">IF(OR(AU$4="",$C38="",$D38=""),"",IF(AND($C38&lt;EDATE(AU$4,1),$D38&gt;=AU$4),1,""))</f>
        <v/>
      </c>
      <c r="AV38" s="64" t="str">
        <f aca="false">IF(OR(AV$4="",$C38="",$D38=""),"",IF(AND($C38&lt;EDATE(AV$4,1),$D38&gt;=AV$4),1,""))</f>
        <v/>
      </c>
      <c r="AW38" s="64" t="str">
        <f aca="false">IF(OR(AW$4="",$C38="",$D38=""),"",IF(AND($C38&lt;EDATE(AW$4,1),$D38&gt;=AW$4),1,""))</f>
        <v/>
      </c>
      <c r="AX38" s="64" t="str">
        <f aca="false">IF(OR(AX$4="",$C38="",$D38=""),"",IF(AND($C38&lt;EDATE(AX$4,1),$D38&gt;=AX$4),1,""))</f>
        <v/>
      </c>
      <c r="AY38" s="64" t="str">
        <f aca="false">IF(OR(AY$4="",$C38="",$D38=""),"",IF(AND($C38&lt;EDATE(AY$4,1),$D38&gt;=AY$4),1,""))</f>
        <v/>
      </c>
      <c r="AZ38" s="64" t="str">
        <f aca="false">IF(OR(AZ$4="",$C38="",$D38=""),"",IF(AND($C38&lt;EDATE(AZ$4,1),$D38&gt;=AZ$4),1,""))</f>
        <v/>
      </c>
      <c r="BA38" s="64" t="str">
        <f aca="false">IF(OR(BA$4="",$C38="",$D38=""),"",IF(AND($C38&lt;EDATE(BA$4,1),$D38&gt;=BA$4),1,""))</f>
        <v/>
      </c>
      <c r="BB38" s="64" t="str">
        <f aca="false">IF(OR(BB$4="",$C38="",$D38=""),"",IF(AND($C38&lt;EDATE(BB$4,1),$D38&gt;=BB$4),1,""))</f>
        <v/>
      </c>
      <c r="BC38" s="64" t="str">
        <f aca="false">IF(OR(BC$4="",$C38="",$D38=""),"",IF(AND($C38&lt;EDATE(BC$4,1),$D38&gt;=BC$4),1,""))</f>
        <v/>
      </c>
      <c r="BD38" s="64" t="str">
        <f aca="false">IF(OR(BD$4="",$C38="",$D38=""),"",IF(AND($C38&lt;EDATE(BD$4,1),$D38&gt;=BD$4),1,""))</f>
        <v/>
      </c>
      <c r="BE38" s="64" t="str">
        <f aca="false">IF(OR(BE$4="",$C38="",$D38=""),"",IF(AND($C38&lt;EDATE(BE$4,1),$D38&gt;=BE$4),1,""))</f>
        <v/>
      </c>
      <c r="BF38" s="64" t="str">
        <f aca="false">IF(OR(BF$4="",$C38="",$D38=""),"",IF(AND($C38&lt;EDATE(BF$4,1),$D38&gt;=BF$4),1,""))</f>
        <v/>
      </c>
      <c r="BG38" s="64" t="str">
        <f aca="false">IF(OR(BG$4="",$C38="",$D38=""),"",IF(AND($C38&lt;EDATE(BG$4,1),$D38&gt;=BG$4),1,""))</f>
        <v/>
      </c>
      <c r="BH38" s="64" t="str">
        <f aca="false">IF(OR(BH$4="",$C38="",$D38=""),"",IF(AND($C38&lt;EDATE(BH$4,1),$D38&gt;=BH$4),1,""))</f>
        <v/>
      </c>
      <c r="BI38" s="64" t="str">
        <f aca="false">IF(OR(BI$4="",$C38="",$D38=""),"",IF(AND($C38&lt;EDATE(BI$4,1),$D38&gt;=BI$4),1,""))</f>
        <v/>
      </c>
      <c r="BJ38" s="64" t="str">
        <f aca="false">IF(OR(BJ$4="",$C38="",$D38=""),"",IF(AND($C38&lt;EDATE(BJ$4,1),$D38&gt;=BJ$4),1,""))</f>
        <v/>
      </c>
      <c r="BK38" s="64" t="str">
        <f aca="false">IF(OR(BK$4="",$C38="",$D38=""),"",IF(AND($C38&lt;EDATE(BK$4,1),$D38&gt;=BK$4),1,""))</f>
        <v/>
      </c>
      <c r="BL38" s="64" t="str">
        <f aca="false">IF(OR(BL$4="",$C38="",$D38=""),"",IF(AND($C38&lt;EDATE(BL$4,1),$D38&gt;=BL$4),1,""))</f>
        <v/>
      </c>
      <c r="BM38" s="64" t="str">
        <f aca="false">IF(OR(BM$4="",$C38="",$D38=""),"",IF(AND($C38&lt;EDATE(BM$4,1),$D38&gt;=BM$4),1,""))</f>
        <v/>
      </c>
      <c r="BN38" s="64" t="str">
        <f aca="false">IF(OR(BN$4="",$C38="",$D38=""),"",IF(AND($C38&lt;EDATE(BN$4,1),$D38&gt;=BN$4),1,""))</f>
        <v/>
      </c>
      <c r="BO38" s="64" t="str">
        <f aca="false">IF(OR(BO$4="",$C38="",$D38=""),"",IF(AND($C38&lt;EDATE(BO$4,1),$D38&gt;=BO$4),1,""))</f>
        <v/>
      </c>
      <c r="BP38" s="64" t="str">
        <f aca="false">IF(OR(BP$4="",$C38="",$D38=""),"",IF(AND($C38&lt;EDATE(BP$4,1),$D38&gt;=BP$4),1,""))</f>
        <v/>
      </c>
      <c r="BQ38" s="64" t="str">
        <f aca="false">IF(OR(BQ$4="",$C38="",$D38=""),"",IF(AND($C38&lt;EDATE(BQ$4,1),$D38&gt;=BQ$4),1,""))</f>
        <v/>
      </c>
      <c r="BR38" s="64" t="str">
        <f aca="false">IF(OR(BR$4="",$C38="",$D38=""),"",IF(AND($C38&lt;EDATE(BR$4,1),$D38&gt;=BR$4),1,""))</f>
        <v/>
      </c>
      <c r="BS38" s="64" t="str">
        <f aca="false">IF(OR(BS$4="",$C38="",$D38=""),"",IF(AND($C38&lt;EDATE(BS$4,1),$D38&gt;=BS$4),1,""))</f>
        <v/>
      </c>
      <c r="BT38" s="64" t="str">
        <f aca="false">IF(OR(BT$4="",$C38="",$D38=""),"",IF(AND($C38&lt;EDATE(BT$4,1),$D38&gt;=BT$4),1,""))</f>
        <v/>
      </c>
      <c r="BU38" s="64" t="str">
        <f aca="false">IF(OR(BU$4="",$C38="",$D38=""),"",IF(AND($C38&lt;EDATE(BU$4,1),$D38&gt;=BU$4),1,""))</f>
        <v/>
      </c>
      <c r="BV38" s="64" t="str">
        <f aca="false">IF(OR(BV$4="",$C38="",$D38=""),"",IF(AND($C38&lt;EDATE(BV$4,1),$D38&gt;=BV$4),1,""))</f>
        <v/>
      </c>
      <c r="BW38" s="64" t="str">
        <f aca="false">IF(OR(BW$4="",$C38="",$D38=""),"",IF(AND($C38&lt;EDATE(BW$4,1),$D38&gt;=BW$4),1,""))</f>
        <v/>
      </c>
      <c r="BX38" s="64" t="str">
        <f aca="false">IF(OR(BX$4="",$C38="",$D38=""),"",IF(AND($C38&lt;EDATE(BX$4,1),$D38&gt;=BX$4),1,""))</f>
        <v/>
      </c>
      <c r="BY38" s="64" t="str">
        <f aca="false">IF(OR(BY$4="",$C38="",$D38=""),"",IF(AND($C38&lt;EDATE(BY$4,1),$D38&gt;=BY$4),1,""))</f>
        <v/>
      </c>
    </row>
    <row r="39" customFormat="false" ht="15" hidden="false" customHeight="false" outlineLevel="0" collapsed="false">
      <c r="A39" s="53" t="str">
        <f aca="false">IF(BOE!$A8="","",BOE!$A8)</f>
        <v>103</v>
      </c>
      <c r="B39" s="53" t="str">
        <f aca="false">IF(BOE!$A8="","",BOE!$C8)</f>
        <v>Hazard Management Plan (HMP) — other functional disciplines</v>
      </c>
      <c r="C39" s="54" t="str">
        <f aca="false">IF(OR(BOE!$A8="",BOE!$E8&lt;&gt;"Y"),"",BOE!$O8)</f>
        <v/>
      </c>
      <c r="D39" s="54" t="str">
        <f aca="false">IF(OR(BOE!$A8="",BOE!$E8&lt;&gt;"Y"),"",BOE!$P8)</f>
        <v/>
      </c>
      <c r="E39" s="55" t="str">
        <f aca="false">IF(OR(BOE!$A8="",BOE!$E8&lt;&gt;"Y"),"",IF(Inputs!$B$7="P90",BOE!$T8,BOE!$R8))</f>
        <v/>
      </c>
      <c r="F39" s="64" t="str">
        <f aca="false">IF(OR(F$4="",$C39="",$D39=""),"",IF(AND($C39&lt;EDATE(F$4,1),$D39&gt;=F$4),1,""))</f>
        <v/>
      </c>
      <c r="G39" s="64" t="str">
        <f aca="false">IF(OR(G$4="",$C39="",$D39=""),"",IF(AND($C39&lt;EDATE(G$4,1),$D39&gt;=G$4),1,""))</f>
        <v/>
      </c>
      <c r="H39" s="64" t="str">
        <f aca="false">IF(OR(H$4="",$C39="",$D39=""),"",IF(AND($C39&lt;EDATE(H$4,1),$D39&gt;=H$4),1,""))</f>
        <v/>
      </c>
      <c r="I39" s="64" t="str">
        <f aca="false">IF(OR(I$4="",$C39="",$D39=""),"",IF(AND($C39&lt;EDATE(I$4,1),$D39&gt;=I$4),1,""))</f>
        <v/>
      </c>
      <c r="J39" s="64" t="str">
        <f aca="false">IF(OR(J$4="",$C39="",$D39=""),"",IF(AND($C39&lt;EDATE(J$4,1),$D39&gt;=J$4),1,""))</f>
        <v/>
      </c>
      <c r="K39" s="64" t="str">
        <f aca="false">IF(OR(K$4="",$C39="",$D39=""),"",IF(AND($C39&lt;EDATE(K$4,1),$D39&gt;=K$4),1,""))</f>
        <v/>
      </c>
      <c r="L39" s="64" t="str">
        <f aca="false">IF(OR(L$4="",$C39="",$D39=""),"",IF(AND($C39&lt;EDATE(L$4,1),$D39&gt;=L$4),1,""))</f>
        <v/>
      </c>
      <c r="M39" s="64" t="str">
        <f aca="false">IF(OR(M$4="",$C39="",$D39=""),"",IF(AND($C39&lt;EDATE(M$4,1),$D39&gt;=M$4),1,""))</f>
        <v/>
      </c>
      <c r="N39" s="64" t="str">
        <f aca="false">IF(OR(N$4="",$C39="",$D39=""),"",IF(AND($C39&lt;EDATE(N$4,1),$D39&gt;=N$4),1,""))</f>
        <v/>
      </c>
      <c r="O39" s="64" t="str">
        <f aca="false">IF(OR(O$4="",$C39="",$D39=""),"",IF(AND($C39&lt;EDATE(O$4,1),$D39&gt;=O$4),1,""))</f>
        <v/>
      </c>
      <c r="P39" s="64" t="str">
        <f aca="false">IF(OR(P$4="",$C39="",$D39=""),"",IF(AND($C39&lt;EDATE(P$4,1),$D39&gt;=P$4),1,""))</f>
        <v/>
      </c>
      <c r="Q39" s="64" t="str">
        <f aca="false">IF(OR(Q$4="",$C39="",$D39=""),"",IF(AND($C39&lt;EDATE(Q$4,1),$D39&gt;=Q$4),1,""))</f>
        <v/>
      </c>
      <c r="R39" s="64" t="str">
        <f aca="false">IF(OR(R$4="",$C39="",$D39=""),"",IF(AND($C39&lt;EDATE(R$4,1),$D39&gt;=R$4),1,""))</f>
        <v/>
      </c>
      <c r="S39" s="64" t="str">
        <f aca="false">IF(OR(S$4="",$C39="",$D39=""),"",IF(AND($C39&lt;EDATE(S$4,1),$D39&gt;=S$4),1,""))</f>
        <v/>
      </c>
      <c r="T39" s="64" t="str">
        <f aca="false">IF(OR(T$4="",$C39="",$D39=""),"",IF(AND($C39&lt;EDATE(T$4,1),$D39&gt;=T$4),1,""))</f>
        <v/>
      </c>
      <c r="U39" s="64" t="str">
        <f aca="false">IF(OR(U$4="",$C39="",$D39=""),"",IF(AND($C39&lt;EDATE(U$4,1),$D39&gt;=U$4),1,""))</f>
        <v/>
      </c>
      <c r="V39" s="64" t="str">
        <f aca="false">IF(OR(V$4="",$C39="",$D39=""),"",IF(AND($C39&lt;EDATE(V$4,1),$D39&gt;=V$4),1,""))</f>
        <v/>
      </c>
      <c r="W39" s="64" t="str">
        <f aca="false">IF(OR(W$4="",$C39="",$D39=""),"",IF(AND($C39&lt;EDATE(W$4,1),$D39&gt;=W$4),1,""))</f>
        <v/>
      </c>
      <c r="X39" s="64" t="str">
        <f aca="false">IF(OR(X$4="",$C39="",$D39=""),"",IF(AND($C39&lt;EDATE(X$4,1),$D39&gt;=X$4),1,""))</f>
        <v/>
      </c>
      <c r="Y39" s="64" t="str">
        <f aca="false">IF(OR(Y$4="",$C39="",$D39=""),"",IF(AND($C39&lt;EDATE(Y$4,1),$D39&gt;=Y$4),1,""))</f>
        <v/>
      </c>
      <c r="Z39" s="64" t="str">
        <f aca="false">IF(OR(Z$4="",$C39="",$D39=""),"",IF(AND($C39&lt;EDATE(Z$4,1),$D39&gt;=Z$4),1,""))</f>
        <v/>
      </c>
      <c r="AA39" s="64" t="str">
        <f aca="false">IF(OR(AA$4="",$C39="",$D39=""),"",IF(AND($C39&lt;EDATE(AA$4,1),$D39&gt;=AA$4),1,""))</f>
        <v/>
      </c>
      <c r="AB39" s="64" t="str">
        <f aca="false">IF(OR(AB$4="",$C39="",$D39=""),"",IF(AND($C39&lt;EDATE(AB$4,1),$D39&gt;=AB$4),1,""))</f>
        <v/>
      </c>
      <c r="AC39" s="64" t="str">
        <f aca="false">IF(OR(AC$4="",$C39="",$D39=""),"",IF(AND($C39&lt;EDATE(AC$4,1),$D39&gt;=AC$4),1,""))</f>
        <v/>
      </c>
      <c r="AD39" s="64" t="str">
        <f aca="false">IF(OR(AD$4="",$C39="",$D39=""),"",IF(AND($C39&lt;EDATE(AD$4,1),$D39&gt;=AD$4),1,""))</f>
        <v/>
      </c>
      <c r="AE39" s="64" t="str">
        <f aca="false">IF(OR(AE$4="",$C39="",$D39=""),"",IF(AND($C39&lt;EDATE(AE$4,1),$D39&gt;=AE$4),1,""))</f>
        <v/>
      </c>
      <c r="AF39" s="64" t="str">
        <f aca="false">IF(OR(AF$4="",$C39="",$D39=""),"",IF(AND($C39&lt;EDATE(AF$4,1),$D39&gt;=AF$4),1,""))</f>
        <v/>
      </c>
      <c r="AG39" s="64" t="str">
        <f aca="false">IF(OR(AG$4="",$C39="",$D39=""),"",IF(AND($C39&lt;EDATE(AG$4,1),$D39&gt;=AG$4),1,""))</f>
        <v/>
      </c>
      <c r="AH39" s="64" t="str">
        <f aca="false">IF(OR(AH$4="",$C39="",$D39=""),"",IF(AND($C39&lt;EDATE(AH$4,1),$D39&gt;=AH$4),1,""))</f>
        <v/>
      </c>
      <c r="AI39" s="64" t="str">
        <f aca="false">IF(OR(AI$4="",$C39="",$D39=""),"",IF(AND($C39&lt;EDATE(AI$4,1),$D39&gt;=AI$4),1,""))</f>
        <v/>
      </c>
      <c r="AJ39" s="64" t="str">
        <f aca="false">IF(OR(AJ$4="",$C39="",$D39=""),"",IF(AND($C39&lt;EDATE(AJ$4,1),$D39&gt;=AJ$4),1,""))</f>
        <v/>
      </c>
      <c r="AK39" s="64" t="str">
        <f aca="false">IF(OR(AK$4="",$C39="",$D39=""),"",IF(AND($C39&lt;EDATE(AK$4,1),$D39&gt;=AK$4),1,""))</f>
        <v/>
      </c>
      <c r="AL39" s="64" t="str">
        <f aca="false">IF(OR(AL$4="",$C39="",$D39=""),"",IF(AND($C39&lt;EDATE(AL$4,1),$D39&gt;=AL$4),1,""))</f>
        <v/>
      </c>
      <c r="AM39" s="64" t="str">
        <f aca="false">IF(OR(AM$4="",$C39="",$D39=""),"",IF(AND($C39&lt;EDATE(AM$4,1),$D39&gt;=AM$4),1,""))</f>
        <v/>
      </c>
      <c r="AN39" s="64" t="str">
        <f aca="false">IF(OR(AN$4="",$C39="",$D39=""),"",IF(AND($C39&lt;EDATE(AN$4,1),$D39&gt;=AN$4),1,""))</f>
        <v/>
      </c>
      <c r="AO39" s="64" t="str">
        <f aca="false">IF(OR(AO$4="",$C39="",$D39=""),"",IF(AND($C39&lt;EDATE(AO$4,1),$D39&gt;=AO$4),1,""))</f>
        <v/>
      </c>
      <c r="AP39" s="64" t="str">
        <f aca="false">IF(OR(AP$4="",$C39="",$D39=""),"",IF(AND($C39&lt;EDATE(AP$4,1),$D39&gt;=AP$4),1,""))</f>
        <v/>
      </c>
      <c r="AQ39" s="64" t="str">
        <f aca="false">IF(OR(AQ$4="",$C39="",$D39=""),"",IF(AND($C39&lt;EDATE(AQ$4,1),$D39&gt;=AQ$4),1,""))</f>
        <v/>
      </c>
      <c r="AR39" s="64" t="str">
        <f aca="false">IF(OR(AR$4="",$C39="",$D39=""),"",IF(AND($C39&lt;EDATE(AR$4,1),$D39&gt;=AR$4),1,""))</f>
        <v/>
      </c>
      <c r="AS39" s="64" t="str">
        <f aca="false">IF(OR(AS$4="",$C39="",$D39=""),"",IF(AND($C39&lt;EDATE(AS$4,1),$D39&gt;=AS$4),1,""))</f>
        <v/>
      </c>
      <c r="AT39" s="64" t="str">
        <f aca="false">IF(OR(AT$4="",$C39="",$D39=""),"",IF(AND($C39&lt;EDATE(AT$4,1),$D39&gt;=AT$4),1,""))</f>
        <v/>
      </c>
      <c r="AU39" s="64" t="str">
        <f aca="false">IF(OR(AU$4="",$C39="",$D39=""),"",IF(AND($C39&lt;EDATE(AU$4,1),$D39&gt;=AU$4),1,""))</f>
        <v/>
      </c>
      <c r="AV39" s="64" t="str">
        <f aca="false">IF(OR(AV$4="",$C39="",$D39=""),"",IF(AND($C39&lt;EDATE(AV$4,1),$D39&gt;=AV$4),1,""))</f>
        <v/>
      </c>
      <c r="AW39" s="64" t="str">
        <f aca="false">IF(OR(AW$4="",$C39="",$D39=""),"",IF(AND($C39&lt;EDATE(AW$4,1),$D39&gt;=AW$4),1,""))</f>
        <v/>
      </c>
      <c r="AX39" s="64" t="str">
        <f aca="false">IF(OR(AX$4="",$C39="",$D39=""),"",IF(AND($C39&lt;EDATE(AX$4,1),$D39&gt;=AX$4),1,""))</f>
        <v/>
      </c>
      <c r="AY39" s="64" t="str">
        <f aca="false">IF(OR(AY$4="",$C39="",$D39=""),"",IF(AND($C39&lt;EDATE(AY$4,1),$D39&gt;=AY$4),1,""))</f>
        <v/>
      </c>
      <c r="AZ39" s="64" t="str">
        <f aca="false">IF(OR(AZ$4="",$C39="",$D39=""),"",IF(AND($C39&lt;EDATE(AZ$4,1),$D39&gt;=AZ$4),1,""))</f>
        <v/>
      </c>
      <c r="BA39" s="64" t="str">
        <f aca="false">IF(OR(BA$4="",$C39="",$D39=""),"",IF(AND($C39&lt;EDATE(BA$4,1),$D39&gt;=BA$4),1,""))</f>
        <v/>
      </c>
      <c r="BB39" s="64" t="str">
        <f aca="false">IF(OR(BB$4="",$C39="",$D39=""),"",IF(AND($C39&lt;EDATE(BB$4,1),$D39&gt;=BB$4),1,""))</f>
        <v/>
      </c>
      <c r="BC39" s="64" t="str">
        <f aca="false">IF(OR(BC$4="",$C39="",$D39=""),"",IF(AND($C39&lt;EDATE(BC$4,1),$D39&gt;=BC$4),1,""))</f>
        <v/>
      </c>
      <c r="BD39" s="64" t="str">
        <f aca="false">IF(OR(BD$4="",$C39="",$D39=""),"",IF(AND($C39&lt;EDATE(BD$4,1),$D39&gt;=BD$4),1,""))</f>
        <v/>
      </c>
      <c r="BE39" s="64" t="str">
        <f aca="false">IF(OR(BE$4="",$C39="",$D39=""),"",IF(AND($C39&lt;EDATE(BE$4,1),$D39&gt;=BE$4),1,""))</f>
        <v/>
      </c>
      <c r="BF39" s="64" t="str">
        <f aca="false">IF(OR(BF$4="",$C39="",$D39=""),"",IF(AND($C39&lt;EDATE(BF$4,1),$D39&gt;=BF$4),1,""))</f>
        <v/>
      </c>
      <c r="BG39" s="64" t="str">
        <f aca="false">IF(OR(BG$4="",$C39="",$D39=""),"",IF(AND($C39&lt;EDATE(BG$4,1),$D39&gt;=BG$4),1,""))</f>
        <v/>
      </c>
      <c r="BH39" s="64" t="str">
        <f aca="false">IF(OR(BH$4="",$C39="",$D39=""),"",IF(AND($C39&lt;EDATE(BH$4,1),$D39&gt;=BH$4),1,""))</f>
        <v/>
      </c>
      <c r="BI39" s="64" t="str">
        <f aca="false">IF(OR(BI$4="",$C39="",$D39=""),"",IF(AND($C39&lt;EDATE(BI$4,1),$D39&gt;=BI$4),1,""))</f>
        <v/>
      </c>
      <c r="BJ39" s="64" t="str">
        <f aca="false">IF(OR(BJ$4="",$C39="",$D39=""),"",IF(AND($C39&lt;EDATE(BJ$4,1),$D39&gt;=BJ$4),1,""))</f>
        <v/>
      </c>
      <c r="BK39" s="64" t="str">
        <f aca="false">IF(OR(BK$4="",$C39="",$D39=""),"",IF(AND($C39&lt;EDATE(BK$4,1),$D39&gt;=BK$4),1,""))</f>
        <v/>
      </c>
      <c r="BL39" s="64" t="str">
        <f aca="false">IF(OR(BL$4="",$C39="",$D39=""),"",IF(AND($C39&lt;EDATE(BL$4,1),$D39&gt;=BL$4),1,""))</f>
        <v/>
      </c>
      <c r="BM39" s="64" t="str">
        <f aca="false">IF(OR(BM$4="",$C39="",$D39=""),"",IF(AND($C39&lt;EDATE(BM$4,1),$D39&gt;=BM$4),1,""))</f>
        <v/>
      </c>
      <c r="BN39" s="64" t="str">
        <f aca="false">IF(OR(BN$4="",$C39="",$D39=""),"",IF(AND($C39&lt;EDATE(BN$4,1),$D39&gt;=BN$4),1,""))</f>
        <v/>
      </c>
      <c r="BO39" s="64" t="str">
        <f aca="false">IF(OR(BO$4="",$C39="",$D39=""),"",IF(AND($C39&lt;EDATE(BO$4,1),$D39&gt;=BO$4),1,""))</f>
        <v/>
      </c>
      <c r="BP39" s="64" t="str">
        <f aca="false">IF(OR(BP$4="",$C39="",$D39=""),"",IF(AND($C39&lt;EDATE(BP$4,1),$D39&gt;=BP$4),1,""))</f>
        <v/>
      </c>
      <c r="BQ39" s="64" t="str">
        <f aca="false">IF(OR(BQ$4="",$C39="",$D39=""),"",IF(AND($C39&lt;EDATE(BQ$4,1),$D39&gt;=BQ$4),1,""))</f>
        <v/>
      </c>
      <c r="BR39" s="64" t="str">
        <f aca="false">IF(OR(BR$4="",$C39="",$D39=""),"",IF(AND($C39&lt;EDATE(BR$4,1),$D39&gt;=BR$4),1,""))</f>
        <v/>
      </c>
      <c r="BS39" s="64" t="str">
        <f aca="false">IF(OR(BS$4="",$C39="",$D39=""),"",IF(AND($C39&lt;EDATE(BS$4,1),$D39&gt;=BS$4),1,""))</f>
        <v/>
      </c>
      <c r="BT39" s="64" t="str">
        <f aca="false">IF(OR(BT$4="",$C39="",$D39=""),"",IF(AND($C39&lt;EDATE(BT$4,1),$D39&gt;=BT$4),1,""))</f>
        <v/>
      </c>
      <c r="BU39" s="64" t="str">
        <f aca="false">IF(OR(BU$4="",$C39="",$D39=""),"",IF(AND($C39&lt;EDATE(BU$4,1),$D39&gt;=BU$4),1,""))</f>
        <v/>
      </c>
      <c r="BV39" s="64" t="str">
        <f aca="false">IF(OR(BV$4="",$C39="",$D39=""),"",IF(AND($C39&lt;EDATE(BV$4,1),$D39&gt;=BV$4),1,""))</f>
        <v/>
      </c>
      <c r="BW39" s="64" t="str">
        <f aca="false">IF(OR(BW$4="",$C39="",$D39=""),"",IF(AND($C39&lt;EDATE(BW$4,1),$D39&gt;=BW$4),1,""))</f>
        <v/>
      </c>
      <c r="BX39" s="64" t="str">
        <f aca="false">IF(OR(BX$4="",$C39="",$D39=""),"",IF(AND($C39&lt;EDATE(BX$4,1),$D39&gt;=BX$4),1,""))</f>
        <v/>
      </c>
      <c r="BY39" s="64" t="str">
        <f aca="false">IF(OR(BY$4="",$C39="",$D39=""),"",IF(AND($C39&lt;EDATE(BY$4,1),$D39&gt;=BY$4),1,""))</f>
        <v/>
      </c>
    </row>
    <row r="40" customFormat="false" ht="15" hidden="false" customHeight="false" outlineLevel="0" collapsed="false">
      <c r="A40" s="53" t="str">
        <f aca="false">IF(BOE!$A9="","",BOE!$A9)</f>
        <v>104</v>
      </c>
      <c r="B40" s="53" t="str">
        <f aca="false">IF(BOE!$A9="","",BOE!$C9)</f>
        <v>Support of Government reviews / audits / boards</v>
      </c>
      <c r="C40" s="54" t="n">
        <f aca="false">IF(OR(BOE!$A9="",BOE!$E9&lt;&gt;"Y"),"",BOE!$O9)</f>
        <v>46453</v>
      </c>
      <c r="D40" s="54" t="n">
        <f aca="false">IF(OR(BOE!$A9="",BOE!$E9&lt;&gt;"Y"),"",BOE!$P9)</f>
        <v>47483</v>
      </c>
      <c r="E40" s="55" t="n">
        <f aca="false">IF(OR(BOE!$A9="",BOE!$E9&lt;&gt;"Y"),"",IF(Inputs!$B$7="P90",BOE!$T9,BOE!$R9))</f>
        <v>240</v>
      </c>
      <c r="F40" s="64" t="str">
        <f aca="false">IF(OR(F$4="",$C40="",$D40=""),"",IF(AND($C40&lt;EDATE(F$4,1),$D40&gt;=F$4),1,""))</f>
        <v/>
      </c>
      <c r="G40" s="64" t="str">
        <f aca="false">IF(OR(G$4="",$C40="",$D40=""),"",IF(AND($C40&lt;EDATE(G$4,1),$D40&gt;=G$4),1,""))</f>
        <v/>
      </c>
      <c r="H40" s="64" t="n">
        <f aca="false">IF(OR(H$4="",$C40="",$D40=""),"",IF(AND($C40&lt;EDATE(H$4,1),$D40&gt;=H$4),1,""))</f>
        <v>1</v>
      </c>
      <c r="I40" s="64" t="n">
        <f aca="false">IF(OR(I$4="",$C40="",$D40=""),"",IF(AND($C40&lt;EDATE(I$4,1),$D40&gt;=I$4),1,""))</f>
        <v>1</v>
      </c>
      <c r="J40" s="64" t="n">
        <f aca="false">IF(OR(J$4="",$C40="",$D40=""),"",IF(AND($C40&lt;EDATE(J$4,1),$D40&gt;=J$4),1,""))</f>
        <v>1</v>
      </c>
      <c r="K40" s="64" t="n">
        <f aca="false">IF(OR(K$4="",$C40="",$D40=""),"",IF(AND($C40&lt;EDATE(K$4,1),$D40&gt;=K$4),1,""))</f>
        <v>1</v>
      </c>
      <c r="L40" s="64" t="n">
        <f aca="false">IF(OR(L$4="",$C40="",$D40=""),"",IF(AND($C40&lt;EDATE(L$4,1),$D40&gt;=L$4),1,""))</f>
        <v>1</v>
      </c>
      <c r="M40" s="64" t="n">
        <f aca="false">IF(OR(M$4="",$C40="",$D40=""),"",IF(AND($C40&lt;EDATE(M$4,1),$D40&gt;=M$4),1,""))</f>
        <v>1</v>
      </c>
      <c r="N40" s="64" t="n">
        <f aca="false">IF(OR(N$4="",$C40="",$D40=""),"",IF(AND($C40&lt;EDATE(N$4,1),$D40&gt;=N$4),1,""))</f>
        <v>1</v>
      </c>
      <c r="O40" s="64" t="n">
        <f aca="false">IF(OR(O$4="",$C40="",$D40=""),"",IF(AND($C40&lt;EDATE(O$4,1),$D40&gt;=O$4),1,""))</f>
        <v>1</v>
      </c>
      <c r="P40" s="64" t="n">
        <f aca="false">IF(OR(P$4="",$C40="",$D40=""),"",IF(AND($C40&lt;EDATE(P$4,1),$D40&gt;=P$4),1,""))</f>
        <v>1</v>
      </c>
      <c r="Q40" s="64" t="n">
        <f aca="false">IF(OR(Q$4="",$C40="",$D40=""),"",IF(AND($C40&lt;EDATE(Q$4,1),$D40&gt;=Q$4),1,""))</f>
        <v>1</v>
      </c>
      <c r="R40" s="64" t="n">
        <f aca="false">IF(OR(R$4="",$C40="",$D40=""),"",IF(AND($C40&lt;EDATE(R$4,1),$D40&gt;=R$4),1,""))</f>
        <v>1</v>
      </c>
      <c r="S40" s="64" t="n">
        <f aca="false">IF(OR(S$4="",$C40="",$D40=""),"",IF(AND($C40&lt;EDATE(S$4,1),$D40&gt;=S$4),1,""))</f>
        <v>1</v>
      </c>
      <c r="T40" s="64" t="n">
        <f aca="false">IF(OR(T$4="",$C40="",$D40=""),"",IF(AND($C40&lt;EDATE(T$4,1),$D40&gt;=T$4),1,""))</f>
        <v>1</v>
      </c>
      <c r="U40" s="64" t="n">
        <f aca="false">IF(OR(U$4="",$C40="",$D40=""),"",IF(AND($C40&lt;EDATE(U$4,1),$D40&gt;=U$4),1,""))</f>
        <v>1</v>
      </c>
      <c r="V40" s="64" t="n">
        <f aca="false">IF(OR(V$4="",$C40="",$D40=""),"",IF(AND($C40&lt;EDATE(V$4,1),$D40&gt;=V$4),1,""))</f>
        <v>1</v>
      </c>
      <c r="W40" s="64" t="n">
        <f aca="false">IF(OR(W$4="",$C40="",$D40=""),"",IF(AND($C40&lt;EDATE(W$4,1),$D40&gt;=W$4),1,""))</f>
        <v>1</v>
      </c>
      <c r="X40" s="64" t="n">
        <f aca="false">IF(OR(X$4="",$C40="",$D40=""),"",IF(AND($C40&lt;EDATE(X$4,1),$D40&gt;=X$4),1,""))</f>
        <v>1</v>
      </c>
      <c r="Y40" s="64" t="n">
        <f aca="false">IF(OR(Y$4="",$C40="",$D40=""),"",IF(AND($C40&lt;EDATE(Y$4,1),$D40&gt;=Y$4),1,""))</f>
        <v>1</v>
      </c>
      <c r="Z40" s="64" t="n">
        <f aca="false">IF(OR(Z$4="",$C40="",$D40=""),"",IF(AND($C40&lt;EDATE(Z$4,1),$D40&gt;=Z$4),1,""))</f>
        <v>1</v>
      </c>
      <c r="AA40" s="64" t="n">
        <f aca="false">IF(OR(AA$4="",$C40="",$D40=""),"",IF(AND($C40&lt;EDATE(AA$4,1),$D40&gt;=AA$4),1,""))</f>
        <v>1</v>
      </c>
      <c r="AB40" s="64" t="n">
        <f aca="false">IF(OR(AB$4="",$C40="",$D40=""),"",IF(AND($C40&lt;EDATE(AB$4,1),$D40&gt;=AB$4),1,""))</f>
        <v>1</v>
      </c>
      <c r="AC40" s="64" t="n">
        <f aca="false">IF(OR(AC$4="",$C40="",$D40=""),"",IF(AND($C40&lt;EDATE(AC$4,1),$D40&gt;=AC$4),1,""))</f>
        <v>1</v>
      </c>
      <c r="AD40" s="64" t="n">
        <f aca="false">IF(OR(AD$4="",$C40="",$D40=""),"",IF(AND($C40&lt;EDATE(AD$4,1),$D40&gt;=AD$4),1,""))</f>
        <v>1</v>
      </c>
      <c r="AE40" s="64" t="n">
        <f aca="false">IF(OR(AE$4="",$C40="",$D40=""),"",IF(AND($C40&lt;EDATE(AE$4,1),$D40&gt;=AE$4),1,""))</f>
        <v>1</v>
      </c>
      <c r="AF40" s="64" t="n">
        <f aca="false">IF(OR(AF$4="",$C40="",$D40=""),"",IF(AND($C40&lt;EDATE(AF$4,1),$D40&gt;=AF$4),1,""))</f>
        <v>1</v>
      </c>
      <c r="AG40" s="64" t="n">
        <f aca="false">IF(OR(AG$4="",$C40="",$D40=""),"",IF(AND($C40&lt;EDATE(AG$4,1),$D40&gt;=AG$4),1,""))</f>
        <v>1</v>
      </c>
      <c r="AH40" s="64" t="n">
        <f aca="false">IF(OR(AH$4="",$C40="",$D40=""),"",IF(AND($C40&lt;EDATE(AH$4,1),$D40&gt;=AH$4),1,""))</f>
        <v>1</v>
      </c>
      <c r="AI40" s="64" t="n">
        <f aca="false">IF(OR(AI$4="",$C40="",$D40=""),"",IF(AND($C40&lt;EDATE(AI$4,1),$D40&gt;=AI$4),1,""))</f>
        <v>1</v>
      </c>
      <c r="AJ40" s="64" t="n">
        <f aca="false">IF(OR(AJ$4="",$C40="",$D40=""),"",IF(AND($C40&lt;EDATE(AJ$4,1),$D40&gt;=AJ$4),1,""))</f>
        <v>1</v>
      </c>
      <c r="AK40" s="64" t="n">
        <f aca="false">IF(OR(AK$4="",$C40="",$D40=""),"",IF(AND($C40&lt;EDATE(AK$4,1),$D40&gt;=AK$4),1,""))</f>
        <v>1</v>
      </c>
      <c r="AL40" s="64" t="n">
        <f aca="false">IF(OR(AL$4="",$C40="",$D40=""),"",IF(AND($C40&lt;EDATE(AL$4,1),$D40&gt;=AL$4),1,""))</f>
        <v>1</v>
      </c>
      <c r="AM40" s="64" t="n">
        <f aca="false">IF(OR(AM$4="",$C40="",$D40=""),"",IF(AND($C40&lt;EDATE(AM$4,1),$D40&gt;=AM$4),1,""))</f>
        <v>1</v>
      </c>
      <c r="AN40" s="64" t="n">
        <f aca="false">IF(OR(AN$4="",$C40="",$D40=""),"",IF(AND($C40&lt;EDATE(AN$4,1),$D40&gt;=AN$4),1,""))</f>
        <v>1</v>
      </c>
      <c r="AO40" s="64" t="n">
        <f aca="false">IF(OR(AO$4="",$C40="",$D40=""),"",IF(AND($C40&lt;EDATE(AO$4,1),$D40&gt;=AO$4),1,""))</f>
        <v>1</v>
      </c>
      <c r="AP40" s="64" t="str">
        <f aca="false">IF(OR(AP$4="",$C40="",$D40=""),"",IF(AND($C40&lt;EDATE(AP$4,1),$D40&gt;=AP$4),1,""))</f>
        <v/>
      </c>
      <c r="AQ40" s="64" t="str">
        <f aca="false">IF(OR(AQ$4="",$C40="",$D40=""),"",IF(AND($C40&lt;EDATE(AQ$4,1),$D40&gt;=AQ$4),1,""))</f>
        <v/>
      </c>
      <c r="AR40" s="64" t="str">
        <f aca="false">IF(OR(AR$4="",$C40="",$D40=""),"",IF(AND($C40&lt;EDATE(AR$4,1),$D40&gt;=AR$4),1,""))</f>
        <v/>
      </c>
      <c r="AS40" s="64" t="str">
        <f aca="false">IF(OR(AS$4="",$C40="",$D40=""),"",IF(AND($C40&lt;EDATE(AS$4,1),$D40&gt;=AS$4),1,""))</f>
        <v/>
      </c>
      <c r="AT40" s="64" t="str">
        <f aca="false">IF(OR(AT$4="",$C40="",$D40=""),"",IF(AND($C40&lt;EDATE(AT$4,1),$D40&gt;=AT$4),1,""))</f>
        <v/>
      </c>
      <c r="AU40" s="64" t="str">
        <f aca="false">IF(OR(AU$4="",$C40="",$D40=""),"",IF(AND($C40&lt;EDATE(AU$4,1),$D40&gt;=AU$4),1,""))</f>
        <v/>
      </c>
      <c r="AV40" s="64" t="str">
        <f aca="false">IF(OR(AV$4="",$C40="",$D40=""),"",IF(AND($C40&lt;EDATE(AV$4,1),$D40&gt;=AV$4),1,""))</f>
        <v/>
      </c>
      <c r="AW40" s="64" t="str">
        <f aca="false">IF(OR(AW$4="",$C40="",$D40=""),"",IF(AND($C40&lt;EDATE(AW$4,1),$D40&gt;=AW$4),1,""))</f>
        <v/>
      </c>
      <c r="AX40" s="64" t="str">
        <f aca="false">IF(OR(AX$4="",$C40="",$D40=""),"",IF(AND($C40&lt;EDATE(AX$4,1),$D40&gt;=AX$4),1,""))</f>
        <v/>
      </c>
      <c r="AY40" s="64" t="str">
        <f aca="false">IF(OR(AY$4="",$C40="",$D40=""),"",IF(AND($C40&lt;EDATE(AY$4,1),$D40&gt;=AY$4),1,""))</f>
        <v/>
      </c>
      <c r="AZ40" s="64" t="str">
        <f aca="false">IF(OR(AZ$4="",$C40="",$D40=""),"",IF(AND($C40&lt;EDATE(AZ$4,1),$D40&gt;=AZ$4),1,""))</f>
        <v/>
      </c>
      <c r="BA40" s="64" t="str">
        <f aca="false">IF(OR(BA$4="",$C40="",$D40=""),"",IF(AND($C40&lt;EDATE(BA$4,1),$D40&gt;=BA$4),1,""))</f>
        <v/>
      </c>
      <c r="BB40" s="64" t="str">
        <f aca="false">IF(OR(BB$4="",$C40="",$D40=""),"",IF(AND($C40&lt;EDATE(BB$4,1),$D40&gt;=BB$4),1,""))</f>
        <v/>
      </c>
      <c r="BC40" s="64" t="str">
        <f aca="false">IF(OR(BC$4="",$C40="",$D40=""),"",IF(AND($C40&lt;EDATE(BC$4,1),$D40&gt;=BC$4),1,""))</f>
        <v/>
      </c>
      <c r="BD40" s="64" t="str">
        <f aca="false">IF(OR(BD$4="",$C40="",$D40=""),"",IF(AND($C40&lt;EDATE(BD$4,1),$D40&gt;=BD$4),1,""))</f>
        <v/>
      </c>
      <c r="BE40" s="64" t="str">
        <f aca="false">IF(OR(BE$4="",$C40="",$D40=""),"",IF(AND($C40&lt;EDATE(BE$4,1),$D40&gt;=BE$4),1,""))</f>
        <v/>
      </c>
      <c r="BF40" s="64" t="str">
        <f aca="false">IF(OR(BF$4="",$C40="",$D40=""),"",IF(AND($C40&lt;EDATE(BF$4,1),$D40&gt;=BF$4),1,""))</f>
        <v/>
      </c>
      <c r="BG40" s="64" t="str">
        <f aca="false">IF(OR(BG$4="",$C40="",$D40=""),"",IF(AND($C40&lt;EDATE(BG$4,1),$D40&gt;=BG$4),1,""))</f>
        <v/>
      </c>
      <c r="BH40" s="64" t="str">
        <f aca="false">IF(OR(BH$4="",$C40="",$D40=""),"",IF(AND($C40&lt;EDATE(BH$4,1),$D40&gt;=BH$4),1,""))</f>
        <v/>
      </c>
      <c r="BI40" s="64" t="str">
        <f aca="false">IF(OR(BI$4="",$C40="",$D40=""),"",IF(AND($C40&lt;EDATE(BI$4,1),$D40&gt;=BI$4),1,""))</f>
        <v/>
      </c>
      <c r="BJ40" s="64" t="str">
        <f aca="false">IF(OR(BJ$4="",$C40="",$D40=""),"",IF(AND($C40&lt;EDATE(BJ$4,1),$D40&gt;=BJ$4),1,""))</f>
        <v/>
      </c>
      <c r="BK40" s="64" t="str">
        <f aca="false">IF(OR(BK$4="",$C40="",$D40=""),"",IF(AND($C40&lt;EDATE(BK$4,1),$D40&gt;=BK$4),1,""))</f>
        <v/>
      </c>
      <c r="BL40" s="64" t="str">
        <f aca="false">IF(OR(BL$4="",$C40="",$D40=""),"",IF(AND($C40&lt;EDATE(BL$4,1),$D40&gt;=BL$4),1,""))</f>
        <v/>
      </c>
      <c r="BM40" s="64" t="str">
        <f aca="false">IF(OR(BM$4="",$C40="",$D40=""),"",IF(AND($C40&lt;EDATE(BM$4,1),$D40&gt;=BM$4),1,""))</f>
        <v/>
      </c>
      <c r="BN40" s="64" t="str">
        <f aca="false">IF(OR(BN$4="",$C40="",$D40=""),"",IF(AND($C40&lt;EDATE(BN$4,1),$D40&gt;=BN$4),1,""))</f>
        <v/>
      </c>
      <c r="BO40" s="64" t="str">
        <f aca="false">IF(OR(BO$4="",$C40="",$D40=""),"",IF(AND($C40&lt;EDATE(BO$4,1),$D40&gt;=BO$4),1,""))</f>
        <v/>
      </c>
      <c r="BP40" s="64" t="str">
        <f aca="false">IF(OR(BP$4="",$C40="",$D40=""),"",IF(AND($C40&lt;EDATE(BP$4,1),$D40&gt;=BP$4),1,""))</f>
        <v/>
      </c>
      <c r="BQ40" s="64" t="str">
        <f aca="false">IF(OR(BQ$4="",$C40="",$D40=""),"",IF(AND($C40&lt;EDATE(BQ$4,1),$D40&gt;=BQ$4),1,""))</f>
        <v/>
      </c>
      <c r="BR40" s="64" t="str">
        <f aca="false">IF(OR(BR$4="",$C40="",$D40=""),"",IF(AND($C40&lt;EDATE(BR$4,1),$D40&gt;=BR$4),1,""))</f>
        <v/>
      </c>
      <c r="BS40" s="64" t="str">
        <f aca="false">IF(OR(BS$4="",$C40="",$D40=""),"",IF(AND($C40&lt;EDATE(BS$4,1),$D40&gt;=BS$4),1,""))</f>
        <v/>
      </c>
      <c r="BT40" s="64" t="str">
        <f aca="false">IF(OR(BT$4="",$C40="",$D40=""),"",IF(AND($C40&lt;EDATE(BT$4,1),$D40&gt;=BT$4),1,""))</f>
        <v/>
      </c>
      <c r="BU40" s="64" t="str">
        <f aca="false">IF(OR(BU$4="",$C40="",$D40=""),"",IF(AND($C40&lt;EDATE(BU$4,1),$D40&gt;=BU$4),1,""))</f>
        <v/>
      </c>
      <c r="BV40" s="64" t="str">
        <f aca="false">IF(OR(BV$4="",$C40="",$D40=""),"",IF(AND($C40&lt;EDATE(BV$4,1),$D40&gt;=BV$4),1,""))</f>
        <v/>
      </c>
      <c r="BW40" s="64" t="str">
        <f aca="false">IF(OR(BW$4="",$C40="",$D40=""),"",IF(AND($C40&lt;EDATE(BW$4,1),$D40&gt;=BW$4),1,""))</f>
        <v/>
      </c>
      <c r="BX40" s="64" t="str">
        <f aca="false">IF(OR(BX$4="",$C40="",$D40=""),"",IF(AND($C40&lt;EDATE(BX$4,1),$D40&gt;=BX$4),1,""))</f>
        <v/>
      </c>
      <c r="BY40" s="64" t="str">
        <f aca="false">IF(OR(BY$4="",$C40="",$D40=""),"",IF(AND($C40&lt;EDATE(BY$4,1),$D40&gt;=BY$4),1,""))</f>
        <v/>
      </c>
    </row>
    <row r="41" customFormat="false" ht="15" hidden="false" customHeight="false" outlineLevel="0" collapsed="false">
      <c r="A41" s="53" t="str">
        <f aca="false">IF(BOE!$A10="","",BOE!$A10)</f>
        <v>105</v>
      </c>
      <c r="B41" s="53" t="str">
        <f aca="false">IF(BOE!$A10="","",BOE!$C10)</f>
        <v>Integrated Product Team / Working Group support</v>
      </c>
      <c r="C41" s="54" t="n">
        <f aca="false">IF(OR(BOE!$A10="",BOE!$E10&lt;&gt;"Y"),"",BOE!$O10)</f>
        <v>46391</v>
      </c>
      <c r="D41" s="54" t="n">
        <f aca="false">IF(OR(BOE!$A10="",BOE!$E10&lt;&gt;"Y"),"",BOE!$P10)</f>
        <v>47483</v>
      </c>
      <c r="E41" s="55" t="n">
        <f aca="false">IF(OR(BOE!$A10="",BOE!$E10&lt;&gt;"Y"),"",IF(Inputs!$B$7="P90",BOE!$T10,BOE!$R10))</f>
        <v>430.521560574949</v>
      </c>
      <c r="F41" s="64" t="n">
        <f aca="false">IF(OR(F$4="",$C41="",$D41=""),"",IF(AND($C41&lt;EDATE(F$4,1),$D41&gt;=F$4),1,""))</f>
        <v>1</v>
      </c>
      <c r="G41" s="64" t="n">
        <f aca="false">IF(OR(G$4="",$C41="",$D41=""),"",IF(AND($C41&lt;EDATE(G$4,1),$D41&gt;=G$4),1,""))</f>
        <v>1</v>
      </c>
      <c r="H41" s="64" t="n">
        <f aca="false">IF(OR(H$4="",$C41="",$D41=""),"",IF(AND($C41&lt;EDATE(H$4,1),$D41&gt;=H$4),1,""))</f>
        <v>1</v>
      </c>
      <c r="I41" s="64" t="n">
        <f aca="false">IF(OR(I$4="",$C41="",$D41=""),"",IF(AND($C41&lt;EDATE(I$4,1),$D41&gt;=I$4),1,""))</f>
        <v>1</v>
      </c>
      <c r="J41" s="64" t="n">
        <f aca="false">IF(OR(J$4="",$C41="",$D41=""),"",IF(AND($C41&lt;EDATE(J$4,1),$D41&gt;=J$4),1,""))</f>
        <v>1</v>
      </c>
      <c r="K41" s="64" t="n">
        <f aca="false">IF(OR(K$4="",$C41="",$D41=""),"",IF(AND($C41&lt;EDATE(K$4,1),$D41&gt;=K$4),1,""))</f>
        <v>1</v>
      </c>
      <c r="L41" s="64" t="n">
        <f aca="false">IF(OR(L$4="",$C41="",$D41=""),"",IF(AND($C41&lt;EDATE(L$4,1),$D41&gt;=L$4),1,""))</f>
        <v>1</v>
      </c>
      <c r="M41" s="64" t="n">
        <f aca="false">IF(OR(M$4="",$C41="",$D41=""),"",IF(AND($C41&lt;EDATE(M$4,1),$D41&gt;=M$4),1,""))</f>
        <v>1</v>
      </c>
      <c r="N41" s="64" t="n">
        <f aca="false">IF(OR(N$4="",$C41="",$D41=""),"",IF(AND($C41&lt;EDATE(N$4,1),$D41&gt;=N$4),1,""))</f>
        <v>1</v>
      </c>
      <c r="O41" s="64" t="n">
        <f aca="false">IF(OR(O$4="",$C41="",$D41=""),"",IF(AND($C41&lt;EDATE(O$4,1),$D41&gt;=O$4),1,""))</f>
        <v>1</v>
      </c>
      <c r="P41" s="64" t="n">
        <f aca="false">IF(OR(P$4="",$C41="",$D41=""),"",IF(AND($C41&lt;EDATE(P$4,1),$D41&gt;=P$4),1,""))</f>
        <v>1</v>
      </c>
      <c r="Q41" s="64" t="n">
        <f aca="false">IF(OR(Q$4="",$C41="",$D41=""),"",IF(AND($C41&lt;EDATE(Q$4,1),$D41&gt;=Q$4),1,""))</f>
        <v>1</v>
      </c>
      <c r="R41" s="64" t="n">
        <f aca="false">IF(OR(R$4="",$C41="",$D41=""),"",IF(AND($C41&lt;EDATE(R$4,1),$D41&gt;=R$4),1,""))</f>
        <v>1</v>
      </c>
      <c r="S41" s="64" t="n">
        <f aca="false">IF(OR(S$4="",$C41="",$D41=""),"",IF(AND($C41&lt;EDATE(S$4,1),$D41&gt;=S$4),1,""))</f>
        <v>1</v>
      </c>
      <c r="T41" s="64" t="n">
        <f aca="false">IF(OR(T$4="",$C41="",$D41=""),"",IF(AND($C41&lt;EDATE(T$4,1),$D41&gt;=T$4),1,""))</f>
        <v>1</v>
      </c>
      <c r="U41" s="64" t="n">
        <f aca="false">IF(OR(U$4="",$C41="",$D41=""),"",IF(AND($C41&lt;EDATE(U$4,1),$D41&gt;=U$4),1,""))</f>
        <v>1</v>
      </c>
      <c r="V41" s="64" t="n">
        <f aca="false">IF(OR(V$4="",$C41="",$D41=""),"",IF(AND($C41&lt;EDATE(V$4,1),$D41&gt;=V$4),1,""))</f>
        <v>1</v>
      </c>
      <c r="W41" s="64" t="n">
        <f aca="false">IF(OR(W$4="",$C41="",$D41=""),"",IF(AND($C41&lt;EDATE(W$4,1),$D41&gt;=W$4),1,""))</f>
        <v>1</v>
      </c>
      <c r="X41" s="64" t="n">
        <f aca="false">IF(OR(X$4="",$C41="",$D41=""),"",IF(AND($C41&lt;EDATE(X$4,1),$D41&gt;=X$4),1,""))</f>
        <v>1</v>
      </c>
      <c r="Y41" s="64" t="n">
        <f aca="false">IF(OR(Y$4="",$C41="",$D41=""),"",IF(AND($C41&lt;EDATE(Y$4,1),$D41&gt;=Y$4),1,""))</f>
        <v>1</v>
      </c>
      <c r="Z41" s="64" t="n">
        <f aca="false">IF(OR(Z$4="",$C41="",$D41=""),"",IF(AND($C41&lt;EDATE(Z$4,1),$D41&gt;=Z$4),1,""))</f>
        <v>1</v>
      </c>
      <c r="AA41" s="64" t="n">
        <f aca="false">IF(OR(AA$4="",$C41="",$D41=""),"",IF(AND($C41&lt;EDATE(AA$4,1),$D41&gt;=AA$4),1,""))</f>
        <v>1</v>
      </c>
      <c r="AB41" s="64" t="n">
        <f aca="false">IF(OR(AB$4="",$C41="",$D41=""),"",IF(AND($C41&lt;EDATE(AB$4,1),$D41&gt;=AB$4),1,""))</f>
        <v>1</v>
      </c>
      <c r="AC41" s="64" t="n">
        <f aca="false">IF(OR(AC$4="",$C41="",$D41=""),"",IF(AND($C41&lt;EDATE(AC$4,1),$D41&gt;=AC$4),1,""))</f>
        <v>1</v>
      </c>
      <c r="AD41" s="64" t="n">
        <f aca="false">IF(OR(AD$4="",$C41="",$D41=""),"",IF(AND($C41&lt;EDATE(AD$4,1),$D41&gt;=AD$4),1,""))</f>
        <v>1</v>
      </c>
      <c r="AE41" s="64" t="n">
        <f aca="false">IF(OR(AE$4="",$C41="",$D41=""),"",IF(AND($C41&lt;EDATE(AE$4,1),$D41&gt;=AE$4),1,""))</f>
        <v>1</v>
      </c>
      <c r="AF41" s="64" t="n">
        <f aca="false">IF(OR(AF$4="",$C41="",$D41=""),"",IF(AND($C41&lt;EDATE(AF$4,1),$D41&gt;=AF$4),1,""))</f>
        <v>1</v>
      </c>
      <c r="AG41" s="64" t="n">
        <f aca="false">IF(OR(AG$4="",$C41="",$D41=""),"",IF(AND($C41&lt;EDATE(AG$4,1),$D41&gt;=AG$4),1,""))</f>
        <v>1</v>
      </c>
      <c r="AH41" s="64" t="n">
        <f aca="false">IF(OR(AH$4="",$C41="",$D41=""),"",IF(AND($C41&lt;EDATE(AH$4,1),$D41&gt;=AH$4),1,""))</f>
        <v>1</v>
      </c>
      <c r="AI41" s="64" t="n">
        <f aca="false">IF(OR(AI$4="",$C41="",$D41=""),"",IF(AND($C41&lt;EDATE(AI$4,1),$D41&gt;=AI$4),1,""))</f>
        <v>1</v>
      </c>
      <c r="AJ41" s="64" t="n">
        <f aca="false">IF(OR(AJ$4="",$C41="",$D41=""),"",IF(AND($C41&lt;EDATE(AJ$4,1),$D41&gt;=AJ$4),1,""))</f>
        <v>1</v>
      </c>
      <c r="AK41" s="64" t="n">
        <f aca="false">IF(OR(AK$4="",$C41="",$D41=""),"",IF(AND($C41&lt;EDATE(AK$4,1),$D41&gt;=AK$4),1,""))</f>
        <v>1</v>
      </c>
      <c r="AL41" s="64" t="n">
        <f aca="false">IF(OR(AL$4="",$C41="",$D41=""),"",IF(AND($C41&lt;EDATE(AL$4,1),$D41&gt;=AL$4),1,""))</f>
        <v>1</v>
      </c>
      <c r="AM41" s="64" t="n">
        <f aca="false">IF(OR(AM$4="",$C41="",$D41=""),"",IF(AND($C41&lt;EDATE(AM$4,1),$D41&gt;=AM$4),1,""))</f>
        <v>1</v>
      </c>
      <c r="AN41" s="64" t="n">
        <f aca="false">IF(OR(AN$4="",$C41="",$D41=""),"",IF(AND($C41&lt;EDATE(AN$4,1),$D41&gt;=AN$4),1,""))</f>
        <v>1</v>
      </c>
      <c r="AO41" s="64" t="n">
        <f aca="false">IF(OR(AO$4="",$C41="",$D41=""),"",IF(AND($C41&lt;EDATE(AO$4,1),$D41&gt;=AO$4),1,""))</f>
        <v>1</v>
      </c>
      <c r="AP41" s="64" t="str">
        <f aca="false">IF(OR(AP$4="",$C41="",$D41=""),"",IF(AND($C41&lt;EDATE(AP$4,1),$D41&gt;=AP$4),1,""))</f>
        <v/>
      </c>
      <c r="AQ41" s="64" t="str">
        <f aca="false">IF(OR(AQ$4="",$C41="",$D41=""),"",IF(AND($C41&lt;EDATE(AQ$4,1),$D41&gt;=AQ$4),1,""))</f>
        <v/>
      </c>
      <c r="AR41" s="64" t="str">
        <f aca="false">IF(OR(AR$4="",$C41="",$D41=""),"",IF(AND($C41&lt;EDATE(AR$4,1),$D41&gt;=AR$4),1,""))</f>
        <v/>
      </c>
      <c r="AS41" s="64" t="str">
        <f aca="false">IF(OR(AS$4="",$C41="",$D41=""),"",IF(AND($C41&lt;EDATE(AS$4,1),$D41&gt;=AS$4),1,""))</f>
        <v/>
      </c>
      <c r="AT41" s="64" t="str">
        <f aca="false">IF(OR(AT$4="",$C41="",$D41=""),"",IF(AND($C41&lt;EDATE(AT$4,1),$D41&gt;=AT$4),1,""))</f>
        <v/>
      </c>
      <c r="AU41" s="64" t="str">
        <f aca="false">IF(OR(AU$4="",$C41="",$D41=""),"",IF(AND($C41&lt;EDATE(AU$4,1),$D41&gt;=AU$4),1,""))</f>
        <v/>
      </c>
      <c r="AV41" s="64" t="str">
        <f aca="false">IF(OR(AV$4="",$C41="",$D41=""),"",IF(AND($C41&lt;EDATE(AV$4,1),$D41&gt;=AV$4),1,""))</f>
        <v/>
      </c>
      <c r="AW41" s="64" t="str">
        <f aca="false">IF(OR(AW$4="",$C41="",$D41=""),"",IF(AND($C41&lt;EDATE(AW$4,1),$D41&gt;=AW$4),1,""))</f>
        <v/>
      </c>
      <c r="AX41" s="64" t="str">
        <f aca="false">IF(OR(AX$4="",$C41="",$D41=""),"",IF(AND($C41&lt;EDATE(AX$4,1),$D41&gt;=AX$4),1,""))</f>
        <v/>
      </c>
      <c r="AY41" s="64" t="str">
        <f aca="false">IF(OR(AY$4="",$C41="",$D41=""),"",IF(AND($C41&lt;EDATE(AY$4,1),$D41&gt;=AY$4),1,""))</f>
        <v/>
      </c>
      <c r="AZ41" s="64" t="str">
        <f aca="false">IF(OR(AZ$4="",$C41="",$D41=""),"",IF(AND($C41&lt;EDATE(AZ$4,1),$D41&gt;=AZ$4),1,""))</f>
        <v/>
      </c>
      <c r="BA41" s="64" t="str">
        <f aca="false">IF(OR(BA$4="",$C41="",$D41=""),"",IF(AND($C41&lt;EDATE(BA$4,1),$D41&gt;=BA$4),1,""))</f>
        <v/>
      </c>
      <c r="BB41" s="64" t="str">
        <f aca="false">IF(OR(BB$4="",$C41="",$D41=""),"",IF(AND($C41&lt;EDATE(BB$4,1),$D41&gt;=BB$4),1,""))</f>
        <v/>
      </c>
      <c r="BC41" s="64" t="str">
        <f aca="false">IF(OR(BC$4="",$C41="",$D41=""),"",IF(AND($C41&lt;EDATE(BC$4,1),$D41&gt;=BC$4),1,""))</f>
        <v/>
      </c>
      <c r="BD41" s="64" t="str">
        <f aca="false">IF(OR(BD$4="",$C41="",$D41=""),"",IF(AND($C41&lt;EDATE(BD$4,1),$D41&gt;=BD$4),1,""))</f>
        <v/>
      </c>
      <c r="BE41" s="64" t="str">
        <f aca="false">IF(OR(BE$4="",$C41="",$D41=""),"",IF(AND($C41&lt;EDATE(BE$4,1),$D41&gt;=BE$4),1,""))</f>
        <v/>
      </c>
      <c r="BF41" s="64" t="str">
        <f aca="false">IF(OR(BF$4="",$C41="",$D41=""),"",IF(AND($C41&lt;EDATE(BF$4,1),$D41&gt;=BF$4),1,""))</f>
        <v/>
      </c>
      <c r="BG41" s="64" t="str">
        <f aca="false">IF(OR(BG$4="",$C41="",$D41=""),"",IF(AND($C41&lt;EDATE(BG$4,1),$D41&gt;=BG$4),1,""))</f>
        <v/>
      </c>
      <c r="BH41" s="64" t="str">
        <f aca="false">IF(OR(BH$4="",$C41="",$D41=""),"",IF(AND($C41&lt;EDATE(BH$4,1),$D41&gt;=BH$4),1,""))</f>
        <v/>
      </c>
      <c r="BI41" s="64" t="str">
        <f aca="false">IF(OR(BI$4="",$C41="",$D41=""),"",IF(AND($C41&lt;EDATE(BI$4,1),$D41&gt;=BI$4),1,""))</f>
        <v/>
      </c>
      <c r="BJ41" s="64" t="str">
        <f aca="false">IF(OR(BJ$4="",$C41="",$D41=""),"",IF(AND($C41&lt;EDATE(BJ$4,1),$D41&gt;=BJ$4),1,""))</f>
        <v/>
      </c>
      <c r="BK41" s="64" t="str">
        <f aca="false">IF(OR(BK$4="",$C41="",$D41=""),"",IF(AND($C41&lt;EDATE(BK$4,1),$D41&gt;=BK$4),1,""))</f>
        <v/>
      </c>
      <c r="BL41" s="64" t="str">
        <f aca="false">IF(OR(BL$4="",$C41="",$D41=""),"",IF(AND($C41&lt;EDATE(BL$4,1),$D41&gt;=BL$4),1,""))</f>
        <v/>
      </c>
      <c r="BM41" s="64" t="str">
        <f aca="false">IF(OR(BM$4="",$C41="",$D41=""),"",IF(AND($C41&lt;EDATE(BM$4,1),$D41&gt;=BM$4),1,""))</f>
        <v/>
      </c>
      <c r="BN41" s="64" t="str">
        <f aca="false">IF(OR(BN$4="",$C41="",$D41=""),"",IF(AND($C41&lt;EDATE(BN$4,1),$D41&gt;=BN$4),1,""))</f>
        <v/>
      </c>
      <c r="BO41" s="64" t="str">
        <f aca="false">IF(OR(BO$4="",$C41="",$D41=""),"",IF(AND($C41&lt;EDATE(BO$4,1),$D41&gt;=BO$4),1,""))</f>
        <v/>
      </c>
      <c r="BP41" s="64" t="str">
        <f aca="false">IF(OR(BP$4="",$C41="",$D41=""),"",IF(AND($C41&lt;EDATE(BP$4,1),$D41&gt;=BP$4),1,""))</f>
        <v/>
      </c>
      <c r="BQ41" s="64" t="str">
        <f aca="false">IF(OR(BQ$4="",$C41="",$D41=""),"",IF(AND($C41&lt;EDATE(BQ$4,1),$D41&gt;=BQ$4),1,""))</f>
        <v/>
      </c>
      <c r="BR41" s="64" t="str">
        <f aca="false">IF(OR(BR$4="",$C41="",$D41=""),"",IF(AND($C41&lt;EDATE(BR$4,1),$D41&gt;=BR$4),1,""))</f>
        <v/>
      </c>
      <c r="BS41" s="64" t="str">
        <f aca="false">IF(OR(BS$4="",$C41="",$D41=""),"",IF(AND($C41&lt;EDATE(BS$4,1),$D41&gt;=BS$4),1,""))</f>
        <v/>
      </c>
      <c r="BT41" s="64" t="str">
        <f aca="false">IF(OR(BT$4="",$C41="",$D41=""),"",IF(AND($C41&lt;EDATE(BT$4,1),$D41&gt;=BT$4),1,""))</f>
        <v/>
      </c>
      <c r="BU41" s="64" t="str">
        <f aca="false">IF(OR(BU$4="",$C41="",$D41=""),"",IF(AND($C41&lt;EDATE(BU$4,1),$D41&gt;=BU$4),1,""))</f>
        <v/>
      </c>
      <c r="BV41" s="64" t="str">
        <f aca="false">IF(OR(BV$4="",$C41="",$D41=""),"",IF(AND($C41&lt;EDATE(BV$4,1),$D41&gt;=BV$4),1,""))</f>
        <v/>
      </c>
      <c r="BW41" s="64" t="str">
        <f aca="false">IF(OR(BW$4="",$C41="",$D41=""),"",IF(AND($C41&lt;EDATE(BW$4,1),$D41&gt;=BW$4),1,""))</f>
        <v/>
      </c>
      <c r="BX41" s="64" t="str">
        <f aca="false">IF(OR(BX$4="",$C41="",$D41=""),"",IF(AND($C41&lt;EDATE(BX$4,1),$D41&gt;=BX$4),1,""))</f>
        <v/>
      </c>
      <c r="BY41" s="64" t="str">
        <f aca="false">IF(OR(BY$4="",$C41="",$D41=""),"",IF(AND($C41&lt;EDATE(BY$4,1),$D41&gt;=BY$4),1,""))</f>
        <v/>
      </c>
    </row>
    <row r="42" customFormat="false" ht="15" hidden="false" customHeight="false" outlineLevel="0" collapsed="false">
      <c r="A42" s="53" t="str">
        <f aca="false">IF(BOE!$A11="","",BOE!$A11)</f>
        <v>106a</v>
      </c>
      <c r="B42" s="53" t="str">
        <f aca="false">IF(BOE!$A11="","",BOE!$C11)</f>
        <v>Hazard Tracking System — establish</v>
      </c>
      <c r="C42" s="54" t="n">
        <f aca="false">IF(OR(BOE!$A11="",BOE!$E11&lt;&gt;"Y"),"",BOE!$O11)</f>
        <v>46391</v>
      </c>
      <c r="D42" s="54" t="n">
        <f aca="false">IF(OR(BOE!$A11="",BOE!$E11&lt;&gt;"Y"),"",BOE!$P11)</f>
        <v>46481</v>
      </c>
      <c r="E42" s="55" t="n">
        <f aca="false">IF(OR(BOE!$A11="",BOE!$E11&lt;&gt;"Y"),"",IF(Inputs!$B$7="P90",BOE!$T11,BOE!$R11))</f>
        <v>120</v>
      </c>
      <c r="F42" s="64" t="n">
        <f aca="false">IF(OR(F$4="",$C42="",$D42=""),"",IF(AND($C42&lt;EDATE(F$4,1),$D42&gt;=F$4),1,""))</f>
        <v>1</v>
      </c>
      <c r="G42" s="64" t="n">
        <f aca="false">IF(OR(G$4="",$C42="",$D42=""),"",IF(AND($C42&lt;EDATE(G$4,1),$D42&gt;=G$4),1,""))</f>
        <v>1</v>
      </c>
      <c r="H42" s="64" t="n">
        <f aca="false">IF(OR(H$4="",$C42="",$D42=""),"",IF(AND($C42&lt;EDATE(H$4,1),$D42&gt;=H$4),1,""))</f>
        <v>1</v>
      </c>
      <c r="I42" s="64" t="n">
        <f aca="false">IF(OR(I$4="",$C42="",$D42=""),"",IF(AND($C42&lt;EDATE(I$4,1),$D42&gt;=I$4),1,""))</f>
        <v>1</v>
      </c>
      <c r="J42" s="64" t="str">
        <f aca="false">IF(OR(J$4="",$C42="",$D42=""),"",IF(AND($C42&lt;EDATE(J$4,1),$D42&gt;=J$4),1,""))</f>
        <v/>
      </c>
      <c r="K42" s="64" t="str">
        <f aca="false">IF(OR(K$4="",$C42="",$D42=""),"",IF(AND($C42&lt;EDATE(K$4,1),$D42&gt;=K$4),1,""))</f>
        <v/>
      </c>
      <c r="L42" s="64" t="str">
        <f aca="false">IF(OR(L$4="",$C42="",$D42=""),"",IF(AND($C42&lt;EDATE(L$4,1),$D42&gt;=L$4),1,""))</f>
        <v/>
      </c>
      <c r="M42" s="64" t="str">
        <f aca="false">IF(OR(M$4="",$C42="",$D42=""),"",IF(AND($C42&lt;EDATE(M$4,1),$D42&gt;=M$4),1,""))</f>
        <v/>
      </c>
      <c r="N42" s="64" t="str">
        <f aca="false">IF(OR(N$4="",$C42="",$D42=""),"",IF(AND($C42&lt;EDATE(N$4,1),$D42&gt;=N$4),1,""))</f>
        <v/>
      </c>
      <c r="O42" s="64" t="str">
        <f aca="false">IF(OR(O$4="",$C42="",$D42=""),"",IF(AND($C42&lt;EDATE(O$4,1),$D42&gt;=O$4),1,""))</f>
        <v/>
      </c>
      <c r="P42" s="64" t="str">
        <f aca="false">IF(OR(P$4="",$C42="",$D42=""),"",IF(AND($C42&lt;EDATE(P$4,1),$D42&gt;=P$4),1,""))</f>
        <v/>
      </c>
      <c r="Q42" s="64" t="str">
        <f aca="false">IF(OR(Q$4="",$C42="",$D42=""),"",IF(AND($C42&lt;EDATE(Q$4,1),$D42&gt;=Q$4),1,""))</f>
        <v/>
      </c>
      <c r="R42" s="64" t="str">
        <f aca="false">IF(OR(R$4="",$C42="",$D42=""),"",IF(AND($C42&lt;EDATE(R$4,1),$D42&gt;=R$4),1,""))</f>
        <v/>
      </c>
      <c r="S42" s="64" t="str">
        <f aca="false">IF(OR(S$4="",$C42="",$D42=""),"",IF(AND($C42&lt;EDATE(S$4,1),$D42&gt;=S$4),1,""))</f>
        <v/>
      </c>
      <c r="T42" s="64" t="str">
        <f aca="false">IF(OR(T$4="",$C42="",$D42=""),"",IF(AND($C42&lt;EDATE(T$4,1),$D42&gt;=T$4),1,""))</f>
        <v/>
      </c>
      <c r="U42" s="64" t="str">
        <f aca="false">IF(OR(U$4="",$C42="",$D42=""),"",IF(AND($C42&lt;EDATE(U$4,1),$D42&gt;=U$4),1,""))</f>
        <v/>
      </c>
      <c r="V42" s="64" t="str">
        <f aca="false">IF(OR(V$4="",$C42="",$D42=""),"",IF(AND($C42&lt;EDATE(V$4,1),$D42&gt;=V$4),1,""))</f>
        <v/>
      </c>
      <c r="W42" s="64" t="str">
        <f aca="false">IF(OR(W$4="",$C42="",$D42=""),"",IF(AND($C42&lt;EDATE(W$4,1),$D42&gt;=W$4),1,""))</f>
        <v/>
      </c>
      <c r="X42" s="64" t="str">
        <f aca="false">IF(OR(X$4="",$C42="",$D42=""),"",IF(AND($C42&lt;EDATE(X$4,1),$D42&gt;=X$4),1,""))</f>
        <v/>
      </c>
      <c r="Y42" s="64" t="str">
        <f aca="false">IF(OR(Y$4="",$C42="",$D42=""),"",IF(AND($C42&lt;EDATE(Y$4,1),$D42&gt;=Y$4),1,""))</f>
        <v/>
      </c>
      <c r="Z42" s="64" t="str">
        <f aca="false">IF(OR(Z$4="",$C42="",$D42=""),"",IF(AND($C42&lt;EDATE(Z$4,1),$D42&gt;=Z$4),1,""))</f>
        <v/>
      </c>
      <c r="AA42" s="64" t="str">
        <f aca="false">IF(OR(AA$4="",$C42="",$D42=""),"",IF(AND($C42&lt;EDATE(AA$4,1),$D42&gt;=AA$4),1,""))</f>
        <v/>
      </c>
      <c r="AB42" s="64" t="str">
        <f aca="false">IF(OR(AB$4="",$C42="",$D42=""),"",IF(AND($C42&lt;EDATE(AB$4,1),$D42&gt;=AB$4),1,""))</f>
        <v/>
      </c>
      <c r="AC42" s="64" t="str">
        <f aca="false">IF(OR(AC$4="",$C42="",$D42=""),"",IF(AND($C42&lt;EDATE(AC$4,1),$D42&gt;=AC$4),1,""))</f>
        <v/>
      </c>
      <c r="AD42" s="64" t="str">
        <f aca="false">IF(OR(AD$4="",$C42="",$D42=""),"",IF(AND($C42&lt;EDATE(AD$4,1),$D42&gt;=AD$4),1,""))</f>
        <v/>
      </c>
      <c r="AE42" s="64" t="str">
        <f aca="false">IF(OR(AE$4="",$C42="",$D42=""),"",IF(AND($C42&lt;EDATE(AE$4,1),$D42&gt;=AE$4),1,""))</f>
        <v/>
      </c>
      <c r="AF42" s="64" t="str">
        <f aca="false">IF(OR(AF$4="",$C42="",$D42=""),"",IF(AND($C42&lt;EDATE(AF$4,1),$D42&gt;=AF$4),1,""))</f>
        <v/>
      </c>
      <c r="AG42" s="64" t="str">
        <f aca="false">IF(OR(AG$4="",$C42="",$D42=""),"",IF(AND($C42&lt;EDATE(AG$4,1),$D42&gt;=AG$4),1,""))</f>
        <v/>
      </c>
      <c r="AH42" s="64" t="str">
        <f aca="false">IF(OR(AH$4="",$C42="",$D42=""),"",IF(AND($C42&lt;EDATE(AH$4,1),$D42&gt;=AH$4),1,""))</f>
        <v/>
      </c>
      <c r="AI42" s="64" t="str">
        <f aca="false">IF(OR(AI$4="",$C42="",$D42=""),"",IF(AND($C42&lt;EDATE(AI$4,1),$D42&gt;=AI$4),1,""))</f>
        <v/>
      </c>
      <c r="AJ42" s="64" t="str">
        <f aca="false">IF(OR(AJ$4="",$C42="",$D42=""),"",IF(AND($C42&lt;EDATE(AJ$4,1),$D42&gt;=AJ$4),1,""))</f>
        <v/>
      </c>
      <c r="AK42" s="64" t="str">
        <f aca="false">IF(OR(AK$4="",$C42="",$D42=""),"",IF(AND($C42&lt;EDATE(AK$4,1),$D42&gt;=AK$4),1,""))</f>
        <v/>
      </c>
      <c r="AL42" s="64" t="str">
        <f aca="false">IF(OR(AL$4="",$C42="",$D42=""),"",IF(AND($C42&lt;EDATE(AL$4,1),$D42&gt;=AL$4),1,""))</f>
        <v/>
      </c>
      <c r="AM42" s="64" t="str">
        <f aca="false">IF(OR(AM$4="",$C42="",$D42=""),"",IF(AND($C42&lt;EDATE(AM$4,1),$D42&gt;=AM$4),1,""))</f>
        <v/>
      </c>
      <c r="AN42" s="64" t="str">
        <f aca="false">IF(OR(AN$4="",$C42="",$D42=""),"",IF(AND($C42&lt;EDATE(AN$4,1),$D42&gt;=AN$4),1,""))</f>
        <v/>
      </c>
      <c r="AO42" s="64" t="str">
        <f aca="false">IF(OR(AO$4="",$C42="",$D42=""),"",IF(AND($C42&lt;EDATE(AO$4,1),$D42&gt;=AO$4),1,""))</f>
        <v/>
      </c>
      <c r="AP42" s="64" t="str">
        <f aca="false">IF(OR(AP$4="",$C42="",$D42=""),"",IF(AND($C42&lt;EDATE(AP$4,1),$D42&gt;=AP$4),1,""))</f>
        <v/>
      </c>
      <c r="AQ42" s="64" t="str">
        <f aca="false">IF(OR(AQ$4="",$C42="",$D42=""),"",IF(AND($C42&lt;EDATE(AQ$4,1),$D42&gt;=AQ$4),1,""))</f>
        <v/>
      </c>
      <c r="AR42" s="64" t="str">
        <f aca="false">IF(OR(AR$4="",$C42="",$D42=""),"",IF(AND($C42&lt;EDATE(AR$4,1),$D42&gt;=AR$4),1,""))</f>
        <v/>
      </c>
      <c r="AS42" s="64" t="str">
        <f aca="false">IF(OR(AS$4="",$C42="",$D42=""),"",IF(AND($C42&lt;EDATE(AS$4,1),$D42&gt;=AS$4),1,""))</f>
        <v/>
      </c>
      <c r="AT42" s="64" t="str">
        <f aca="false">IF(OR(AT$4="",$C42="",$D42=""),"",IF(AND($C42&lt;EDATE(AT$4,1),$D42&gt;=AT$4),1,""))</f>
        <v/>
      </c>
      <c r="AU42" s="64" t="str">
        <f aca="false">IF(OR(AU$4="",$C42="",$D42=""),"",IF(AND($C42&lt;EDATE(AU$4,1),$D42&gt;=AU$4),1,""))</f>
        <v/>
      </c>
      <c r="AV42" s="64" t="str">
        <f aca="false">IF(OR(AV$4="",$C42="",$D42=""),"",IF(AND($C42&lt;EDATE(AV$4,1),$D42&gt;=AV$4),1,""))</f>
        <v/>
      </c>
      <c r="AW42" s="64" t="str">
        <f aca="false">IF(OR(AW$4="",$C42="",$D42=""),"",IF(AND($C42&lt;EDATE(AW$4,1),$D42&gt;=AW$4),1,""))</f>
        <v/>
      </c>
      <c r="AX42" s="64" t="str">
        <f aca="false">IF(OR(AX$4="",$C42="",$D42=""),"",IF(AND($C42&lt;EDATE(AX$4,1),$D42&gt;=AX$4),1,""))</f>
        <v/>
      </c>
      <c r="AY42" s="64" t="str">
        <f aca="false">IF(OR(AY$4="",$C42="",$D42=""),"",IF(AND($C42&lt;EDATE(AY$4,1),$D42&gt;=AY$4),1,""))</f>
        <v/>
      </c>
      <c r="AZ42" s="64" t="str">
        <f aca="false">IF(OR(AZ$4="",$C42="",$D42=""),"",IF(AND($C42&lt;EDATE(AZ$4,1),$D42&gt;=AZ$4),1,""))</f>
        <v/>
      </c>
      <c r="BA42" s="64" t="str">
        <f aca="false">IF(OR(BA$4="",$C42="",$D42=""),"",IF(AND($C42&lt;EDATE(BA$4,1),$D42&gt;=BA$4),1,""))</f>
        <v/>
      </c>
      <c r="BB42" s="64" t="str">
        <f aca="false">IF(OR(BB$4="",$C42="",$D42=""),"",IF(AND($C42&lt;EDATE(BB$4,1),$D42&gt;=BB$4),1,""))</f>
        <v/>
      </c>
      <c r="BC42" s="64" t="str">
        <f aca="false">IF(OR(BC$4="",$C42="",$D42=""),"",IF(AND($C42&lt;EDATE(BC$4,1),$D42&gt;=BC$4),1,""))</f>
        <v/>
      </c>
      <c r="BD42" s="64" t="str">
        <f aca="false">IF(OR(BD$4="",$C42="",$D42=""),"",IF(AND($C42&lt;EDATE(BD$4,1),$D42&gt;=BD$4),1,""))</f>
        <v/>
      </c>
      <c r="BE42" s="64" t="str">
        <f aca="false">IF(OR(BE$4="",$C42="",$D42=""),"",IF(AND($C42&lt;EDATE(BE$4,1),$D42&gt;=BE$4),1,""))</f>
        <v/>
      </c>
      <c r="BF42" s="64" t="str">
        <f aca="false">IF(OR(BF$4="",$C42="",$D42=""),"",IF(AND($C42&lt;EDATE(BF$4,1),$D42&gt;=BF$4),1,""))</f>
        <v/>
      </c>
      <c r="BG42" s="64" t="str">
        <f aca="false">IF(OR(BG$4="",$C42="",$D42=""),"",IF(AND($C42&lt;EDATE(BG$4,1),$D42&gt;=BG$4),1,""))</f>
        <v/>
      </c>
      <c r="BH42" s="64" t="str">
        <f aca="false">IF(OR(BH$4="",$C42="",$D42=""),"",IF(AND($C42&lt;EDATE(BH$4,1),$D42&gt;=BH$4),1,""))</f>
        <v/>
      </c>
      <c r="BI42" s="64" t="str">
        <f aca="false">IF(OR(BI$4="",$C42="",$D42=""),"",IF(AND($C42&lt;EDATE(BI$4,1),$D42&gt;=BI$4),1,""))</f>
        <v/>
      </c>
      <c r="BJ42" s="64" t="str">
        <f aca="false">IF(OR(BJ$4="",$C42="",$D42=""),"",IF(AND($C42&lt;EDATE(BJ$4,1),$D42&gt;=BJ$4),1,""))</f>
        <v/>
      </c>
      <c r="BK42" s="64" t="str">
        <f aca="false">IF(OR(BK$4="",$C42="",$D42=""),"",IF(AND($C42&lt;EDATE(BK$4,1),$D42&gt;=BK$4),1,""))</f>
        <v/>
      </c>
      <c r="BL42" s="64" t="str">
        <f aca="false">IF(OR(BL$4="",$C42="",$D42=""),"",IF(AND($C42&lt;EDATE(BL$4,1),$D42&gt;=BL$4),1,""))</f>
        <v/>
      </c>
      <c r="BM42" s="64" t="str">
        <f aca="false">IF(OR(BM$4="",$C42="",$D42=""),"",IF(AND($C42&lt;EDATE(BM$4,1),$D42&gt;=BM$4),1,""))</f>
        <v/>
      </c>
      <c r="BN42" s="64" t="str">
        <f aca="false">IF(OR(BN$4="",$C42="",$D42=""),"",IF(AND($C42&lt;EDATE(BN$4,1),$D42&gt;=BN$4),1,""))</f>
        <v/>
      </c>
      <c r="BO42" s="64" t="str">
        <f aca="false">IF(OR(BO$4="",$C42="",$D42=""),"",IF(AND($C42&lt;EDATE(BO$4,1),$D42&gt;=BO$4),1,""))</f>
        <v/>
      </c>
      <c r="BP42" s="64" t="str">
        <f aca="false">IF(OR(BP$4="",$C42="",$D42=""),"",IF(AND($C42&lt;EDATE(BP$4,1),$D42&gt;=BP$4),1,""))</f>
        <v/>
      </c>
      <c r="BQ42" s="64" t="str">
        <f aca="false">IF(OR(BQ$4="",$C42="",$D42=""),"",IF(AND($C42&lt;EDATE(BQ$4,1),$D42&gt;=BQ$4),1,""))</f>
        <v/>
      </c>
      <c r="BR42" s="64" t="str">
        <f aca="false">IF(OR(BR$4="",$C42="",$D42=""),"",IF(AND($C42&lt;EDATE(BR$4,1),$D42&gt;=BR$4),1,""))</f>
        <v/>
      </c>
      <c r="BS42" s="64" t="str">
        <f aca="false">IF(OR(BS$4="",$C42="",$D42=""),"",IF(AND($C42&lt;EDATE(BS$4,1),$D42&gt;=BS$4),1,""))</f>
        <v/>
      </c>
      <c r="BT42" s="64" t="str">
        <f aca="false">IF(OR(BT$4="",$C42="",$D42=""),"",IF(AND($C42&lt;EDATE(BT$4,1),$D42&gt;=BT$4),1,""))</f>
        <v/>
      </c>
      <c r="BU42" s="64" t="str">
        <f aca="false">IF(OR(BU$4="",$C42="",$D42=""),"",IF(AND($C42&lt;EDATE(BU$4,1),$D42&gt;=BU$4),1,""))</f>
        <v/>
      </c>
      <c r="BV42" s="64" t="str">
        <f aca="false">IF(OR(BV$4="",$C42="",$D42=""),"",IF(AND($C42&lt;EDATE(BV$4,1),$D42&gt;=BV$4),1,""))</f>
        <v/>
      </c>
      <c r="BW42" s="64" t="str">
        <f aca="false">IF(OR(BW$4="",$C42="",$D42=""),"",IF(AND($C42&lt;EDATE(BW$4,1),$D42&gt;=BW$4),1,""))</f>
        <v/>
      </c>
      <c r="BX42" s="64" t="str">
        <f aca="false">IF(OR(BX$4="",$C42="",$D42=""),"",IF(AND($C42&lt;EDATE(BX$4,1),$D42&gt;=BX$4),1,""))</f>
        <v/>
      </c>
      <c r="BY42" s="64" t="str">
        <f aca="false">IF(OR(BY$4="",$C42="",$D42=""),"",IF(AND($C42&lt;EDATE(BY$4,1),$D42&gt;=BY$4),1,""))</f>
        <v/>
      </c>
    </row>
    <row r="43" customFormat="false" ht="15" hidden="false" customHeight="false" outlineLevel="0" collapsed="false">
      <c r="A43" s="53" t="str">
        <f aca="false">IF(BOE!$A12="","",BOE!$A12)</f>
        <v>106b</v>
      </c>
      <c r="B43" s="53" t="str">
        <f aca="false">IF(BOE!$A12="","",BOE!$C12)</f>
        <v>Hazard Tracking System — maintain</v>
      </c>
      <c r="C43" s="54" t="n">
        <f aca="false">IF(OR(BOE!$A12="",BOE!$E12&lt;&gt;"Y"),"",BOE!$O12)</f>
        <v>46481</v>
      </c>
      <c r="D43" s="54" t="n">
        <f aca="false">IF(OR(BOE!$A12="",BOE!$E12&lt;&gt;"Y"),"",BOE!$P12)</f>
        <v>47483</v>
      </c>
      <c r="E43" s="55" t="n">
        <f aca="false">IF(OR(BOE!$A12="",BOE!$E12&lt;&gt;"Y"),"",IF(Inputs!$B$7="P90",BOE!$T12,BOE!$R12))</f>
        <v>263.359342915811</v>
      </c>
      <c r="F43" s="64" t="str">
        <f aca="false">IF(OR(F$4="",$C43="",$D43=""),"",IF(AND($C43&lt;EDATE(F$4,1),$D43&gt;=F$4),1,""))</f>
        <v/>
      </c>
      <c r="G43" s="64" t="str">
        <f aca="false">IF(OR(G$4="",$C43="",$D43=""),"",IF(AND($C43&lt;EDATE(G$4,1),$D43&gt;=G$4),1,""))</f>
        <v/>
      </c>
      <c r="H43" s="64" t="str">
        <f aca="false">IF(OR(H$4="",$C43="",$D43=""),"",IF(AND($C43&lt;EDATE(H$4,1),$D43&gt;=H$4),1,""))</f>
        <v/>
      </c>
      <c r="I43" s="64" t="n">
        <f aca="false">IF(OR(I$4="",$C43="",$D43=""),"",IF(AND($C43&lt;EDATE(I$4,1),$D43&gt;=I$4),1,""))</f>
        <v>1</v>
      </c>
      <c r="J43" s="64" t="n">
        <f aca="false">IF(OR(J$4="",$C43="",$D43=""),"",IF(AND($C43&lt;EDATE(J$4,1),$D43&gt;=J$4),1,""))</f>
        <v>1</v>
      </c>
      <c r="K43" s="64" t="n">
        <f aca="false">IF(OR(K$4="",$C43="",$D43=""),"",IF(AND($C43&lt;EDATE(K$4,1),$D43&gt;=K$4),1,""))</f>
        <v>1</v>
      </c>
      <c r="L43" s="64" t="n">
        <f aca="false">IF(OR(L$4="",$C43="",$D43=""),"",IF(AND($C43&lt;EDATE(L$4,1),$D43&gt;=L$4),1,""))</f>
        <v>1</v>
      </c>
      <c r="M43" s="64" t="n">
        <f aca="false">IF(OR(M$4="",$C43="",$D43=""),"",IF(AND($C43&lt;EDATE(M$4,1),$D43&gt;=M$4),1,""))</f>
        <v>1</v>
      </c>
      <c r="N43" s="64" t="n">
        <f aca="false">IF(OR(N$4="",$C43="",$D43=""),"",IF(AND($C43&lt;EDATE(N$4,1),$D43&gt;=N$4),1,""))</f>
        <v>1</v>
      </c>
      <c r="O43" s="64" t="n">
        <f aca="false">IF(OR(O$4="",$C43="",$D43=""),"",IF(AND($C43&lt;EDATE(O$4,1),$D43&gt;=O$4),1,""))</f>
        <v>1</v>
      </c>
      <c r="P43" s="64" t="n">
        <f aca="false">IF(OR(P$4="",$C43="",$D43=""),"",IF(AND($C43&lt;EDATE(P$4,1),$D43&gt;=P$4),1,""))</f>
        <v>1</v>
      </c>
      <c r="Q43" s="64" t="n">
        <f aca="false">IF(OR(Q$4="",$C43="",$D43=""),"",IF(AND($C43&lt;EDATE(Q$4,1),$D43&gt;=Q$4),1,""))</f>
        <v>1</v>
      </c>
      <c r="R43" s="64" t="n">
        <f aca="false">IF(OR(R$4="",$C43="",$D43=""),"",IF(AND($C43&lt;EDATE(R$4,1),$D43&gt;=R$4),1,""))</f>
        <v>1</v>
      </c>
      <c r="S43" s="64" t="n">
        <f aca="false">IF(OR(S$4="",$C43="",$D43=""),"",IF(AND($C43&lt;EDATE(S$4,1),$D43&gt;=S$4),1,""))</f>
        <v>1</v>
      </c>
      <c r="T43" s="64" t="n">
        <f aca="false">IF(OR(T$4="",$C43="",$D43=""),"",IF(AND($C43&lt;EDATE(T$4,1),$D43&gt;=T$4),1,""))</f>
        <v>1</v>
      </c>
      <c r="U43" s="64" t="n">
        <f aca="false">IF(OR(U$4="",$C43="",$D43=""),"",IF(AND($C43&lt;EDATE(U$4,1),$D43&gt;=U$4),1,""))</f>
        <v>1</v>
      </c>
      <c r="V43" s="64" t="n">
        <f aca="false">IF(OR(V$4="",$C43="",$D43=""),"",IF(AND($C43&lt;EDATE(V$4,1),$D43&gt;=V$4),1,""))</f>
        <v>1</v>
      </c>
      <c r="W43" s="64" t="n">
        <f aca="false">IF(OR(W$4="",$C43="",$D43=""),"",IF(AND($C43&lt;EDATE(W$4,1),$D43&gt;=W$4),1,""))</f>
        <v>1</v>
      </c>
      <c r="X43" s="64" t="n">
        <f aca="false">IF(OR(X$4="",$C43="",$D43=""),"",IF(AND($C43&lt;EDATE(X$4,1),$D43&gt;=X$4),1,""))</f>
        <v>1</v>
      </c>
      <c r="Y43" s="64" t="n">
        <f aca="false">IF(OR(Y$4="",$C43="",$D43=""),"",IF(AND($C43&lt;EDATE(Y$4,1),$D43&gt;=Y$4),1,""))</f>
        <v>1</v>
      </c>
      <c r="Z43" s="64" t="n">
        <f aca="false">IF(OR(Z$4="",$C43="",$D43=""),"",IF(AND($C43&lt;EDATE(Z$4,1),$D43&gt;=Z$4),1,""))</f>
        <v>1</v>
      </c>
      <c r="AA43" s="64" t="n">
        <f aca="false">IF(OR(AA$4="",$C43="",$D43=""),"",IF(AND($C43&lt;EDATE(AA$4,1),$D43&gt;=AA$4),1,""))</f>
        <v>1</v>
      </c>
      <c r="AB43" s="64" t="n">
        <f aca="false">IF(OR(AB$4="",$C43="",$D43=""),"",IF(AND($C43&lt;EDATE(AB$4,1),$D43&gt;=AB$4),1,""))</f>
        <v>1</v>
      </c>
      <c r="AC43" s="64" t="n">
        <f aca="false">IF(OR(AC$4="",$C43="",$D43=""),"",IF(AND($C43&lt;EDATE(AC$4,1),$D43&gt;=AC$4),1,""))</f>
        <v>1</v>
      </c>
      <c r="AD43" s="64" t="n">
        <f aca="false">IF(OR(AD$4="",$C43="",$D43=""),"",IF(AND($C43&lt;EDATE(AD$4,1),$D43&gt;=AD$4),1,""))</f>
        <v>1</v>
      </c>
      <c r="AE43" s="64" t="n">
        <f aca="false">IF(OR(AE$4="",$C43="",$D43=""),"",IF(AND($C43&lt;EDATE(AE$4,1),$D43&gt;=AE$4),1,""))</f>
        <v>1</v>
      </c>
      <c r="AF43" s="64" t="n">
        <f aca="false">IF(OR(AF$4="",$C43="",$D43=""),"",IF(AND($C43&lt;EDATE(AF$4,1),$D43&gt;=AF$4),1,""))</f>
        <v>1</v>
      </c>
      <c r="AG43" s="64" t="n">
        <f aca="false">IF(OR(AG$4="",$C43="",$D43=""),"",IF(AND($C43&lt;EDATE(AG$4,1),$D43&gt;=AG$4),1,""))</f>
        <v>1</v>
      </c>
      <c r="AH43" s="64" t="n">
        <f aca="false">IF(OR(AH$4="",$C43="",$D43=""),"",IF(AND($C43&lt;EDATE(AH$4,1),$D43&gt;=AH$4),1,""))</f>
        <v>1</v>
      </c>
      <c r="AI43" s="64" t="n">
        <f aca="false">IF(OR(AI$4="",$C43="",$D43=""),"",IF(AND($C43&lt;EDATE(AI$4,1),$D43&gt;=AI$4),1,""))</f>
        <v>1</v>
      </c>
      <c r="AJ43" s="64" t="n">
        <f aca="false">IF(OR(AJ$4="",$C43="",$D43=""),"",IF(AND($C43&lt;EDATE(AJ$4,1),$D43&gt;=AJ$4),1,""))</f>
        <v>1</v>
      </c>
      <c r="AK43" s="64" t="n">
        <f aca="false">IF(OR(AK$4="",$C43="",$D43=""),"",IF(AND($C43&lt;EDATE(AK$4,1),$D43&gt;=AK$4),1,""))</f>
        <v>1</v>
      </c>
      <c r="AL43" s="64" t="n">
        <f aca="false">IF(OR(AL$4="",$C43="",$D43=""),"",IF(AND($C43&lt;EDATE(AL$4,1),$D43&gt;=AL$4),1,""))</f>
        <v>1</v>
      </c>
      <c r="AM43" s="64" t="n">
        <f aca="false">IF(OR(AM$4="",$C43="",$D43=""),"",IF(AND($C43&lt;EDATE(AM$4,1),$D43&gt;=AM$4),1,""))</f>
        <v>1</v>
      </c>
      <c r="AN43" s="64" t="n">
        <f aca="false">IF(OR(AN$4="",$C43="",$D43=""),"",IF(AND($C43&lt;EDATE(AN$4,1),$D43&gt;=AN$4),1,""))</f>
        <v>1</v>
      </c>
      <c r="AO43" s="64" t="n">
        <f aca="false">IF(OR(AO$4="",$C43="",$D43=""),"",IF(AND($C43&lt;EDATE(AO$4,1),$D43&gt;=AO$4),1,""))</f>
        <v>1</v>
      </c>
      <c r="AP43" s="64" t="str">
        <f aca="false">IF(OR(AP$4="",$C43="",$D43=""),"",IF(AND($C43&lt;EDATE(AP$4,1),$D43&gt;=AP$4),1,""))</f>
        <v/>
      </c>
      <c r="AQ43" s="64" t="str">
        <f aca="false">IF(OR(AQ$4="",$C43="",$D43=""),"",IF(AND($C43&lt;EDATE(AQ$4,1),$D43&gt;=AQ$4),1,""))</f>
        <v/>
      </c>
      <c r="AR43" s="64" t="str">
        <f aca="false">IF(OR(AR$4="",$C43="",$D43=""),"",IF(AND($C43&lt;EDATE(AR$4,1),$D43&gt;=AR$4),1,""))</f>
        <v/>
      </c>
      <c r="AS43" s="64" t="str">
        <f aca="false">IF(OR(AS$4="",$C43="",$D43=""),"",IF(AND($C43&lt;EDATE(AS$4,1),$D43&gt;=AS$4),1,""))</f>
        <v/>
      </c>
      <c r="AT43" s="64" t="str">
        <f aca="false">IF(OR(AT$4="",$C43="",$D43=""),"",IF(AND($C43&lt;EDATE(AT$4,1),$D43&gt;=AT$4),1,""))</f>
        <v/>
      </c>
      <c r="AU43" s="64" t="str">
        <f aca="false">IF(OR(AU$4="",$C43="",$D43=""),"",IF(AND($C43&lt;EDATE(AU$4,1),$D43&gt;=AU$4),1,""))</f>
        <v/>
      </c>
      <c r="AV43" s="64" t="str">
        <f aca="false">IF(OR(AV$4="",$C43="",$D43=""),"",IF(AND($C43&lt;EDATE(AV$4,1),$D43&gt;=AV$4),1,""))</f>
        <v/>
      </c>
      <c r="AW43" s="64" t="str">
        <f aca="false">IF(OR(AW$4="",$C43="",$D43=""),"",IF(AND($C43&lt;EDATE(AW$4,1),$D43&gt;=AW$4),1,""))</f>
        <v/>
      </c>
      <c r="AX43" s="64" t="str">
        <f aca="false">IF(OR(AX$4="",$C43="",$D43=""),"",IF(AND($C43&lt;EDATE(AX$4,1),$D43&gt;=AX$4),1,""))</f>
        <v/>
      </c>
      <c r="AY43" s="64" t="str">
        <f aca="false">IF(OR(AY$4="",$C43="",$D43=""),"",IF(AND($C43&lt;EDATE(AY$4,1),$D43&gt;=AY$4),1,""))</f>
        <v/>
      </c>
      <c r="AZ43" s="64" t="str">
        <f aca="false">IF(OR(AZ$4="",$C43="",$D43=""),"",IF(AND($C43&lt;EDATE(AZ$4,1),$D43&gt;=AZ$4),1,""))</f>
        <v/>
      </c>
      <c r="BA43" s="64" t="str">
        <f aca="false">IF(OR(BA$4="",$C43="",$D43=""),"",IF(AND($C43&lt;EDATE(BA$4,1),$D43&gt;=BA$4),1,""))</f>
        <v/>
      </c>
      <c r="BB43" s="64" t="str">
        <f aca="false">IF(OR(BB$4="",$C43="",$D43=""),"",IF(AND($C43&lt;EDATE(BB$4,1),$D43&gt;=BB$4),1,""))</f>
        <v/>
      </c>
      <c r="BC43" s="64" t="str">
        <f aca="false">IF(OR(BC$4="",$C43="",$D43=""),"",IF(AND($C43&lt;EDATE(BC$4,1),$D43&gt;=BC$4),1,""))</f>
        <v/>
      </c>
      <c r="BD43" s="64" t="str">
        <f aca="false">IF(OR(BD$4="",$C43="",$D43=""),"",IF(AND($C43&lt;EDATE(BD$4,1),$D43&gt;=BD$4),1,""))</f>
        <v/>
      </c>
      <c r="BE43" s="64" t="str">
        <f aca="false">IF(OR(BE$4="",$C43="",$D43=""),"",IF(AND($C43&lt;EDATE(BE$4,1),$D43&gt;=BE$4),1,""))</f>
        <v/>
      </c>
      <c r="BF43" s="64" t="str">
        <f aca="false">IF(OR(BF$4="",$C43="",$D43=""),"",IF(AND($C43&lt;EDATE(BF$4,1),$D43&gt;=BF$4),1,""))</f>
        <v/>
      </c>
      <c r="BG43" s="64" t="str">
        <f aca="false">IF(OR(BG$4="",$C43="",$D43=""),"",IF(AND($C43&lt;EDATE(BG$4,1),$D43&gt;=BG$4),1,""))</f>
        <v/>
      </c>
      <c r="BH43" s="64" t="str">
        <f aca="false">IF(OR(BH$4="",$C43="",$D43=""),"",IF(AND($C43&lt;EDATE(BH$4,1),$D43&gt;=BH$4),1,""))</f>
        <v/>
      </c>
      <c r="BI43" s="64" t="str">
        <f aca="false">IF(OR(BI$4="",$C43="",$D43=""),"",IF(AND($C43&lt;EDATE(BI$4,1),$D43&gt;=BI$4),1,""))</f>
        <v/>
      </c>
      <c r="BJ43" s="64" t="str">
        <f aca="false">IF(OR(BJ$4="",$C43="",$D43=""),"",IF(AND($C43&lt;EDATE(BJ$4,1),$D43&gt;=BJ$4),1,""))</f>
        <v/>
      </c>
      <c r="BK43" s="64" t="str">
        <f aca="false">IF(OR(BK$4="",$C43="",$D43=""),"",IF(AND($C43&lt;EDATE(BK$4,1),$D43&gt;=BK$4),1,""))</f>
        <v/>
      </c>
      <c r="BL43" s="64" t="str">
        <f aca="false">IF(OR(BL$4="",$C43="",$D43=""),"",IF(AND($C43&lt;EDATE(BL$4,1),$D43&gt;=BL$4),1,""))</f>
        <v/>
      </c>
      <c r="BM43" s="64" t="str">
        <f aca="false">IF(OR(BM$4="",$C43="",$D43=""),"",IF(AND($C43&lt;EDATE(BM$4,1),$D43&gt;=BM$4),1,""))</f>
        <v/>
      </c>
      <c r="BN43" s="64" t="str">
        <f aca="false">IF(OR(BN$4="",$C43="",$D43=""),"",IF(AND($C43&lt;EDATE(BN$4,1),$D43&gt;=BN$4),1,""))</f>
        <v/>
      </c>
      <c r="BO43" s="64" t="str">
        <f aca="false">IF(OR(BO$4="",$C43="",$D43=""),"",IF(AND($C43&lt;EDATE(BO$4,1),$D43&gt;=BO$4),1,""))</f>
        <v/>
      </c>
      <c r="BP43" s="64" t="str">
        <f aca="false">IF(OR(BP$4="",$C43="",$D43=""),"",IF(AND($C43&lt;EDATE(BP$4,1),$D43&gt;=BP$4),1,""))</f>
        <v/>
      </c>
      <c r="BQ43" s="64" t="str">
        <f aca="false">IF(OR(BQ$4="",$C43="",$D43=""),"",IF(AND($C43&lt;EDATE(BQ$4,1),$D43&gt;=BQ$4),1,""))</f>
        <v/>
      </c>
      <c r="BR43" s="64" t="str">
        <f aca="false">IF(OR(BR$4="",$C43="",$D43=""),"",IF(AND($C43&lt;EDATE(BR$4,1),$D43&gt;=BR$4),1,""))</f>
        <v/>
      </c>
      <c r="BS43" s="64" t="str">
        <f aca="false">IF(OR(BS$4="",$C43="",$D43=""),"",IF(AND($C43&lt;EDATE(BS$4,1),$D43&gt;=BS$4),1,""))</f>
        <v/>
      </c>
      <c r="BT43" s="64" t="str">
        <f aca="false">IF(OR(BT$4="",$C43="",$D43=""),"",IF(AND($C43&lt;EDATE(BT$4,1),$D43&gt;=BT$4),1,""))</f>
        <v/>
      </c>
      <c r="BU43" s="64" t="str">
        <f aca="false">IF(OR(BU$4="",$C43="",$D43=""),"",IF(AND($C43&lt;EDATE(BU$4,1),$D43&gt;=BU$4),1,""))</f>
        <v/>
      </c>
      <c r="BV43" s="64" t="str">
        <f aca="false">IF(OR(BV$4="",$C43="",$D43=""),"",IF(AND($C43&lt;EDATE(BV$4,1),$D43&gt;=BV$4),1,""))</f>
        <v/>
      </c>
      <c r="BW43" s="64" t="str">
        <f aca="false">IF(OR(BW$4="",$C43="",$D43=""),"",IF(AND($C43&lt;EDATE(BW$4,1),$D43&gt;=BW$4),1,""))</f>
        <v/>
      </c>
      <c r="BX43" s="64" t="str">
        <f aca="false">IF(OR(BX$4="",$C43="",$D43=""),"",IF(AND($C43&lt;EDATE(BX$4,1),$D43&gt;=BX$4),1,""))</f>
        <v/>
      </c>
      <c r="BY43" s="64" t="str">
        <f aca="false">IF(OR(BY$4="",$C43="",$D43=""),"",IF(AND($C43&lt;EDATE(BY$4,1),$D43&gt;=BY$4),1,""))</f>
        <v/>
      </c>
    </row>
    <row r="44" customFormat="false" ht="15" hidden="false" customHeight="false" outlineLevel="0" collapsed="false">
      <c r="A44" s="53" t="str">
        <f aca="false">IF(BOE!$A13="","",BOE!$A13)</f>
        <v>107</v>
      </c>
      <c r="B44" s="53" t="str">
        <f aca="false">IF(BOE!$A13="","",BOE!$C13)</f>
        <v>Hazard Management Progress Report</v>
      </c>
      <c r="C44" s="54" t="n">
        <f aca="false">IF(OR(BOE!$A13="",BOE!$E13&lt;&gt;"Y"),"",BOE!$O13)</f>
        <v>46391</v>
      </c>
      <c r="D44" s="54" t="n">
        <f aca="false">IF(OR(BOE!$A13="",BOE!$E13&lt;&gt;"Y"),"",BOE!$P13)</f>
        <v>47483</v>
      </c>
      <c r="E44" s="55" t="n">
        <f aca="false">IF(OR(BOE!$A13="",BOE!$E13&lt;&gt;"Y"),"",IF(Inputs!$B$7="P90",BOE!$T13,BOE!$R13))</f>
        <v>143.507186858316</v>
      </c>
      <c r="F44" s="64" t="n">
        <f aca="false">IF(OR(F$4="",$C44="",$D44=""),"",IF(AND($C44&lt;EDATE(F$4,1),$D44&gt;=F$4),1,""))</f>
        <v>1</v>
      </c>
      <c r="G44" s="64" t="n">
        <f aca="false">IF(OR(G$4="",$C44="",$D44=""),"",IF(AND($C44&lt;EDATE(G$4,1),$D44&gt;=G$4),1,""))</f>
        <v>1</v>
      </c>
      <c r="H44" s="64" t="n">
        <f aca="false">IF(OR(H$4="",$C44="",$D44=""),"",IF(AND($C44&lt;EDATE(H$4,1),$D44&gt;=H$4),1,""))</f>
        <v>1</v>
      </c>
      <c r="I44" s="64" t="n">
        <f aca="false">IF(OR(I$4="",$C44="",$D44=""),"",IF(AND($C44&lt;EDATE(I$4,1),$D44&gt;=I$4),1,""))</f>
        <v>1</v>
      </c>
      <c r="J44" s="64" t="n">
        <f aca="false">IF(OR(J$4="",$C44="",$D44=""),"",IF(AND($C44&lt;EDATE(J$4,1),$D44&gt;=J$4),1,""))</f>
        <v>1</v>
      </c>
      <c r="K44" s="64" t="n">
        <f aca="false">IF(OR(K$4="",$C44="",$D44=""),"",IF(AND($C44&lt;EDATE(K$4,1),$D44&gt;=K$4),1,""))</f>
        <v>1</v>
      </c>
      <c r="L44" s="64" t="n">
        <f aca="false">IF(OR(L$4="",$C44="",$D44=""),"",IF(AND($C44&lt;EDATE(L$4,1),$D44&gt;=L$4),1,""))</f>
        <v>1</v>
      </c>
      <c r="M44" s="64" t="n">
        <f aca="false">IF(OR(M$4="",$C44="",$D44=""),"",IF(AND($C44&lt;EDATE(M$4,1),$D44&gt;=M$4),1,""))</f>
        <v>1</v>
      </c>
      <c r="N44" s="64" t="n">
        <f aca="false">IF(OR(N$4="",$C44="",$D44=""),"",IF(AND($C44&lt;EDATE(N$4,1),$D44&gt;=N$4),1,""))</f>
        <v>1</v>
      </c>
      <c r="O44" s="64" t="n">
        <f aca="false">IF(OR(O$4="",$C44="",$D44=""),"",IF(AND($C44&lt;EDATE(O$4,1),$D44&gt;=O$4),1,""))</f>
        <v>1</v>
      </c>
      <c r="P44" s="64" t="n">
        <f aca="false">IF(OR(P$4="",$C44="",$D44=""),"",IF(AND($C44&lt;EDATE(P$4,1),$D44&gt;=P$4),1,""))</f>
        <v>1</v>
      </c>
      <c r="Q44" s="64" t="n">
        <f aca="false">IF(OR(Q$4="",$C44="",$D44=""),"",IF(AND($C44&lt;EDATE(Q$4,1),$D44&gt;=Q$4),1,""))</f>
        <v>1</v>
      </c>
      <c r="R44" s="64" t="n">
        <f aca="false">IF(OR(R$4="",$C44="",$D44=""),"",IF(AND($C44&lt;EDATE(R$4,1),$D44&gt;=R$4),1,""))</f>
        <v>1</v>
      </c>
      <c r="S44" s="64" t="n">
        <f aca="false">IF(OR(S$4="",$C44="",$D44=""),"",IF(AND($C44&lt;EDATE(S$4,1),$D44&gt;=S$4),1,""))</f>
        <v>1</v>
      </c>
      <c r="T44" s="64" t="n">
        <f aca="false">IF(OR(T$4="",$C44="",$D44=""),"",IF(AND($C44&lt;EDATE(T$4,1),$D44&gt;=T$4),1,""))</f>
        <v>1</v>
      </c>
      <c r="U44" s="64" t="n">
        <f aca="false">IF(OR(U$4="",$C44="",$D44=""),"",IF(AND($C44&lt;EDATE(U$4,1),$D44&gt;=U$4),1,""))</f>
        <v>1</v>
      </c>
      <c r="V44" s="64" t="n">
        <f aca="false">IF(OR(V$4="",$C44="",$D44=""),"",IF(AND($C44&lt;EDATE(V$4,1),$D44&gt;=V$4),1,""))</f>
        <v>1</v>
      </c>
      <c r="W44" s="64" t="n">
        <f aca="false">IF(OR(W$4="",$C44="",$D44=""),"",IF(AND($C44&lt;EDATE(W$4,1),$D44&gt;=W$4),1,""))</f>
        <v>1</v>
      </c>
      <c r="X44" s="64" t="n">
        <f aca="false">IF(OR(X$4="",$C44="",$D44=""),"",IF(AND($C44&lt;EDATE(X$4,1),$D44&gt;=X$4),1,""))</f>
        <v>1</v>
      </c>
      <c r="Y44" s="64" t="n">
        <f aca="false">IF(OR(Y$4="",$C44="",$D44=""),"",IF(AND($C44&lt;EDATE(Y$4,1),$D44&gt;=Y$4),1,""))</f>
        <v>1</v>
      </c>
      <c r="Z44" s="64" t="n">
        <f aca="false">IF(OR(Z$4="",$C44="",$D44=""),"",IF(AND($C44&lt;EDATE(Z$4,1),$D44&gt;=Z$4),1,""))</f>
        <v>1</v>
      </c>
      <c r="AA44" s="64" t="n">
        <f aca="false">IF(OR(AA$4="",$C44="",$D44=""),"",IF(AND($C44&lt;EDATE(AA$4,1),$D44&gt;=AA$4),1,""))</f>
        <v>1</v>
      </c>
      <c r="AB44" s="64" t="n">
        <f aca="false">IF(OR(AB$4="",$C44="",$D44=""),"",IF(AND($C44&lt;EDATE(AB$4,1),$D44&gt;=AB$4),1,""))</f>
        <v>1</v>
      </c>
      <c r="AC44" s="64" t="n">
        <f aca="false">IF(OR(AC$4="",$C44="",$D44=""),"",IF(AND($C44&lt;EDATE(AC$4,1),$D44&gt;=AC$4),1,""))</f>
        <v>1</v>
      </c>
      <c r="AD44" s="64" t="n">
        <f aca="false">IF(OR(AD$4="",$C44="",$D44=""),"",IF(AND($C44&lt;EDATE(AD$4,1),$D44&gt;=AD$4),1,""))</f>
        <v>1</v>
      </c>
      <c r="AE44" s="64" t="n">
        <f aca="false">IF(OR(AE$4="",$C44="",$D44=""),"",IF(AND($C44&lt;EDATE(AE$4,1),$D44&gt;=AE$4),1,""))</f>
        <v>1</v>
      </c>
      <c r="AF44" s="64" t="n">
        <f aca="false">IF(OR(AF$4="",$C44="",$D44=""),"",IF(AND($C44&lt;EDATE(AF$4,1),$D44&gt;=AF$4),1,""))</f>
        <v>1</v>
      </c>
      <c r="AG44" s="64" t="n">
        <f aca="false">IF(OR(AG$4="",$C44="",$D44=""),"",IF(AND($C44&lt;EDATE(AG$4,1),$D44&gt;=AG$4),1,""))</f>
        <v>1</v>
      </c>
      <c r="AH44" s="64" t="n">
        <f aca="false">IF(OR(AH$4="",$C44="",$D44=""),"",IF(AND($C44&lt;EDATE(AH$4,1),$D44&gt;=AH$4),1,""))</f>
        <v>1</v>
      </c>
      <c r="AI44" s="64" t="n">
        <f aca="false">IF(OR(AI$4="",$C44="",$D44=""),"",IF(AND($C44&lt;EDATE(AI$4,1),$D44&gt;=AI$4),1,""))</f>
        <v>1</v>
      </c>
      <c r="AJ44" s="64" t="n">
        <f aca="false">IF(OR(AJ$4="",$C44="",$D44=""),"",IF(AND($C44&lt;EDATE(AJ$4,1),$D44&gt;=AJ$4),1,""))</f>
        <v>1</v>
      </c>
      <c r="AK44" s="64" t="n">
        <f aca="false">IF(OR(AK$4="",$C44="",$D44=""),"",IF(AND($C44&lt;EDATE(AK$4,1),$D44&gt;=AK$4),1,""))</f>
        <v>1</v>
      </c>
      <c r="AL44" s="64" t="n">
        <f aca="false">IF(OR(AL$4="",$C44="",$D44=""),"",IF(AND($C44&lt;EDATE(AL$4,1),$D44&gt;=AL$4),1,""))</f>
        <v>1</v>
      </c>
      <c r="AM44" s="64" t="n">
        <f aca="false">IF(OR(AM$4="",$C44="",$D44=""),"",IF(AND($C44&lt;EDATE(AM$4,1),$D44&gt;=AM$4),1,""))</f>
        <v>1</v>
      </c>
      <c r="AN44" s="64" t="n">
        <f aca="false">IF(OR(AN$4="",$C44="",$D44=""),"",IF(AND($C44&lt;EDATE(AN$4,1),$D44&gt;=AN$4),1,""))</f>
        <v>1</v>
      </c>
      <c r="AO44" s="64" t="n">
        <f aca="false">IF(OR(AO$4="",$C44="",$D44=""),"",IF(AND($C44&lt;EDATE(AO$4,1),$D44&gt;=AO$4),1,""))</f>
        <v>1</v>
      </c>
      <c r="AP44" s="64" t="str">
        <f aca="false">IF(OR(AP$4="",$C44="",$D44=""),"",IF(AND($C44&lt;EDATE(AP$4,1),$D44&gt;=AP$4),1,""))</f>
        <v/>
      </c>
      <c r="AQ44" s="64" t="str">
        <f aca="false">IF(OR(AQ$4="",$C44="",$D44=""),"",IF(AND($C44&lt;EDATE(AQ$4,1),$D44&gt;=AQ$4),1,""))</f>
        <v/>
      </c>
      <c r="AR44" s="64" t="str">
        <f aca="false">IF(OR(AR$4="",$C44="",$D44=""),"",IF(AND($C44&lt;EDATE(AR$4,1),$D44&gt;=AR$4),1,""))</f>
        <v/>
      </c>
      <c r="AS44" s="64" t="str">
        <f aca="false">IF(OR(AS$4="",$C44="",$D44=""),"",IF(AND($C44&lt;EDATE(AS$4,1),$D44&gt;=AS$4),1,""))</f>
        <v/>
      </c>
      <c r="AT44" s="64" t="str">
        <f aca="false">IF(OR(AT$4="",$C44="",$D44=""),"",IF(AND($C44&lt;EDATE(AT$4,1),$D44&gt;=AT$4),1,""))</f>
        <v/>
      </c>
      <c r="AU44" s="64" t="str">
        <f aca="false">IF(OR(AU$4="",$C44="",$D44=""),"",IF(AND($C44&lt;EDATE(AU$4,1),$D44&gt;=AU$4),1,""))</f>
        <v/>
      </c>
      <c r="AV44" s="64" t="str">
        <f aca="false">IF(OR(AV$4="",$C44="",$D44=""),"",IF(AND($C44&lt;EDATE(AV$4,1),$D44&gt;=AV$4),1,""))</f>
        <v/>
      </c>
      <c r="AW44" s="64" t="str">
        <f aca="false">IF(OR(AW$4="",$C44="",$D44=""),"",IF(AND($C44&lt;EDATE(AW$4,1),$D44&gt;=AW$4),1,""))</f>
        <v/>
      </c>
      <c r="AX44" s="64" t="str">
        <f aca="false">IF(OR(AX$4="",$C44="",$D44=""),"",IF(AND($C44&lt;EDATE(AX$4,1),$D44&gt;=AX$4),1,""))</f>
        <v/>
      </c>
      <c r="AY44" s="64" t="str">
        <f aca="false">IF(OR(AY$4="",$C44="",$D44=""),"",IF(AND($C44&lt;EDATE(AY$4,1),$D44&gt;=AY$4),1,""))</f>
        <v/>
      </c>
      <c r="AZ44" s="64" t="str">
        <f aca="false">IF(OR(AZ$4="",$C44="",$D44=""),"",IF(AND($C44&lt;EDATE(AZ$4,1),$D44&gt;=AZ$4),1,""))</f>
        <v/>
      </c>
      <c r="BA44" s="64" t="str">
        <f aca="false">IF(OR(BA$4="",$C44="",$D44=""),"",IF(AND($C44&lt;EDATE(BA$4,1),$D44&gt;=BA$4),1,""))</f>
        <v/>
      </c>
      <c r="BB44" s="64" t="str">
        <f aca="false">IF(OR(BB$4="",$C44="",$D44=""),"",IF(AND($C44&lt;EDATE(BB$4,1),$D44&gt;=BB$4),1,""))</f>
        <v/>
      </c>
      <c r="BC44" s="64" t="str">
        <f aca="false">IF(OR(BC$4="",$C44="",$D44=""),"",IF(AND($C44&lt;EDATE(BC$4,1),$D44&gt;=BC$4),1,""))</f>
        <v/>
      </c>
      <c r="BD44" s="64" t="str">
        <f aca="false">IF(OR(BD$4="",$C44="",$D44=""),"",IF(AND($C44&lt;EDATE(BD$4,1),$D44&gt;=BD$4),1,""))</f>
        <v/>
      </c>
      <c r="BE44" s="64" t="str">
        <f aca="false">IF(OR(BE$4="",$C44="",$D44=""),"",IF(AND($C44&lt;EDATE(BE$4,1),$D44&gt;=BE$4),1,""))</f>
        <v/>
      </c>
      <c r="BF44" s="64" t="str">
        <f aca="false">IF(OR(BF$4="",$C44="",$D44=""),"",IF(AND($C44&lt;EDATE(BF$4,1),$D44&gt;=BF$4),1,""))</f>
        <v/>
      </c>
      <c r="BG44" s="64" t="str">
        <f aca="false">IF(OR(BG$4="",$C44="",$D44=""),"",IF(AND($C44&lt;EDATE(BG$4,1),$D44&gt;=BG$4),1,""))</f>
        <v/>
      </c>
      <c r="BH44" s="64" t="str">
        <f aca="false">IF(OR(BH$4="",$C44="",$D44=""),"",IF(AND($C44&lt;EDATE(BH$4,1),$D44&gt;=BH$4),1,""))</f>
        <v/>
      </c>
      <c r="BI44" s="64" t="str">
        <f aca="false">IF(OR(BI$4="",$C44="",$D44=""),"",IF(AND($C44&lt;EDATE(BI$4,1),$D44&gt;=BI$4),1,""))</f>
        <v/>
      </c>
      <c r="BJ44" s="64" t="str">
        <f aca="false">IF(OR(BJ$4="",$C44="",$D44=""),"",IF(AND($C44&lt;EDATE(BJ$4,1),$D44&gt;=BJ$4),1,""))</f>
        <v/>
      </c>
      <c r="BK44" s="64" t="str">
        <f aca="false">IF(OR(BK$4="",$C44="",$D44=""),"",IF(AND($C44&lt;EDATE(BK$4,1),$D44&gt;=BK$4),1,""))</f>
        <v/>
      </c>
      <c r="BL44" s="64" t="str">
        <f aca="false">IF(OR(BL$4="",$C44="",$D44=""),"",IF(AND($C44&lt;EDATE(BL$4,1),$D44&gt;=BL$4),1,""))</f>
        <v/>
      </c>
      <c r="BM44" s="64" t="str">
        <f aca="false">IF(OR(BM$4="",$C44="",$D44=""),"",IF(AND($C44&lt;EDATE(BM$4,1),$D44&gt;=BM$4),1,""))</f>
        <v/>
      </c>
      <c r="BN44" s="64" t="str">
        <f aca="false">IF(OR(BN$4="",$C44="",$D44=""),"",IF(AND($C44&lt;EDATE(BN$4,1),$D44&gt;=BN$4),1,""))</f>
        <v/>
      </c>
      <c r="BO44" s="64" t="str">
        <f aca="false">IF(OR(BO$4="",$C44="",$D44=""),"",IF(AND($C44&lt;EDATE(BO$4,1),$D44&gt;=BO$4),1,""))</f>
        <v/>
      </c>
      <c r="BP44" s="64" t="str">
        <f aca="false">IF(OR(BP$4="",$C44="",$D44=""),"",IF(AND($C44&lt;EDATE(BP$4,1),$D44&gt;=BP$4),1,""))</f>
        <v/>
      </c>
      <c r="BQ44" s="64" t="str">
        <f aca="false">IF(OR(BQ$4="",$C44="",$D44=""),"",IF(AND($C44&lt;EDATE(BQ$4,1),$D44&gt;=BQ$4),1,""))</f>
        <v/>
      </c>
      <c r="BR44" s="64" t="str">
        <f aca="false">IF(OR(BR$4="",$C44="",$D44=""),"",IF(AND($C44&lt;EDATE(BR$4,1),$D44&gt;=BR$4),1,""))</f>
        <v/>
      </c>
      <c r="BS44" s="64" t="str">
        <f aca="false">IF(OR(BS$4="",$C44="",$D44=""),"",IF(AND($C44&lt;EDATE(BS$4,1),$D44&gt;=BS$4),1,""))</f>
        <v/>
      </c>
      <c r="BT44" s="64" t="str">
        <f aca="false">IF(OR(BT$4="",$C44="",$D44=""),"",IF(AND($C44&lt;EDATE(BT$4,1),$D44&gt;=BT$4),1,""))</f>
        <v/>
      </c>
      <c r="BU44" s="64" t="str">
        <f aca="false">IF(OR(BU$4="",$C44="",$D44=""),"",IF(AND($C44&lt;EDATE(BU$4,1),$D44&gt;=BU$4),1,""))</f>
        <v/>
      </c>
      <c r="BV44" s="64" t="str">
        <f aca="false">IF(OR(BV$4="",$C44="",$D44=""),"",IF(AND($C44&lt;EDATE(BV$4,1),$D44&gt;=BV$4),1,""))</f>
        <v/>
      </c>
      <c r="BW44" s="64" t="str">
        <f aca="false">IF(OR(BW$4="",$C44="",$D44=""),"",IF(AND($C44&lt;EDATE(BW$4,1),$D44&gt;=BW$4),1,""))</f>
        <v/>
      </c>
      <c r="BX44" s="64" t="str">
        <f aca="false">IF(OR(BX$4="",$C44="",$D44=""),"",IF(AND($C44&lt;EDATE(BX$4,1),$D44&gt;=BX$4),1,""))</f>
        <v/>
      </c>
      <c r="BY44" s="64" t="str">
        <f aca="false">IF(OR(BY$4="",$C44="",$D44=""),"",IF(AND($C44&lt;EDATE(BY$4,1),$D44&gt;=BY$4),1,""))</f>
        <v/>
      </c>
    </row>
    <row r="45" customFormat="false" ht="15" hidden="false" customHeight="false" outlineLevel="0" collapsed="false">
      <c r="A45" s="53" t="str">
        <f aca="false">IF(BOE!$A14="","",BOE!$A14)</f>
        <v>108</v>
      </c>
      <c r="B45" s="53" t="str">
        <f aca="false">IF(BOE!$A14="","",BOE!$C14)</f>
        <v>Hazardous Materials Management Plan (HMMP)</v>
      </c>
      <c r="C45" s="54" t="n">
        <f aca="false">IF(OR(BOE!$A14="",BOE!$E14&lt;&gt;"Y"),"",BOE!$O14)</f>
        <v>46391</v>
      </c>
      <c r="D45" s="54" t="n">
        <f aca="false">IF(OR(BOE!$A14="",BOE!$E14&lt;&gt;"Y"),"",BOE!$P14)</f>
        <v>46695</v>
      </c>
      <c r="E45" s="55" t="n">
        <f aca="false">IF(OR(BOE!$A14="",BOE!$E14&lt;&gt;"Y"),"",IF(Inputs!$B$7="P90",BOE!$T14,BOE!$R14))</f>
        <v>200</v>
      </c>
      <c r="F45" s="64" t="n">
        <f aca="false">IF(OR(F$4="",$C45="",$D45=""),"",IF(AND($C45&lt;EDATE(F$4,1),$D45&gt;=F$4),1,""))</f>
        <v>1</v>
      </c>
      <c r="G45" s="64" t="n">
        <f aca="false">IF(OR(G$4="",$C45="",$D45=""),"",IF(AND($C45&lt;EDATE(G$4,1),$D45&gt;=G$4),1,""))</f>
        <v>1</v>
      </c>
      <c r="H45" s="64" t="n">
        <f aca="false">IF(OR(H$4="",$C45="",$D45=""),"",IF(AND($C45&lt;EDATE(H$4,1),$D45&gt;=H$4),1,""))</f>
        <v>1</v>
      </c>
      <c r="I45" s="64" t="n">
        <f aca="false">IF(OR(I$4="",$C45="",$D45=""),"",IF(AND($C45&lt;EDATE(I$4,1),$D45&gt;=I$4),1,""))</f>
        <v>1</v>
      </c>
      <c r="J45" s="64" t="n">
        <f aca="false">IF(OR(J$4="",$C45="",$D45=""),"",IF(AND($C45&lt;EDATE(J$4,1),$D45&gt;=J$4),1,""))</f>
        <v>1</v>
      </c>
      <c r="K45" s="64" t="n">
        <f aca="false">IF(OR(K$4="",$C45="",$D45=""),"",IF(AND($C45&lt;EDATE(K$4,1),$D45&gt;=K$4),1,""))</f>
        <v>1</v>
      </c>
      <c r="L45" s="64" t="n">
        <f aca="false">IF(OR(L$4="",$C45="",$D45=""),"",IF(AND($C45&lt;EDATE(L$4,1),$D45&gt;=L$4),1,""))</f>
        <v>1</v>
      </c>
      <c r="M45" s="64" t="n">
        <f aca="false">IF(OR(M$4="",$C45="",$D45=""),"",IF(AND($C45&lt;EDATE(M$4,1),$D45&gt;=M$4),1,""))</f>
        <v>1</v>
      </c>
      <c r="N45" s="64" t="n">
        <f aca="false">IF(OR(N$4="",$C45="",$D45=""),"",IF(AND($C45&lt;EDATE(N$4,1),$D45&gt;=N$4),1,""))</f>
        <v>1</v>
      </c>
      <c r="O45" s="64" t="n">
        <f aca="false">IF(OR(O$4="",$C45="",$D45=""),"",IF(AND($C45&lt;EDATE(O$4,1),$D45&gt;=O$4),1,""))</f>
        <v>1</v>
      </c>
      <c r="P45" s="64" t="n">
        <f aca="false">IF(OR(P$4="",$C45="",$D45=""),"",IF(AND($C45&lt;EDATE(P$4,1),$D45&gt;=P$4),1,""))</f>
        <v>1</v>
      </c>
      <c r="Q45" s="64" t="str">
        <f aca="false">IF(OR(Q$4="",$C45="",$D45=""),"",IF(AND($C45&lt;EDATE(Q$4,1),$D45&gt;=Q$4),1,""))</f>
        <v/>
      </c>
      <c r="R45" s="64" t="str">
        <f aca="false">IF(OR(R$4="",$C45="",$D45=""),"",IF(AND($C45&lt;EDATE(R$4,1),$D45&gt;=R$4),1,""))</f>
        <v/>
      </c>
      <c r="S45" s="64" t="str">
        <f aca="false">IF(OR(S$4="",$C45="",$D45=""),"",IF(AND($C45&lt;EDATE(S$4,1),$D45&gt;=S$4),1,""))</f>
        <v/>
      </c>
      <c r="T45" s="64" t="str">
        <f aca="false">IF(OR(T$4="",$C45="",$D45=""),"",IF(AND($C45&lt;EDATE(T$4,1),$D45&gt;=T$4),1,""))</f>
        <v/>
      </c>
      <c r="U45" s="64" t="str">
        <f aca="false">IF(OR(U$4="",$C45="",$D45=""),"",IF(AND($C45&lt;EDATE(U$4,1),$D45&gt;=U$4),1,""))</f>
        <v/>
      </c>
      <c r="V45" s="64" t="str">
        <f aca="false">IF(OR(V$4="",$C45="",$D45=""),"",IF(AND($C45&lt;EDATE(V$4,1),$D45&gt;=V$4),1,""))</f>
        <v/>
      </c>
      <c r="W45" s="64" t="str">
        <f aca="false">IF(OR(W$4="",$C45="",$D45=""),"",IF(AND($C45&lt;EDATE(W$4,1),$D45&gt;=W$4),1,""))</f>
        <v/>
      </c>
      <c r="X45" s="64" t="str">
        <f aca="false">IF(OR(X$4="",$C45="",$D45=""),"",IF(AND($C45&lt;EDATE(X$4,1),$D45&gt;=X$4),1,""))</f>
        <v/>
      </c>
      <c r="Y45" s="64" t="str">
        <f aca="false">IF(OR(Y$4="",$C45="",$D45=""),"",IF(AND($C45&lt;EDATE(Y$4,1),$D45&gt;=Y$4),1,""))</f>
        <v/>
      </c>
      <c r="Z45" s="64" t="str">
        <f aca="false">IF(OR(Z$4="",$C45="",$D45=""),"",IF(AND($C45&lt;EDATE(Z$4,1),$D45&gt;=Z$4),1,""))</f>
        <v/>
      </c>
      <c r="AA45" s="64" t="str">
        <f aca="false">IF(OR(AA$4="",$C45="",$D45=""),"",IF(AND($C45&lt;EDATE(AA$4,1),$D45&gt;=AA$4),1,""))</f>
        <v/>
      </c>
      <c r="AB45" s="64" t="str">
        <f aca="false">IF(OR(AB$4="",$C45="",$D45=""),"",IF(AND($C45&lt;EDATE(AB$4,1),$D45&gt;=AB$4),1,""))</f>
        <v/>
      </c>
      <c r="AC45" s="64" t="str">
        <f aca="false">IF(OR(AC$4="",$C45="",$D45=""),"",IF(AND($C45&lt;EDATE(AC$4,1),$D45&gt;=AC$4),1,""))</f>
        <v/>
      </c>
      <c r="AD45" s="64" t="str">
        <f aca="false">IF(OR(AD$4="",$C45="",$D45=""),"",IF(AND($C45&lt;EDATE(AD$4,1),$D45&gt;=AD$4),1,""))</f>
        <v/>
      </c>
      <c r="AE45" s="64" t="str">
        <f aca="false">IF(OR(AE$4="",$C45="",$D45=""),"",IF(AND($C45&lt;EDATE(AE$4,1),$D45&gt;=AE$4),1,""))</f>
        <v/>
      </c>
      <c r="AF45" s="64" t="str">
        <f aca="false">IF(OR(AF$4="",$C45="",$D45=""),"",IF(AND($C45&lt;EDATE(AF$4,1),$D45&gt;=AF$4),1,""))</f>
        <v/>
      </c>
      <c r="AG45" s="64" t="str">
        <f aca="false">IF(OR(AG$4="",$C45="",$D45=""),"",IF(AND($C45&lt;EDATE(AG$4,1),$D45&gt;=AG$4),1,""))</f>
        <v/>
      </c>
      <c r="AH45" s="64" t="str">
        <f aca="false">IF(OR(AH$4="",$C45="",$D45=""),"",IF(AND($C45&lt;EDATE(AH$4,1),$D45&gt;=AH$4),1,""))</f>
        <v/>
      </c>
      <c r="AI45" s="64" t="str">
        <f aca="false">IF(OR(AI$4="",$C45="",$D45=""),"",IF(AND($C45&lt;EDATE(AI$4,1),$D45&gt;=AI$4),1,""))</f>
        <v/>
      </c>
      <c r="AJ45" s="64" t="str">
        <f aca="false">IF(OR(AJ$4="",$C45="",$D45=""),"",IF(AND($C45&lt;EDATE(AJ$4,1),$D45&gt;=AJ$4),1,""))</f>
        <v/>
      </c>
      <c r="AK45" s="64" t="str">
        <f aca="false">IF(OR(AK$4="",$C45="",$D45=""),"",IF(AND($C45&lt;EDATE(AK$4,1),$D45&gt;=AK$4),1,""))</f>
        <v/>
      </c>
      <c r="AL45" s="64" t="str">
        <f aca="false">IF(OR(AL$4="",$C45="",$D45=""),"",IF(AND($C45&lt;EDATE(AL$4,1),$D45&gt;=AL$4),1,""))</f>
        <v/>
      </c>
      <c r="AM45" s="64" t="str">
        <f aca="false">IF(OR(AM$4="",$C45="",$D45=""),"",IF(AND($C45&lt;EDATE(AM$4,1),$D45&gt;=AM$4),1,""))</f>
        <v/>
      </c>
      <c r="AN45" s="64" t="str">
        <f aca="false">IF(OR(AN$4="",$C45="",$D45=""),"",IF(AND($C45&lt;EDATE(AN$4,1),$D45&gt;=AN$4),1,""))</f>
        <v/>
      </c>
      <c r="AO45" s="64" t="str">
        <f aca="false">IF(OR(AO$4="",$C45="",$D45=""),"",IF(AND($C45&lt;EDATE(AO$4,1),$D45&gt;=AO$4),1,""))</f>
        <v/>
      </c>
      <c r="AP45" s="64" t="str">
        <f aca="false">IF(OR(AP$4="",$C45="",$D45=""),"",IF(AND($C45&lt;EDATE(AP$4,1),$D45&gt;=AP$4),1,""))</f>
        <v/>
      </c>
      <c r="AQ45" s="64" t="str">
        <f aca="false">IF(OR(AQ$4="",$C45="",$D45=""),"",IF(AND($C45&lt;EDATE(AQ$4,1),$D45&gt;=AQ$4),1,""))</f>
        <v/>
      </c>
      <c r="AR45" s="64" t="str">
        <f aca="false">IF(OR(AR$4="",$C45="",$D45=""),"",IF(AND($C45&lt;EDATE(AR$4,1),$D45&gt;=AR$4),1,""))</f>
        <v/>
      </c>
      <c r="AS45" s="64" t="str">
        <f aca="false">IF(OR(AS$4="",$C45="",$D45=""),"",IF(AND($C45&lt;EDATE(AS$4,1),$D45&gt;=AS$4),1,""))</f>
        <v/>
      </c>
      <c r="AT45" s="64" t="str">
        <f aca="false">IF(OR(AT$4="",$C45="",$D45=""),"",IF(AND($C45&lt;EDATE(AT$4,1),$D45&gt;=AT$4),1,""))</f>
        <v/>
      </c>
      <c r="AU45" s="64" t="str">
        <f aca="false">IF(OR(AU$4="",$C45="",$D45=""),"",IF(AND($C45&lt;EDATE(AU$4,1),$D45&gt;=AU$4),1,""))</f>
        <v/>
      </c>
      <c r="AV45" s="64" t="str">
        <f aca="false">IF(OR(AV$4="",$C45="",$D45=""),"",IF(AND($C45&lt;EDATE(AV$4,1),$D45&gt;=AV$4),1,""))</f>
        <v/>
      </c>
      <c r="AW45" s="64" t="str">
        <f aca="false">IF(OR(AW$4="",$C45="",$D45=""),"",IF(AND($C45&lt;EDATE(AW$4,1),$D45&gt;=AW$4),1,""))</f>
        <v/>
      </c>
      <c r="AX45" s="64" t="str">
        <f aca="false">IF(OR(AX$4="",$C45="",$D45=""),"",IF(AND($C45&lt;EDATE(AX$4,1),$D45&gt;=AX$4),1,""))</f>
        <v/>
      </c>
      <c r="AY45" s="64" t="str">
        <f aca="false">IF(OR(AY$4="",$C45="",$D45=""),"",IF(AND($C45&lt;EDATE(AY$4,1),$D45&gt;=AY$4),1,""))</f>
        <v/>
      </c>
      <c r="AZ45" s="64" t="str">
        <f aca="false">IF(OR(AZ$4="",$C45="",$D45=""),"",IF(AND($C45&lt;EDATE(AZ$4,1),$D45&gt;=AZ$4),1,""))</f>
        <v/>
      </c>
      <c r="BA45" s="64" t="str">
        <f aca="false">IF(OR(BA$4="",$C45="",$D45=""),"",IF(AND($C45&lt;EDATE(BA$4,1),$D45&gt;=BA$4),1,""))</f>
        <v/>
      </c>
      <c r="BB45" s="64" t="str">
        <f aca="false">IF(OR(BB$4="",$C45="",$D45=""),"",IF(AND($C45&lt;EDATE(BB$4,1),$D45&gt;=BB$4),1,""))</f>
        <v/>
      </c>
      <c r="BC45" s="64" t="str">
        <f aca="false">IF(OR(BC$4="",$C45="",$D45=""),"",IF(AND($C45&lt;EDATE(BC$4,1),$D45&gt;=BC$4),1,""))</f>
        <v/>
      </c>
      <c r="BD45" s="64" t="str">
        <f aca="false">IF(OR(BD$4="",$C45="",$D45=""),"",IF(AND($C45&lt;EDATE(BD$4,1),$D45&gt;=BD$4),1,""))</f>
        <v/>
      </c>
      <c r="BE45" s="64" t="str">
        <f aca="false">IF(OR(BE$4="",$C45="",$D45=""),"",IF(AND($C45&lt;EDATE(BE$4,1),$D45&gt;=BE$4),1,""))</f>
        <v/>
      </c>
      <c r="BF45" s="64" t="str">
        <f aca="false">IF(OR(BF$4="",$C45="",$D45=""),"",IF(AND($C45&lt;EDATE(BF$4,1),$D45&gt;=BF$4),1,""))</f>
        <v/>
      </c>
      <c r="BG45" s="64" t="str">
        <f aca="false">IF(OR(BG$4="",$C45="",$D45=""),"",IF(AND($C45&lt;EDATE(BG$4,1),$D45&gt;=BG$4),1,""))</f>
        <v/>
      </c>
      <c r="BH45" s="64" t="str">
        <f aca="false">IF(OR(BH$4="",$C45="",$D45=""),"",IF(AND($C45&lt;EDATE(BH$4,1),$D45&gt;=BH$4),1,""))</f>
        <v/>
      </c>
      <c r="BI45" s="64" t="str">
        <f aca="false">IF(OR(BI$4="",$C45="",$D45=""),"",IF(AND($C45&lt;EDATE(BI$4,1),$D45&gt;=BI$4),1,""))</f>
        <v/>
      </c>
      <c r="BJ45" s="64" t="str">
        <f aca="false">IF(OR(BJ$4="",$C45="",$D45=""),"",IF(AND($C45&lt;EDATE(BJ$4,1),$D45&gt;=BJ$4),1,""))</f>
        <v/>
      </c>
      <c r="BK45" s="64" t="str">
        <f aca="false">IF(OR(BK$4="",$C45="",$D45=""),"",IF(AND($C45&lt;EDATE(BK$4,1),$D45&gt;=BK$4),1,""))</f>
        <v/>
      </c>
      <c r="BL45" s="64" t="str">
        <f aca="false">IF(OR(BL$4="",$C45="",$D45=""),"",IF(AND($C45&lt;EDATE(BL$4,1),$D45&gt;=BL$4),1,""))</f>
        <v/>
      </c>
      <c r="BM45" s="64" t="str">
        <f aca="false">IF(OR(BM$4="",$C45="",$D45=""),"",IF(AND($C45&lt;EDATE(BM$4,1),$D45&gt;=BM$4),1,""))</f>
        <v/>
      </c>
      <c r="BN45" s="64" t="str">
        <f aca="false">IF(OR(BN$4="",$C45="",$D45=""),"",IF(AND($C45&lt;EDATE(BN$4,1),$D45&gt;=BN$4),1,""))</f>
        <v/>
      </c>
      <c r="BO45" s="64" t="str">
        <f aca="false">IF(OR(BO$4="",$C45="",$D45=""),"",IF(AND($C45&lt;EDATE(BO$4,1),$D45&gt;=BO$4),1,""))</f>
        <v/>
      </c>
      <c r="BP45" s="64" t="str">
        <f aca="false">IF(OR(BP$4="",$C45="",$D45=""),"",IF(AND($C45&lt;EDATE(BP$4,1),$D45&gt;=BP$4),1,""))</f>
        <v/>
      </c>
      <c r="BQ45" s="64" t="str">
        <f aca="false">IF(OR(BQ$4="",$C45="",$D45=""),"",IF(AND($C45&lt;EDATE(BQ$4,1),$D45&gt;=BQ$4),1,""))</f>
        <v/>
      </c>
      <c r="BR45" s="64" t="str">
        <f aca="false">IF(OR(BR$4="",$C45="",$D45=""),"",IF(AND($C45&lt;EDATE(BR$4,1),$D45&gt;=BR$4),1,""))</f>
        <v/>
      </c>
      <c r="BS45" s="64" t="str">
        <f aca="false">IF(OR(BS$4="",$C45="",$D45=""),"",IF(AND($C45&lt;EDATE(BS$4,1),$D45&gt;=BS$4),1,""))</f>
        <v/>
      </c>
      <c r="BT45" s="64" t="str">
        <f aca="false">IF(OR(BT$4="",$C45="",$D45=""),"",IF(AND($C45&lt;EDATE(BT$4,1),$D45&gt;=BT$4),1,""))</f>
        <v/>
      </c>
      <c r="BU45" s="64" t="str">
        <f aca="false">IF(OR(BU$4="",$C45="",$D45=""),"",IF(AND($C45&lt;EDATE(BU$4,1),$D45&gt;=BU$4),1,""))</f>
        <v/>
      </c>
      <c r="BV45" s="64" t="str">
        <f aca="false">IF(OR(BV$4="",$C45="",$D45=""),"",IF(AND($C45&lt;EDATE(BV$4,1),$D45&gt;=BV$4),1,""))</f>
        <v/>
      </c>
      <c r="BW45" s="64" t="str">
        <f aca="false">IF(OR(BW$4="",$C45="",$D45=""),"",IF(AND($C45&lt;EDATE(BW$4,1),$D45&gt;=BW$4),1,""))</f>
        <v/>
      </c>
      <c r="BX45" s="64" t="str">
        <f aca="false">IF(OR(BX$4="",$C45="",$D45=""),"",IF(AND($C45&lt;EDATE(BX$4,1),$D45&gt;=BX$4),1,""))</f>
        <v/>
      </c>
      <c r="BY45" s="64" t="str">
        <f aca="false">IF(OR(BY$4="",$C45="",$D45=""),"",IF(AND($C45&lt;EDATE(BY$4,1),$D45&gt;=BY$4),1,""))</f>
        <v/>
      </c>
    </row>
    <row r="46" customFormat="false" ht="15" hidden="false" customHeight="false" outlineLevel="0" collapsed="false">
      <c r="A46" s="53" t="str">
        <f aca="false">IF(BOE!$A15="","",BOE!$A15)</f>
        <v>201</v>
      </c>
      <c r="B46" s="53" t="str">
        <f aca="false">IF(BOE!$A15="","",BOE!$C15)</f>
        <v>Preliminary Hazard List (PHL)</v>
      </c>
      <c r="C46" s="54" t="n">
        <f aca="false">IF(OR(BOE!$A15="",BOE!$E15&lt;&gt;"Y"),"",BOE!$O15)</f>
        <v>46391</v>
      </c>
      <c r="D46" s="54" t="n">
        <f aca="false">IF(OR(BOE!$A15="",BOE!$E15&lt;&gt;"Y"),"",BOE!$P15)</f>
        <v>46481</v>
      </c>
      <c r="E46" s="55" t="n">
        <f aca="false">IF(OR(BOE!$A15="",BOE!$E15&lt;&gt;"Y"),"",IF(Inputs!$B$7="P90",BOE!$T15,BOE!$R15))</f>
        <v>160</v>
      </c>
      <c r="F46" s="64" t="n">
        <f aca="false">IF(OR(F$4="",$C46="",$D46=""),"",IF(AND($C46&lt;EDATE(F$4,1),$D46&gt;=F$4),1,""))</f>
        <v>1</v>
      </c>
      <c r="G46" s="64" t="n">
        <f aca="false">IF(OR(G$4="",$C46="",$D46=""),"",IF(AND($C46&lt;EDATE(G$4,1),$D46&gt;=G$4),1,""))</f>
        <v>1</v>
      </c>
      <c r="H46" s="64" t="n">
        <f aca="false">IF(OR(H$4="",$C46="",$D46=""),"",IF(AND($C46&lt;EDATE(H$4,1),$D46&gt;=H$4),1,""))</f>
        <v>1</v>
      </c>
      <c r="I46" s="64" t="n">
        <f aca="false">IF(OR(I$4="",$C46="",$D46=""),"",IF(AND($C46&lt;EDATE(I$4,1),$D46&gt;=I$4),1,""))</f>
        <v>1</v>
      </c>
      <c r="J46" s="64" t="str">
        <f aca="false">IF(OR(J$4="",$C46="",$D46=""),"",IF(AND($C46&lt;EDATE(J$4,1),$D46&gt;=J$4),1,""))</f>
        <v/>
      </c>
      <c r="K46" s="64" t="str">
        <f aca="false">IF(OR(K$4="",$C46="",$D46=""),"",IF(AND($C46&lt;EDATE(K$4,1),$D46&gt;=K$4),1,""))</f>
        <v/>
      </c>
      <c r="L46" s="64" t="str">
        <f aca="false">IF(OR(L$4="",$C46="",$D46=""),"",IF(AND($C46&lt;EDATE(L$4,1),$D46&gt;=L$4),1,""))</f>
        <v/>
      </c>
      <c r="M46" s="64" t="str">
        <f aca="false">IF(OR(M$4="",$C46="",$D46=""),"",IF(AND($C46&lt;EDATE(M$4,1),$D46&gt;=M$4),1,""))</f>
        <v/>
      </c>
      <c r="N46" s="64" t="str">
        <f aca="false">IF(OR(N$4="",$C46="",$D46=""),"",IF(AND($C46&lt;EDATE(N$4,1),$D46&gt;=N$4),1,""))</f>
        <v/>
      </c>
      <c r="O46" s="64" t="str">
        <f aca="false">IF(OR(O$4="",$C46="",$D46=""),"",IF(AND($C46&lt;EDATE(O$4,1),$D46&gt;=O$4),1,""))</f>
        <v/>
      </c>
      <c r="P46" s="64" t="str">
        <f aca="false">IF(OR(P$4="",$C46="",$D46=""),"",IF(AND($C46&lt;EDATE(P$4,1),$D46&gt;=P$4),1,""))</f>
        <v/>
      </c>
      <c r="Q46" s="64" t="str">
        <f aca="false">IF(OR(Q$4="",$C46="",$D46=""),"",IF(AND($C46&lt;EDATE(Q$4,1),$D46&gt;=Q$4),1,""))</f>
        <v/>
      </c>
      <c r="R46" s="64" t="str">
        <f aca="false">IF(OR(R$4="",$C46="",$D46=""),"",IF(AND($C46&lt;EDATE(R$4,1),$D46&gt;=R$4),1,""))</f>
        <v/>
      </c>
      <c r="S46" s="64" t="str">
        <f aca="false">IF(OR(S$4="",$C46="",$D46=""),"",IF(AND($C46&lt;EDATE(S$4,1),$D46&gt;=S$4),1,""))</f>
        <v/>
      </c>
      <c r="T46" s="64" t="str">
        <f aca="false">IF(OR(T$4="",$C46="",$D46=""),"",IF(AND($C46&lt;EDATE(T$4,1),$D46&gt;=T$4),1,""))</f>
        <v/>
      </c>
      <c r="U46" s="64" t="str">
        <f aca="false">IF(OR(U$4="",$C46="",$D46=""),"",IF(AND($C46&lt;EDATE(U$4,1),$D46&gt;=U$4),1,""))</f>
        <v/>
      </c>
      <c r="V46" s="64" t="str">
        <f aca="false">IF(OR(V$4="",$C46="",$D46=""),"",IF(AND($C46&lt;EDATE(V$4,1),$D46&gt;=V$4),1,""))</f>
        <v/>
      </c>
      <c r="W46" s="64" t="str">
        <f aca="false">IF(OR(W$4="",$C46="",$D46=""),"",IF(AND($C46&lt;EDATE(W$4,1),$D46&gt;=W$4),1,""))</f>
        <v/>
      </c>
      <c r="X46" s="64" t="str">
        <f aca="false">IF(OR(X$4="",$C46="",$D46=""),"",IF(AND($C46&lt;EDATE(X$4,1),$D46&gt;=X$4),1,""))</f>
        <v/>
      </c>
      <c r="Y46" s="64" t="str">
        <f aca="false">IF(OR(Y$4="",$C46="",$D46=""),"",IF(AND($C46&lt;EDATE(Y$4,1),$D46&gt;=Y$4),1,""))</f>
        <v/>
      </c>
      <c r="Z46" s="64" t="str">
        <f aca="false">IF(OR(Z$4="",$C46="",$D46=""),"",IF(AND($C46&lt;EDATE(Z$4,1),$D46&gt;=Z$4),1,""))</f>
        <v/>
      </c>
      <c r="AA46" s="64" t="str">
        <f aca="false">IF(OR(AA$4="",$C46="",$D46=""),"",IF(AND($C46&lt;EDATE(AA$4,1),$D46&gt;=AA$4),1,""))</f>
        <v/>
      </c>
      <c r="AB46" s="64" t="str">
        <f aca="false">IF(OR(AB$4="",$C46="",$D46=""),"",IF(AND($C46&lt;EDATE(AB$4,1),$D46&gt;=AB$4),1,""))</f>
        <v/>
      </c>
      <c r="AC46" s="64" t="str">
        <f aca="false">IF(OR(AC$4="",$C46="",$D46=""),"",IF(AND($C46&lt;EDATE(AC$4,1),$D46&gt;=AC$4),1,""))</f>
        <v/>
      </c>
      <c r="AD46" s="64" t="str">
        <f aca="false">IF(OR(AD$4="",$C46="",$D46=""),"",IF(AND($C46&lt;EDATE(AD$4,1),$D46&gt;=AD$4),1,""))</f>
        <v/>
      </c>
      <c r="AE46" s="64" t="str">
        <f aca="false">IF(OR(AE$4="",$C46="",$D46=""),"",IF(AND($C46&lt;EDATE(AE$4,1),$D46&gt;=AE$4),1,""))</f>
        <v/>
      </c>
      <c r="AF46" s="64" t="str">
        <f aca="false">IF(OR(AF$4="",$C46="",$D46=""),"",IF(AND($C46&lt;EDATE(AF$4,1),$D46&gt;=AF$4),1,""))</f>
        <v/>
      </c>
      <c r="AG46" s="64" t="str">
        <f aca="false">IF(OR(AG$4="",$C46="",$D46=""),"",IF(AND($C46&lt;EDATE(AG$4,1),$D46&gt;=AG$4),1,""))</f>
        <v/>
      </c>
      <c r="AH46" s="64" t="str">
        <f aca="false">IF(OR(AH$4="",$C46="",$D46=""),"",IF(AND($C46&lt;EDATE(AH$4,1),$D46&gt;=AH$4),1,""))</f>
        <v/>
      </c>
      <c r="AI46" s="64" t="str">
        <f aca="false">IF(OR(AI$4="",$C46="",$D46=""),"",IF(AND($C46&lt;EDATE(AI$4,1),$D46&gt;=AI$4),1,""))</f>
        <v/>
      </c>
      <c r="AJ46" s="64" t="str">
        <f aca="false">IF(OR(AJ$4="",$C46="",$D46=""),"",IF(AND($C46&lt;EDATE(AJ$4,1),$D46&gt;=AJ$4),1,""))</f>
        <v/>
      </c>
      <c r="AK46" s="64" t="str">
        <f aca="false">IF(OR(AK$4="",$C46="",$D46=""),"",IF(AND($C46&lt;EDATE(AK$4,1),$D46&gt;=AK$4),1,""))</f>
        <v/>
      </c>
      <c r="AL46" s="64" t="str">
        <f aca="false">IF(OR(AL$4="",$C46="",$D46=""),"",IF(AND($C46&lt;EDATE(AL$4,1),$D46&gt;=AL$4),1,""))</f>
        <v/>
      </c>
      <c r="AM46" s="64" t="str">
        <f aca="false">IF(OR(AM$4="",$C46="",$D46=""),"",IF(AND($C46&lt;EDATE(AM$4,1),$D46&gt;=AM$4),1,""))</f>
        <v/>
      </c>
      <c r="AN46" s="64" t="str">
        <f aca="false">IF(OR(AN$4="",$C46="",$D46=""),"",IF(AND($C46&lt;EDATE(AN$4,1),$D46&gt;=AN$4),1,""))</f>
        <v/>
      </c>
      <c r="AO46" s="64" t="str">
        <f aca="false">IF(OR(AO$4="",$C46="",$D46=""),"",IF(AND($C46&lt;EDATE(AO$4,1),$D46&gt;=AO$4),1,""))</f>
        <v/>
      </c>
      <c r="AP46" s="64" t="str">
        <f aca="false">IF(OR(AP$4="",$C46="",$D46=""),"",IF(AND($C46&lt;EDATE(AP$4,1),$D46&gt;=AP$4),1,""))</f>
        <v/>
      </c>
      <c r="AQ46" s="64" t="str">
        <f aca="false">IF(OR(AQ$4="",$C46="",$D46=""),"",IF(AND($C46&lt;EDATE(AQ$4,1),$D46&gt;=AQ$4),1,""))</f>
        <v/>
      </c>
      <c r="AR46" s="64" t="str">
        <f aca="false">IF(OR(AR$4="",$C46="",$D46=""),"",IF(AND($C46&lt;EDATE(AR$4,1),$D46&gt;=AR$4),1,""))</f>
        <v/>
      </c>
      <c r="AS46" s="64" t="str">
        <f aca="false">IF(OR(AS$4="",$C46="",$D46=""),"",IF(AND($C46&lt;EDATE(AS$4,1),$D46&gt;=AS$4),1,""))</f>
        <v/>
      </c>
      <c r="AT46" s="64" t="str">
        <f aca="false">IF(OR(AT$4="",$C46="",$D46=""),"",IF(AND($C46&lt;EDATE(AT$4,1),$D46&gt;=AT$4),1,""))</f>
        <v/>
      </c>
      <c r="AU46" s="64" t="str">
        <f aca="false">IF(OR(AU$4="",$C46="",$D46=""),"",IF(AND($C46&lt;EDATE(AU$4,1),$D46&gt;=AU$4),1,""))</f>
        <v/>
      </c>
      <c r="AV46" s="64" t="str">
        <f aca="false">IF(OR(AV$4="",$C46="",$D46=""),"",IF(AND($C46&lt;EDATE(AV$4,1),$D46&gt;=AV$4),1,""))</f>
        <v/>
      </c>
      <c r="AW46" s="64" t="str">
        <f aca="false">IF(OR(AW$4="",$C46="",$D46=""),"",IF(AND($C46&lt;EDATE(AW$4,1),$D46&gt;=AW$4),1,""))</f>
        <v/>
      </c>
      <c r="AX46" s="64" t="str">
        <f aca="false">IF(OR(AX$4="",$C46="",$D46=""),"",IF(AND($C46&lt;EDATE(AX$4,1),$D46&gt;=AX$4),1,""))</f>
        <v/>
      </c>
      <c r="AY46" s="64" t="str">
        <f aca="false">IF(OR(AY$4="",$C46="",$D46=""),"",IF(AND($C46&lt;EDATE(AY$4,1),$D46&gt;=AY$4),1,""))</f>
        <v/>
      </c>
      <c r="AZ46" s="64" t="str">
        <f aca="false">IF(OR(AZ$4="",$C46="",$D46=""),"",IF(AND($C46&lt;EDATE(AZ$4,1),$D46&gt;=AZ$4),1,""))</f>
        <v/>
      </c>
      <c r="BA46" s="64" t="str">
        <f aca="false">IF(OR(BA$4="",$C46="",$D46=""),"",IF(AND($C46&lt;EDATE(BA$4,1),$D46&gt;=BA$4),1,""))</f>
        <v/>
      </c>
      <c r="BB46" s="64" t="str">
        <f aca="false">IF(OR(BB$4="",$C46="",$D46=""),"",IF(AND($C46&lt;EDATE(BB$4,1),$D46&gt;=BB$4),1,""))</f>
        <v/>
      </c>
      <c r="BC46" s="64" t="str">
        <f aca="false">IF(OR(BC$4="",$C46="",$D46=""),"",IF(AND($C46&lt;EDATE(BC$4,1),$D46&gt;=BC$4),1,""))</f>
        <v/>
      </c>
      <c r="BD46" s="64" t="str">
        <f aca="false">IF(OR(BD$4="",$C46="",$D46=""),"",IF(AND($C46&lt;EDATE(BD$4,1),$D46&gt;=BD$4),1,""))</f>
        <v/>
      </c>
      <c r="BE46" s="64" t="str">
        <f aca="false">IF(OR(BE$4="",$C46="",$D46=""),"",IF(AND($C46&lt;EDATE(BE$4,1),$D46&gt;=BE$4),1,""))</f>
        <v/>
      </c>
      <c r="BF46" s="64" t="str">
        <f aca="false">IF(OR(BF$4="",$C46="",$D46=""),"",IF(AND($C46&lt;EDATE(BF$4,1),$D46&gt;=BF$4),1,""))</f>
        <v/>
      </c>
      <c r="BG46" s="64" t="str">
        <f aca="false">IF(OR(BG$4="",$C46="",$D46=""),"",IF(AND($C46&lt;EDATE(BG$4,1),$D46&gt;=BG$4),1,""))</f>
        <v/>
      </c>
      <c r="BH46" s="64" t="str">
        <f aca="false">IF(OR(BH$4="",$C46="",$D46=""),"",IF(AND($C46&lt;EDATE(BH$4,1),$D46&gt;=BH$4),1,""))</f>
        <v/>
      </c>
      <c r="BI46" s="64" t="str">
        <f aca="false">IF(OR(BI$4="",$C46="",$D46=""),"",IF(AND($C46&lt;EDATE(BI$4,1),$D46&gt;=BI$4),1,""))</f>
        <v/>
      </c>
      <c r="BJ46" s="64" t="str">
        <f aca="false">IF(OR(BJ$4="",$C46="",$D46=""),"",IF(AND($C46&lt;EDATE(BJ$4,1),$D46&gt;=BJ$4),1,""))</f>
        <v/>
      </c>
      <c r="BK46" s="64" t="str">
        <f aca="false">IF(OR(BK$4="",$C46="",$D46=""),"",IF(AND($C46&lt;EDATE(BK$4,1),$D46&gt;=BK$4),1,""))</f>
        <v/>
      </c>
      <c r="BL46" s="64" t="str">
        <f aca="false">IF(OR(BL$4="",$C46="",$D46=""),"",IF(AND($C46&lt;EDATE(BL$4,1),$D46&gt;=BL$4),1,""))</f>
        <v/>
      </c>
      <c r="BM46" s="64" t="str">
        <f aca="false">IF(OR(BM$4="",$C46="",$D46=""),"",IF(AND($C46&lt;EDATE(BM$4,1),$D46&gt;=BM$4),1,""))</f>
        <v/>
      </c>
      <c r="BN46" s="64" t="str">
        <f aca="false">IF(OR(BN$4="",$C46="",$D46=""),"",IF(AND($C46&lt;EDATE(BN$4,1),$D46&gt;=BN$4),1,""))</f>
        <v/>
      </c>
      <c r="BO46" s="64" t="str">
        <f aca="false">IF(OR(BO$4="",$C46="",$D46=""),"",IF(AND($C46&lt;EDATE(BO$4,1),$D46&gt;=BO$4),1,""))</f>
        <v/>
      </c>
      <c r="BP46" s="64" t="str">
        <f aca="false">IF(OR(BP$4="",$C46="",$D46=""),"",IF(AND($C46&lt;EDATE(BP$4,1),$D46&gt;=BP$4),1,""))</f>
        <v/>
      </c>
      <c r="BQ46" s="64" t="str">
        <f aca="false">IF(OR(BQ$4="",$C46="",$D46=""),"",IF(AND($C46&lt;EDATE(BQ$4,1),$D46&gt;=BQ$4),1,""))</f>
        <v/>
      </c>
      <c r="BR46" s="64" t="str">
        <f aca="false">IF(OR(BR$4="",$C46="",$D46=""),"",IF(AND($C46&lt;EDATE(BR$4,1),$D46&gt;=BR$4),1,""))</f>
        <v/>
      </c>
      <c r="BS46" s="64" t="str">
        <f aca="false">IF(OR(BS$4="",$C46="",$D46=""),"",IF(AND($C46&lt;EDATE(BS$4,1),$D46&gt;=BS$4),1,""))</f>
        <v/>
      </c>
      <c r="BT46" s="64" t="str">
        <f aca="false">IF(OR(BT$4="",$C46="",$D46=""),"",IF(AND($C46&lt;EDATE(BT$4,1),$D46&gt;=BT$4),1,""))</f>
        <v/>
      </c>
      <c r="BU46" s="64" t="str">
        <f aca="false">IF(OR(BU$4="",$C46="",$D46=""),"",IF(AND($C46&lt;EDATE(BU$4,1),$D46&gt;=BU$4),1,""))</f>
        <v/>
      </c>
      <c r="BV46" s="64" t="str">
        <f aca="false">IF(OR(BV$4="",$C46="",$D46=""),"",IF(AND($C46&lt;EDATE(BV$4,1),$D46&gt;=BV$4),1,""))</f>
        <v/>
      </c>
      <c r="BW46" s="64" t="str">
        <f aca="false">IF(OR(BW$4="",$C46="",$D46=""),"",IF(AND($C46&lt;EDATE(BW$4,1),$D46&gt;=BW$4),1,""))</f>
        <v/>
      </c>
      <c r="BX46" s="64" t="str">
        <f aca="false">IF(OR(BX$4="",$C46="",$D46=""),"",IF(AND($C46&lt;EDATE(BX$4,1),$D46&gt;=BX$4),1,""))</f>
        <v/>
      </c>
      <c r="BY46" s="64" t="str">
        <f aca="false">IF(OR(BY$4="",$C46="",$D46=""),"",IF(AND($C46&lt;EDATE(BY$4,1),$D46&gt;=BY$4),1,""))</f>
        <v/>
      </c>
    </row>
    <row r="47" customFormat="false" ht="15" hidden="false" customHeight="false" outlineLevel="0" collapsed="false">
      <c r="A47" s="53" t="str">
        <f aca="false">IF(BOE!$A16="","",BOE!$A16)</f>
        <v>202</v>
      </c>
      <c r="B47" s="53" t="str">
        <f aca="false">IF(BOE!$A16="","",BOE!$C16)</f>
        <v>Preliminary Hazard Analysis (PHA)</v>
      </c>
      <c r="C47" s="54" t="n">
        <f aca="false">IF(OR(BOE!$A16="",BOE!$E16&lt;&gt;"Y"),"",BOE!$O16)</f>
        <v>46481</v>
      </c>
      <c r="D47" s="54" t="n">
        <f aca="false">IF(OR(BOE!$A16="",BOE!$E16&lt;&gt;"Y"),"",BOE!$P16)</f>
        <v>46600</v>
      </c>
      <c r="E47" s="55" t="n">
        <f aca="false">IF(OR(BOE!$A16="",BOE!$E16&lt;&gt;"Y"),"",IF(Inputs!$B$7="P90",BOE!$T16,BOE!$R16))</f>
        <v>480</v>
      </c>
      <c r="F47" s="64" t="str">
        <f aca="false">IF(OR(F$4="",$C47="",$D47=""),"",IF(AND($C47&lt;EDATE(F$4,1),$D47&gt;=F$4),1,""))</f>
        <v/>
      </c>
      <c r="G47" s="64" t="str">
        <f aca="false">IF(OR(G$4="",$C47="",$D47=""),"",IF(AND($C47&lt;EDATE(G$4,1),$D47&gt;=G$4),1,""))</f>
        <v/>
      </c>
      <c r="H47" s="64" t="str">
        <f aca="false">IF(OR(H$4="",$C47="",$D47=""),"",IF(AND($C47&lt;EDATE(H$4,1),$D47&gt;=H$4),1,""))</f>
        <v/>
      </c>
      <c r="I47" s="64" t="n">
        <f aca="false">IF(OR(I$4="",$C47="",$D47=""),"",IF(AND($C47&lt;EDATE(I$4,1),$D47&gt;=I$4),1,""))</f>
        <v>1</v>
      </c>
      <c r="J47" s="64" t="n">
        <f aca="false">IF(OR(J$4="",$C47="",$D47=""),"",IF(AND($C47&lt;EDATE(J$4,1),$D47&gt;=J$4),1,""))</f>
        <v>1</v>
      </c>
      <c r="K47" s="64" t="n">
        <f aca="false">IF(OR(K$4="",$C47="",$D47=""),"",IF(AND($C47&lt;EDATE(K$4,1),$D47&gt;=K$4),1,""))</f>
        <v>1</v>
      </c>
      <c r="L47" s="64" t="n">
        <f aca="false">IF(OR(L$4="",$C47="",$D47=""),"",IF(AND($C47&lt;EDATE(L$4,1),$D47&gt;=L$4),1,""))</f>
        <v>1</v>
      </c>
      <c r="M47" s="64" t="str">
        <f aca="false">IF(OR(M$4="",$C47="",$D47=""),"",IF(AND($C47&lt;EDATE(M$4,1),$D47&gt;=M$4),1,""))</f>
        <v/>
      </c>
      <c r="N47" s="64" t="str">
        <f aca="false">IF(OR(N$4="",$C47="",$D47=""),"",IF(AND($C47&lt;EDATE(N$4,1),$D47&gt;=N$4),1,""))</f>
        <v/>
      </c>
      <c r="O47" s="64" t="str">
        <f aca="false">IF(OR(O$4="",$C47="",$D47=""),"",IF(AND($C47&lt;EDATE(O$4,1),$D47&gt;=O$4),1,""))</f>
        <v/>
      </c>
      <c r="P47" s="64" t="str">
        <f aca="false">IF(OR(P$4="",$C47="",$D47=""),"",IF(AND($C47&lt;EDATE(P$4,1),$D47&gt;=P$4),1,""))</f>
        <v/>
      </c>
      <c r="Q47" s="64" t="str">
        <f aca="false">IF(OR(Q$4="",$C47="",$D47=""),"",IF(AND($C47&lt;EDATE(Q$4,1),$D47&gt;=Q$4),1,""))</f>
        <v/>
      </c>
      <c r="R47" s="64" t="str">
        <f aca="false">IF(OR(R$4="",$C47="",$D47=""),"",IF(AND($C47&lt;EDATE(R$4,1),$D47&gt;=R$4),1,""))</f>
        <v/>
      </c>
      <c r="S47" s="64" t="str">
        <f aca="false">IF(OR(S$4="",$C47="",$D47=""),"",IF(AND($C47&lt;EDATE(S$4,1),$D47&gt;=S$4),1,""))</f>
        <v/>
      </c>
      <c r="T47" s="64" t="str">
        <f aca="false">IF(OR(T$4="",$C47="",$D47=""),"",IF(AND($C47&lt;EDATE(T$4,1),$D47&gt;=T$4),1,""))</f>
        <v/>
      </c>
      <c r="U47" s="64" t="str">
        <f aca="false">IF(OR(U$4="",$C47="",$D47=""),"",IF(AND($C47&lt;EDATE(U$4,1),$D47&gt;=U$4),1,""))</f>
        <v/>
      </c>
      <c r="V47" s="64" t="str">
        <f aca="false">IF(OR(V$4="",$C47="",$D47=""),"",IF(AND($C47&lt;EDATE(V$4,1),$D47&gt;=V$4),1,""))</f>
        <v/>
      </c>
      <c r="W47" s="64" t="str">
        <f aca="false">IF(OR(W$4="",$C47="",$D47=""),"",IF(AND($C47&lt;EDATE(W$4,1),$D47&gt;=W$4),1,""))</f>
        <v/>
      </c>
      <c r="X47" s="64" t="str">
        <f aca="false">IF(OR(X$4="",$C47="",$D47=""),"",IF(AND($C47&lt;EDATE(X$4,1),$D47&gt;=X$4),1,""))</f>
        <v/>
      </c>
      <c r="Y47" s="64" t="str">
        <f aca="false">IF(OR(Y$4="",$C47="",$D47=""),"",IF(AND($C47&lt;EDATE(Y$4,1),$D47&gt;=Y$4),1,""))</f>
        <v/>
      </c>
      <c r="Z47" s="64" t="str">
        <f aca="false">IF(OR(Z$4="",$C47="",$D47=""),"",IF(AND($C47&lt;EDATE(Z$4,1),$D47&gt;=Z$4),1,""))</f>
        <v/>
      </c>
      <c r="AA47" s="64" t="str">
        <f aca="false">IF(OR(AA$4="",$C47="",$D47=""),"",IF(AND($C47&lt;EDATE(AA$4,1),$D47&gt;=AA$4),1,""))</f>
        <v/>
      </c>
      <c r="AB47" s="64" t="str">
        <f aca="false">IF(OR(AB$4="",$C47="",$D47=""),"",IF(AND($C47&lt;EDATE(AB$4,1),$D47&gt;=AB$4),1,""))</f>
        <v/>
      </c>
      <c r="AC47" s="64" t="str">
        <f aca="false">IF(OR(AC$4="",$C47="",$D47=""),"",IF(AND($C47&lt;EDATE(AC$4,1),$D47&gt;=AC$4),1,""))</f>
        <v/>
      </c>
      <c r="AD47" s="64" t="str">
        <f aca="false">IF(OR(AD$4="",$C47="",$D47=""),"",IF(AND($C47&lt;EDATE(AD$4,1),$D47&gt;=AD$4),1,""))</f>
        <v/>
      </c>
      <c r="AE47" s="64" t="str">
        <f aca="false">IF(OR(AE$4="",$C47="",$D47=""),"",IF(AND($C47&lt;EDATE(AE$4,1),$D47&gt;=AE$4),1,""))</f>
        <v/>
      </c>
      <c r="AF47" s="64" t="str">
        <f aca="false">IF(OR(AF$4="",$C47="",$D47=""),"",IF(AND($C47&lt;EDATE(AF$4,1),$D47&gt;=AF$4),1,""))</f>
        <v/>
      </c>
      <c r="AG47" s="64" t="str">
        <f aca="false">IF(OR(AG$4="",$C47="",$D47=""),"",IF(AND($C47&lt;EDATE(AG$4,1),$D47&gt;=AG$4),1,""))</f>
        <v/>
      </c>
      <c r="AH47" s="64" t="str">
        <f aca="false">IF(OR(AH$4="",$C47="",$D47=""),"",IF(AND($C47&lt;EDATE(AH$4,1),$D47&gt;=AH$4),1,""))</f>
        <v/>
      </c>
      <c r="AI47" s="64" t="str">
        <f aca="false">IF(OR(AI$4="",$C47="",$D47=""),"",IF(AND($C47&lt;EDATE(AI$4,1),$D47&gt;=AI$4),1,""))</f>
        <v/>
      </c>
      <c r="AJ47" s="64" t="str">
        <f aca="false">IF(OR(AJ$4="",$C47="",$D47=""),"",IF(AND($C47&lt;EDATE(AJ$4,1),$D47&gt;=AJ$4),1,""))</f>
        <v/>
      </c>
      <c r="AK47" s="64" t="str">
        <f aca="false">IF(OR(AK$4="",$C47="",$D47=""),"",IF(AND($C47&lt;EDATE(AK$4,1),$D47&gt;=AK$4),1,""))</f>
        <v/>
      </c>
      <c r="AL47" s="64" t="str">
        <f aca="false">IF(OR(AL$4="",$C47="",$D47=""),"",IF(AND($C47&lt;EDATE(AL$4,1),$D47&gt;=AL$4),1,""))</f>
        <v/>
      </c>
      <c r="AM47" s="64" t="str">
        <f aca="false">IF(OR(AM$4="",$C47="",$D47=""),"",IF(AND($C47&lt;EDATE(AM$4,1),$D47&gt;=AM$4),1,""))</f>
        <v/>
      </c>
      <c r="AN47" s="64" t="str">
        <f aca="false">IF(OR(AN$4="",$C47="",$D47=""),"",IF(AND($C47&lt;EDATE(AN$4,1),$D47&gt;=AN$4),1,""))</f>
        <v/>
      </c>
      <c r="AO47" s="64" t="str">
        <f aca="false">IF(OR(AO$4="",$C47="",$D47=""),"",IF(AND($C47&lt;EDATE(AO$4,1),$D47&gt;=AO$4),1,""))</f>
        <v/>
      </c>
      <c r="AP47" s="64" t="str">
        <f aca="false">IF(OR(AP$4="",$C47="",$D47=""),"",IF(AND($C47&lt;EDATE(AP$4,1),$D47&gt;=AP$4),1,""))</f>
        <v/>
      </c>
      <c r="AQ47" s="64" t="str">
        <f aca="false">IF(OR(AQ$4="",$C47="",$D47=""),"",IF(AND($C47&lt;EDATE(AQ$4,1),$D47&gt;=AQ$4),1,""))</f>
        <v/>
      </c>
      <c r="AR47" s="64" t="str">
        <f aca="false">IF(OR(AR$4="",$C47="",$D47=""),"",IF(AND($C47&lt;EDATE(AR$4,1),$D47&gt;=AR$4),1,""))</f>
        <v/>
      </c>
      <c r="AS47" s="64" t="str">
        <f aca="false">IF(OR(AS$4="",$C47="",$D47=""),"",IF(AND($C47&lt;EDATE(AS$4,1),$D47&gt;=AS$4),1,""))</f>
        <v/>
      </c>
      <c r="AT47" s="64" t="str">
        <f aca="false">IF(OR(AT$4="",$C47="",$D47=""),"",IF(AND($C47&lt;EDATE(AT$4,1),$D47&gt;=AT$4),1,""))</f>
        <v/>
      </c>
      <c r="AU47" s="64" t="str">
        <f aca="false">IF(OR(AU$4="",$C47="",$D47=""),"",IF(AND($C47&lt;EDATE(AU$4,1),$D47&gt;=AU$4),1,""))</f>
        <v/>
      </c>
      <c r="AV47" s="64" t="str">
        <f aca="false">IF(OR(AV$4="",$C47="",$D47=""),"",IF(AND($C47&lt;EDATE(AV$4,1),$D47&gt;=AV$4),1,""))</f>
        <v/>
      </c>
      <c r="AW47" s="64" t="str">
        <f aca="false">IF(OR(AW$4="",$C47="",$D47=""),"",IF(AND($C47&lt;EDATE(AW$4,1),$D47&gt;=AW$4),1,""))</f>
        <v/>
      </c>
      <c r="AX47" s="64" t="str">
        <f aca="false">IF(OR(AX$4="",$C47="",$D47=""),"",IF(AND($C47&lt;EDATE(AX$4,1),$D47&gt;=AX$4),1,""))</f>
        <v/>
      </c>
      <c r="AY47" s="64" t="str">
        <f aca="false">IF(OR(AY$4="",$C47="",$D47=""),"",IF(AND($C47&lt;EDATE(AY$4,1),$D47&gt;=AY$4),1,""))</f>
        <v/>
      </c>
      <c r="AZ47" s="64" t="str">
        <f aca="false">IF(OR(AZ$4="",$C47="",$D47=""),"",IF(AND($C47&lt;EDATE(AZ$4,1),$D47&gt;=AZ$4),1,""))</f>
        <v/>
      </c>
      <c r="BA47" s="64" t="str">
        <f aca="false">IF(OR(BA$4="",$C47="",$D47=""),"",IF(AND($C47&lt;EDATE(BA$4,1),$D47&gt;=BA$4),1,""))</f>
        <v/>
      </c>
      <c r="BB47" s="64" t="str">
        <f aca="false">IF(OR(BB$4="",$C47="",$D47=""),"",IF(AND($C47&lt;EDATE(BB$4,1),$D47&gt;=BB$4),1,""))</f>
        <v/>
      </c>
      <c r="BC47" s="64" t="str">
        <f aca="false">IF(OR(BC$4="",$C47="",$D47=""),"",IF(AND($C47&lt;EDATE(BC$4,1),$D47&gt;=BC$4),1,""))</f>
        <v/>
      </c>
      <c r="BD47" s="64" t="str">
        <f aca="false">IF(OR(BD$4="",$C47="",$D47=""),"",IF(AND($C47&lt;EDATE(BD$4,1),$D47&gt;=BD$4),1,""))</f>
        <v/>
      </c>
      <c r="BE47" s="64" t="str">
        <f aca="false">IF(OR(BE$4="",$C47="",$D47=""),"",IF(AND($C47&lt;EDATE(BE$4,1),$D47&gt;=BE$4),1,""))</f>
        <v/>
      </c>
      <c r="BF47" s="64" t="str">
        <f aca="false">IF(OR(BF$4="",$C47="",$D47=""),"",IF(AND($C47&lt;EDATE(BF$4,1),$D47&gt;=BF$4),1,""))</f>
        <v/>
      </c>
      <c r="BG47" s="64" t="str">
        <f aca="false">IF(OR(BG$4="",$C47="",$D47=""),"",IF(AND($C47&lt;EDATE(BG$4,1),$D47&gt;=BG$4),1,""))</f>
        <v/>
      </c>
      <c r="BH47" s="64" t="str">
        <f aca="false">IF(OR(BH$4="",$C47="",$D47=""),"",IF(AND($C47&lt;EDATE(BH$4,1),$D47&gt;=BH$4),1,""))</f>
        <v/>
      </c>
      <c r="BI47" s="64" t="str">
        <f aca="false">IF(OR(BI$4="",$C47="",$D47=""),"",IF(AND($C47&lt;EDATE(BI$4,1),$D47&gt;=BI$4),1,""))</f>
        <v/>
      </c>
      <c r="BJ47" s="64" t="str">
        <f aca="false">IF(OR(BJ$4="",$C47="",$D47=""),"",IF(AND($C47&lt;EDATE(BJ$4,1),$D47&gt;=BJ$4),1,""))</f>
        <v/>
      </c>
      <c r="BK47" s="64" t="str">
        <f aca="false">IF(OR(BK$4="",$C47="",$D47=""),"",IF(AND($C47&lt;EDATE(BK$4,1),$D47&gt;=BK$4),1,""))</f>
        <v/>
      </c>
      <c r="BL47" s="64" t="str">
        <f aca="false">IF(OR(BL$4="",$C47="",$D47=""),"",IF(AND($C47&lt;EDATE(BL$4,1),$D47&gt;=BL$4),1,""))</f>
        <v/>
      </c>
      <c r="BM47" s="64" t="str">
        <f aca="false">IF(OR(BM$4="",$C47="",$D47=""),"",IF(AND($C47&lt;EDATE(BM$4,1),$D47&gt;=BM$4),1,""))</f>
        <v/>
      </c>
      <c r="BN47" s="64" t="str">
        <f aca="false">IF(OR(BN$4="",$C47="",$D47=""),"",IF(AND($C47&lt;EDATE(BN$4,1),$D47&gt;=BN$4),1,""))</f>
        <v/>
      </c>
      <c r="BO47" s="64" t="str">
        <f aca="false">IF(OR(BO$4="",$C47="",$D47=""),"",IF(AND($C47&lt;EDATE(BO$4,1),$D47&gt;=BO$4),1,""))</f>
        <v/>
      </c>
      <c r="BP47" s="64" t="str">
        <f aca="false">IF(OR(BP$4="",$C47="",$D47=""),"",IF(AND($C47&lt;EDATE(BP$4,1),$D47&gt;=BP$4),1,""))</f>
        <v/>
      </c>
      <c r="BQ47" s="64" t="str">
        <f aca="false">IF(OR(BQ$4="",$C47="",$D47=""),"",IF(AND($C47&lt;EDATE(BQ$4,1),$D47&gt;=BQ$4),1,""))</f>
        <v/>
      </c>
      <c r="BR47" s="64" t="str">
        <f aca="false">IF(OR(BR$4="",$C47="",$D47=""),"",IF(AND($C47&lt;EDATE(BR$4,1),$D47&gt;=BR$4),1,""))</f>
        <v/>
      </c>
      <c r="BS47" s="64" t="str">
        <f aca="false">IF(OR(BS$4="",$C47="",$D47=""),"",IF(AND($C47&lt;EDATE(BS$4,1),$D47&gt;=BS$4),1,""))</f>
        <v/>
      </c>
      <c r="BT47" s="64" t="str">
        <f aca="false">IF(OR(BT$4="",$C47="",$D47=""),"",IF(AND($C47&lt;EDATE(BT$4,1),$D47&gt;=BT$4),1,""))</f>
        <v/>
      </c>
      <c r="BU47" s="64" t="str">
        <f aca="false">IF(OR(BU$4="",$C47="",$D47=""),"",IF(AND($C47&lt;EDATE(BU$4,1),$D47&gt;=BU$4),1,""))</f>
        <v/>
      </c>
      <c r="BV47" s="64" t="str">
        <f aca="false">IF(OR(BV$4="",$C47="",$D47=""),"",IF(AND($C47&lt;EDATE(BV$4,1),$D47&gt;=BV$4),1,""))</f>
        <v/>
      </c>
      <c r="BW47" s="64" t="str">
        <f aca="false">IF(OR(BW$4="",$C47="",$D47=""),"",IF(AND($C47&lt;EDATE(BW$4,1),$D47&gt;=BW$4),1,""))</f>
        <v/>
      </c>
      <c r="BX47" s="64" t="str">
        <f aca="false">IF(OR(BX$4="",$C47="",$D47=""),"",IF(AND($C47&lt;EDATE(BX$4,1),$D47&gt;=BX$4),1,""))</f>
        <v/>
      </c>
      <c r="BY47" s="64" t="str">
        <f aca="false">IF(OR(BY$4="",$C47="",$D47=""),"",IF(AND($C47&lt;EDATE(BY$4,1),$D47&gt;=BY$4),1,""))</f>
        <v/>
      </c>
    </row>
    <row r="48" customFormat="false" ht="15" hidden="false" customHeight="false" outlineLevel="0" collapsed="false">
      <c r="A48" s="53" t="str">
        <f aca="false">IF(BOE!$A17="","",BOE!$A17)</f>
        <v>203</v>
      </c>
      <c r="B48" s="53" t="str">
        <f aca="false">IF(BOE!$A17="","",BOE!$C17)</f>
        <v>System Requirements Hazard Analysis (SRHA)</v>
      </c>
      <c r="C48" s="54" t="n">
        <f aca="false">IF(OR(BOE!$A17="",BOE!$E17&lt;&gt;"Y"),"",BOE!$O17)</f>
        <v>46481</v>
      </c>
      <c r="D48" s="54" t="n">
        <f aca="false">IF(OR(BOE!$A17="",BOE!$E17&lt;&gt;"Y"),"",BOE!$P17)</f>
        <v>46877</v>
      </c>
      <c r="E48" s="55" t="n">
        <f aca="false">IF(OR(BOE!$A17="",BOE!$E17&lt;&gt;"Y"),"",IF(Inputs!$B$7="P90",BOE!$T17,BOE!$R17))</f>
        <v>520</v>
      </c>
      <c r="F48" s="64" t="str">
        <f aca="false">IF(OR(F$4="",$C48="",$D48=""),"",IF(AND($C48&lt;EDATE(F$4,1),$D48&gt;=F$4),1,""))</f>
        <v/>
      </c>
      <c r="G48" s="64" t="str">
        <f aca="false">IF(OR(G$4="",$C48="",$D48=""),"",IF(AND($C48&lt;EDATE(G$4,1),$D48&gt;=G$4),1,""))</f>
        <v/>
      </c>
      <c r="H48" s="64" t="str">
        <f aca="false">IF(OR(H$4="",$C48="",$D48=""),"",IF(AND($C48&lt;EDATE(H$4,1),$D48&gt;=H$4),1,""))</f>
        <v/>
      </c>
      <c r="I48" s="64" t="n">
        <f aca="false">IF(OR(I$4="",$C48="",$D48=""),"",IF(AND($C48&lt;EDATE(I$4,1),$D48&gt;=I$4),1,""))</f>
        <v>1</v>
      </c>
      <c r="J48" s="64" t="n">
        <f aca="false">IF(OR(J$4="",$C48="",$D48=""),"",IF(AND($C48&lt;EDATE(J$4,1),$D48&gt;=J$4),1,""))</f>
        <v>1</v>
      </c>
      <c r="K48" s="64" t="n">
        <f aca="false">IF(OR(K$4="",$C48="",$D48=""),"",IF(AND($C48&lt;EDATE(K$4,1),$D48&gt;=K$4),1,""))</f>
        <v>1</v>
      </c>
      <c r="L48" s="64" t="n">
        <f aca="false">IF(OR(L$4="",$C48="",$D48=""),"",IF(AND($C48&lt;EDATE(L$4,1),$D48&gt;=L$4),1,""))</f>
        <v>1</v>
      </c>
      <c r="M48" s="64" t="n">
        <f aca="false">IF(OR(M$4="",$C48="",$D48=""),"",IF(AND($C48&lt;EDATE(M$4,1),$D48&gt;=M$4),1,""))</f>
        <v>1</v>
      </c>
      <c r="N48" s="64" t="n">
        <f aca="false">IF(OR(N$4="",$C48="",$D48=""),"",IF(AND($C48&lt;EDATE(N$4,1),$D48&gt;=N$4),1,""))</f>
        <v>1</v>
      </c>
      <c r="O48" s="64" t="n">
        <f aca="false">IF(OR(O$4="",$C48="",$D48=""),"",IF(AND($C48&lt;EDATE(O$4,1),$D48&gt;=O$4),1,""))</f>
        <v>1</v>
      </c>
      <c r="P48" s="64" t="n">
        <f aca="false">IF(OR(P$4="",$C48="",$D48=""),"",IF(AND($C48&lt;EDATE(P$4,1),$D48&gt;=P$4),1,""))</f>
        <v>1</v>
      </c>
      <c r="Q48" s="64" t="n">
        <f aca="false">IF(OR(Q$4="",$C48="",$D48=""),"",IF(AND($C48&lt;EDATE(Q$4,1),$D48&gt;=Q$4),1,""))</f>
        <v>1</v>
      </c>
      <c r="R48" s="64" t="n">
        <f aca="false">IF(OR(R$4="",$C48="",$D48=""),"",IF(AND($C48&lt;EDATE(R$4,1),$D48&gt;=R$4),1,""))</f>
        <v>1</v>
      </c>
      <c r="S48" s="64" t="n">
        <f aca="false">IF(OR(S$4="",$C48="",$D48=""),"",IF(AND($C48&lt;EDATE(S$4,1),$D48&gt;=S$4),1,""))</f>
        <v>1</v>
      </c>
      <c r="T48" s="64" t="n">
        <f aca="false">IF(OR(T$4="",$C48="",$D48=""),"",IF(AND($C48&lt;EDATE(T$4,1),$D48&gt;=T$4),1,""))</f>
        <v>1</v>
      </c>
      <c r="U48" s="64" t="n">
        <f aca="false">IF(OR(U$4="",$C48="",$D48=""),"",IF(AND($C48&lt;EDATE(U$4,1),$D48&gt;=U$4),1,""))</f>
        <v>1</v>
      </c>
      <c r="V48" s="64" t="n">
        <f aca="false">IF(OR(V$4="",$C48="",$D48=""),"",IF(AND($C48&lt;EDATE(V$4,1),$D48&gt;=V$4),1,""))</f>
        <v>1</v>
      </c>
      <c r="W48" s="64" t="str">
        <f aca="false">IF(OR(W$4="",$C48="",$D48=""),"",IF(AND($C48&lt;EDATE(W$4,1),$D48&gt;=W$4),1,""))</f>
        <v/>
      </c>
      <c r="X48" s="64" t="str">
        <f aca="false">IF(OR(X$4="",$C48="",$D48=""),"",IF(AND($C48&lt;EDATE(X$4,1),$D48&gt;=X$4),1,""))</f>
        <v/>
      </c>
      <c r="Y48" s="64" t="str">
        <f aca="false">IF(OR(Y$4="",$C48="",$D48=""),"",IF(AND($C48&lt;EDATE(Y$4,1),$D48&gt;=Y$4),1,""))</f>
        <v/>
      </c>
      <c r="Z48" s="64" t="str">
        <f aca="false">IF(OR(Z$4="",$C48="",$D48=""),"",IF(AND($C48&lt;EDATE(Z$4,1),$D48&gt;=Z$4),1,""))</f>
        <v/>
      </c>
      <c r="AA48" s="64" t="str">
        <f aca="false">IF(OR(AA$4="",$C48="",$D48=""),"",IF(AND($C48&lt;EDATE(AA$4,1),$D48&gt;=AA$4),1,""))</f>
        <v/>
      </c>
      <c r="AB48" s="64" t="str">
        <f aca="false">IF(OR(AB$4="",$C48="",$D48=""),"",IF(AND($C48&lt;EDATE(AB$4,1),$D48&gt;=AB$4),1,""))</f>
        <v/>
      </c>
      <c r="AC48" s="64" t="str">
        <f aca="false">IF(OR(AC$4="",$C48="",$D48=""),"",IF(AND($C48&lt;EDATE(AC$4,1),$D48&gt;=AC$4),1,""))</f>
        <v/>
      </c>
      <c r="AD48" s="64" t="str">
        <f aca="false">IF(OR(AD$4="",$C48="",$D48=""),"",IF(AND($C48&lt;EDATE(AD$4,1),$D48&gt;=AD$4),1,""))</f>
        <v/>
      </c>
      <c r="AE48" s="64" t="str">
        <f aca="false">IF(OR(AE$4="",$C48="",$D48=""),"",IF(AND($C48&lt;EDATE(AE$4,1),$D48&gt;=AE$4),1,""))</f>
        <v/>
      </c>
      <c r="AF48" s="64" t="str">
        <f aca="false">IF(OR(AF$4="",$C48="",$D48=""),"",IF(AND($C48&lt;EDATE(AF$4,1),$D48&gt;=AF$4),1,""))</f>
        <v/>
      </c>
      <c r="AG48" s="64" t="str">
        <f aca="false">IF(OR(AG$4="",$C48="",$D48=""),"",IF(AND($C48&lt;EDATE(AG$4,1),$D48&gt;=AG$4),1,""))</f>
        <v/>
      </c>
      <c r="AH48" s="64" t="str">
        <f aca="false">IF(OR(AH$4="",$C48="",$D48=""),"",IF(AND($C48&lt;EDATE(AH$4,1),$D48&gt;=AH$4),1,""))</f>
        <v/>
      </c>
      <c r="AI48" s="64" t="str">
        <f aca="false">IF(OR(AI$4="",$C48="",$D48=""),"",IF(AND($C48&lt;EDATE(AI$4,1),$D48&gt;=AI$4),1,""))</f>
        <v/>
      </c>
      <c r="AJ48" s="64" t="str">
        <f aca="false">IF(OR(AJ$4="",$C48="",$D48=""),"",IF(AND($C48&lt;EDATE(AJ$4,1),$D48&gt;=AJ$4),1,""))</f>
        <v/>
      </c>
      <c r="AK48" s="64" t="str">
        <f aca="false">IF(OR(AK$4="",$C48="",$D48=""),"",IF(AND($C48&lt;EDATE(AK$4,1),$D48&gt;=AK$4),1,""))</f>
        <v/>
      </c>
      <c r="AL48" s="64" t="str">
        <f aca="false">IF(OR(AL$4="",$C48="",$D48=""),"",IF(AND($C48&lt;EDATE(AL$4,1),$D48&gt;=AL$4),1,""))</f>
        <v/>
      </c>
      <c r="AM48" s="64" t="str">
        <f aca="false">IF(OR(AM$4="",$C48="",$D48=""),"",IF(AND($C48&lt;EDATE(AM$4,1),$D48&gt;=AM$4),1,""))</f>
        <v/>
      </c>
      <c r="AN48" s="64" t="str">
        <f aca="false">IF(OR(AN$4="",$C48="",$D48=""),"",IF(AND($C48&lt;EDATE(AN$4,1),$D48&gt;=AN$4),1,""))</f>
        <v/>
      </c>
      <c r="AO48" s="64" t="str">
        <f aca="false">IF(OR(AO$4="",$C48="",$D48=""),"",IF(AND($C48&lt;EDATE(AO$4,1),$D48&gt;=AO$4),1,""))</f>
        <v/>
      </c>
      <c r="AP48" s="64" t="str">
        <f aca="false">IF(OR(AP$4="",$C48="",$D48=""),"",IF(AND($C48&lt;EDATE(AP$4,1),$D48&gt;=AP$4),1,""))</f>
        <v/>
      </c>
      <c r="AQ48" s="64" t="str">
        <f aca="false">IF(OR(AQ$4="",$C48="",$D48=""),"",IF(AND($C48&lt;EDATE(AQ$4,1),$D48&gt;=AQ$4),1,""))</f>
        <v/>
      </c>
      <c r="AR48" s="64" t="str">
        <f aca="false">IF(OR(AR$4="",$C48="",$D48=""),"",IF(AND($C48&lt;EDATE(AR$4,1),$D48&gt;=AR$4),1,""))</f>
        <v/>
      </c>
      <c r="AS48" s="64" t="str">
        <f aca="false">IF(OR(AS$4="",$C48="",$D48=""),"",IF(AND($C48&lt;EDATE(AS$4,1),$D48&gt;=AS$4),1,""))</f>
        <v/>
      </c>
      <c r="AT48" s="64" t="str">
        <f aca="false">IF(OR(AT$4="",$C48="",$D48=""),"",IF(AND($C48&lt;EDATE(AT$4,1),$D48&gt;=AT$4),1,""))</f>
        <v/>
      </c>
      <c r="AU48" s="64" t="str">
        <f aca="false">IF(OR(AU$4="",$C48="",$D48=""),"",IF(AND($C48&lt;EDATE(AU$4,1),$D48&gt;=AU$4),1,""))</f>
        <v/>
      </c>
      <c r="AV48" s="64" t="str">
        <f aca="false">IF(OR(AV$4="",$C48="",$D48=""),"",IF(AND($C48&lt;EDATE(AV$4,1),$D48&gt;=AV$4),1,""))</f>
        <v/>
      </c>
      <c r="AW48" s="64" t="str">
        <f aca="false">IF(OR(AW$4="",$C48="",$D48=""),"",IF(AND($C48&lt;EDATE(AW$4,1),$D48&gt;=AW$4),1,""))</f>
        <v/>
      </c>
      <c r="AX48" s="64" t="str">
        <f aca="false">IF(OR(AX$4="",$C48="",$D48=""),"",IF(AND($C48&lt;EDATE(AX$4,1),$D48&gt;=AX$4),1,""))</f>
        <v/>
      </c>
      <c r="AY48" s="64" t="str">
        <f aca="false">IF(OR(AY$4="",$C48="",$D48=""),"",IF(AND($C48&lt;EDATE(AY$4,1),$D48&gt;=AY$4),1,""))</f>
        <v/>
      </c>
      <c r="AZ48" s="64" t="str">
        <f aca="false">IF(OR(AZ$4="",$C48="",$D48=""),"",IF(AND($C48&lt;EDATE(AZ$4,1),$D48&gt;=AZ$4),1,""))</f>
        <v/>
      </c>
      <c r="BA48" s="64" t="str">
        <f aca="false">IF(OR(BA$4="",$C48="",$D48=""),"",IF(AND($C48&lt;EDATE(BA$4,1),$D48&gt;=BA$4),1,""))</f>
        <v/>
      </c>
      <c r="BB48" s="64" t="str">
        <f aca="false">IF(OR(BB$4="",$C48="",$D48=""),"",IF(AND($C48&lt;EDATE(BB$4,1),$D48&gt;=BB$4),1,""))</f>
        <v/>
      </c>
      <c r="BC48" s="64" t="str">
        <f aca="false">IF(OR(BC$4="",$C48="",$D48=""),"",IF(AND($C48&lt;EDATE(BC$4,1),$D48&gt;=BC$4),1,""))</f>
        <v/>
      </c>
      <c r="BD48" s="64" t="str">
        <f aca="false">IF(OR(BD$4="",$C48="",$D48=""),"",IF(AND($C48&lt;EDATE(BD$4,1),$D48&gt;=BD$4),1,""))</f>
        <v/>
      </c>
      <c r="BE48" s="64" t="str">
        <f aca="false">IF(OR(BE$4="",$C48="",$D48=""),"",IF(AND($C48&lt;EDATE(BE$4,1),$D48&gt;=BE$4),1,""))</f>
        <v/>
      </c>
      <c r="BF48" s="64" t="str">
        <f aca="false">IF(OR(BF$4="",$C48="",$D48=""),"",IF(AND($C48&lt;EDATE(BF$4,1),$D48&gt;=BF$4),1,""))</f>
        <v/>
      </c>
      <c r="BG48" s="64" t="str">
        <f aca="false">IF(OR(BG$4="",$C48="",$D48=""),"",IF(AND($C48&lt;EDATE(BG$4,1),$D48&gt;=BG$4),1,""))</f>
        <v/>
      </c>
      <c r="BH48" s="64" t="str">
        <f aca="false">IF(OR(BH$4="",$C48="",$D48=""),"",IF(AND($C48&lt;EDATE(BH$4,1),$D48&gt;=BH$4),1,""))</f>
        <v/>
      </c>
      <c r="BI48" s="64" t="str">
        <f aca="false">IF(OR(BI$4="",$C48="",$D48=""),"",IF(AND($C48&lt;EDATE(BI$4,1),$D48&gt;=BI$4),1,""))</f>
        <v/>
      </c>
      <c r="BJ48" s="64" t="str">
        <f aca="false">IF(OR(BJ$4="",$C48="",$D48=""),"",IF(AND($C48&lt;EDATE(BJ$4,1),$D48&gt;=BJ$4),1,""))</f>
        <v/>
      </c>
      <c r="BK48" s="64" t="str">
        <f aca="false">IF(OR(BK$4="",$C48="",$D48=""),"",IF(AND($C48&lt;EDATE(BK$4,1),$D48&gt;=BK$4),1,""))</f>
        <v/>
      </c>
      <c r="BL48" s="64" t="str">
        <f aca="false">IF(OR(BL$4="",$C48="",$D48=""),"",IF(AND($C48&lt;EDATE(BL$4,1),$D48&gt;=BL$4),1,""))</f>
        <v/>
      </c>
      <c r="BM48" s="64" t="str">
        <f aca="false">IF(OR(BM$4="",$C48="",$D48=""),"",IF(AND($C48&lt;EDATE(BM$4,1),$D48&gt;=BM$4),1,""))</f>
        <v/>
      </c>
      <c r="BN48" s="64" t="str">
        <f aca="false">IF(OR(BN$4="",$C48="",$D48=""),"",IF(AND($C48&lt;EDATE(BN$4,1),$D48&gt;=BN$4),1,""))</f>
        <v/>
      </c>
      <c r="BO48" s="64" t="str">
        <f aca="false">IF(OR(BO$4="",$C48="",$D48=""),"",IF(AND($C48&lt;EDATE(BO$4,1),$D48&gt;=BO$4),1,""))</f>
        <v/>
      </c>
      <c r="BP48" s="64" t="str">
        <f aca="false">IF(OR(BP$4="",$C48="",$D48=""),"",IF(AND($C48&lt;EDATE(BP$4,1),$D48&gt;=BP$4),1,""))</f>
        <v/>
      </c>
      <c r="BQ48" s="64" t="str">
        <f aca="false">IF(OR(BQ$4="",$C48="",$D48=""),"",IF(AND($C48&lt;EDATE(BQ$4,1),$D48&gt;=BQ$4),1,""))</f>
        <v/>
      </c>
      <c r="BR48" s="64" t="str">
        <f aca="false">IF(OR(BR$4="",$C48="",$D48=""),"",IF(AND($C48&lt;EDATE(BR$4,1),$D48&gt;=BR$4),1,""))</f>
        <v/>
      </c>
      <c r="BS48" s="64" t="str">
        <f aca="false">IF(OR(BS$4="",$C48="",$D48=""),"",IF(AND($C48&lt;EDATE(BS$4,1),$D48&gt;=BS$4),1,""))</f>
        <v/>
      </c>
      <c r="BT48" s="64" t="str">
        <f aca="false">IF(OR(BT$4="",$C48="",$D48=""),"",IF(AND($C48&lt;EDATE(BT$4,1),$D48&gt;=BT$4),1,""))</f>
        <v/>
      </c>
      <c r="BU48" s="64" t="str">
        <f aca="false">IF(OR(BU$4="",$C48="",$D48=""),"",IF(AND($C48&lt;EDATE(BU$4,1),$D48&gt;=BU$4),1,""))</f>
        <v/>
      </c>
      <c r="BV48" s="64" t="str">
        <f aca="false">IF(OR(BV$4="",$C48="",$D48=""),"",IF(AND($C48&lt;EDATE(BV$4,1),$D48&gt;=BV$4),1,""))</f>
        <v/>
      </c>
      <c r="BW48" s="64" t="str">
        <f aca="false">IF(OR(BW$4="",$C48="",$D48=""),"",IF(AND($C48&lt;EDATE(BW$4,1),$D48&gt;=BW$4),1,""))</f>
        <v/>
      </c>
      <c r="BX48" s="64" t="str">
        <f aca="false">IF(OR(BX$4="",$C48="",$D48=""),"",IF(AND($C48&lt;EDATE(BX$4,1),$D48&gt;=BX$4),1,""))</f>
        <v/>
      </c>
      <c r="BY48" s="64" t="str">
        <f aca="false">IF(OR(BY$4="",$C48="",$D48=""),"",IF(AND($C48&lt;EDATE(BY$4,1),$D48&gt;=BY$4),1,""))</f>
        <v/>
      </c>
    </row>
    <row r="49" customFormat="false" ht="15" hidden="false" customHeight="false" outlineLevel="0" collapsed="false">
      <c r="A49" s="53" t="str">
        <f aca="false">IF(BOE!$A18="","",BOE!$A18)</f>
        <v>204</v>
      </c>
      <c r="B49" s="53" t="str">
        <f aca="false">IF(BOE!$A18="","",BOE!$C18)</f>
        <v>Subsystem Hazard Analysis (SSHA)</v>
      </c>
      <c r="C49" s="54" t="n">
        <f aca="false">IF(OR(BOE!$A18="",BOE!$E18&lt;&gt;"Y"),"",BOE!$O18)</f>
        <v>46695</v>
      </c>
      <c r="D49" s="54" t="n">
        <f aca="false">IF(OR(BOE!$A18="",BOE!$E18&lt;&gt;"Y"),"",BOE!$P18)</f>
        <v>46905</v>
      </c>
      <c r="E49" s="55" t="n">
        <f aca="false">IF(OR(BOE!$A18="",BOE!$E18&lt;&gt;"Y"),"",IF(Inputs!$B$7="P90",BOE!$T18,BOE!$R18))</f>
        <v>1872</v>
      </c>
      <c r="F49" s="64" t="str">
        <f aca="false">IF(OR(F$4="",$C49="",$D49=""),"",IF(AND($C49&lt;EDATE(F$4,1),$D49&gt;=F$4),1,""))</f>
        <v/>
      </c>
      <c r="G49" s="64" t="str">
        <f aca="false">IF(OR(G$4="",$C49="",$D49=""),"",IF(AND($C49&lt;EDATE(G$4,1),$D49&gt;=G$4),1,""))</f>
        <v/>
      </c>
      <c r="H49" s="64" t="str">
        <f aca="false">IF(OR(H$4="",$C49="",$D49=""),"",IF(AND($C49&lt;EDATE(H$4,1),$D49&gt;=H$4),1,""))</f>
        <v/>
      </c>
      <c r="I49" s="64" t="str">
        <f aca="false">IF(OR(I$4="",$C49="",$D49=""),"",IF(AND($C49&lt;EDATE(I$4,1),$D49&gt;=I$4),1,""))</f>
        <v/>
      </c>
      <c r="J49" s="64" t="str">
        <f aca="false">IF(OR(J$4="",$C49="",$D49=""),"",IF(AND($C49&lt;EDATE(J$4,1),$D49&gt;=J$4),1,""))</f>
        <v/>
      </c>
      <c r="K49" s="64" t="str">
        <f aca="false">IF(OR(K$4="",$C49="",$D49=""),"",IF(AND($C49&lt;EDATE(K$4,1),$D49&gt;=K$4),1,""))</f>
        <v/>
      </c>
      <c r="L49" s="64" t="str">
        <f aca="false">IF(OR(L$4="",$C49="",$D49=""),"",IF(AND($C49&lt;EDATE(L$4,1),$D49&gt;=L$4),1,""))</f>
        <v/>
      </c>
      <c r="M49" s="64" t="str">
        <f aca="false">IF(OR(M$4="",$C49="",$D49=""),"",IF(AND($C49&lt;EDATE(M$4,1),$D49&gt;=M$4),1,""))</f>
        <v/>
      </c>
      <c r="N49" s="64" t="str">
        <f aca="false">IF(OR(N$4="",$C49="",$D49=""),"",IF(AND($C49&lt;EDATE(N$4,1),$D49&gt;=N$4),1,""))</f>
        <v/>
      </c>
      <c r="O49" s="64" t="str">
        <f aca="false">IF(OR(O$4="",$C49="",$D49=""),"",IF(AND($C49&lt;EDATE(O$4,1),$D49&gt;=O$4),1,""))</f>
        <v/>
      </c>
      <c r="P49" s="64" t="n">
        <f aca="false">IF(OR(P$4="",$C49="",$D49=""),"",IF(AND($C49&lt;EDATE(P$4,1),$D49&gt;=P$4),1,""))</f>
        <v>1</v>
      </c>
      <c r="Q49" s="64" t="n">
        <f aca="false">IF(OR(Q$4="",$C49="",$D49=""),"",IF(AND($C49&lt;EDATE(Q$4,1),$D49&gt;=Q$4),1,""))</f>
        <v>1</v>
      </c>
      <c r="R49" s="64" t="n">
        <f aca="false">IF(OR(R$4="",$C49="",$D49=""),"",IF(AND($C49&lt;EDATE(R$4,1),$D49&gt;=R$4),1,""))</f>
        <v>1</v>
      </c>
      <c r="S49" s="64" t="n">
        <f aca="false">IF(OR(S$4="",$C49="",$D49=""),"",IF(AND($C49&lt;EDATE(S$4,1),$D49&gt;=S$4),1,""))</f>
        <v>1</v>
      </c>
      <c r="T49" s="64" t="n">
        <f aca="false">IF(OR(T$4="",$C49="",$D49=""),"",IF(AND($C49&lt;EDATE(T$4,1),$D49&gt;=T$4),1,""))</f>
        <v>1</v>
      </c>
      <c r="U49" s="64" t="n">
        <f aca="false">IF(OR(U$4="",$C49="",$D49=""),"",IF(AND($C49&lt;EDATE(U$4,1),$D49&gt;=U$4),1,""))</f>
        <v>1</v>
      </c>
      <c r="V49" s="64" t="n">
        <f aca="false">IF(OR(V$4="",$C49="",$D49=""),"",IF(AND($C49&lt;EDATE(V$4,1),$D49&gt;=V$4),1,""))</f>
        <v>1</v>
      </c>
      <c r="W49" s="64" t="str">
        <f aca="false">IF(OR(W$4="",$C49="",$D49=""),"",IF(AND($C49&lt;EDATE(W$4,1),$D49&gt;=W$4),1,""))</f>
        <v/>
      </c>
      <c r="X49" s="64" t="str">
        <f aca="false">IF(OR(X$4="",$C49="",$D49=""),"",IF(AND($C49&lt;EDATE(X$4,1),$D49&gt;=X$4),1,""))</f>
        <v/>
      </c>
      <c r="Y49" s="64" t="str">
        <f aca="false">IF(OR(Y$4="",$C49="",$D49=""),"",IF(AND($C49&lt;EDATE(Y$4,1),$D49&gt;=Y$4),1,""))</f>
        <v/>
      </c>
      <c r="Z49" s="64" t="str">
        <f aca="false">IF(OR(Z$4="",$C49="",$D49=""),"",IF(AND($C49&lt;EDATE(Z$4,1),$D49&gt;=Z$4),1,""))</f>
        <v/>
      </c>
      <c r="AA49" s="64" t="str">
        <f aca="false">IF(OR(AA$4="",$C49="",$D49=""),"",IF(AND($C49&lt;EDATE(AA$4,1),$D49&gt;=AA$4),1,""))</f>
        <v/>
      </c>
      <c r="AB49" s="64" t="str">
        <f aca="false">IF(OR(AB$4="",$C49="",$D49=""),"",IF(AND($C49&lt;EDATE(AB$4,1),$D49&gt;=AB$4),1,""))</f>
        <v/>
      </c>
      <c r="AC49" s="64" t="str">
        <f aca="false">IF(OR(AC$4="",$C49="",$D49=""),"",IF(AND($C49&lt;EDATE(AC$4,1),$D49&gt;=AC$4),1,""))</f>
        <v/>
      </c>
      <c r="AD49" s="64" t="str">
        <f aca="false">IF(OR(AD$4="",$C49="",$D49=""),"",IF(AND($C49&lt;EDATE(AD$4,1),$D49&gt;=AD$4),1,""))</f>
        <v/>
      </c>
      <c r="AE49" s="64" t="str">
        <f aca="false">IF(OR(AE$4="",$C49="",$D49=""),"",IF(AND($C49&lt;EDATE(AE$4,1),$D49&gt;=AE$4),1,""))</f>
        <v/>
      </c>
      <c r="AF49" s="64" t="str">
        <f aca="false">IF(OR(AF$4="",$C49="",$D49=""),"",IF(AND($C49&lt;EDATE(AF$4,1),$D49&gt;=AF$4),1,""))</f>
        <v/>
      </c>
      <c r="AG49" s="64" t="str">
        <f aca="false">IF(OR(AG$4="",$C49="",$D49=""),"",IF(AND($C49&lt;EDATE(AG$4,1),$D49&gt;=AG$4),1,""))</f>
        <v/>
      </c>
      <c r="AH49" s="64" t="str">
        <f aca="false">IF(OR(AH$4="",$C49="",$D49=""),"",IF(AND($C49&lt;EDATE(AH$4,1),$D49&gt;=AH$4),1,""))</f>
        <v/>
      </c>
      <c r="AI49" s="64" t="str">
        <f aca="false">IF(OR(AI$4="",$C49="",$D49=""),"",IF(AND($C49&lt;EDATE(AI$4,1),$D49&gt;=AI$4),1,""))</f>
        <v/>
      </c>
      <c r="AJ49" s="64" t="str">
        <f aca="false">IF(OR(AJ$4="",$C49="",$D49=""),"",IF(AND($C49&lt;EDATE(AJ$4,1),$D49&gt;=AJ$4),1,""))</f>
        <v/>
      </c>
      <c r="AK49" s="64" t="str">
        <f aca="false">IF(OR(AK$4="",$C49="",$D49=""),"",IF(AND($C49&lt;EDATE(AK$4,1),$D49&gt;=AK$4),1,""))</f>
        <v/>
      </c>
      <c r="AL49" s="64" t="str">
        <f aca="false">IF(OR(AL$4="",$C49="",$D49=""),"",IF(AND($C49&lt;EDATE(AL$4,1),$D49&gt;=AL$4),1,""))</f>
        <v/>
      </c>
      <c r="AM49" s="64" t="str">
        <f aca="false">IF(OR(AM$4="",$C49="",$D49=""),"",IF(AND($C49&lt;EDATE(AM$4,1),$D49&gt;=AM$4),1,""))</f>
        <v/>
      </c>
      <c r="AN49" s="64" t="str">
        <f aca="false">IF(OR(AN$4="",$C49="",$D49=""),"",IF(AND($C49&lt;EDATE(AN$4,1),$D49&gt;=AN$4),1,""))</f>
        <v/>
      </c>
      <c r="AO49" s="64" t="str">
        <f aca="false">IF(OR(AO$4="",$C49="",$D49=""),"",IF(AND($C49&lt;EDATE(AO$4,1),$D49&gt;=AO$4),1,""))</f>
        <v/>
      </c>
      <c r="AP49" s="64" t="str">
        <f aca="false">IF(OR(AP$4="",$C49="",$D49=""),"",IF(AND($C49&lt;EDATE(AP$4,1),$D49&gt;=AP$4),1,""))</f>
        <v/>
      </c>
      <c r="AQ49" s="64" t="str">
        <f aca="false">IF(OR(AQ$4="",$C49="",$D49=""),"",IF(AND($C49&lt;EDATE(AQ$4,1),$D49&gt;=AQ$4),1,""))</f>
        <v/>
      </c>
      <c r="AR49" s="64" t="str">
        <f aca="false">IF(OR(AR$4="",$C49="",$D49=""),"",IF(AND($C49&lt;EDATE(AR$4,1),$D49&gt;=AR$4),1,""))</f>
        <v/>
      </c>
      <c r="AS49" s="64" t="str">
        <f aca="false">IF(OR(AS$4="",$C49="",$D49=""),"",IF(AND($C49&lt;EDATE(AS$4,1),$D49&gt;=AS$4),1,""))</f>
        <v/>
      </c>
      <c r="AT49" s="64" t="str">
        <f aca="false">IF(OR(AT$4="",$C49="",$D49=""),"",IF(AND($C49&lt;EDATE(AT$4,1),$D49&gt;=AT$4),1,""))</f>
        <v/>
      </c>
      <c r="AU49" s="64" t="str">
        <f aca="false">IF(OR(AU$4="",$C49="",$D49=""),"",IF(AND($C49&lt;EDATE(AU$4,1),$D49&gt;=AU$4),1,""))</f>
        <v/>
      </c>
      <c r="AV49" s="64" t="str">
        <f aca="false">IF(OR(AV$4="",$C49="",$D49=""),"",IF(AND($C49&lt;EDATE(AV$4,1),$D49&gt;=AV$4),1,""))</f>
        <v/>
      </c>
      <c r="AW49" s="64" t="str">
        <f aca="false">IF(OR(AW$4="",$C49="",$D49=""),"",IF(AND($C49&lt;EDATE(AW$4,1),$D49&gt;=AW$4),1,""))</f>
        <v/>
      </c>
      <c r="AX49" s="64" t="str">
        <f aca="false">IF(OR(AX$4="",$C49="",$D49=""),"",IF(AND($C49&lt;EDATE(AX$4,1),$D49&gt;=AX$4),1,""))</f>
        <v/>
      </c>
      <c r="AY49" s="64" t="str">
        <f aca="false">IF(OR(AY$4="",$C49="",$D49=""),"",IF(AND($C49&lt;EDATE(AY$4,1),$D49&gt;=AY$4),1,""))</f>
        <v/>
      </c>
      <c r="AZ49" s="64" t="str">
        <f aca="false">IF(OR(AZ$4="",$C49="",$D49=""),"",IF(AND($C49&lt;EDATE(AZ$4,1),$D49&gt;=AZ$4),1,""))</f>
        <v/>
      </c>
      <c r="BA49" s="64" t="str">
        <f aca="false">IF(OR(BA$4="",$C49="",$D49=""),"",IF(AND($C49&lt;EDATE(BA$4,1),$D49&gt;=BA$4),1,""))</f>
        <v/>
      </c>
      <c r="BB49" s="64" t="str">
        <f aca="false">IF(OR(BB$4="",$C49="",$D49=""),"",IF(AND($C49&lt;EDATE(BB$4,1),$D49&gt;=BB$4),1,""))</f>
        <v/>
      </c>
      <c r="BC49" s="64" t="str">
        <f aca="false">IF(OR(BC$4="",$C49="",$D49=""),"",IF(AND($C49&lt;EDATE(BC$4,1),$D49&gt;=BC$4),1,""))</f>
        <v/>
      </c>
      <c r="BD49" s="64" t="str">
        <f aca="false">IF(OR(BD$4="",$C49="",$D49=""),"",IF(AND($C49&lt;EDATE(BD$4,1),$D49&gt;=BD$4),1,""))</f>
        <v/>
      </c>
      <c r="BE49" s="64" t="str">
        <f aca="false">IF(OR(BE$4="",$C49="",$D49=""),"",IF(AND($C49&lt;EDATE(BE$4,1),$D49&gt;=BE$4),1,""))</f>
        <v/>
      </c>
      <c r="BF49" s="64" t="str">
        <f aca="false">IF(OR(BF$4="",$C49="",$D49=""),"",IF(AND($C49&lt;EDATE(BF$4,1),$D49&gt;=BF$4),1,""))</f>
        <v/>
      </c>
      <c r="BG49" s="64" t="str">
        <f aca="false">IF(OR(BG$4="",$C49="",$D49=""),"",IF(AND($C49&lt;EDATE(BG$4,1),$D49&gt;=BG$4),1,""))</f>
        <v/>
      </c>
      <c r="BH49" s="64" t="str">
        <f aca="false">IF(OR(BH$4="",$C49="",$D49=""),"",IF(AND($C49&lt;EDATE(BH$4,1),$D49&gt;=BH$4),1,""))</f>
        <v/>
      </c>
      <c r="BI49" s="64" t="str">
        <f aca="false">IF(OR(BI$4="",$C49="",$D49=""),"",IF(AND($C49&lt;EDATE(BI$4,1),$D49&gt;=BI$4),1,""))</f>
        <v/>
      </c>
      <c r="BJ49" s="64" t="str">
        <f aca="false">IF(OR(BJ$4="",$C49="",$D49=""),"",IF(AND($C49&lt;EDATE(BJ$4,1),$D49&gt;=BJ$4),1,""))</f>
        <v/>
      </c>
      <c r="BK49" s="64" t="str">
        <f aca="false">IF(OR(BK$4="",$C49="",$D49=""),"",IF(AND($C49&lt;EDATE(BK$4,1),$D49&gt;=BK$4),1,""))</f>
        <v/>
      </c>
      <c r="BL49" s="64" t="str">
        <f aca="false">IF(OR(BL$4="",$C49="",$D49=""),"",IF(AND($C49&lt;EDATE(BL$4,1),$D49&gt;=BL$4),1,""))</f>
        <v/>
      </c>
      <c r="BM49" s="64" t="str">
        <f aca="false">IF(OR(BM$4="",$C49="",$D49=""),"",IF(AND($C49&lt;EDATE(BM$4,1),$D49&gt;=BM$4),1,""))</f>
        <v/>
      </c>
      <c r="BN49" s="64" t="str">
        <f aca="false">IF(OR(BN$4="",$C49="",$D49=""),"",IF(AND($C49&lt;EDATE(BN$4,1),$D49&gt;=BN$4),1,""))</f>
        <v/>
      </c>
      <c r="BO49" s="64" t="str">
        <f aca="false">IF(OR(BO$4="",$C49="",$D49=""),"",IF(AND($C49&lt;EDATE(BO$4,1),$D49&gt;=BO$4),1,""))</f>
        <v/>
      </c>
      <c r="BP49" s="64" t="str">
        <f aca="false">IF(OR(BP$4="",$C49="",$D49=""),"",IF(AND($C49&lt;EDATE(BP$4,1),$D49&gt;=BP$4),1,""))</f>
        <v/>
      </c>
      <c r="BQ49" s="64" t="str">
        <f aca="false">IF(OR(BQ$4="",$C49="",$D49=""),"",IF(AND($C49&lt;EDATE(BQ$4,1),$D49&gt;=BQ$4),1,""))</f>
        <v/>
      </c>
      <c r="BR49" s="64" t="str">
        <f aca="false">IF(OR(BR$4="",$C49="",$D49=""),"",IF(AND($C49&lt;EDATE(BR$4,1),$D49&gt;=BR$4),1,""))</f>
        <v/>
      </c>
      <c r="BS49" s="64" t="str">
        <f aca="false">IF(OR(BS$4="",$C49="",$D49=""),"",IF(AND($C49&lt;EDATE(BS$4,1),$D49&gt;=BS$4),1,""))</f>
        <v/>
      </c>
      <c r="BT49" s="64" t="str">
        <f aca="false">IF(OR(BT$4="",$C49="",$D49=""),"",IF(AND($C49&lt;EDATE(BT$4,1),$D49&gt;=BT$4),1,""))</f>
        <v/>
      </c>
      <c r="BU49" s="64" t="str">
        <f aca="false">IF(OR(BU$4="",$C49="",$D49=""),"",IF(AND($C49&lt;EDATE(BU$4,1),$D49&gt;=BU$4),1,""))</f>
        <v/>
      </c>
      <c r="BV49" s="64" t="str">
        <f aca="false">IF(OR(BV$4="",$C49="",$D49=""),"",IF(AND($C49&lt;EDATE(BV$4,1),$D49&gt;=BV$4),1,""))</f>
        <v/>
      </c>
      <c r="BW49" s="64" t="str">
        <f aca="false">IF(OR(BW$4="",$C49="",$D49=""),"",IF(AND($C49&lt;EDATE(BW$4,1),$D49&gt;=BW$4),1,""))</f>
        <v/>
      </c>
      <c r="BX49" s="64" t="str">
        <f aca="false">IF(OR(BX$4="",$C49="",$D49=""),"",IF(AND($C49&lt;EDATE(BX$4,1),$D49&gt;=BX$4),1,""))</f>
        <v/>
      </c>
      <c r="BY49" s="64" t="str">
        <f aca="false">IF(OR(BY$4="",$C49="",$D49=""),"",IF(AND($C49&lt;EDATE(BY$4,1),$D49&gt;=BY$4),1,""))</f>
        <v/>
      </c>
    </row>
    <row r="50" customFormat="false" ht="15" hidden="false" customHeight="false" outlineLevel="0" collapsed="false">
      <c r="A50" s="53" t="str">
        <f aca="false">IF(BOE!$A19="","",BOE!$A19)</f>
        <v>205</v>
      </c>
      <c r="B50" s="53" t="str">
        <f aca="false">IF(BOE!$A19="","",BOE!$C19)</f>
        <v>System Hazard Analysis (SHA)</v>
      </c>
      <c r="C50" s="54" t="n">
        <f aca="false">IF(OR(BOE!$A19="",BOE!$E19&lt;&gt;"Y"),"",BOE!$O19)</f>
        <v>46695</v>
      </c>
      <c r="D50" s="54" t="n">
        <f aca="false">IF(OR(BOE!$A19="",BOE!$E19&lt;&gt;"Y"),"",BOE!$P19)</f>
        <v>46933</v>
      </c>
      <c r="E50" s="55" t="n">
        <f aca="false">IF(OR(BOE!$A19="",BOE!$E19&lt;&gt;"Y"),"",IF(Inputs!$B$7="P90",BOE!$T19,BOE!$R19))</f>
        <v>832</v>
      </c>
      <c r="F50" s="64" t="str">
        <f aca="false">IF(OR(F$4="",$C50="",$D50=""),"",IF(AND($C50&lt;EDATE(F$4,1),$D50&gt;=F$4),1,""))</f>
        <v/>
      </c>
      <c r="G50" s="64" t="str">
        <f aca="false">IF(OR(G$4="",$C50="",$D50=""),"",IF(AND($C50&lt;EDATE(G$4,1),$D50&gt;=G$4),1,""))</f>
        <v/>
      </c>
      <c r="H50" s="64" t="str">
        <f aca="false">IF(OR(H$4="",$C50="",$D50=""),"",IF(AND($C50&lt;EDATE(H$4,1),$D50&gt;=H$4),1,""))</f>
        <v/>
      </c>
      <c r="I50" s="64" t="str">
        <f aca="false">IF(OR(I$4="",$C50="",$D50=""),"",IF(AND($C50&lt;EDATE(I$4,1),$D50&gt;=I$4),1,""))</f>
        <v/>
      </c>
      <c r="J50" s="64" t="str">
        <f aca="false">IF(OR(J$4="",$C50="",$D50=""),"",IF(AND($C50&lt;EDATE(J$4,1),$D50&gt;=J$4),1,""))</f>
        <v/>
      </c>
      <c r="K50" s="64" t="str">
        <f aca="false">IF(OR(K$4="",$C50="",$D50=""),"",IF(AND($C50&lt;EDATE(K$4,1),$D50&gt;=K$4),1,""))</f>
        <v/>
      </c>
      <c r="L50" s="64" t="str">
        <f aca="false">IF(OR(L$4="",$C50="",$D50=""),"",IF(AND($C50&lt;EDATE(L$4,1),$D50&gt;=L$4),1,""))</f>
        <v/>
      </c>
      <c r="M50" s="64" t="str">
        <f aca="false">IF(OR(M$4="",$C50="",$D50=""),"",IF(AND($C50&lt;EDATE(M$4,1),$D50&gt;=M$4),1,""))</f>
        <v/>
      </c>
      <c r="N50" s="64" t="str">
        <f aca="false">IF(OR(N$4="",$C50="",$D50=""),"",IF(AND($C50&lt;EDATE(N$4,1),$D50&gt;=N$4),1,""))</f>
        <v/>
      </c>
      <c r="O50" s="64" t="str">
        <f aca="false">IF(OR(O$4="",$C50="",$D50=""),"",IF(AND($C50&lt;EDATE(O$4,1),$D50&gt;=O$4),1,""))</f>
        <v/>
      </c>
      <c r="P50" s="64" t="n">
        <f aca="false">IF(OR(P$4="",$C50="",$D50=""),"",IF(AND($C50&lt;EDATE(P$4,1),$D50&gt;=P$4),1,""))</f>
        <v>1</v>
      </c>
      <c r="Q50" s="64" t="n">
        <f aca="false">IF(OR(Q$4="",$C50="",$D50=""),"",IF(AND($C50&lt;EDATE(Q$4,1),$D50&gt;=Q$4),1,""))</f>
        <v>1</v>
      </c>
      <c r="R50" s="64" t="n">
        <f aca="false">IF(OR(R$4="",$C50="",$D50=""),"",IF(AND($C50&lt;EDATE(R$4,1),$D50&gt;=R$4),1,""))</f>
        <v>1</v>
      </c>
      <c r="S50" s="64" t="n">
        <f aca="false">IF(OR(S$4="",$C50="",$D50=""),"",IF(AND($C50&lt;EDATE(S$4,1),$D50&gt;=S$4),1,""))</f>
        <v>1</v>
      </c>
      <c r="T50" s="64" t="n">
        <f aca="false">IF(OR(T$4="",$C50="",$D50=""),"",IF(AND($C50&lt;EDATE(T$4,1),$D50&gt;=T$4),1,""))</f>
        <v>1</v>
      </c>
      <c r="U50" s="64" t="n">
        <f aca="false">IF(OR(U$4="",$C50="",$D50=""),"",IF(AND($C50&lt;EDATE(U$4,1),$D50&gt;=U$4),1,""))</f>
        <v>1</v>
      </c>
      <c r="V50" s="64" t="n">
        <f aca="false">IF(OR(V$4="",$C50="",$D50=""),"",IF(AND($C50&lt;EDATE(V$4,1),$D50&gt;=V$4),1,""))</f>
        <v>1</v>
      </c>
      <c r="W50" s="64" t="n">
        <f aca="false">IF(OR(W$4="",$C50="",$D50=""),"",IF(AND($C50&lt;EDATE(W$4,1),$D50&gt;=W$4),1,""))</f>
        <v>1</v>
      </c>
      <c r="X50" s="64" t="str">
        <f aca="false">IF(OR(X$4="",$C50="",$D50=""),"",IF(AND($C50&lt;EDATE(X$4,1),$D50&gt;=X$4),1,""))</f>
        <v/>
      </c>
      <c r="Y50" s="64" t="str">
        <f aca="false">IF(OR(Y$4="",$C50="",$D50=""),"",IF(AND($C50&lt;EDATE(Y$4,1),$D50&gt;=Y$4),1,""))</f>
        <v/>
      </c>
      <c r="Z50" s="64" t="str">
        <f aca="false">IF(OR(Z$4="",$C50="",$D50=""),"",IF(AND($C50&lt;EDATE(Z$4,1),$D50&gt;=Z$4),1,""))</f>
        <v/>
      </c>
      <c r="AA50" s="64" t="str">
        <f aca="false">IF(OR(AA$4="",$C50="",$D50=""),"",IF(AND($C50&lt;EDATE(AA$4,1),$D50&gt;=AA$4),1,""))</f>
        <v/>
      </c>
      <c r="AB50" s="64" t="str">
        <f aca="false">IF(OR(AB$4="",$C50="",$D50=""),"",IF(AND($C50&lt;EDATE(AB$4,1),$D50&gt;=AB$4),1,""))</f>
        <v/>
      </c>
      <c r="AC50" s="64" t="str">
        <f aca="false">IF(OR(AC$4="",$C50="",$D50=""),"",IF(AND($C50&lt;EDATE(AC$4,1),$D50&gt;=AC$4),1,""))</f>
        <v/>
      </c>
      <c r="AD50" s="64" t="str">
        <f aca="false">IF(OR(AD$4="",$C50="",$D50=""),"",IF(AND($C50&lt;EDATE(AD$4,1),$D50&gt;=AD$4),1,""))</f>
        <v/>
      </c>
      <c r="AE50" s="64" t="str">
        <f aca="false">IF(OR(AE$4="",$C50="",$D50=""),"",IF(AND($C50&lt;EDATE(AE$4,1),$D50&gt;=AE$4),1,""))</f>
        <v/>
      </c>
      <c r="AF50" s="64" t="str">
        <f aca="false">IF(OR(AF$4="",$C50="",$D50=""),"",IF(AND($C50&lt;EDATE(AF$4,1),$D50&gt;=AF$4),1,""))</f>
        <v/>
      </c>
      <c r="AG50" s="64" t="str">
        <f aca="false">IF(OR(AG$4="",$C50="",$D50=""),"",IF(AND($C50&lt;EDATE(AG$4,1),$D50&gt;=AG$4),1,""))</f>
        <v/>
      </c>
      <c r="AH50" s="64" t="str">
        <f aca="false">IF(OR(AH$4="",$C50="",$D50=""),"",IF(AND($C50&lt;EDATE(AH$4,1),$D50&gt;=AH$4),1,""))</f>
        <v/>
      </c>
      <c r="AI50" s="64" t="str">
        <f aca="false">IF(OR(AI$4="",$C50="",$D50=""),"",IF(AND($C50&lt;EDATE(AI$4,1),$D50&gt;=AI$4),1,""))</f>
        <v/>
      </c>
      <c r="AJ50" s="64" t="str">
        <f aca="false">IF(OR(AJ$4="",$C50="",$D50=""),"",IF(AND($C50&lt;EDATE(AJ$4,1),$D50&gt;=AJ$4),1,""))</f>
        <v/>
      </c>
      <c r="AK50" s="64" t="str">
        <f aca="false">IF(OR(AK$4="",$C50="",$D50=""),"",IF(AND($C50&lt;EDATE(AK$4,1),$D50&gt;=AK$4),1,""))</f>
        <v/>
      </c>
      <c r="AL50" s="64" t="str">
        <f aca="false">IF(OR(AL$4="",$C50="",$D50=""),"",IF(AND($C50&lt;EDATE(AL$4,1),$D50&gt;=AL$4),1,""))</f>
        <v/>
      </c>
      <c r="AM50" s="64" t="str">
        <f aca="false">IF(OR(AM$4="",$C50="",$D50=""),"",IF(AND($C50&lt;EDATE(AM$4,1),$D50&gt;=AM$4),1,""))</f>
        <v/>
      </c>
      <c r="AN50" s="64" t="str">
        <f aca="false">IF(OR(AN$4="",$C50="",$D50=""),"",IF(AND($C50&lt;EDATE(AN$4,1),$D50&gt;=AN$4),1,""))</f>
        <v/>
      </c>
      <c r="AO50" s="64" t="str">
        <f aca="false">IF(OR(AO$4="",$C50="",$D50=""),"",IF(AND($C50&lt;EDATE(AO$4,1),$D50&gt;=AO$4),1,""))</f>
        <v/>
      </c>
      <c r="AP50" s="64" t="str">
        <f aca="false">IF(OR(AP$4="",$C50="",$D50=""),"",IF(AND($C50&lt;EDATE(AP$4,1),$D50&gt;=AP$4),1,""))</f>
        <v/>
      </c>
      <c r="AQ50" s="64" t="str">
        <f aca="false">IF(OR(AQ$4="",$C50="",$D50=""),"",IF(AND($C50&lt;EDATE(AQ$4,1),$D50&gt;=AQ$4),1,""))</f>
        <v/>
      </c>
      <c r="AR50" s="64" t="str">
        <f aca="false">IF(OR(AR$4="",$C50="",$D50=""),"",IF(AND($C50&lt;EDATE(AR$4,1),$D50&gt;=AR$4),1,""))</f>
        <v/>
      </c>
      <c r="AS50" s="64" t="str">
        <f aca="false">IF(OR(AS$4="",$C50="",$D50=""),"",IF(AND($C50&lt;EDATE(AS$4,1),$D50&gt;=AS$4),1,""))</f>
        <v/>
      </c>
      <c r="AT50" s="64" t="str">
        <f aca="false">IF(OR(AT$4="",$C50="",$D50=""),"",IF(AND($C50&lt;EDATE(AT$4,1),$D50&gt;=AT$4),1,""))</f>
        <v/>
      </c>
      <c r="AU50" s="64" t="str">
        <f aca="false">IF(OR(AU$4="",$C50="",$D50=""),"",IF(AND($C50&lt;EDATE(AU$4,1),$D50&gt;=AU$4),1,""))</f>
        <v/>
      </c>
      <c r="AV50" s="64" t="str">
        <f aca="false">IF(OR(AV$4="",$C50="",$D50=""),"",IF(AND($C50&lt;EDATE(AV$4,1),$D50&gt;=AV$4),1,""))</f>
        <v/>
      </c>
      <c r="AW50" s="64" t="str">
        <f aca="false">IF(OR(AW$4="",$C50="",$D50=""),"",IF(AND($C50&lt;EDATE(AW$4,1),$D50&gt;=AW$4),1,""))</f>
        <v/>
      </c>
      <c r="AX50" s="64" t="str">
        <f aca="false">IF(OR(AX$4="",$C50="",$D50=""),"",IF(AND($C50&lt;EDATE(AX$4,1),$D50&gt;=AX$4),1,""))</f>
        <v/>
      </c>
      <c r="AY50" s="64" t="str">
        <f aca="false">IF(OR(AY$4="",$C50="",$D50=""),"",IF(AND($C50&lt;EDATE(AY$4,1),$D50&gt;=AY$4),1,""))</f>
        <v/>
      </c>
      <c r="AZ50" s="64" t="str">
        <f aca="false">IF(OR(AZ$4="",$C50="",$D50=""),"",IF(AND($C50&lt;EDATE(AZ$4,1),$D50&gt;=AZ$4),1,""))</f>
        <v/>
      </c>
      <c r="BA50" s="64" t="str">
        <f aca="false">IF(OR(BA$4="",$C50="",$D50=""),"",IF(AND($C50&lt;EDATE(BA$4,1),$D50&gt;=BA$4),1,""))</f>
        <v/>
      </c>
      <c r="BB50" s="64" t="str">
        <f aca="false">IF(OR(BB$4="",$C50="",$D50=""),"",IF(AND($C50&lt;EDATE(BB$4,1),$D50&gt;=BB$4),1,""))</f>
        <v/>
      </c>
      <c r="BC50" s="64" t="str">
        <f aca="false">IF(OR(BC$4="",$C50="",$D50=""),"",IF(AND($C50&lt;EDATE(BC$4,1),$D50&gt;=BC$4),1,""))</f>
        <v/>
      </c>
      <c r="BD50" s="64" t="str">
        <f aca="false">IF(OR(BD$4="",$C50="",$D50=""),"",IF(AND($C50&lt;EDATE(BD$4,1),$D50&gt;=BD$4),1,""))</f>
        <v/>
      </c>
      <c r="BE50" s="64" t="str">
        <f aca="false">IF(OR(BE$4="",$C50="",$D50=""),"",IF(AND($C50&lt;EDATE(BE$4,1),$D50&gt;=BE$4),1,""))</f>
        <v/>
      </c>
      <c r="BF50" s="64" t="str">
        <f aca="false">IF(OR(BF$4="",$C50="",$D50=""),"",IF(AND($C50&lt;EDATE(BF$4,1),$D50&gt;=BF$4),1,""))</f>
        <v/>
      </c>
      <c r="BG50" s="64" t="str">
        <f aca="false">IF(OR(BG$4="",$C50="",$D50=""),"",IF(AND($C50&lt;EDATE(BG$4,1),$D50&gt;=BG$4),1,""))</f>
        <v/>
      </c>
      <c r="BH50" s="64" t="str">
        <f aca="false">IF(OR(BH$4="",$C50="",$D50=""),"",IF(AND($C50&lt;EDATE(BH$4,1),$D50&gt;=BH$4),1,""))</f>
        <v/>
      </c>
      <c r="BI50" s="64" t="str">
        <f aca="false">IF(OR(BI$4="",$C50="",$D50=""),"",IF(AND($C50&lt;EDATE(BI$4,1),$D50&gt;=BI$4),1,""))</f>
        <v/>
      </c>
      <c r="BJ50" s="64" t="str">
        <f aca="false">IF(OR(BJ$4="",$C50="",$D50=""),"",IF(AND($C50&lt;EDATE(BJ$4,1),$D50&gt;=BJ$4),1,""))</f>
        <v/>
      </c>
      <c r="BK50" s="64" t="str">
        <f aca="false">IF(OR(BK$4="",$C50="",$D50=""),"",IF(AND($C50&lt;EDATE(BK$4,1),$D50&gt;=BK$4),1,""))</f>
        <v/>
      </c>
      <c r="BL50" s="64" t="str">
        <f aca="false">IF(OR(BL$4="",$C50="",$D50=""),"",IF(AND($C50&lt;EDATE(BL$4,1),$D50&gt;=BL$4),1,""))</f>
        <v/>
      </c>
      <c r="BM50" s="64" t="str">
        <f aca="false">IF(OR(BM$4="",$C50="",$D50=""),"",IF(AND($C50&lt;EDATE(BM$4,1),$D50&gt;=BM$4),1,""))</f>
        <v/>
      </c>
      <c r="BN50" s="64" t="str">
        <f aca="false">IF(OR(BN$4="",$C50="",$D50=""),"",IF(AND($C50&lt;EDATE(BN$4,1),$D50&gt;=BN$4),1,""))</f>
        <v/>
      </c>
      <c r="BO50" s="64" t="str">
        <f aca="false">IF(OR(BO$4="",$C50="",$D50=""),"",IF(AND($C50&lt;EDATE(BO$4,1),$D50&gt;=BO$4),1,""))</f>
        <v/>
      </c>
      <c r="BP50" s="64" t="str">
        <f aca="false">IF(OR(BP$4="",$C50="",$D50=""),"",IF(AND($C50&lt;EDATE(BP$4,1),$D50&gt;=BP$4),1,""))</f>
        <v/>
      </c>
      <c r="BQ50" s="64" t="str">
        <f aca="false">IF(OR(BQ$4="",$C50="",$D50=""),"",IF(AND($C50&lt;EDATE(BQ$4,1),$D50&gt;=BQ$4),1,""))</f>
        <v/>
      </c>
      <c r="BR50" s="64" t="str">
        <f aca="false">IF(OR(BR$4="",$C50="",$D50=""),"",IF(AND($C50&lt;EDATE(BR$4,1),$D50&gt;=BR$4),1,""))</f>
        <v/>
      </c>
      <c r="BS50" s="64" t="str">
        <f aca="false">IF(OR(BS$4="",$C50="",$D50=""),"",IF(AND($C50&lt;EDATE(BS$4,1),$D50&gt;=BS$4),1,""))</f>
        <v/>
      </c>
      <c r="BT50" s="64" t="str">
        <f aca="false">IF(OR(BT$4="",$C50="",$D50=""),"",IF(AND($C50&lt;EDATE(BT$4,1),$D50&gt;=BT$4),1,""))</f>
        <v/>
      </c>
      <c r="BU50" s="64" t="str">
        <f aca="false">IF(OR(BU$4="",$C50="",$D50=""),"",IF(AND($C50&lt;EDATE(BU$4,1),$D50&gt;=BU$4),1,""))</f>
        <v/>
      </c>
      <c r="BV50" s="64" t="str">
        <f aca="false">IF(OR(BV$4="",$C50="",$D50=""),"",IF(AND($C50&lt;EDATE(BV$4,1),$D50&gt;=BV$4),1,""))</f>
        <v/>
      </c>
      <c r="BW50" s="64" t="str">
        <f aca="false">IF(OR(BW$4="",$C50="",$D50=""),"",IF(AND($C50&lt;EDATE(BW$4,1),$D50&gt;=BW$4),1,""))</f>
        <v/>
      </c>
      <c r="BX50" s="64" t="str">
        <f aca="false">IF(OR(BX$4="",$C50="",$D50=""),"",IF(AND($C50&lt;EDATE(BX$4,1),$D50&gt;=BX$4),1,""))</f>
        <v/>
      </c>
      <c r="BY50" s="64" t="str">
        <f aca="false">IF(OR(BY$4="",$C50="",$D50=""),"",IF(AND($C50&lt;EDATE(BY$4,1),$D50&gt;=BY$4),1,""))</f>
        <v/>
      </c>
    </row>
    <row r="51" customFormat="false" ht="15" hidden="false" customHeight="false" outlineLevel="0" collapsed="false">
      <c r="A51" s="53" t="str">
        <f aca="false">IF(BOE!$A20="","",BOE!$A20)</f>
        <v>206</v>
      </c>
      <c r="B51" s="53" t="str">
        <f aca="false">IF(BOE!$A20="","",BOE!$C20)</f>
        <v>Operating &amp; Support Hazard Analysis (O&amp;SHA)</v>
      </c>
      <c r="C51" s="54" t="n">
        <f aca="false">IF(OR(BOE!$A20="",BOE!$E20&lt;&gt;"Y"),"",BOE!$O20)</f>
        <v>46877</v>
      </c>
      <c r="D51" s="54" t="n">
        <f aca="false">IF(OR(BOE!$A20="",BOE!$E20&lt;&gt;"Y"),"",BOE!$P20)</f>
        <v>47122</v>
      </c>
      <c r="E51" s="55" t="n">
        <f aca="false">IF(OR(BOE!$A20="",BOE!$E20&lt;&gt;"Y"),"",IF(Inputs!$B$7="P90",BOE!$T20,BOE!$R20))</f>
        <v>480</v>
      </c>
      <c r="F51" s="64" t="str">
        <f aca="false">IF(OR(F$4="",$C51="",$D51=""),"",IF(AND($C51&lt;EDATE(F$4,1),$D51&gt;=F$4),1,""))</f>
        <v/>
      </c>
      <c r="G51" s="64" t="str">
        <f aca="false">IF(OR(G$4="",$C51="",$D51=""),"",IF(AND($C51&lt;EDATE(G$4,1),$D51&gt;=G$4),1,""))</f>
        <v/>
      </c>
      <c r="H51" s="64" t="str">
        <f aca="false">IF(OR(H$4="",$C51="",$D51=""),"",IF(AND($C51&lt;EDATE(H$4,1),$D51&gt;=H$4),1,""))</f>
        <v/>
      </c>
      <c r="I51" s="64" t="str">
        <f aca="false">IF(OR(I$4="",$C51="",$D51=""),"",IF(AND($C51&lt;EDATE(I$4,1),$D51&gt;=I$4),1,""))</f>
        <v/>
      </c>
      <c r="J51" s="64" t="str">
        <f aca="false">IF(OR(J$4="",$C51="",$D51=""),"",IF(AND($C51&lt;EDATE(J$4,1),$D51&gt;=J$4),1,""))</f>
        <v/>
      </c>
      <c r="K51" s="64" t="str">
        <f aca="false">IF(OR(K$4="",$C51="",$D51=""),"",IF(AND($C51&lt;EDATE(K$4,1),$D51&gt;=K$4),1,""))</f>
        <v/>
      </c>
      <c r="L51" s="64" t="str">
        <f aca="false">IF(OR(L$4="",$C51="",$D51=""),"",IF(AND($C51&lt;EDATE(L$4,1),$D51&gt;=L$4),1,""))</f>
        <v/>
      </c>
      <c r="M51" s="64" t="str">
        <f aca="false">IF(OR(M$4="",$C51="",$D51=""),"",IF(AND($C51&lt;EDATE(M$4,1),$D51&gt;=M$4),1,""))</f>
        <v/>
      </c>
      <c r="N51" s="64" t="str">
        <f aca="false">IF(OR(N$4="",$C51="",$D51=""),"",IF(AND($C51&lt;EDATE(N$4,1),$D51&gt;=N$4),1,""))</f>
        <v/>
      </c>
      <c r="O51" s="64" t="str">
        <f aca="false">IF(OR(O$4="",$C51="",$D51=""),"",IF(AND($C51&lt;EDATE(O$4,1),$D51&gt;=O$4),1,""))</f>
        <v/>
      </c>
      <c r="P51" s="64" t="str">
        <f aca="false">IF(OR(P$4="",$C51="",$D51=""),"",IF(AND($C51&lt;EDATE(P$4,1),$D51&gt;=P$4),1,""))</f>
        <v/>
      </c>
      <c r="Q51" s="64" t="str">
        <f aca="false">IF(OR(Q$4="",$C51="",$D51=""),"",IF(AND($C51&lt;EDATE(Q$4,1),$D51&gt;=Q$4),1,""))</f>
        <v/>
      </c>
      <c r="R51" s="64" t="str">
        <f aca="false">IF(OR(R$4="",$C51="",$D51=""),"",IF(AND($C51&lt;EDATE(R$4,1),$D51&gt;=R$4),1,""))</f>
        <v/>
      </c>
      <c r="S51" s="64" t="str">
        <f aca="false">IF(OR(S$4="",$C51="",$D51=""),"",IF(AND($C51&lt;EDATE(S$4,1),$D51&gt;=S$4),1,""))</f>
        <v/>
      </c>
      <c r="T51" s="64" t="str">
        <f aca="false">IF(OR(T$4="",$C51="",$D51=""),"",IF(AND($C51&lt;EDATE(T$4,1),$D51&gt;=T$4),1,""))</f>
        <v/>
      </c>
      <c r="U51" s="64" t="str">
        <f aca="false">IF(OR(U$4="",$C51="",$D51=""),"",IF(AND($C51&lt;EDATE(U$4,1),$D51&gt;=U$4),1,""))</f>
        <v/>
      </c>
      <c r="V51" s="64" t="n">
        <f aca="false">IF(OR(V$4="",$C51="",$D51=""),"",IF(AND($C51&lt;EDATE(V$4,1),$D51&gt;=V$4),1,""))</f>
        <v>1</v>
      </c>
      <c r="W51" s="64" t="n">
        <f aca="false">IF(OR(W$4="",$C51="",$D51=""),"",IF(AND($C51&lt;EDATE(W$4,1),$D51&gt;=W$4),1,""))</f>
        <v>1</v>
      </c>
      <c r="X51" s="64" t="n">
        <f aca="false">IF(OR(X$4="",$C51="",$D51=""),"",IF(AND($C51&lt;EDATE(X$4,1),$D51&gt;=X$4),1,""))</f>
        <v>1</v>
      </c>
      <c r="Y51" s="64" t="n">
        <f aca="false">IF(OR(Y$4="",$C51="",$D51=""),"",IF(AND($C51&lt;EDATE(Y$4,1),$D51&gt;=Y$4),1,""))</f>
        <v>1</v>
      </c>
      <c r="Z51" s="64" t="n">
        <f aca="false">IF(OR(Z$4="",$C51="",$D51=""),"",IF(AND($C51&lt;EDATE(Z$4,1),$D51&gt;=Z$4),1,""))</f>
        <v>1</v>
      </c>
      <c r="AA51" s="64" t="n">
        <f aca="false">IF(OR(AA$4="",$C51="",$D51=""),"",IF(AND($C51&lt;EDATE(AA$4,1),$D51&gt;=AA$4),1,""))</f>
        <v>1</v>
      </c>
      <c r="AB51" s="64" t="n">
        <f aca="false">IF(OR(AB$4="",$C51="",$D51=""),"",IF(AND($C51&lt;EDATE(AB$4,1),$D51&gt;=AB$4),1,""))</f>
        <v>1</v>
      </c>
      <c r="AC51" s="64" t="n">
        <f aca="false">IF(OR(AC$4="",$C51="",$D51=""),"",IF(AND($C51&lt;EDATE(AC$4,1),$D51&gt;=AC$4),1,""))</f>
        <v>1</v>
      </c>
      <c r="AD51" s="64" t="n">
        <f aca="false">IF(OR(AD$4="",$C51="",$D51=""),"",IF(AND($C51&lt;EDATE(AD$4,1),$D51&gt;=AD$4),1,""))</f>
        <v>1</v>
      </c>
      <c r="AE51" s="64" t="str">
        <f aca="false">IF(OR(AE$4="",$C51="",$D51=""),"",IF(AND($C51&lt;EDATE(AE$4,1),$D51&gt;=AE$4),1,""))</f>
        <v/>
      </c>
      <c r="AF51" s="64" t="str">
        <f aca="false">IF(OR(AF$4="",$C51="",$D51=""),"",IF(AND($C51&lt;EDATE(AF$4,1),$D51&gt;=AF$4),1,""))</f>
        <v/>
      </c>
      <c r="AG51" s="64" t="str">
        <f aca="false">IF(OR(AG$4="",$C51="",$D51=""),"",IF(AND($C51&lt;EDATE(AG$4,1),$D51&gt;=AG$4),1,""))</f>
        <v/>
      </c>
      <c r="AH51" s="64" t="str">
        <f aca="false">IF(OR(AH$4="",$C51="",$D51=""),"",IF(AND($C51&lt;EDATE(AH$4,1),$D51&gt;=AH$4),1,""))</f>
        <v/>
      </c>
      <c r="AI51" s="64" t="str">
        <f aca="false">IF(OR(AI$4="",$C51="",$D51=""),"",IF(AND($C51&lt;EDATE(AI$4,1),$D51&gt;=AI$4),1,""))</f>
        <v/>
      </c>
      <c r="AJ51" s="64" t="str">
        <f aca="false">IF(OR(AJ$4="",$C51="",$D51=""),"",IF(AND($C51&lt;EDATE(AJ$4,1),$D51&gt;=AJ$4),1,""))</f>
        <v/>
      </c>
      <c r="AK51" s="64" t="str">
        <f aca="false">IF(OR(AK$4="",$C51="",$D51=""),"",IF(AND($C51&lt;EDATE(AK$4,1),$D51&gt;=AK$4),1,""))</f>
        <v/>
      </c>
      <c r="AL51" s="64" t="str">
        <f aca="false">IF(OR(AL$4="",$C51="",$D51=""),"",IF(AND($C51&lt;EDATE(AL$4,1),$D51&gt;=AL$4),1,""))</f>
        <v/>
      </c>
      <c r="AM51" s="64" t="str">
        <f aca="false">IF(OR(AM$4="",$C51="",$D51=""),"",IF(AND($C51&lt;EDATE(AM$4,1),$D51&gt;=AM$4),1,""))</f>
        <v/>
      </c>
      <c r="AN51" s="64" t="str">
        <f aca="false">IF(OR(AN$4="",$C51="",$D51=""),"",IF(AND($C51&lt;EDATE(AN$4,1),$D51&gt;=AN$4),1,""))</f>
        <v/>
      </c>
      <c r="AO51" s="64" t="str">
        <f aca="false">IF(OR(AO$4="",$C51="",$D51=""),"",IF(AND($C51&lt;EDATE(AO$4,1),$D51&gt;=AO$4),1,""))</f>
        <v/>
      </c>
      <c r="AP51" s="64" t="str">
        <f aca="false">IF(OR(AP$4="",$C51="",$D51=""),"",IF(AND($C51&lt;EDATE(AP$4,1),$D51&gt;=AP$4),1,""))</f>
        <v/>
      </c>
      <c r="AQ51" s="64" t="str">
        <f aca="false">IF(OR(AQ$4="",$C51="",$D51=""),"",IF(AND($C51&lt;EDATE(AQ$4,1),$D51&gt;=AQ$4),1,""))</f>
        <v/>
      </c>
      <c r="AR51" s="64" t="str">
        <f aca="false">IF(OR(AR$4="",$C51="",$D51=""),"",IF(AND($C51&lt;EDATE(AR$4,1),$D51&gt;=AR$4),1,""))</f>
        <v/>
      </c>
      <c r="AS51" s="64" t="str">
        <f aca="false">IF(OR(AS$4="",$C51="",$D51=""),"",IF(AND($C51&lt;EDATE(AS$4,1),$D51&gt;=AS$4),1,""))</f>
        <v/>
      </c>
      <c r="AT51" s="64" t="str">
        <f aca="false">IF(OR(AT$4="",$C51="",$D51=""),"",IF(AND($C51&lt;EDATE(AT$4,1),$D51&gt;=AT$4),1,""))</f>
        <v/>
      </c>
      <c r="AU51" s="64" t="str">
        <f aca="false">IF(OR(AU$4="",$C51="",$D51=""),"",IF(AND($C51&lt;EDATE(AU$4,1),$D51&gt;=AU$4),1,""))</f>
        <v/>
      </c>
      <c r="AV51" s="64" t="str">
        <f aca="false">IF(OR(AV$4="",$C51="",$D51=""),"",IF(AND($C51&lt;EDATE(AV$4,1),$D51&gt;=AV$4),1,""))</f>
        <v/>
      </c>
      <c r="AW51" s="64" t="str">
        <f aca="false">IF(OR(AW$4="",$C51="",$D51=""),"",IF(AND($C51&lt;EDATE(AW$4,1),$D51&gt;=AW$4),1,""))</f>
        <v/>
      </c>
      <c r="AX51" s="64" t="str">
        <f aca="false">IF(OR(AX$4="",$C51="",$D51=""),"",IF(AND($C51&lt;EDATE(AX$4,1),$D51&gt;=AX$4),1,""))</f>
        <v/>
      </c>
      <c r="AY51" s="64" t="str">
        <f aca="false">IF(OR(AY$4="",$C51="",$D51=""),"",IF(AND($C51&lt;EDATE(AY$4,1),$D51&gt;=AY$4),1,""))</f>
        <v/>
      </c>
      <c r="AZ51" s="64" t="str">
        <f aca="false">IF(OR(AZ$4="",$C51="",$D51=""),"",IF(AND($C51&lt;EDATE(AZ$4,1),$D51&gt;=AZ$4),1,""))</f>
        <v/>
      </c>
      <c r="BA51" s="64" t="str">
        <f aca="false">IF(OR(BA$4="",$C51="",$D51=""),"",IF(AND($C51&lt;EDATE(BA$4,1),$D51&gt;=BA$4),1,""))</f>
        <v/>
      </c>
      <c r="BB51" s="64" t="str">
        <f aca="false">IF(OR(BB$4="",$C51="",$D51=""),"",IF(AND($C51&lt;EDATE(BB$4,1),$D51&gt;=BB$4),1,""))</f>
        <v/>
      </c>
      <c r="BC51" s="64" t="str">
        <f aca="false">IF(OR(BC$4="",$C51="",$D51=""),"",IF(AND($C51&lt;EDATE(BC$4,1),$D51&gt;=BC$4),1,""))</f>
        <v/>
      </c>
      <c r="BD51" s="64" t="str">
        <f aca="false">IF(OR(BD$4="",$C51="",$D51=""),"",IF(AND($C51&lt;EDATE(BD$4,1),$D51&gt;=BD$4),1,""))</f>
        <v/>
      </c>
      <c r="BE51" s="64" t="str">
        <f aca="false">IF(OR(BE$4="",$C51="",$D51=""),"",IF(AND($C51&lt;EDATE(BE$4,1),$D51&gt;=BE$4),1,""))</f>
        <v/>
      </c>
      <c r="BF51" s="64" t="str">
        <f aca="false">IF(OR(BF$4="",$C51="",$D51=""),"",IF(AND($C51&lt;EDATE(BF$4,1),$D51&gt;=BF$4),1,""))</f>
        <v/>
      </c>
      <c r="BG51" s="64" t="str">
        <f aca="false">IF(OR(BG$4="",$C51="",$D51=""),"",IF(AND($C51&lt;EDATE(BG$4,1),$D51&gt;=BG$4),1,""))</f>
        <v/>
      </c>
      <c r="BH51" s="64" t="str">
        <f aca="false">IF(OR(BH$4="",$C51="",$D51=""),"",IF(AND($C51&lt;EDATE(BH$4,1),$D51&gt;=BH$4),1,""))</f>
        <v/>
      </c>
      <c r="BI51" s="64" t="str">
        <f aca="false">IF(OR(BI$4="",$C51="",$D51=""),"",IF(AND($C51&lt;EDATE(BI$4,1),$D51&gt;=BI$4),1,""))</f>
        <v/>
      </c>
      <c r="BJ51" s="64" t="str">
        <f aca="false">IF(OR(BJ$4="",$C51="",$D51=""),"",IF(AND($C51&lt;EDATE(BJ$4,1),$D51&gt;=BJ$4),1,""))</f>
        <v/>
      </c>
      <c r="BK51" s="64" t="str">
        <f aca="false">IF(OR(BK$4="",$C51="",$D51=""),"",IF(AND($C51&lt;EDATE(BK$4,1),$D51&gt;=BK$4),1,""))</f>
        <v/>
      </c>
      <c r="BL51" s="64" t="str">
        <f aca="false">IF(OR(BL$4="",$C51="",$D51=""),"",IF(AND($C51&lt;EDATE(BL$4,1),$D51&gt;=BL$4),1,""))</f>
        <v/>
      </c>
      <c r="BM51" s="64" t="str">
        <f aca="false">IF(OR(BM$4="",$C51="",$D51=""),"",IF(AND($C51&lt;EDATE(BM$4,1),$D51&gt;=BM$4),1,""))</f>
        <v/>
      </c>
      <c r="BN51" s="64" t="str">
        <f aca="false">IF(OR(BN$4="",$C51="",$D51=""),"",IF(AND($C51&lt;EDATE(BN$4,1),$D51&gt;=BN$4),1,""))</f>
        <v/>
      </c>
      <c r="BO51" s="64" t="str">
        <f aca="false">IF(OR(BO$4="",$C51="",$D51=""),"",IF(AND($C51&lt;EDATE(BO$4,1),$D51&gt;=BO$4),1,""))</f>
        <v/>
      </c>
      <c r="BP51" s="64" t="str">
        <f aca="false">IF(OR(BP$4="",$C51="",$D51=""),"",IF(AND($C51&lt;EDATE(BP$4,1),$D51&gt;=BP$4),1,""))</f>
        <v/>
      </c>
      <c r="BQ51" s="64" t="str">
        <f aca="false">IF(OR(BQ$4="",$C51="",$D51=""),"",IF(AND($C51&lt;EDATE(BQ$4,1),$D51&gt;=BQ$4),1,""))</f>
        <v/>
      </c>
      <c r="BR51" s="64" t="str">
        <f aca="false">IF(OR(BR$4="",$C51="",$D51=""),"",IF(AND($C51&lt;EDATE(BR$4,1),$D51&gt;=BR$4),1,""))</f>
        <v/>
      </c>
      <c r="BS51" s="64" t="str">
        <f aca="false">IF(OR(BS$4="",$C51="",$D51=""),"",IF(AND($C51&lt;EDATE(BS$4,1),$D51&gt;=BS$4),1,""))</f>
        <v/>
      </c>
      <c r="BT51" s="64" t="str">
        <f aca="false">IF(OR(BT$4="",$C51="",$D51=""),"",IF(AND($C51&lt;EDATE(BT$4,1),$D51&gt;=BT$4),1,""))</f>
        <v/>
      </c>
      <c r="BU51" s="64" t="str">
        <f aca="false">IF(OR(BU$4="",$C51="",$D51=""),"",IF(AND($C51&lt;EDATE(BU$4,1),$D51&gt;=BU$4),1,""))</f>
        <v/>
      </c>
      <c r="BV51" s="64" t="str">
        <f aca="false">IF(OR(BV$4="",$C51="",$D51=""),"",IF(AND($C51&lt;EDATE(BV$4,1),$D51&gt;=BV$4),1,""))</f>
        <v/>
      </c>
      <c r="BW51" s="64" t="str">
        <f aca="false">IF(OR(BW$4="",$C51="",$D51=""),"",IF(AND($C51&lt;EDATE(BW$4,1),$D51&gt;=BW$4),1,""))</f>
        <v/>
      </c>
      <c r="BX51" s="64" t="str">
        <f aca="false">IF(OR(BX$4="",$C51="",$D51=""),"",IF(AND($C51&lt;EDATE(BX$4,1),$D51&gt;=BX$4),1,""))</f>
        <v/>
      </c>
      <c r="BY51" s="64" t="str">
        <f aca="false">IF(OR(BY$4="",$C51="",$D51=""),"",IF(AND($C51&lt;EDATE(BY$4,1),$D51&gt;=BY$4),1,""))</f>
        <v/>
      </c>
    </row>
    <row r="52" customFormat="false" ht="15" hidden="false" customHeight="false" outlineLevel="0" collapsed="false">
      <c r="A52" s="53" t="str">
        <f aca="false">IF(BOE!$A21="","",BOE!$A21)</f>
        <v>207</v>
      </c>
      <c r="B52" s="53" t="str">
        <f aca="false">IF(BOE!$A21="","",BOE!$C21)</f>
        <v>Health Hazard Analysis (HHA)</v>
      </c>
      <c r="C52" s="54" t="n">
        <f aca="false">IF(OR(BOE!$A21="",BOE!$E21&lt;&gt;"Y"),"",BOE!$O21)</f>
        <v>46695</v>
      </c>
      <c r="D52" s="54" t="n">
        <f aca="false">IF(OR(BOE!$A21="",BOE!$E21&lt;&gt;"Y"),"",BOE!$P21)</f>
        <v>46877</v>
      </c>
      <c r="E52" s="55" t="n">
        <f aca="false">IF(OR(BOE!$A21="",BOE!$E21&lt;&gt;"Y"),"",IF(Inputs!$B$7="P90",BOE!$T21,BOE!$R21))</f>
        <v>280</v>
      </c>
      <c r="F52" s="64" t="str">
        <f aca="false">IF(OR(F$4="",$C52="",$D52=""),"",IF(AND($C52&lt;EDATE(F$4,1),$D52&gt;=F$4),1,""))</f>
        <v/>
      </c>
      <c r="G52" s="64" t="str">
        <f aca="false">IF(OR(G$4="",$C52="",$D52=""),"",IF(AND($C52&lt;EDATE(G$4,1),$D52&gt;=G$4),1,""))</f>
        <v/>
      </c>
      <c r="H52" s="64" t="str">
        <f aca="false">IF(OR(H$4="",$C52="",$D52=""),"",IF(AND($C52&lt;EDATE(H$4,1),$D52&gt;=H$4),1,""))</f>
        <v/>
      </c>
      <c r="I52" s="64" t="str">
        <f aca="false">IF(OR(I$4="",$C52="",$D52=""),"",IF(AND($C52&lt;EDATE(I$4,1),$D52&gt;=I$4),1,""))</f>
        <v/>
      </c>
      <c r="J52" s="64" t="str">
        <f aca="false">IF(OR(J$4="",$C52="",$D52=""),"",IF(AND($C52&lt;EDATE(J$4,1),$D52&gt;=J$4),1,""))</f>
        <v/>
      </c>
      <c r="K52" s="64" t="str">
        <f aca="false">IF(OR(K$4="",$C52="",$D52=""),"",IF(AND($C52&lt;EDATE(K$4,1),$D52&gt;=K$4),1,""))</f>
        <v/>
      </c>
      <c r="L52" s="64" t="str">
        <f aca="false">IF(OR(L$4="",$C52="",$D52=""),"",IF(AND($C52&lt;EDATE(L$4,1),$D52&gt;=L$4),1,""))</f>
        <v/>
      </c>
      <c r="M52" s="64" t="str">
        <f aca="false">IF(OR(M$4="",$C52="",$D52=""),"",IF(AND($C52&lt;EDATE(M$4,1),$D52&gt;=M$4),1,""))</f>
        <v/>
      </c>
      <c r="N52" s="64" t="str">
        <f aca="false">IF(OR(N$4="",$C52="",$D52=""),"",IF(AND($C52&lt;EDATE(N$4,1),$D52&gt;=N$4),1,""))</f>
        <v/>
      </c>
      <c r="O52" s="64" t="str">
        <f aca="false">IF(OR(O$4="",$C52="",$D52=""),"",IF(AND($C52&lt;EDATE(O$4,1),$D52&gt;=O$4),1,""))</f>
        <v/>
      </c>
      <c r="P52" s="64" t="n">
        <f aca="false">IF(OR(P$4="",$C52="",$D52=""),"",IF(AND($C52&lt;EDATE(P$4,1),$D52&gt;=P$4),1,""))</f>
        <v>1</v>
      </c>
      <c r="Q52" s="64" t="n">
        <f aca="false">IF(OR(Q$4="",$C52="",$D52=""),"",IF(AND($C52&lt;EDATE(Q$4,1),$D52&gt;=Q$4),1,""))</f>
        <v>1</v>
      </c>
      <c r="R52" s="64" t="n">
        <f aca="false">IF(OR(R$4="",$C52="",$D52=""),"",IF(AND($C52&lt;EDATE(R$4,1),$D52&gt;=R$4),1,""))</f>
        <v>1</v>
      </c>
      <c r="S52" s="64" t="n">
        <f aca="false">IF(OR(S$4="",$C52="",$D52=""),"",IF(AND($C52&lt;EDATE(S$4,1),$D52&gt;=S$4),1,""))</f>
        <v>1</v>
      </c>
      <c r="T52" s="64" t="n">
        <f aca="false">IF(OR(T$4="",$C52="",$D52=""),"",IF(AND($C52&lt;EDATE(T$4,1),$D52&gt;=T$4),1,""))</f>
        <v>1</v>
      </c>
      <c r="U52" s="64" t="n">
        <f aca="false">IF(OR(U$4="",$C52="",$D52=""),"",IF(AND($C52&lt;EDATE(U$4,1),$D52&gt;=U$4),1,""))</f>
        <v>1</v>
      </c>
      <c r="V52" s="64" t="n">
        <f aca="false">IF(OR(V$4="",$C52="",$D52=""),"",IF(AND($C52&lt;EDATE(V$4,1),$D52&gt;=V$4),1,""))</f>
        <v>1</v>
      </c>
      <c r="W52" s="64" t="str">
        <f aca="false">IF(OR(W$4="",$C52="",$D52=""),"",IF(AND($C52&lt;EDATE(W$4,1),$D52&gt;=W$4),1,""))</f>
        <v/>
      </c>
      <c r="X52" s="64" t="str">
        <f aca="false">IF(OR(X$4="",$C52="",$D52=""),"",IF(AND($C52&lt;EDATE(X$4,1),$D52&gt;=X$4),1,""))</f>
        <v/>
      </c>
      <c r="Y52" s="64" t="str">
        <f aca="false">IF(OR(Y$4="",$C52="",$D52=""),"",IF(AND($C52&lt;EDATE(Y$4,1),$D52&gt;=Y$4),1,""))</f>
        <v/>
      </c>
      <c r="Z52" s="64" t="str">
        <f aca="false">IF(OR(Z$4="",$C52="",$D52=""),"",IF(AND($C52&lt;EDATE(Z$4,1),$D52&gt;=Z$4),1,""))</f>
        <v/>
      </c>
      <c r="AA52" s="64" t="str">
        <f aca="false">IF(OR(AA$4="",$C52="",$D52=""),"",IF(AND($C52&lt;EDATE(AA$4,1),$D52&gt;=AA$4),1,""))</f>
        <v/>
      </c>
      <c r="AB52" s="64" t="str">
        <f aca="false">IF(OR(AB$4="",$C52="",$D52=""),"",IF(AND($C52&lt;EDATE(AB$4,1),$D52&gt;=AB$4),1,""))</f>
        <v/>
      </c>
      <c r="AC52" s="64" t="str">
        <f aca="false">IF(OR(AC$4="",$C52="",$D52=""),"",IF(AND($C52&lt;EDATE(AC$4,1),$D52&gt;=AC$4),1,""))</f>
        <v/>
      </c>
      <c r="AD52" s="64" t="str">
        <f aca="false">IF(OR(AD$4="",$C52="",$D52=""),"",IF(AND($C52&lt;EDATE(AD$4,1),$D52&gt;=AD$4),1,""))</f>
        <v/>
      </c>
      <c r="AE52" s="64" t="str">
        <f aca="false">IF(OR(AE$4="",$C52="",$D52=""),"",IF(AND($C52&lt;EDATE(AE$4,1),$D52&gt;=AE$4),1,""))</f>
        <v/>
      </c>
      <c r="AF52" s="64" t="str">
        <f aca="false">IF(OR(AF$4="",$C52="",$D52=""),"",IF(AND($C52&lt;EDATE(AF$4,1),$D52&gt;=AF$4),1,""))</f>
        <v/>
      </c>
      <c r="AG52" s="64" t="str">
        <f aca="false">IF(OR(AG$4="",$C52="",$D52=""),"",IF(AND($C52&lt;EDATE(AG$4,1),$D52&gt;=AG$4),1,""))</f>
        <v/>
      </c>
      <c r="AH52" s="64" t="str">
        <f aca="false">IF(OR(AH$4="",$C52="",$D52=""),"",IF(AND($C52&lt;EDATE(AH$4,1),$D52&gt;=AH$4),1,""))</f>
        <v/>
      </c>
      <c r="AI52" s="64" t="str">
        <f aca="false">IF(OR(AI$4="",$C52="",$D52=""),"",IF(AND($C52&lt;EDATE(AI$4,1),$D52&gt;=AI$4),1,""))</f>
        <v/>
      </c>
      <c r="AJ52" s="64" t="str">
        <f aca="false">IF(OR(AJ$4="",$C52="",$D52=""),"",IF(AND($C52&lt;EDATE(AJ$4,1),$D52&gt;=AJ$4),1,""))</f>
        <v/>
      </c>
      <c r="AK52" s="64" t="str">
        <f aca="false">IF(OR(AK$4="",$C52="",$D52=""),"",IF(AND($C52&lt;EDATE(AK$4,1),$D52&gt;=AK$4),1,""))</f>
        <v/>
      </c>
      <c r="AL52" s="64" t="str">
        <f aca="false">IF(OR(AL$4="",$C52="",$D52=""),"",IF(AND($C52&lt;EDATE(AL$4,1),$D52&gt;=AL$4),1,""))</f>
        <v/>
      </c>
      <c r="AM52" s="64" t="str">
        <f aca="false">IF(OR(AM$4="",$C52="",$D52=""),"",IF(AND($C52&lt;EDATE(AM$4,1),$D52&gt;=AM$4),1,""))</f>
        <v/>
      </c>
      <c r="AN52" s="64" t="str">
        <f aca="false">IF(OR(AN$4="",$C52="",$D52=""),"",IF(AND($C52&lt;EDATE(AN$4,1),$D52&gt;=AN$4),1,""))</f>
        <v/>
      </c>
      <c r="AO52" s="64" t="str">
        <f aca="false">IF(OR(AO$4="",$C52="",$D52=""),"",IF(AND($C52&lt;EDATE(AO$4,1),$D52&gt;=AO$4),1,""))</f>
        <v/>
      </c>
      <c r="AP52" s="64" t="str">
        <f aca="false">IF(OR(AP$4="",$C52="",$D52=""),"",IF(AND($C52&lt;EDATE(AP$4,1),$D52&gt;=AP$4),1,""))</f>
        <v/>
      </c>
      <c r="AQ52" s="64" t="str">
        <f aca="false">IF(OR(AQ$4="",$C52="",$D52=""),"",IF(AND($C52&lt;EDATE(AQ$4,1),$D52&gt;=AQ$4),1,""))</f>
        <v/>
      </c>
      <c r="AR52" s="64" t="str">
        <f aca="false">IF(OR(AR$4="",$C52="",$D52=""),"",IF(AND($C52&lt;EDATE(AR$4,1),$D52&gt;=AR$4),1,""))</f>
        <v/>
      </c>
      <c r="AS52" s="64" t="str">
        <f aca="false">IF(OR(AS$4="",$C52="",$D52=""),"",IF(AND($C52&lt;EDATE(AS$4,1),$D52&gt;=AS$4),1,""))</f>
        <v/>
      </c>
      <c r="AT52" s="64" t="str">
        <f aca="false">IF(OR(AT$4="",$C52="",$D52=""),"",IF(AND($C52&lt;EDATE(AT$4,1),$D52&gt;=AT$4),1,""))</f>
        <v/>
      </c>
      <c r="AU52" s="64" t="str">
        <f aca="false">IF(OR(AU$4="",$C52="",$D52=""),"",IF(AND($C52&lt;EDATE(AU$4,1),$D52&gt;=AU$4),1,""))</f>
        <v/>
      </c>
      <c r="AV52" s="64" t="str">
        <f aca="false">IF(OR(AV$4="",$C52="",$D52=""),"",IF(AND($C52&lt;EDATE(AV$4,1),$D52&gt;=AV$4),1,""))</f>
        <v/>
      </c>
      <c r="AW52" s="64" t="str">
        <f aca="false">IF(OR(AW$4="",$C52="",$D52=""),"",IF(AND($C52&lt;EDATE(AW$4,1),$D52&gt;=AW$4),1,""))</f>
        <v/>
      </c>
      <c r="AX52" s="64" t="str">
        <f aca="false">IF(OR(AX$4="",$C52="",$D52=""),"",IF(AND($C52&lt;EDATE(AX$4,1),$D52&gt;=AX$4),1,""))</f>
        <v/>
      </c>
      <c r="AY52" s="64" t="str">
        <f aca="false">IF(OR(AY$4="",$C52="",$D52=""),"",IF(AND($C52&lt;EDATE(AY$4,1),$D52&gt;=AY$4),1,""))</f>
        <v/>
      </c>
      <c r="AZ52" s="64" t="str">
        <f aca="false">IF(OR(AZ$4="",$C52="",$D52=""),"",IF(AND($C52&lt;EDATE(AZ$4,1),$D52&gt;=AZ$4),1,""))</f>
        <v/>
      </c>
      <c r="BA52" s="64" t="str">
        <f aca="false">IF(OR(BA$4="",$C52="",$D52=""),"",IF(AND($C52&lt;EDATE(BA$4,1),$D52&gt;=BA$4),1,""))</f>
        <v/>
      </c>
      <c r="BB52" s="64" t="str">
        <f aca="false">IF(OR(BB$4="",$C52="",$D52=""),"",IF(AND($C52&lt;EDATE(BB$4,1),$D52&gt;=BB$4),1,""))</f>
        <v/>
      </c>
      <c r="BC52" s="64" t="str">
        <f aca="false">IF(OR(BC$4="",$C52="",$D52=""),"",IF(AND($C52&lt;EDATE(BC$4,1),$D52&gt;=BC$4),1,""))</f>
        <v/>
      </c>
      <c r="BD52" s="64" t="str">
        <f aca="false">IF(OR(BD$4="",$C52="",$D52=""),"",IF(AND($C52&lt;EDATE(BD$4,1),$D52&gt;=BD$4),1,""))</f>
        <v/>
      </c>
      <c r="BE52" s="64" t="str">
        <f aca="false">IF(OR(BE$4="",$C52="",$D52=""),"",IF(AND($C52&lt;EDATE(BE$4,1),$D52&gt;=BE$4),1,""))</f>
        <v/>
      </c>
      <c r="BF52" s="64" t="str">
        <f aca="false">IF(OR(BF$4="",$C52="",$D52=""),"",IF(AND($C52&lt;EDATE(BF$4,1),$D52&gt;=BF$4),1,""))</f>
        <v/>
      </c>
      <c r="BG52" s="64" t="str">
        <f aca="false">IF(OR(BG$4="",$C52="",$D52=""),"",IF(AND($C52&lt;EDATE(BG$4,1),$D52&gt;=BG$4),1,""))</f>
        <v/>
      </c>
      <c r="BH52" s="64" t="str">
        <f aca="false">IF(OR(BH$4="",$C52="",$D52=""),"",IF(AND($C52&lt;EDATE(BH$4,1),$D52&gt;=BH$4),1,""))</f>
        <v/>
      </c>
      <c r="BI52" s="64" t="str">
        <f aca="false">IF(OR(BI$4="",$C52="",$D52=""),"",IF(AND($C52&lt;EDATE(BI$4,1),$D52&gt;=BI$4),1,""))</f>
        <v/>
      </c>
      <c r="BJ52" s="64" t="str">
        <f aca="false">IF(OR(BJ$4="",$C52="",$D52=""),"",IF(AND($C52&lt;EDATE(BJ$4,1),$D52&gt;=BJ$4),1,""))</f>
        <v/>
      </c>
      <c r="BK52" s="64" t="str">
        <f aca="false">IF(OR(BK$4="",$C52="",$D52=""),"",IF(AND($C52&lt;EDATE(BK$4,1),$D52&gt;=BK$4),1,""))</f>
        <v/>
      </c>
      <c r="BL52" s="64" t="str">
        <f aca="false">IF(OR(BL$4="",$C52="",$D52=""),"",IF(AND($C52&lt;EDATE(BL$4,1),$D52&gt;=BL$4),1,""))</f>
        <v/>
      </c>
      <c r="BM52" s="64" t="str">
        <f aca="false">IF(OR(BM$4="",$C52="",$D52=""),"",IF(AND($C52&lt;EDATE(BM$4,1),$D52&gt;=BM$4),1,""))</f>
        <v/>
      </c>
      <c r="BN52" s="64" t="str">
        <f aca="false">IF(OR(BN$4="",$C52="",$D52=""),"",IF(AND($C52&lt;EDATE(BN$4,1),$D52&gt;=BN$4),1,""))</f>
        <v/>
      </c>
      <c r="BO52" s="64" t="str">
        <f aca="false">IF(OR(BO$4="",$C52="",$D52=""),"",IF(AND($C52&lt;EDATE(BO$4,1),$D52&gt;=BO$4),1,""))</f>
        <v/>
      </c>
      <c r="BP52" s="64" t="str">
        <f aca="false">IF(OR(BP$4="",$C52="",$D52=""),"",IF(AND($C52&lt;EDATE(BP$4,1),$D52&gt;=BP$4),1,""))</f>
        <v/>
      </c>
      <c r="BQ52" s="64" t="str">
        <f aca="false">IF(OR(BQ$4="",$C52="",$D52=""),"",IF(AND($C52&lt;EDATE(BQ$4,1),$D52&gt;=BQ$4),1,""))</f>
        <v/>
      </c>
      <c r="BR52" s="64" t="str">
        <f aca="false">IF(OR(BR$4="",$C52="",$D52=""),"",IF(AND($C52&lt;EDATE(BR$4,1),$D52&gt;=BR$4),1,""))</f>
        <v/>
      </c>
      <c r="BS52" s="64" t="str">
        <f aca="false">IF(OR(BS$4="",$C52="",$D52=""),"",IF(AND($C52&lt;EDATE(BS$4,1),$D52&gt;=BS$4),1,""))</f>
        <v/>
      </c>
      <c r="BT52" s="64" t="str">
        <f aca="false">IF(OR(BT$4="",$C52="",$D52=""),"",IF(AND($C52&lt;EDATE(BT$4,1),$D52&gt;=BT$4),1,""))</f>
        <v/>
      </c>
      <c r="BU52" s="64" t="str">
        <f aca="false">IF(OR(BU$4="",$C52="",$D52=""),"",IF(AND($C52&lt;EDATE(BU$4,1),$D52&gt;=BU$4),1,""))</f>
        <v/>
      </c>
      <c r="BV52" s="64" t="str">
        <f aca="false">IF(OR(BV$4="",$C52="",$D52=""),"",IF(AND($C52&lt;EDATE(BV$4,1),$D52&gt;=BV$4),1,""))</f>
        <v/>
      </c>
      <c r="BW52" s="64" t="str">
        <f aca="false">IF(OR(BW$4="",$C52="",$D52=""),"",IF(AND($C52&lt;EDATE(BW$4,1),$D52&gt;=BW$4),1,""))</f>
        <v/>
      </c>
      <c r="BX52" s="64" t="str">
        <f aca="false">IF(OR(BX$4="",$C52="",$D52=""),"",IF(AND($C52&lt;EDATE(BX$4,1),$D52&gt;=BX$4),1,""))</f>
        <v/>
      </c>
      <c r="BY52" s="64" t="str">
        <f aca="false">IF(OR(BY$4="",$C52="",$D52=""),"",IF(AND($C52&lt;EDATE(BY$4,1),$D52&gt;=BY$4),1,""))</f>
        <v/>
      </c>
    </row>
    <row r="53" customFormat="false" ht="15" hidden="false" customHeight="false" outlineLevel="0" collapsed="false">
      <c r="A53" s="53" t="str">
        <f aca="false">IF(BOE!$A22="","",BOE!$A22)</f>
        <v>208</v>
      </c>
      <c r="B53" s="53" t="str">
        <f aca="false">IF(BOE!$A22="","",BOE!$C22)</f>
        <v>Functional Hazard Analysis (FHA)</v>
      </c>
      <c r="C53" s="54" t="n">
        <f aca="false">IF(OR(BOE!$A22="",BOE!$E22&lt;&gt;"Y"),"",BOE!$O22)</f>
        <v>46481</v>
      </c>
      <c r="D53" s="54" t="n">
        <f aca="false">IF(OR(BOE!$A22="",BOE!$E22&lt;&gt;"Y"),"",BOE!$P22)</f>
        <v>46695</v>
      </c>
      <c r="E53" s="55" t="n">
        <f aca="false">IF(OR(BOE!$A22="",BOE!$E22&lt;&gt;"Y"),"",IF(Inputs!$B$7="P90",BOE!$T22,BOE!$R22))</f>
        <v>520</v>
      </c>
      <c r="F53" s="64" t="str">
        <f aca="false">IF(OR(F$4="",$C53="",$D53=""),"",IF(AND($C53&lt;EDATE(F$4,1),$D53&gt;=F$4),1,""))</f>
        <v/>
      </c>
      <c r="G53" s="64" t="str">
        <f aca="false">IF(OR(G$4="",$C53="",$D53=""),"",IF(AND($C53&lt;EDATE(G$4,1),$D53&gt;=G$4),1,""))</f>
        <v/>
      </c>
      <c r="H53" s="64" t="str">
        <f aca="false">IF(OR(H$4="",$C53="",$D53=""),"",IF(AND($C53&lt;EDATE(H$4,1),$D53&gt;=H$4),1,""))</f>
        <v/>
      </c>
      <c r="I53" s="64" t="n">
        <f aca="false">IF(OR(I$4="",$C53="",$D53=""),"",IF(AND($C53&lt;EDATE(I$4,1),$D53&gt;=I$4),1,""))</f>
        <v>1</v>
      </c>
      <c r="J53" s="64" t="n">
        <f aca="false">IF(OR(J$4="",$C53="",$D53=""),"",IF(AND($C53&lt;EDATE(J$4,1),$D53&gt;=J$4),1,""))</f>
        <v>1</v>
      </c>
      <c r="K53" s="64" t="n">
        <f aca="false">IF(OR(K$4="",$C53="",$D53=""),"",IF(AND($C53&lt;EDATE(K$4,1),$D53&gt;=K$4),1,""))</f>
        <v>1</v>
      </c>
      <c r="L53" s="64" t="n">
        <f aca="false">IF(OR(L$4="",$C53="",$D53=""),"",IF(AND($C53&lt;EDATE(L$4,1),$D53&gt;=L$4),1,""))</f>
        <v>1</v>
      </c>
      <c r="M53" s="64" t="n">
        <f aca="false">IF(OR(M$4="",$C53="",$D53=""),"",IF(AND($C53&lt;EDATE(M$4,1),$D53&gt;=M$4),1,""))</f>
        <v>1</v>
      </c>
      <c r="N53" s="64" t="n">
        <f aca="false">IF(OR(N$4="",$C53="",$D53=""),"",IF(AND($C53&lt;EDATE(N$4,1),$D53&gt;=N$4),1,""))</f>
        <v>1</v>
      </c>
      <c r="O53" s="64" t="n">
        <f aca="false">IF(OR(O$4="",$C53="",$D53=""),"",IF(AND($C53&lt;EDATE(O$4,1),$D53&gt;=O$4),1,""))</f>
        <v>1</v>
      </c>
      <c r="P53" s="64" t="n">
        <f aca="false">IF(OR(P$4="",$C53="",$D53=""),"",IF(AND($C53&lt;EDATE(P$4,1),$D53&gt;=P$4),1,""))</f>
        <v>1</v>
      </c>
      <c r="Q53" s="64" t="str">
        <f aca="false">IF(OR(Q$4="",$C53="",$D53=""),"",IF(AND($C53&lt;EDATE(Q$4,1),$D53&gt;=Q$4),1,""))</f>
        <v/>
      </c>
      <c r="R53" s="64" t="str">
        <f aca="false">IF(OR(R$4="",$C53="",$D53=""),"",IF(AND($C53&lt;EDATE(R$4,1),$D53&gt;=R$4),1,""))</f>
        <v/>
      </c>
      <c r="S53" s="64" t="str">
        <f aca="false">IF(OR(S$4="",$C53="",$D53=""),"",IF(AND($C53&lt;EDATE(S$4,1),$D53&gt;=S$4),1,""))</f>
        <v/>
      </c>
      <c r="T53" s="64" t="str">
        <f aca="false">IF(OR(T$4="",$C53="",$D53=""),"",IF(AND($C53&lt;EDATE(T$4,1),$D53&gt;=T$4),1,""))</f>
        <v/>
      </c>
      <c r="U53" s="64" t="str">
        <f aca="false">IF(OR(U$4="",$C53="",$D53=""),"",IF(AND($C53&lt;EDATE(U$4,1),$D53&gt;=U$4),1,""))</f>
        <v/>
      </c>
      <c r="V53" s="64" t="str">
        <f aca="false">IF(OR(V$4="",$C53="",$D53=""),"",IF(AND($C53&lt;EDATE(V$4,1),$D53&gt;=V$4),1,""))</f>
        <v/>
      </c>
      <c r="W53" s="64" t="str">
        <f aca="false">IF(OR(W$4="",$C53="",$D53=""),"",IF(AND($C53&lt;EDATE(W$4,1),$D53&gt;=W$4),1,""))</f>
        <v/>
      </c>
      <c r="X53" s="64" t="str">
        <f aca="false">IF(OR(X$4="",$C53="",$D53=""),"",IF(AND($C53&lt;EDATE(X$4,1),$D53&gt;=X$4),1,""))</f>
        <v/>
      </c>
      <c r="Y53" s="64" t="str">
        <f aca="false">IF(OR(Y$4="",$C53="",$D53=""),"",IF(AND($C53&lt;EDATE(Y$4,1),$D53&gt;=Y$4),1,""))</f>
        <v/>
      </c>
      <c r="Z53" s="64" t="str">
        <f aca="false">IF(OR(Z$4="",$C53="",$D53=""),"",IF(AND($C53&lt;EDATE(Z$4,1),$D53&gt;=Z$4),1,""))</f>
        <v/>
      </c>
      <c r="AA53" s="64" t="str">
        <f aca="false">IF(OR(AA$4="",$C53="",$D53=""),"",IF(AND($C53&lt;EDATE(AA$4,1),$D53&gt;=AA$4),1,""))</f>
        <v/>
      </c>
      <c r="AB53" s="64" t="str">
        <f aca="false">IF(OR(AB$4="",$C53="",$D53=""),"",IF(AND($C53&lt;EDATE(AB$4,1),$D53&gt;=AB$4),1,""))</f>
        <v/>
      </c>
      <c r="AC53" s="64" t="str">
        <f aca="false">IF(OR(AC$4="",$C53="",$D53=""),"",IF(AND($C53&lt;EDATE(AC$4,1),$D53&gt;=AC$4),1,""))</f>
        <v/>
      </c>
      <c r="AD53" s="64" t="str">
        <f aca="false">IF(OR(AD$4="",$C53="",$D53=""),"",IF(AND($C53&lt;EDATE(AD$4,1),$D53&gt;=AD$4),1,""))</f>
        <v/>
      </c>
      <c r="AE53" s="64" t="str">
        <f aca="false">IF(OR(AE$4="",$C53="",$D53=""),"",IF(AND($C53&lt;EDATE(AE$4,1),$D53&gt;=AE$4),1,""))</f>
        <v/>
      </c>
      <c r="AF53" s="64" t="str">
        <f aca="false">IF(OR(AF$4="",$C53="",$D53=""),"",IF(AND($C53&lt;EDATE(AF$4,1),$D53&gt;=AF$4),1,""))</f>
        <v/>
      </c>
      <c r="AG53" s="64" t="str">
        <f aca="false">IF(OR(AG$4="",$C53="",$D53=""),"",IF(AND($C53&lt;EDATE(AG$4,1),$D53&gt;=AG$4),1,""))</f>
        <v/>
      </c>
      <c r="AH53" s="64" t="str">
        <f aca="false">IF(OR(AH$4="",$C53="",$D53=""),"",IF(AND($C53&lt;EDATE(AH$4,1),$D53&gt;=AH$4),1,""))</f>
        <v/>
      </c>
      <c r="AI53" s="64" t="str">
        <f aca="false">IF(OR(AI$4="",$C53="",$D53=""),"",IF(AND($C53&lt;EDATE(AI$4,1),$D53&gt;=AI$4),1,""))</f>
        <v/>
      </c>
      <c r="AJ53" s="64" t="str">
        <f aca="false">IF(OR(AJ$4="",$C53="",$D53=""),"",IF(AND($C53&lt;EDATE(AJ$4,1),$D53&gt;=AJ$4),1,""))</f>
        <v/>
      </c>
      <c r="AK53" s="64" t="str">
        <f aca="false">IF(OR(AK$4="",$C53="",$D53=""),"",IF(AND($C53&lt;EDATE(AK$4,1),$D53&gt;=AK$4),1,""))</f>
        <v/>
      </c>
      <c r="AL53" s="64" t="str">
        <f aca="false">IF(OR(AL$4="",$C53="",$D53=""),"",IF(AND($C53&lt;EDATE(AL$4,1),$D53&gt;=AL$4),1,""))</f>
        <v/>
      </c>
      <c r="AM53" s="64" t="str">
        <f aca="false">IF(OR(AM$4="",$C53="",$D53=""),"",IF(AND($C53&lt;EDATE(AM$4,1),$D53&gt;=AM$4),1,""))</f>
        <v/>
      </c>
      <c r="AN53" s="64" t="str">
        <f aca="false">IF(OR(AN$4="",$C53="",$D53=""),"",IF(AND($C53&lt;EDATE(AN$4,1),$D53&gt;=AN$4),1,""))</f>
        <v/>
      </c>
      <c r="AO53" s="64" t="str">
        <f aca="false">IF(OR(AO$4="",$C53="",$D53=""),"",IF(AND($C53&lt;EDATE(AO$4,1),$D53&gt;=AO$4),1,""))</f>
        <v/>
      </c>
      <c r="AP53" s="64" t="str">
        <f aca="false">IF(OR(AP$4="",$C53="",$D53=""),"",IF(AND($C53&lt;EDATE(AP$4,1),$D53&gt;=AP$4),1,""))</f>
        <v/>
      </c>
      <c r="AQ53" s="64" t="str">
        <f aca="false">IF(OR(AQ$4="",$C53="",$D53=""),"",IF(AND($C53&lt;EDATE(AQ$4,1),$D53&gt;=AQ$4),1,""))</f>
        <v/>
      </c>
      <c r="AR53" s="64" t="str">
        <f aca="false">IF(OR(AR$4="",$C53="",$D53=""),"",IF(AND($C53&lt;EDATE(AR$4,1),$D53&gt;=AR$4),1,""))</f>
        <v/>
      </c>
      <c r="AS53" s="64" t="str">
        <f aca="false">IF(OR(AS$4="",$C53="",$D53=""),"",IF(AND($C53&lt;EDATE(AS$4,1),$D53&gt;=AS$4),1,""))</f>
        <v/>
      </c>
      <c r="AT53" s="64" t="str">
        <f aca="false">IF(OR(AT$4="",$C53="",$D53=""),"",IF(AND($C53&lt;EDATE(AT$4,1),$D53&gt;=AT$4),1,""))</f>
        <v/>
      </c>
      <c r="AU53" s="64" t="str">
        <f aca="false">IF(OR(AU$4="",$C53="",$D53=""),"",IF(AND($C53&lt;EDATE(AU$4,1),$D53&gt;=AU$4),1,""))</f>
        <v/>
      </c>
      <c r="AV53" s="64" t="str">
        <f aca="false">IF(OR(AV$4="",$C53="",$D53=""),"",IF(AND($C53&lt;EDATE(AV$4,1),$D53&gt;=AV$4),1,""))</f>
        <v/>
      </c>
      <c r="AW53" s="64" t="str">
        <f aca="false">IF(OR(AW$4="",$C53="",$D53=""),"",IF(AND($C53&lt;EDATE(AW$4,1),$D53&gt;=AW$4),1,""))</f>
        <v/>
      </c>
      <c r="AX53" s="64" t="str">
        <f aca="false">IF(OR(AX$4="",$C53="",$D53=""),"",IF(AND($C53&lt;EDATE(AX$4,1),$D53&gt;=AX$4),1,""))</f>
        <v/>
      </c>
      <c r="AY53" s="64" t="str">
        <f aca="false">IF(OR(AY$4="",$C53="",$D53=""),"",IF(AND($C53&lt;EDATE(AY$4,1),$D53&gt;=AY$4),1,""))</f>
        <v/>
      </c>
      <c r="AZ53" s="64" t="str">
        <f aca="false">IF(OR(AZ$4="",$C53="",$D53=""),"",IF(AND($C53&lt;EDATE(AZ$4,1),$D53&gt;=AZ$4),1,""))</f>
        <v/>
      </c>
      <c r="BA53" s="64" t="str">
        <f aca="false">IF(OR(BA$4="",$C53="",$D53=""),"",IF(AND($C53&lt;EDATE(BA$4,1),$D53&gt;=BA$4),1,""))</f>
        <v/>
      </c>
      <c r="BB53" s="64" t="str">
        <f aca="false">IF(OR(BB$4="",$C53="",$D53=""),"",IF(AND($C53&lt;EDATE(BB$4,1),$D53&gt;=BB$4),1,""))</f>
        <v/>
      </c>
      <c r="BC53" s="64" t="str">
        <f aca="false">IF(OR(BC$4="",$C53="",$D53=""),"",IF(AND($C53&lt;EDATE(BC$4,1),$D53&gt;=BC$4),1,""))</f>
        <v/>
      </c>
      <c r="BD53" s="64" t="str">
        <f aca="false">IF(OR(BD$4="",$C53="",$D53=""),"",IF(AND($C53&lt;EDATE(BD$4,1),$D53&gt;=BD$4),1,""))</f>
        <v/>
      </c>
      <c r="BE53" s="64" t="str">
        <f aca="false">IF(OR(BE$4="",$C53="",$D53=""),"",IF(AND($C53&lt;EDATE(BE$4,1),$D53&gt;=BE$4),1,""))</f>
        <v/>
      </c>
      <c r="BF53" s="64" t="str">
        <f aca="false">IF(OR(BF$4="",$C53="",$D53=""),"",IF(AND($C53&lt;EDATE(BF$4,1),$D53&gt;=BF$4),1,""))</f>
        <v/>
      </c>
      <c r="BG53" s="64" t="str">
        <f aca="false">IF(OR(BG$4="",$C53="",$D53=""),"",IF(AND($C53&lt;EDATE(BG$4,1),$D53&gt;=BG$4),1,""))</f>
        <v/>
      </c>
      <c r="BH53" s="64" t="str">
        <f aca="false">IF(OR(BH$4="",$C53="",$D53=""),"",IF(AND($C53&lt;EDATE(BH$4,1),$D53&gt;=BH$4),1,""))</f>
        <v/>
      </c>
      <c r="BI53" s="64" t="str">
        <f aca="false">IF(OR(BI$4="",$C53="",$D53=""),"",IF(AND($C53&lt;EDATE(BI$4,1),$D53&gt;=BI$4),1,""))</f>
        <v/>
      </c>
      <c r="BJ53" s="64" t="str">
        <f aca="false">IF(OR(BJ$4="",$C53="",$D53=""),"",IF(AND($C53&lt;EDATE(BJ$4,1),$D53&gt;=BJ$4),1,""))</f>
        <v/>
      </c>
      <c r="BK53" s="64" t="str">
        <f aca="false">IF(OR(BK$4="",$C53="",$D53=""),"",IF(AND($C53&lt;EDATE(BK$4,1),$D53&gt;=BK$4),1,""))</f>
        <v/>
      </c>
      <c r="BL53" s="64" t="str">
        <f aca="false">IF(OR(BL$4="",$C53="",$D53=""),"",IF(AND($C53&lt;EDATE(BL$4,1),$D53&gt;=BL$4),1,""))</f>
        <v/>
      </c>
      <c r="BM53" s="64" t="str">
        <f aca="false">IF(OR(BM$4="",$C53="",$D53=""),"",IF(AND($C53&lt;EDATE(BM$4,1),$D53&gt;=BM$4),1,""))</f>
        <v/>
      </c>
      <c r="BN53" s="64" t="str">
        <f aca="false">IF(OR(BN$4="",$C53="",$D53=""),"",IF(AND($C53&lt;EDATE(BN$4,1),$D53&gt;=BN$4),1,""))</f>
        <v/>
      </c>
      <c r="BO53" s="64" t="str">
        <f aca="false">IF(OR(BO$4="",$C53="",$D53=""),"",IF(AND($C53&lt;EDATE(BO$4,1),$D53&gt;=BO$4),1,""))</f>
        <v/>
      </c>
      <c r="BP53" s="64" t="str">
        <f aca="false">IF(OR(BP$4="",$C53="",$D53=""),"",IF(AND($C53&lt;EDATE(BP$4,1),$D53&gt;=BP$4),1,""))</f>
        <v/>
      </c>
      <c r="BQ53" s="64" t="str">
        <f aca="false">IF(OR(BQ$4="",$C53="",$D53=""),"",IF(AND($C53&lt;EDATE(BQ$4,1),$D53&gt;=BQ$4),1,""))</f>
        <v/>
      </c>
      <c r="BR53" s="64" t="str">
        <f aca="false">IF(OR(BR$4="",$C53="",$D53=""),"",IF(AND($C53&lt;EDATE(BR$4,1),$D53&gt;=BR$4),1,""))</f>
        <v/>
      </c>
      <c r="BS53" s="64" t="str">
        <f aca="false">IF(OR(BS$4="",$C53="",$D53=""),"",IF(AND($C53&lt;EDATE(BS$4,1),$D53&gt;=BS$4),1,""))</f>
        <v/>
      </c>
      <c r="BT53" s="64" t="str">
        <f aca="false">IF(OR(BT$4="",$C53="",$D53=""),"",IF(AND($C53&lt;EDATE(BT$4,1),$D53&gt;=BT$4),1,""))</f>
        <v/>
      </c>
      <c r="BU53" s="64" t="str">
        <f aca="false">IF(OR(BU$4="",$C53="",$D53=""),"",IF(AND($C53&lt;EDATE(BU$4,1),$D53&gt;=BU$4),1,""))</f>
        <v/>
      </c>
      <c r="BV53" s="64" t="str">
        <f aca="false">IF(OR(BV$4="",$C53="",$D53=""),"",IF(AND($C53&lt;EDATE(BV$4,1),$D53&gt;=BV$4),1,""))</f>
        <v/>
      </c>
      <c r="BW53" s="64" t="str">
        <f aca="false">IF(OR(BW$4="",$C53="",$D53=""),"",IF(AND($C53&lt;EDATE(BW$4,1),$D53&gt;=BW$4),1,""))</f>
        <v/>
      </c>
      <c r="BX53" s="64" t="str">
        <f aca="false">IF(OR(BX$4="",$C53="",$D53=""),"",IF(AND($C53&lt;EDATE(BX$4,1),$D53&gt;=BX$4),1,""))</f>
        <v/>
      </c>
      <c r="BY53" s="64" t="str">
        <f aca="false">IF(OR(BY$4="",$C53="",$D53=""),"",IF(AND($C53&lt;EDATE(BY$4,1),$D53&gt;=BY$4),1,""))</f>
        <v/>
      </c>
    </row>
    <row r="54" customFormat="false" ht="15" hidden="false" customHeight="false" outlineLevel="0" collapsed="false">
      <c r="A54" s="53" t="str">
        <f aca="false">IF(BOE!$A23="","",BOE!$A23)</f>
        <v>209</v>
      </c>
      <c r="B54" s="53" t="str">
        <f aca="false">IF(BOE!$A23="","",BOE!$C23)</f>
        <v>System-of-Systems Hazard Analysis</v>
      </c>
      <c r="C54" s="54" t="str">
        <f aca="false">IF(OR(BOE!$A23="",BOE!$E23&lt;&gt;"Y"),"",BOE!$O23)</f>
        <v/>
      </c>
      <c r="D54" s="54" t="str">
        <f aca="false">IF(OR(BOE!$A23="",BOE!$E23&lt;&gt;"Y"),"",BOE!$P23)</f>
        <v/>
      </c>
      <c r="E54" s="55" t="str">
        <f aca="false">IF(OR(BOE!$A23="",BOE!$E23&lt;&gt;"Y"),"",IF(Inputs!$B$7="P90",BOE!$T23,BOE!$R23))</f>
        <v/>
      </c>
      <c r="F54" s="64" t="str">
        <f aca="false">IF(OR(F$4="",$C54="",$D54=""),"",IF(AND($C54&lt;EDATE(F$4,1),$D54&gt;=F$4),1,""))</f>
        <v/>
      </c>
      <c r="G54" s="64" t="str">
        <f aca="false">IF(OR(G$4="",$C54="",$D54=""),"",IF(AND($C54&lt;EDATE(G$4,1),$D54&gt;=G$4),1,""))</f>
        <v/>
      </c>
      <c r="H54" s="64" t="str">
        <f aca="false">IF(OR(H$4="",$C54="",$D54=""),"",IF(AND($C54&lt;EDATE(H$4,1),$D54&gt;=H$4),1,""))</f>
        <v/>
      </c>
      <c r="I54" s="64" t="str">
        <f aca="false">IF(OR(I$4="",$C54="",$D54=""),"",IF(AND($C54&lt;EDATE(I$4,1),$D54&gt;=I$4),1,""))</f>
        <v/>
      </c>
      <c r="J54" s="64" t="str">
        <f aca="false">IF(OR(J$4="",$C54="",$D54=""),"",IF(AND($C54&lt;EDATE(J$4,1),$D54&gt;=J$4),1,""))</f>
        <v/>
      </c>
      <c r="K54" s="64" t="str">
        <f aca="false">IF(OR(K$4="",$C54="",$D54=""),"",IF(AND($C54&lt;EDATE(K$4,1),$D54&gt;=K$4),1,""))</f>
        <v/>
      </c>
      <c r="L54" s="64" t="str">
        <f aca="false">IF(OR(L$4="",$C54="",$D54=""),"",IF(AND($C54&lt;EDATE(L$4,1),$D54&gt;=L$4),1,""))</f>
        <v/>
      </c>
      <c r="M54" s="64" t="str">
        <f aca="false">IF(OR(M$4="",$C54="",$D54=""),"",IF(AND($C54&lt;EDATE(M$4,1),$D54&gt;=M$4),1,""))</f>
        <v/>
      </c>
      <c r="N54" s="64" t="str">
        <f aca="false">IF(OR(N$4="",$C54="",$D54=""),"",IF(AND($C54&lt;EDATE(N$4,1),$D54&gt;=N$4),1,""))</f>
        <v/>
      </c>
      <c r="O54" s="64" t="str">
        <f aca="false">IF(OR(O$4="",$C54="",$D54=""),"",IF(AND($C54&lt;EDATE(O$4,1),$D54&gt;=O$4),1,""))</f>
        <v/>
      </c>
      <c r="P54" s="64" t="str">
        <f aca="false">IF(OR(P$4="",$C54="",$D54=""),"",IF(AND($C54&lt;EDATE(P$4,1),$D54&gt;=P$4),1,""))</f>
        <v/>
      </c>
      <c r="Q54" s="64" t="str">
        <f aca="false">IF(OR(Q$4="",$C54="",$D54=""),"",IF(AND($C54&lt;EDATE(Q$4,1),$D54&gt;=Q$4),1,""))</f>
        <v/>
      </c>
      <c r="R54" s="64" t="str">
        <f aca="false">IF(OR(R$4="",$C54="",$D54=""),"",IF(AND($C54&lt;EDATE(R$4,1),$D54&gt;=R$4),1,""))</f>
        <v/>
      </c>
      <c r="S54" s="64" t="str">
        <f aca="false">IF(OR(S$4="",$C54="",$D54=""),"",IF(AND($C54&lt;EDATE(S$4,1),$D54&gt;=S$4),1,""))</f>
        <v/>
      </c>
      <c r="T54" s="64" t="str">
        <f aca="false">IF(OR(T$4="",$C54="",$D54=""),"",IF(AND($C54&lt;EDATE(T$4,1),$D54&gt;=T$4),1,""))</f>
        <v/>
      </c>
      <c r="U54" s="64" t="str">
        <f aca="false">IF(OR(U$4="",$C54="",$D54=""),"",IF(AND($C54&lt;EDATE(U$4,1),$D54&gt;=U$4),1,""))</f>
        <v/>
      </c>
      <c r="V54" s="64" t="str">
        <f aca="false">IF(OR(V$4="",$C54="",$D54=""),"",IF(AND($C54&lt;EDATE(V$4,1),$D54&gt;=V$4),1,""))</f>
        <v/>
      </c>
      <c r="W54" s="64" t="str">
        <f aca="false">IF(OR(W$4="",$C54="",$D54=""),"",IF(AND($C54&lt;EDATE(W$4,1),$D54&gt;=W$4),1,""))</f>
        <v/>
      </c>
      <c r="X54" s="64" t="str">
        <f aca="false">IF(OR(X$4="",$C54="",$D54=""),"",IF(AND($C54&lt;EDATE(X$4,1),$D54&gt;=X$4),1,""))</f>
        <v/>
      </c>
      <c r="Y54" s="64" t="str">
        <f aca="false">IF(OR(Y$4="",$C54="",$D54=""),"",IF(AND($C54&lt;EDATE(Y$4,1),$D54&gt;=Y$4),1,""))</f>
        <v/>
      </c>
      <c r="Z54" s="64" t="str">
        <f aca="false">IF(OR(Z$4="",$C54="",$D54=""),"",IF(AND($C54&lt;EDATE(Z$4,1),$D54&gt;=Z$4),1,""))</f>
        <v/>
      </c>
      <c r="AA54" s="64" t="str">
        <f aca="false">IF(OR(AA$4="",$C54="",$D54=""),"",IF(AND($C54&lt;EDATE(AA$4,1),$D54&gt;=AA$4),1,""))</f>
        <v/>
      </c>
      <c r="AB54" s="64" t="str">
        <f aca="false">IF(OR(AB$4="",$C54="",$D54=""),"",IF(AND($C54&lt;EDATE(AB$4,1),$D54&gt;=AB$4),1,""))</f>
        <v/>
      </c>
      <c r="AC54" s="64" t="str">
        <f aca="false">IF(OR(AC$4="",$C54="",$D54=""),"",IF(AND($C54&lt;EDATE(AC$4,1),$D54&gt;=AC$4),1,""))</f>
        <v/>
      </c>
      <c r="AD54" s="64" t="str">
        <f aca="false">IF(OR(AD$4="",$C54="",$D54=""),"",IF(AND($C54&lt;EDATE(AD$4,1),$D54&gt;=AD$4),1,""))</f>
        <v/>
      </c>
      <c r="AE54" s="64" t="str">
        <f aca="false">IF(OR(AE$4="",$C54="",$D54=""),"",IF(AND($C54&lt;EDATE(AE$4,1),$D54&gt;=AE$4),1,""))</f>
        <v/>
      </c>
      <c r="AF54" s="64" t="str">
        <f aca="false">IF(OR(AF$4="",$C54="",$D54=""),"",IF(AND($C54&lt;EDATE(AF$4,1),$D54&gt;=AF$4),1,""))</f>
        <v/>
      </c>
      <c r="AG54" s="64" t="str">
        <f aca="false">IF(OR(AG$4="",$C54="",$D54=""),"",IF(AND($C54&lt;EDATE(AG$4,1),$D54&gt;=AG$4),1,""))</f>
        <v/>
      </c>
      <c r="AH54" s="64" t="str">
        <f aca="false">IF(OR(AH$4="",$C54="",$D54=""),"",IF(AND($C54&lt;EDATE(AH$4,1),$D54&gt;=AH$4),1,""))</f>
        <v/>
      </c>
      <c r="AI54" s="64" t="str">
        <f aca="false">IF(OR(AI$4="",$C54="",$D54=""),"",IF(AND($C54&lt;EDATE(AI$4,1),$D54&gt;=AI$4),1,""))</f>
        <v/>
      </c>
      <c r="AJ54" s="64" t="str">
        <f aca="false">IF(OR(AJ$4="",$C54="",$D54=""),"",IF(AND($C54&lt;EDATE(AJ$4,1),$D54&gt;=AJ$4),1,""))</f>
        <v/>
      </c>
      <c r="AK54" s="64" t="str">
        <f aca="false">IF(OR(AK$4="",$C54="",$D54=""),"",IF(AND($C54&lt;EDATE(AK$4,1),$D54&gt;=AK$4),1,""))</f>
        <v/>
      </c>
      <c r="AL54" s="64" t="str">
        <f aca="false">IF(OR(AL$4="",$C54="",$D54=""),"",IF(AND($C54&lt;EDATE(AL$4,1),$D54&gt;=AL$4),1,""))</f>
        <v/>
      </c>
      <c r="AM54" s="64" t="str">
        <f aca="false">IF(OR(AM$4="",$C54="",$D54=""),"",IF(AND($C54&lt;EDATE(AM$4,1),$D54&gt;=AM$4),1,""))</f>
        <v/>
      </c>
      <c r="AN54" s="64" t="str">
        <f aca="false">IF(OR(AN$4="",$C54="",$D54=""),"",IF(AND($C54&lt;EDATE(AN$4,1),$D54&gt;=AN$4),1,""))</f>
        <v/>
      </c>
      <c r="AO54" s="64" t="str">
        <f aca="false">IF(OR(AO$4="",$C54="",$D54=""),"",IF(AND($C54&lt;EDATE(AO$4,1),$D54&gt;=AO$4),1,""))</f>
        <v/>
      </c>
      <c r="AP54" s="64" t="str">
        <f aca="false">IF(OR(AP$4="",$C54="",$D54=""),"",IF(AND($C54&lt;EDATE(AP$4,1),$D54&gt;=AP$4),1,""))</f>
        <v/>
      </c>
      <c r="AQ54" s="64" t="str">
        <f aca="false">IF(OR(AQ$4="",$C54="",$D54=""),"",IF(AND($C54&lt;EDATE(AQ$4,1),$D54&gt;=AQ$4),1,""))</f>
        <v/>
      </c>
      <c r="AR54" s="64" t="str">
        <f aca="false">IF(OR(AR$4="",$C54="",$D54=""),"",IF(AND($C54&lt;EDATE(AR$4,1),$D54&gt;=AR$4),1,""))</f>
        <v/>
      </c>
      <c r="AS54" s="64" t="str">
        <f aca="false">IF(OR(AS$4="",$C54="",$D54=""),"",IF(AND($C54&lt;EDATE(AS$4,1),$D54&gt;=AS$4),1,""))</f>
        <v/>
      </c>
      <c r="AT54" s="64" t="str">
        <f aca="false">IF(OR(AT$4="",$C54="",$D54=""),"",IF(AND($C54&lt;EDATE(AT$4,1),$D54&gt;=AT$4),1,""))</f>
        <v/>
      </c>
      <c r="AU54" s="64" t="str">
        <f aca="false">IF(OR(AU$4="",$C54="",$D54=""),"",IF(AND($C54&lt;EDATE(AU$4,1),$D54&gt;=AU$4),1,""))</f>
        <v/>
      </c>
      <c r="AV54" s="64" t="str">
        <f aca="false">IF(OR(AV$4="",$C54="",$D54=""),"",IF(AND($C54&lt;EDATE(AV$4,1),$D54&gt;=AV$4),1,""))</f>
        <v/>
      </c>
      <c r="AW54" s="64" t="str">
        <f aca="false">IF(OR(AW$4="",$C54="",$D54=""),"",IF(AND($C54&lt;EDATE(AW$4,1),$D54&gt;=AW$4),1,""))</f>
        <v/>
      </c>
      <c r="AX54" s="64" t="str">
        <f aca="false">IF(OR(AX$4="",$C54="",$D54=""),"",IF(AND($C54&lt;EDATE(AX$4,1),$D54&gt;=AX$4),1,""))</f>
        <v/>
      </c>
      <c r="AY54" s="64" t="str">
        <f aca="false">IF(OR(AY$4="",$C54="",$D54=""),"",IF(AND($C54&lt;EDATE(AY$4,1),$D54&gt;=AY$4),1,""))</f>
        <v/>
      </c>
      <c r="AZ54" s="64" t="str">
        <f aca="false">IF(OR(AZ$4="",$C54="",$D54=""),"",IF(AND($C54&lt;EDATE(AZ$4,1),$D54&gt;=AZ$4),1,""))</f>
        <v/>
      </c>
      <c r="BA54" s="64" t="str">
        <f aca="false">IF(OR(BA$4="",$C54="",$D54=""),"",IF(AND($C54&lt;EDATE(BA$4,1),$D54&gt;=BA$4),1,""))</f>
        <v/>
      </c>
      <c r="BB54" s="64" t="str">
        <f aca="false">IF(OR(BB$4="",$C54="",$D54=""),"",IF(AND($C54&lt;EDATE(BB$4,1),$D54&gt;=BB$4),1,""))</f>
        <v/>
      </c>
      <c r="BC54" s="64" t="str">
        <f aca="false">IF(OR(BC$4="",$C54="",$D54=""),"",IF(AND($C54&lt;EDATE(BC$4,1),$D54&gt;=BC$4),1,""))</f>
        <v/>
      </c>
      <c r="BD54" s="64" t="str">
        <f aca="false">IF(OR(BD$4="",$C54="",$D54=""),"",IF(AND($C54&lt;EDATE(BD$4,1),$D54&gt;=BD$4),1,""))</f>
        <v/>
      </c>
      <c r="BE54" s="64" t="str">
        <f aca="false">IF(OR(BE$4="",$C54="",$D54=""),"",IF(AND($C54&lt;EDATE(BE$4,1),$D54&gt;=BE$4),1,""))</f>
        <v/>
      </c>
      <c r="BF54" s="64" t="str">
        <f aca="false">IF(OR(BF$4="",$C54="",$D54=""),"",IF(AND($C54&lt;EDATE(BF$4,1),$D54&gt;=BF$4),1,""))</f>
        <v/>
      </c>
      <c r="BG54" s="64" t="str">
        <f aca="false">IF(OR(BG$4="",$C54="",$D54=""),"",IF(AND($C54&lt;EDATE(BG$4,1),$D54&gt;=BG$4),1,""))</f>
        <v/>
      </c>
      <c r="BH54" s="64" t="str">
        <f aca="false">IF(OR(BH$4="",$C54="",$D54=""),"",IF(AND($C54&lt;EDATE(BH$4,1),$D54&gt;=BH$4),1,""))</f>
        <v/>
      </c>
      <c r="BI54" s="64" t="str">
        <f aca="false">IF(OR(BI$4="",$C54="",$D54=""),"",IF(AND($C54&lt;EDATE(BI$4,1),$D54&gt;=BI$4),1,""))</f>
        <v/>
      </c>
      <c r="BJ54" s="64" t="str">
        <f aca="false">IF(OR(BJ$4="",$C54="",$D54=""),"",IF(AND($C54&lt;EDATE(BJ$4,1),$D54&gt;=BJ$4),1,""))</f>
        <v/>
      </c>
      <c r="BK54" s="64" t="str">
        <f aca="false">IF(OR(BK$4="",$C54="",$D54=""),"",IF(AND($C54&lt;EDATE(BK$4,1),$D54&gt;=BK$4),1,""))</f>
        <v/>
      </c>
      <c r="BL54" s="64" t="str">
        <f aca="false">IF(OR(BL$4="",$C54="",$D54=""),"",IF(AND($C54&lt;EDATE(BL$4,1),$D54&gt;=BL$4),1,""))</f>
        <v/>
      </c>
      <c r="BM54" s="64" t="str">
        <f aca="false">IF(OR(BM$4="",$C54="",$D54=""),"",IF(AND($C54&lt;EDATE(BM$4,1),$D54&gt;=BM$4),1,""))</f>
        <v/>
      </c>
      <c r="BN54" s="64" t="str">
        <f aca="false">IF(OR(BN$4="",$C54="",$D54=""),"",IF(AND($C54&lt;EDATE(BN$4,1),$D54&gt;=BN$4),1,""))</f>
        <v/>
      </c>
      <c r="BO54" s="64" t="str">
        <f aca="false">IF(OR(BO$4="",$C54="",$D54=""),"",IF(AND($C54&lt;EDATE(BO$4,1),$D54&gt;=BO$4),1,""))</f>
        <v/>
      </c>
      <c r="BP54" s="64" t="str">
        <f aca="false">IF(OR(BP$4="",$C54="",$D54=""),"",IF(AND($C54&lt;EDATE(BP$4,1),$D54&gt;=BP$4),1,""))</f>
        <v/>
      </c>
      <c r="BQ54" s="64" t="str">
        <f aca="false">IF(OR(BQ$4="",$C54="",$D54=""),"",IF(AND($C54&lt;EDATE(BQ$4,1),$D54&gt;=BQ$4),1,""))</f>
        <v/>
      </c>
      <c r="BR54" s="64" t="str">
        <f aca="false">IF(OR(BR$4="",$C54="",$D54=""),"",IF(AND($C54&lt;EDATE(BR$4,1),$D54&gt;=BR$4),1,""))</f>
        <v/>
      </c>
      <c r="BS54" s="64" t="str">
        <f aca="false">IF(OR(BS$4="",$C54="",$D54=""),"",IF(AND($C54&lt;EDATE(BS$4,1),$D54&gt;=BS$4),1,""))</f>
        <v/>
      </c>
      <c r="BT54" s="64" t="str">
        <f aca="false">IF(OR(BT$4="",$C54="",$D54=""),"",IF(AND($C54&lt;EDATE(BT$4,1),$D54&gt;=BT$4),1,""))</f>
        <v/>
      </c>
      <c r="BU54" s="64" t="str">
        <f aca="false">IF(OR(BU$4="",$C54="",$D54=""),"",IF(AND($C54&lt;EDATE(BU$4,1),$D54&gt;=BU$4),1,""))</f>
        <v/>
      </c>
      <c r="BV54" s="64" t="str">
        <f aca="false">IF(OR(BV$4="",$C54="",$D54=""),"",IF(AND($C54&lt;EDATE(BV$4,1),$D54&gt;=BV$4),1,""))</f>
        <v/>
      </c>
      <c r="BW54" s="64" t="str">
        <f aca="false">IF(OR(BW$4="",$C54="",$D54=""),"",IF(AND($C54&lt;EDATE(BW$4,1),$D54&gt;=BW$4),1,""))</f>
        <v/>
      </c>
      <c r="BX54" s="64" t="str">
        <f aca="false">IF(OR(BX$4="",$C54="",$D54=""),"",IF(AND($C54&lt;EDATE(BX$4,1),$D54&gt;=BX$4),1,""))</f>
        <v/>
      </c>
      <c r="BY54" s="64" t="str">
        <f aca="false">IF(OR(BY$4="",$C54="",$D54=""),"",IF(AND($C54&lt;EDATE(BY$4,1),$D54&gt;=BY$4),1,""))</f>
        <v/>
      </c>
    </row>
    <row r="55" customFormat="false" ht="15" hidden="false" customHeight="false" outlineLevel="0" collapsed="false">
      <c r="A55" s="53" t="str">
        <f aca="false">IF(BOE!$A24="","",BOE!$A24)</f>
        <v>210</v>
      </c>
      <c r="B55" s="53" t="str">
        <f aca="false">IF(BOE!$A24="","",BOE!$C24)</f>
        <v>Environmental Hazard Analysis (EHA)</v>
      </c>
      <c r="C55" s="54" t="n">
        <f aca="false">IF(OR(BOE!$A24="",BOE!$E24&lt;&gt;"Y"),"",BOE!$O24)</f>
        <v>46695</v>
      </c>
      <c r="D55" s="54" t="n">
        <f aca="false">IF(OR(BOE!$A24="",BOE!$E24&lt;&gt;"Y"),"",BOE!$P24)</f>
        <v>46877</v>
      </c>
      <c r="E55" s="55" t="n">
        <f aca="false">IF(OR(BOE!$A24="",BOE!$E24&lt;&gt;"Y"),"",IF(Inputs!$B$7="P90",BOE!$T24,BOE!$R24))</f>
        <v>280</v>
      </c>
      <c r="F55" s="64" t="str">
        <f aca="false">IF(OR(F$4="",$C55="",$D55=""),"",IF(AND($C55&lt;EDATE(F$4,1),$D55&gt;=F$4),1,""))</f>
        <v/>
      </c>
      <c r="G55" s="64" t="str">
        <f aca="false">IF(OR(G$4="",$C55="",$D55=""),"",IF(AND($C55&lt;EDATE(G$4,1),$D55&gt;=G$4),1,""))</f>
        <v/>
      </c>
      <c r="H55" s="64" t="str">
        <f aca="false">IF(OR(H$4="",$C55="",$D55=""),"",IF(AND($C55&lt;EDATE(H$4,1),$D55&gt;=H$4),1,""))</f>
        <v/>
      </c>
      <c r="I55" s="64" t="str">
        <f aca="false">IF(OR(I$4="",$C55="",$D55=""),"",IF(AND($C55&lt;EDATE(I$4,1),$D55&gt;=I$4),1,""))</f>
        <v/>
      </c>
      <c r="J55" s="64" t="str">
        <f aca="false">IF(OR(J$4="",$C55="",$D55=""),"",IF(AND($C55&lt;EDATE(J$4,1),$D55&gt;=J$4),1,""))</f>
        <v/>
      </c>
      <c r="K55" s="64" t="str">
        <f aca="false">IF(OR(K$4="",$C55="",$D55=""),"",IF(AND($C55&lt;EDATE(K$4,1),$D55&gt;=K$4),1,""))</f>
        <v/>
      </c>
      <c r="L55" s="64" t="str">
        <f aca="false">IF(OR(L$4="",$C55="",$D55=""),"",IF(AND($C55&lt;EDATE(L$4,1),$D55&gt;=L$4),1,""))</f>
        <v/>
      </c>
      <c r="M55" s="64" t="str">
        <f aca="false">IF(OR(M$4="",$C55="",$D55=""),"",IF(AND($C55&lt;EDATE(M$4,1),$D55&gt;=M$4),1,""))</f>
        <v/>
      </c>
      <c r="N55" s="64" t="str">
        <f aca="false">IF(OR(N$4="",$C55="",$D55=""),"",IF(AND($C55&lt;EDATE(N$4,1),$D55&gt;=N$4),1,""))</f>
        <v/>
      </c>
      <c r="O55" s="64" t="str">
        <f aca="false">IF(OR(O$4="",$C55="",$D55=""),"",IF(AND($C55&lt;EDATE(O$4,1),$D55&gt;=O$4),1,""))</f>
        <v/>
      </c>
      <c r="P55" s="64" t="n">
        <f aca="false">IF(OR(P$4="",$C55="",$D55=""),"",IF(AND($C55&lt;EDATE(P$4,1),$D55&gt;=P$4),1,""))</f>
        <v>1</v>
      </c>
      <c r="Q55" s="64" t="n">
        <f aca="false">IF(OR(Q$4="",$C55="",$D55=""),"",IF(AND($C55&lt;EDATE(Q$4,1),$D55&gt;=Q$4),1,""))</f>
        <v>1</v>
      </c>
      <c r="R55" s="64" t="n">
        <f aca="false">IF(OR(R$4="",$C55="",$D55=""),"",IF(AND($C55&lt;EDATE(R$4,1),$D55&gt;=R$4),1,""))</f>
        <v>1</v>
      </c>
      <c r="S55" s="64" t="n">
        <f aca="false">IF(OR(S$4="",$C55="",$D55=""),"",IF(AND($C55&lt;EDATE(S$4,1),$D55&gt;=S$4),1,""))</f>
        <v>1</v>
      </c>
      <c r="T55" s="64" t="n">
        <f aca="false">IF(OR(T$4="",$C55="",$D55=""),"",IF(AND($C55&lt;EDATE(T$4,1),$D55&gt;=T$4),1,""))</f>
        <v>1</v>
      </c>
      <c r="U55" s="64" t="n">
        <f aca="false">IF(OR(U$4="",$C55="",$D55=""),"",IF(AND($C55&lt;EDATE(U$4,1),$D55&gt;=U$4),1,""))</f>
        <v>1</v>
      </c>
      <c r="V55" s="64" t="n">
        <f aca="false">IF(OR(V$4="",$C55="",$D55=""),"",IF(AND($C55&lt;EDATE(V$4,1),$D55&gt;=V$4),1,""))</f>
        <v>1</v>
      </c>
      <c r="W55" s="64" t="str">
        <f aca="false">IF(OR(W$4="",$C55="",$D55=""),"",IF(AND($C55&lt;EDATE(W$4,1),$D55&gt;=W$4),1,""))</f>
        <v/>
      </c>
      <c r="X55" s="64" t="str">
        <f aca="false">IF(OR(X$4="",$C55="",$D55=""),"",IF(AND($C55&lt;EDATE(X$4,1),$D55&gt;=X$4),1,""))</f>
        <v/>
      </c>
      <c r="Y55" s="64" t="str">
        <f aca="false">IF(OR(Y$4="",$C55="",$D55=""),"",IF(AND($C55&lt;EDATE(Y$4,1),$D55&gt;=Y$4),1,""))</f>
        <v/>
      </c>
      <c r="Z55" s="64" t="str">
        <f aca="false">IF(OR(Z$4="",$C55="",$D55=""),"",IF(AND($C55&lt;EDATE(Z$4,1),$D55&gt;=Z$4),1,""))</f>
        <v/>
      </c>
      <c r="AA55" s="64" t="str">
        <f aca="false">IF(OR(AA$4="",$C55="",$D55=""),"",IF(AND($C55&lt;EDATE(AA$4,1),$D55&gt;=AA$4),1,""))</f>
        <v/>
      </c>
      <c r="AB55" s="64" t="str">
        <f aca="false">IF(OR(AB$4="",$C55="",$D55=""),"",IF(AND($C55&lt;EDATE(AB$4,1),$D55&gt;=AB$4),1,""))</f>
        <v/>
      </c>
      <c r="AC55" s="64" t="str">
        <f aca="false">IF(OR(AC$4="",$C55="",$D55=""),"",IF(AND($C55&lt;EDATE(AC$4,1),$D55&gt;=AC$4),1,""))</f>
        <v/>
      </c>
      <c r="AD55" s="64" t="str">
        <f aca="false">IF(OR(AD$4="",$C55="",$D55=""),"",IF(AND($C55&lt;EDATE(AD$4,1),$D55&gt;=AD$4),1,""))</f>
        <v/>
      </c>
      <c r="AE55" s="64" t="str">
        <f aca="false">IF(OR(AE$4="",$C55="",$D55=""),"",IF(AND($C55&lt;EDATE(AE$4,1),$D55&gt;=AE$4),1,""))</f>
        <v/>
      </c>
      <c r="AF55" s="64" t="str">
        <f aca="false">IF(OR(AF$4="",$C55="",$D55=""),"",IF(AND($C55&lt;EDATE(AF$4,1),$D55&gt;=AF$4),1,""))</f>
        <v/>
      </c>
      <c r="AG55" s="64" t="str">
        <f aca="false">IF(OR(AG$4="",$C55="",$D55=""),"",IF(AND($C55&lt;EDATE(AG$4,1),$D55&gt;=AG$4),1,""))</f>
        <v/>
      </c>
      <c r="AH55" s="64" t="str">
        <f aca="false">IF(OR(AH$4="",$C55="",$D55=""),"",IF(AND($C55&lt;EDATE(AH$4,1),$D55&gt;=AH$4),1,""))</f>
        <v/>
      </c>
      <c r="AI55" s="64" t="str">
        <f aca="false">IF(OR(AI$4="",$C55="",$D55=""),"",IF(AND($C55&lt;EDATE(AI$4,1),$D55&gt;=AI$4),1,""))</f>
        <v/>
      </c>
      <c r="AJ55" s="64" t="str">
        <f aca="false">IF(OR(AJ$4="",$C55="",$D55=""),"",IF(AND($C55&lt;EDATE(AJ$4,1),$D55&gt;=AJ$4),1,""))</f>
        <v/>
      </c>
      <c r="AK55" s="64" t="str">
        <f aca="false">IF(OR(AK$4="",$C55="",$D55=""),"",IF(AND($C55&lt;EDATE(AK$4,1),$D55&gt;=AK$4),1,""))</f>
        <v/>
      </c>
      <c r="AL55" s="64" t="str">
        <f aca="false">IF(OR(AL$4="",$C55="",$D55=""),"",IF(AND($C55&lt;EDATE(AL$4,1),$D55&gt;=AL$4),1,""))</f>
        <v/>
      </c>
      <c r="AM55" s="64" t="str">
        <f aca="false">IF(OR(AM$4="",$C55="",$D55=""),"",IF(AND($C55&lt;EDATE(AM$4,1),$D55&gt;=AM$4),1,""))</f>
        <v/>
      </c>
      <c r="AN55" s="64" t="str">
        <f aca="false">IF(OR(AN$4="",$C55="",$D55=""),"",IF(AND($C55&lt;EDATE(AN$4,1),$D55&gt;=AN$4),1,""))</f>
        <v/>
      </c>
      <c r="AO55" s="64" t="str">
        <f aca="false">IF(OR(AO$4="",$C55="",$D55=""),"",IF(AND($C55&lt;EDATE(AO$4,1),$D55&gt;=AO$4),1,""))</f>
        <v/>
      </c>
      <c r="AP55" s="64" t="str">
        <f aca="false">IF(OR(AP$4="",$C55="",$D55=""),"",IF(AND($C55&lt;EDATE(AP$4,1),$D55&gt;=AP$4),1,""))</f>
        <v/>
      </c>
      <c r="AQ55" s="64" t="str">
        <f aca="false">IF(OR(AQ$4="",$C55="",$D55=""),"",IF(AND($C55&lt;EDATE(AQ$4,1),$D55&gt;=AQ$4),1,""))</f>
        <v/>
      </c>
      <c r="AR55" s="64" t="str">
        <f aca="false">IF(OR(AR$4="",$C55="",$D55=""),"",IF(AND($C55&lt;EDATE(AR$4,1),$D55&gt;=AR$4),1,""))</f>
        <v/>
      </c>
      <c r="AS55" s="64" t="str">
        <f aca="false">IF(OR(AS$4="",$C55="",$D55=""),"",IF(AND($C55&lt;EDATE(AS$4,1),$D55&gt;=AS$4),1,""))</f>
        <v/>
      </c>
      <c r="AT55" s="64" t="str">
        <f aca="false">IF(OR(AT$4="",$C55="",$D55=""),"",IF(AND($C55&lt;EDATE(AT$4,1),$D55&gt;=AT$4),1,""))</f>
        <v/>
      </c>
      <c r="AU55" s="64" t="str">
        <f aca="false">IF(OR(AU$4="",$C55="",$D55=""),"",IF(AND($C55&lt;EDATE(AU$4,1),$D55&gt;=AU$4),1,""))</f>
        <v/>
      </c>
      <c r="AV55" s="64" t="str">
        <f aca="false">IF(OR(AV$4="",$C55="",$D55=""),"",IF(AND($C55&lt;EDATE(AV$4,1),$D55&gt;=AV$4),1,""))</f>
        <v/>
      </c>
      <c r="AW55" s="64" t="str">
        <f aca="false">IF(OR(AW$4="",$C55="",$D55=""),"",IF(AND($C55&lt;EDATE(AW$4,1),$D55&gt;=AW$4),1,""))</f>
        <v/>
      </c>
      <c r="AX55" s="64" t="str">
        <f aca="false">IF(OR(AX$4="",$C55="",$D55=""),"",IF(AND($C55&lt;EDATE(AX$4,1),$D55&gt;=AX$4),1,""))</f>
        <v/>
      </c>
      <c r="AY55" s="64" t="str">
        <f aca="false">IF(OR(AY$4="",$C55="",$D55=""),"",IF(AND($C55&lt;EDATE(AY$4,1),$D55&gt;=AY$4),1,""))</f>
        <v/>
      </c>
      <c r="AZ55" s="64" t="str">
        <f aca="false">IF(OR(AZ$4="",$C55="",$D55=""),"",IF(AND($C55&lt;EDATE(AZ$4,1),$D55&gt;=AZ$4),1,""))</f>
        <v/>
      </c>
      <c r="BA55" s="64" t="str">
        <f aca="false">IF(OR(BA$4="",$C55="",$D55=""),"",IF(AND($C55&lt;EDATE(BA$4,1),$D55&gt;=BA$4),1,""))</f>
        <v/>
      </c>
      <c r="BB55" s="64" t="str">
        <f aca="false">IF(OR(BB$4="",$C55="",$D55=""),"",IF(AND($C55&lt;EDATE(BB$4,1),$D55&gt;=BB$4),1,""))</f>
        <v/>
      </c>
      <c r="BC55" s="64" t="str">
        <f aca="false">IF(OR(BC$4="",$C55="",$D55=""),"",IF(AND($C55&lt;EDATE(BC$4,1),$D55&gt;=BC$4),1,""))</f>
        <v/>
      </c>
      <c r="BD55" s="64" t="str">
        <f aca="false">IF(OR(BD$4="",$C55="",$D55=""),"",IF(AND($C55&lt;EDATE(BD$4,1),$D55&gt;=BD$4),1,""))</f>
        <v/>
      </c>
      <c r="BE55" s="64" t="str">
        <f aca="false">IF(OR(BE$4="",$C55="",$D55=""),"",IF(AND($C55&lt;EDATE(BE$4,1),$D55&gt;=BE$4),1,""))</f>
        <v/>
      </c>
      <c r="BF55" s="64" t="str">
        <f aca="false">IF(OR(BF$4="",$C55="",$D55=""),"",IF(AND($C55&lt;EDATE(BF$4,1),$D55&gt;=BF$4),1,""))</f>
        <v/>
      </c>
      <c r="BG55" s="64" t="str">
        <f aca="false">IF(OR(BG$4="",$C55="",$D55=""),"",IF(AND($C55&lt;EDATE(BG$4,1),$D55&gt;=BG$4),1,""))</f>
        <v/>
      </c>
      <c r="BH55" s="64" t="str">
        <f aca="false">IF(OR(BH$4="",$C55="",$D55=""),"",IF(AND($C55&lt;EDATE(BH$4,1),$D55&gt;=BH$4),1,""))</f>
        <v/>
      </c>
      <c r="BI55" s="64" t="str">
        <f aca="false">IF(OR(BI$4="",$C55="",$D55=""),"",IF(AND($C55&lt;EDATE(BI$4,1),$D55&gt;=BI$4),1,""))</f>
        <v/>
      </c>
      <c r="BJ55" s="64" t="str">
        <f aca="false">IF(OR(BJ$4="",$C55="",$D55=""),"",IF(AND($C55&lt;EDATE(BJ$4,1),$D55&gt;=BJ$4),1,""))</f>
        <v/>
      </c>
      <c r="BK55" s="64" t="str">
        <f aca="false">IF(OR(BK$4="",$C55="",$D55=""),"",IF(AND($C55&lt;EDATE(BK$4,1),$D55&gt;=BK$4),1,""))</f>
        <v/>
      </c>
      <c r="BL55" s="64" t="str">
        <f aca="false">IF(OR(BL$4="",$C55="",$D55=""),"",IF(AND($C55&lt;EDATE(BL$4,1),$D55&gt;=BL$4),1,""))</f>
        <v/>
      </c>
      <c r="BM55" s="64" t="str">
        <f aca="false">IF(OR(BM$4="",$C55="",$D55=""),"",IF(AND($C55&lt;EDATE(BM$4,1),$D55&gt;=BM$4),1,""))</f>
        <v/>
      </c>
      <c r="BN55" s="64" t="str">
        <f aca="false">IF(OR(BN$4="",$C55="",$D55=""),"",IF(AND($C55&lt;EDATE(BN$4,1),$D55&gt;=BN$4),1,""))</f>
        <v/>
      </c>
      <c r="BO55" s="64" t="str">
        <f aca="false">IF(OR(BO$4="",$C55="",$D55=""),"",IF(AND($C55&lt;EDATE(BO$4,1),$D55&gt;=BO$4),1,""))</f>
        <v/>
      </c>
      <c r="BP55" s="64" t="str">
        <f aca="false">IF(OR(BP$4="",$C55="",$D55=""),"",IF(AND($C55&lt;EDATE(BP$4,1),$D55&gt;=BP$4),1,""))</f>
        <v/>
      </c>
      <c r="BQ55" s="64" t="str">
        <f aca="false">IF(OR(BQ$4="",$C55="",$D55=""),"",IF(AND($C55&lt;EDATE(BQ$4,1),$D55&gt;=BQ$4),1,""))</f>
        <v/>
      </c>
      <c r="BR55" s="64" t="str">
        <f aca="false">IF(OR(BR$4="",$C55="",$D55=""),"",IF(AND($C55&lt;EDATE(BR$4,1),$D55&gt;=BR$4),1,""))</f>
        <v/>
      </c>
      <c r="BS55" s="64" t="str">
        <f aca="false">IF(OR(BS$4="",$C55="",$D55=""),"",IF(AND($C55&lt;EDATE(BS$4,1),$D55&gt;=BS$4),1,""))</f>
        <v/>
      </c>
      <c r="BT55" s="64" t="str">
        <f aca="false">IF(OR(BT$4="",$C55="",$D55=""),"",IF(AND($C55&lt;EDATE(BT$4,1),$D55&gt;=BT$4),1,""))</f>
        <v/>
      </c>
      <c r="BU55" s="64" t="str">
        <f aca="false">IF(OR(BU$4="",$C55="",$D55=""),"",IF(AND($C55&lt;EDATE(BU$4,1),$D55&gt;=BU$4),1,""))</f>
        <v/>
      </c>
      <c r="BV55" s="64" t="str">
        <f aca="false">IF(OR(BV$4="",$C55="",$D55=""),"",IF(AND($C55&lt;EDATE(BV$4,1),$D55&gt;=BV$4),1,""))</f>
        <v/>
      </c>
      <c r="BW55" s="64" t="str">
        <f aca="false">IF(OR(BW$4="",$C55="",$D55=""),"",IF(AND($C55&lt;EDATE(BW$4,1),$D55&gt;=BW$4),1,""))</f>
        <v/>
      </c>
      <c r="BX55" s="64" t="str">
        <f aca="false">IF(OR(BX$4="",$C55="",$D55=""),"",IF(AND($C55&lt;EDATE(BX$4,1),$D55&gt;=BX$4),1,""))</f>
        <v/>
      </c>
      <c r="BY55" s="64" t="str">
        <f aca="false">IF(OR(BY$4="",$C55="",$D55=""),"",IF(AND($C55&lt;EDATE(BY$4,1),$D55&gt;=BY$4),1,""))</f>
        <v/>
      </c>
    </row>
    <row r="56" customFormat="false" ht="15" hidden="false" customHeight="false" outlineLevel="0" collapsed="false">
      <c r="A56" s="53" t="str">
        <f aca="false">IF(BOE!$A25="","",BOE!$A25)</f>
        <v>301</v>
      </c>
      <c r="B56" s="53" t="str">
        <f aca="false">IF(BOE!$A25="","",BOE!$C25)</f>
        <v>Safety Assessment Report (SAR)  — ANCHOR</v>
      </c>
      <c r="C56" s="54" t="n">
        <f aca="false">IF(OR(BOE!$A25="",BOE!$E25&lt;&gt;"Y"),"",BOE!$O25)</f>
        <v>47122</v>
      </c>
      <c r="D56" s="54" t="n">
        <f aca="false">IF(OR(BOE!$A25="",BOE!$E25&lt;&gt;"Y"),"",BOE!$P25)</f>
        <v>47395</v>
      </c>
      <c r="E56" s="55" t="n">
        <f aca="false">IF(OR(BOE!$A25="",BOE!$E25&lt;&gt;"Y"),"",IF(Inputs!$B$7="P90",BOE!$T25,BOE!$R25))</f>
        <v>800</v>
      </c>
      <c r="F56" s="64" t="str">
        <f aca="false">IF(OR(F$4="",$C56="",$D56=""),"",IF(AND($C56&lt;EDATE(F$4,1),$D56&gt;=F$4),1,""))</f>
        <v/>
      </c>
      <c r="G56" s="64" t="str">
        <f aca="false">IF(OR(G$4="",$C56="",$D56=""),"",IF(AND($C56&lt;EDATE(G$4,1),$D56&gt;=G$4),1,""))</f>
        <v/>
      </c>
      <c r="H56" s="64" t="str">
        <f aca="false">IF(OR(H$4="",$C56="",$D56=""),"",IF(AND($C56&lt;EDATE(H$4,1),$D56&gt;=H$4),1,""))</f>
        <v/>
      </c>
      <c r="I56" s="64" t="str">
        <f aca="false">IF(OR(I$4="",$C56="",$D56=""),"",IF(AND($C56&lt;EDATE(I$4,1),$D56&gt;=I$4),1,""))</f>
        <v/>
      </c>
      <c r="J56" s="64" t="str">
        <f aca="false">IF(OR(J$4="",$C56="",$D56=""),"",IF(AND($C56&lt;EDATE(J$4,1),$D56&gt;=J$4),1,""))</f>
        <v/>
      </c>
      <c r="K56" s="64" t="str">
        <f aca="false">IF(OR(K$4="",$C56="",$D56=""),"",IF(AND($C56&lt;EDATE(K$4,1),$D56&gt;=K$4),1,""))</f>
        <v/>
      </c>
      <c r="L56" s="64" t="str">
        <f aca="false">IF(OR(L$4="",$C56="",$D56=""),"",IF(AND($C56&lt;EDATE(L$4,1),$D56&gt;=L$4),1,""))</f>
        <v/>
      </c>
      <c r="M56" s="64" t="str">
        <f aca="false">IF(OR(M$4="",$C56="",$D56=""),"",IF(AND($C56&lt;EDATE(M$4,1),$D56&gt;=M$4),1,""))</f>
        <v/>
      </c>
      <c r="N56" s="64" t="str">
        <f aca="false">IF(OR(N$4="",$C56="",$D56=""),"",IF(AND($C56&lt;EDATE(N$4,1),$D56&gt;=N$4),1,""))</f>
        <v/>
      </c>
      <c r="O56" s="64" t="str">
        <f aca="false">IF(OR(O$4="",$C56="",$D56=""),"",IF(AND($C56&lt;EDATE(O$4,1),$D56&gt;=O$4),1,""))</f>
        <v/>
      </c>
      <c r="P56" s="64" t="str">
        <f aca="false">IF(OR(P$4="",$C56="",$D56=""),"",IF(AND($C56&lt;EDATE(P$4,1),$D56&gt;=P$4),1,""))</f>
        <v/>
      </c>
      <c r="Q56" s="64" t="str">
        <f aca="false">IF(OR(Q$4="",$C56="",$D56=""),"",IF(AND($C56&lt;EDATE(Q$4,1),$D56&gt;=Q$4),1,""))</f>
        <v/>
      </c>
      <c r="R56" s="64" t="str">
        <f aca="false">IF(OR(R$4="",$C56="",$D56=""),"",IF(AND($C56&lt;EDATE(R$4,1),$D56&gt;=R$4),1,""))</f>
        <v/>
      </c>
      <c r="S56" s="64" t="str">
        <f aca="false">IF(OR(S$4="",$C56="",$D56=""),"",IF(AND($C56&lt;EDATE(S$4,1),$D56&gt;=S$4),1,""))</f>
        <v/>
      </c>
      <c r="T56" s="64" t="str">
        <f aca="false">IF(OR(T$4="",$C56="",$D56=""),"",IF(AND($C56&lt;EDATE(T$4,1),$D56&gt;=T$4),1,""))</f>
        <v/>
      </c>
      <c r="U56" s="64" t="str">
        <f aca="false">IF(OR(U$4="",$C56="",$D56=""),"",IF(AND($C56&lt;EDATE(U$4,1),$D56&gt;=U$4),1,""))</f>
        <v/>
      </c>
      <c r="V56" s="64" t="str">
        <f aca="false">IF(OR(V$4="",$C56="",$D56=""),"",IF(AND($C56&lt;EDATE(V$4,1),$D56&gt;=V$4),1,""))</f>
        <v/>
      </c>
      <c r="W56" s="64" t="str">
        <f aca="false">IF(OR(W$4="",$C56="",$D56=""),"",IF(AND($C56&lt;EDATE(W$4,1),$D56&gt;=W$4),1,""))</f>
        <v/>
      </c>
      <c r="X56" s="64" t="str">
        <f aca="false">IF(OR(X$4="",$C56="",$D56=""),"",IF(AND($C56&lt;EDATE(X$4,1),$D56&gt;=X$4),1,""))</f>
        <v/>
      </c>
      <c r="Y56" s="64" t="str">
        <f aca="false">IF(OR(Y$4="",$C56="",$D56=""),"",IF(AND($C56&lt;EDATE(Y$4,1),$D56&gt;=Y$4),1,""))</f>
        <v/>
      </c>
      <c r="Z56" s="64" t="str">
        <f aca="false">IF(OR(Z$4="",$C56="",$D56=""),"",IF(AND($C56&lt;EDATE(Z$4,1),$D56&gt;=Z$4),1,""))</f>
        <v/>
      </c>
      <c r="AA56" s="64" t="str">
        <f aca="false">IF(OR(AA$4="",$C56="",$D56=""),"",IF(AND($C56&lt;EDATE(AA$4,1),$D56&gt;=AA$4),1,""))</f>
        <v/>
      </c>
      <c r="AB56" s="64" t="str">
        <f aca="false">IF(OR(AB$4="",$C56="",$D56=""),"",IF(AND($C56&lt;EDATE(AB$4,1),$D56&gt;=AB$4),1,""))</f>
        <v/>
      </c>
      <c r="AC56" s="64" t="str">
        <f aca="false">IF(OR(AC$4="",$C56="",$D56=""),"",IF(AND($C56&lt;EDATE(AC$4,1),$D56&gt;=AC$4),1,""))</f>
        <v/>
      </c>
      <c r="AD56" s="64" t="n">
        <f aca="false">IF(OR(AD$4="",$C56="",$D56=""),"",IF(AND($C56&lt;EDATE(AD$4,1),$D56&gt;=AD$4),1,""))</f>
        <v>1</v>
      </c>
      <c r="AE56" s="64" t="n">
        <f aca="false">IF(OR(AE$4="",$C56="",$D56=""),"",IF(AND($C56&lt;EDATE(AE$4,1),$D56&gt;=AE$4),1,""))</f>
        <v>1</v>
      </c>
      <c r="AF56" s="64" t="n">
        <f aca="false">IF(OR(AF$4="",$C56="",$D56=""),"",IF(AND($C56&lt;EDATE(AF$4,1),$D56&gt;=AF$4),1,""))</f>
        <v>1</v>
      </c>
      <c r="AG56" s="64" t="n">
        <f aca="false">IF(OR(AG$4="",$C56="",$D56=""),"",IF(AND($C56&lt;EDATE(AG$4,1),$D56&gt;=AG$4),1,""))</f>
        <v>1</v>
      </c>
      <c r="AH56" s="64" t="n">
        <f aca="false">IF(OR(AH$4="",$C56="",$D56=""),"",IF(AND($C56&lt;EDATE(AH$4,1),$D56&gt;=AH$4),1,""))</f>
        <v>1</v>
      </c>
      <c r="AI56" s="64" t="n">
        <f aca="false">IF(OR(AI$4="",$C56="",$D56=""),"",IF(AND($C56&lt;EDATE(AI$4,1),$D56&gt;=AI$4),1,""))</f>
        <v>1</v>
      </c>
      <c r="AJ56" s="64" t="n">
        <f aca="false">IF(OR(AJ$4="",$C56="",$D56=""),"",IF(AND($C56&lt;EDATE(AJ$4,1),$D56&gt;=AJ$4),1,""))</f>
        <v>1</v>
      </c>
      <c r="AK56" s="64" t="n">
        <f aca="false">IF(OR(AK$4="",$C56="",$D56=""),"",IF(AND($C56&lt;EDATE(AK$4,1),$D56&gt;=AK$4),1,""))</f>
        <v>1</v>
      </c>
      <c r="AL56" s="64" t="n">
        <f aca="false">IF(OR(AL$4="",$C56="",$D56=""),"",IF(AND($C56&lt;EDATE(AL$4,1),$D56&gt;=AL$4),1,""))</f>
        <v>1</v>
      </c>
      <c r="AM56" s="64" t="n">
        <f aca="false">IF(OR(AM$4="",$C56="",$D56=""),"",IF(AND($C56&lt;EDATE(AM$4,1),$D56&gt;=AM$4),1,""))</f>
        <v>1</v>
      </c>
      <c r="AN56" s="64" t="str">
        <f aca="false">IF(OR(AN$4="",$C56="",$D56=""),"",IF(AND($C56&lt;EDATE(AN$4,1),$D56&gt;=AN$4),1,""))</f>
        <v/>
      </c>
      <c r="AO56" s="64" t="str">
        <f aca="false">IF(OR(AO$4="",$C56="",$D56=""),"",IF(AND($C56&lt;EDATE(AO$4,1),$D56&gt;=AO$4),1,""))</f>
        <v/>
      </c>
      <c r="AP56" s="64" t="str">
        <f aca="false">IF(OR(AP$4="",$C56="",$D56=""),"",IF(AND($C56&lt;EDATE(AP$4,1),$D56&gt;=AP$4),1,""))</f>
        <v/>
      </c>
      <c r="AQ56" s="64" t="str">
        <f aca="false">IF(OR(AQ$4="",$C56="",$D56=""),"",IF(AND($C56&lt;EDATE(AQ$4,1),$D56&gt;=AQ$4),1,""))</f>
        <v/>
      </c>
      <c r="AR56" s="64" t="str">
        <f aca="false">IF(OR(AR$4="",$C56="",$D56=""),"",IF(AND($C56&lt;EDATE(AR$4,1),$D56&gt;=AR$4),1,""))</f>
        <v/>
      </c>
      <c r="AS56" s="64" t="str">
        <f aca="false">IF(OR(AS$4="",$C56="",$D56=""),"",IF(AND($C56&lt;EDATE(AS$4,1),$D56&gt;=AS$4),1,""))</f>
        <v/>
      </c>
      <c r="AT56" s="64" t="str">
        <f aca="false">IF(OR(AT$4="",$C56="",$D56=""),"",IF(AND($C56&lt;EDATE(AT$4,1),$D56&gt;=AT$4),1,""))</f>
        <v/>
      </c>
      <c r="AU56" s="64" t="str">
        <f aca="false">IF(OR(AU$4="",$C56="",$D56=""),"",IF(AND($C56&lt;EDATE(AU$4,1),$D56&gt;=AU$4),1,""))</f>
        <v/>
      </c>
      <c r="AV56" s="64" t="str">
        <f aca="false">IF(OR(AV$4="",$C56="",$D56=""),"",IF(AND($C56&lt;EDATE(AV$4,1),$D56&gt;=AV$4),1,""))</f>
        <v/>
      </c>
      <c r="AW56" s="64" t="str">
        <f aca="false">IF(OR(AW$4="",$C56="",$D56=""),"",IF(AND($C56&lt;EDATE(AW$4,1),$D56&gt;=AW$4),1,""))</f>
        <v/>
      </c>
      <c r="AX56" s="64" t="str">
        <f aca="false">IF(OR(AX$4="",$C56="",$D56=""),"",IF(AND($C56&lt;EDATE(AX$4,1),$D56&gt;=AX$4),1,""))</f>
        <v/>
      </c>
      <c r="AY56" s="64" t="str">
        <f aca="false">IF(OR(AY$4="",$C56="",$D56=""),"",IF(AND($C56&lt;EDATE(AY$4,1),$D56&gt;=AY$4),1,""))</f>
        <v/>
      </c>
      <c r="AZ56" s="64" t="str">
        <f aca="false">IF(OR(AZ$4="",$C56="",$D56=""),"",IF(AND($C56&lt;EDATE(AZ$4,1),$D56&gt;=AZ$4),1,""))</f>
        <v/>
      </c>
      <c r="BA56" s="64" t="str">
        <f aca="false">IF(OR(BA$4="",$C56="",$D56=""),"",IF(AND($C56&lt;EDATE(BA$4,1),$D56&gt;=BA$4),1,""))</f>
        <v/>
      </c>
      <c r="BB56" s="64" t="str">
        <f aca="false">IF(OR(BB$4="",$C56="",$D56=""),"",IF(AND($C56&lt;EDATE(BB$4,1),$D56&gt;=BB$4),1,""))</f>
        <v/>
      </c>
      <c r="BC56" s="64" t="str">
        <f aca="false">IF(OR(BC$4="",$C56="",$D56=""),"",IF(AND($C56&lt;EDATE(BC$4,1),$D56&gt;=BC$4),1,""))</f>
        <v/>
      </c>
      <c r="BD56" s="64" t="str">
        <f aca="false">IF(OR(BD$4="",$C56="",$D56=""),"",IF(AND($C56&lt;EDATE(BD$4,1),$D56&gt;=BD$4),1,""))</f>
        <v/>
      </c>
      <c r="BE56" s="64" t="str">
        <f aca="false">IF(OR(BE$4="",$C56="",$D56=""),"",IF(AND($C56&lt;EDATE(BE$4,1),$D56&gt;=BE$4),1,""))</f>
        <v/>
      </c>
      <c r="BF56" s="64" t="str">
        <f aca="false">IF(OR(BF$4="",$C56="",$D56=""),"",IF(AND($C56&lt;EDATE(BF$4,1),$D56&gt;=BF$4),1,""))</f>
        <v/>
      </c>
      <c r="BG56" s="64" t="str">
        <f aca="false">IF(OR(BG$4="",$C56="",$D56=""),"",IF(AND($C56&lt;EDATE(BG$4,1),$D56&gt;=BG$4),1,""))</f>
        <v/>
      </c>
      <c r="BH56" s="64" t="str">
        <f aca="false">IF(OR(BH$4="",$C56="",$D56=""),"",IF(AND($C56&lt;EDATE(BH$4,1),$D56&gt;=BH$4),1,""))</f>
        <v/>
      </c>
      <c r="BI56" s="64" t="str">
        <f aca="false">IF(OR(BI$4="",$C56="",$D56=""),"",IF(AND($C56&lt;EDATE(BI$4,1),$D56&gt;=BI$4),1,""))</f>
        <v/>
      </c>
      <c r="BJ56" s="64" t="str">
        <f aca="false">IF(OR(BJ$4="",$C56="",$D56=""),"",IF(AND($C56&lt;EDATE(BJ$4,1),$D56&gt;=BJ$4),1,""))</f>
        <v/>
      </c>
      <c r="BK56" s="64" t="str">
        <f aca="false">IF(OR(BK$4="",$C56="",$D56=""),"",IF(AND($C56&lt;EDATE(BK$4,1),$D56&gt;=BK$4),1,""))</f>
        <v/>
      </c>
      <c r="BL56" s="64" t="str">
        <f aca="false">IF(OR(BL$4="",$C56="",$D56=""),"",IF(AND($C56&lt;EDATE(BL$4,1),$D56&gt;=BL$4),1,""))</f>
        <v/>
      </c>
      <c r="BM56" s="64" t="str">
        <f aca="false">IF(OR(BM$4="",$C56="",$D56=""),"",IF(AND($C56&lt;EDATE(BM$4,1),$D56&gt;=BM$4),1,""))</f>
        <v/>
      </c>
      <c r="BN56" s="64" t="str">
        <f aca="false">IF(OR(BN$4="",$C56="",$D56=""),"",IF(AND($C56&lt;EDATE(BN$4,1),$D56&gt;=BN$4),1,""))</f>
        <v/>
      </c>
      <c r="BO56" s="64" t="str">
        <f aca="false">IF(OR(BO$4="",$C56="",$D56=""),"",IF(AND($C56&lt;EDATE(BO$4,1),$D56&gt;=BO$4),1,""))</f>
        <v/>
      </c>
      <c r="BP56" s="64" t="str">
        <f aca="false">IF(OR(BP$4="",$C56="",$D56=""),"",IF(AND($C56&lt;EDATE(BP$4,1),$D56&gt;=BP$4),1,""))</f>
        <v/>
      </c>
      <c r="BQ56" s="64" t="str">
        <f aca="false">IF(OR(BQ$4="",$C56="",$D56=""),"",IF(AND($C56&lt;EDATE(BQ$4,1),$D56&gt;=BQ$4),1,""))</f>
        <v/>
      </c>
      <c r="BR56" s="64" t="str">
        <f aca="false">IF(OR(BR$4="",$C56="",$D56=""),"",IF(AND($C56&lt;EDATE(BR$4,1),$D56&gt;=BR$4),1,""))</f>
        <v/>
      </c>
      <c r="BS56" s="64" t="str">
        <f aca="false">IF(OR(BS$4="",$C56="",$D56=""),"",IF(AND($C56&lt;EDATE(BS$4,1),$D56&gt;=BS$4),1,""))</f>
        <v/>
      </c>
      <c r="BT56" s="64" t="str">
        <f aca="false">IF(OR(BT$4="",$C56="",$D56=""),"",IF(AND($C56&lt;EDATE(BT$4,1),$D56&gt;=BT$4),1,""))</f>
        <v/>
      </c>
      <c r="BU56" s="64" t="str">
        <f aca="false">IF(OR(BU$4="",$C56="",$D56=""),"",IF(AND($C56&lt;EDATE(BU$4,1),$D56&gt;=BU$4),1,""))</f>
        <v/>
      </c>
      <c r="BV56" s="64" t="str">
        <f aca="false">IF(OR(BV$4="",$C56="",$D56=""),"",IF(AND($C56&lt;EDATE(BV$4,1),$D56&gt;=BV$4),1,""))</f>
        <v/>
      </c>
      <c r="BW56" s="64" t="str">
        <f aca="false">IF(OR(BW$4="",$C56="",$D56=""),"",IF(AND($C56&lt;EDATE(BW$4,1),$D56&gt;=BW$4),1,""))</f>
        <v/>
      </c>
      <c r="BX56" s="64" t="str">
        <f aca="false">IF(OR(BX$4="",$C56="",$D56=""),"",IF(AND($C56&lt;EDATE(BX$4,1),$D56&gt;=BX$4),1,""))</f>
        <v/>
      </c>
      <c r="BY56" s="64" t="str">
        <f aca="false">IF(OR(BY$4="",$C56="",$D56=""),"",IF(AND($C56&lt;EDATE(BY$4,1),$D56&gt;=BY$4),1,""))</f>
        <v/>
      </c>
    </row>
    <row r="57" customFormat="false" ht="15" hidden="false" customHeight="false" outlineLevel="0" collapsed="false">
      <c r="A57" s="53" t="str">
        <f aca="false">IF(BOE!$A26="","",BOE!$A26)</f>
        <v>302</v>
      </c>
      <c r="B57" s="53" t="str">
        <f aca="false">IF(BOE!$A26="","",BOE!$C26)</f>
        <v>Hazard Management Assessment Report (HMAR)</v>
      </c>
      <c r="C57" s="54" t="str">
        <f aca="false">IF(OR(BOE!$A26="",BOE!$E26&lt;&gt;"Y"),"",BOE!$O26)</f>
        <v/>
      </c>
      <c r="D57" s="54" t="str">
        <f aca="false">IF(OR(BOE!$A26="",BOE!$E26&lt;&gt;"Y"),"",BOE!$P26)</f>
        <v/>
      </c>
      <c r="E57" s="55" t="str">
        <f aca="false">IF(OR(BOE!$A26="",BOE!$E26&lt;&gt;"Y"),"",IF(Inputs!$B$7="P90",BOE!$T26,BOE!$R26))</f>
        <v/>
      </c>
      <c r="F57" s="64" t="str">
        <f aca="false">IF(OR(F$4="",$C57="",$D57=""),"",IF(AND($C57&lt;EDATE(F$4,1),$D57&gt;=F$4),1,""))</f>
        <v/>
      </c>
      <c r="G57" s="64" t="str">
        <f aca="false">IF(OR(G$4="",$C57="",$D57=""),"",IF(AND($C57&lt;EDATE(G$4,1),$D57&gt;=G$4),1,""))</f>
        <v/>
      </c>
      <c r="H57" s="64" t="str">
        <f aca="false">IF(OR(H$4="",$C57="",$D57=""),"",IF(AND($C57&lt;EDATE(H$4,1),$D57&gt;=H$4),1,""))</f>
        <v/>
      </c>
      <c r="I57" s="64" t="str">
        <f aca="false">IF(OR(I$4="",$C57="",$D57=""),"",IF(AND($C57&lt;EDATE(I$4,1),$D57&gt;=I$4),1,""))</f>
        <v/>
      </c>
      <c r="J57" s="64" t="str">
        <f aca="false">IF(OR(J$4="",$C57="",$D57=""),"",IF(AND($C57&lt;EDATE(J$4,1),$D57&gt;=J$4),1,""))</f>
        <v/>
      </c>
      <c r="K57" s="64" t="str">
        <f aca="false">IF(OR(K$4="",$C57="",$D57=""),"",IF(AND($C57&lt;EDATE(K$4,1),$D57&gt;=K$4),1,""))</f>
        <v/>
      </c>
      <c r="L57" s="64" t="str">
        <f aca="false">IF(OR(L$4="",$C57="",$D57=""),"",IF(AND($C57&lt;EDATE(L$4,1),$D57&gt;=L$4),1,""))</f>
        <v/>
      </c>
      <c r="M57" s="64" t="str">
        <f aca="false">IF(OR(M$4="",$C57="",$D57=""),"",IF(AND($C57&lt;EDATE(M$4,1),$D57&gt;=M$4),1,""))</f>
        <v/>
      </c>
      <c r="N57" s="64" t="str">
        <f aca="false">IF(OR(N$4="",$C57="",$D57=""),"",IF(AND($C57&lt;EDATE(N$4,1),$D57&gt;=N$4),1,""))</f>
        <v/>
      </c>
      <c r="O57" s="64" t="str">
        <f aca="false">IF(OR(O$4="",$C57="",$D57=""),"",IF(AND($C57&lt;EDATE(O$4,1),$D57&gt;=O$4),1,""))</f>
        <v/>
      </c>
      <c r="P57" s="64" t="str">
        <f aca="false">IF(OR(P$4="",$C57="",$D57=""),"",IF(AND($C57&lt;EDATE(P$4,1),$D57&gt;=P$4),1,""))</f>
        <v/>
      </c>
      <c r="Q57" s="64" t="str">
        <f aca="false">IF(OR(Q$4="",$C57="",$D57=""),"",IF(AND($C57&lt;EDATE(Q$4,1),$D57&gt;=Q$4),1,""))</f>
        <v/>
      </c>
      <c r="R57" s="64" t="str">
        <f aca="false">IF(OR(R$4="",$C57="",$D57=""),"",IF(AND($C57&lt;EDATE(R$4,1),$D57&gt;=R$4),1,""))</f>
        <v/>
      </c>
      <c r="S57" s="64" t="str">
        <f aca="false">IF(OR(S$4="",$C57="",$D57=""),"",IF(AND($C57&lt;EDATE(S$4,1),$D57&gt;=S$4),1,""))</f>
        <v/>
      </c>
      <c r="T57" s="64" t="str">
        <f aca="false">IF(OR(T$4="",$C57="",$D57=""),"",IF(AND($C57&lt;EDATE(T$4,1),$D57&gt;=T$4),1,""))</f>
        <v/>
      </c>
      <c r="U57" s="64" t="str">
        <f aca="false">IF(OR(U$4="",$C57="",$D57=""),"",IF(AND($C57&lt;EDATE(U$4,1),$D57&gt;=U$4),1,""))</f>
        <v/>
      </c>
      <c r="V57" s="64" t="str">
        <f aca="false">IF(OR(V$4="",$C57="",$D57=""),"",IF(AND($C57&lt;EDATE(V$4,1),$D57&gt;=V$4),1,""))</f>
        <v/>
      </c>
      <c r="W57" s="64" t="str">
        <f aca="false">IF(OR(W$4="",$C57="",$D57=""),"",IF(AND($C57&lt;EDATE(W$4,1),$D57&gt;=W$4),1,""))</f>
        <v/>
      </c>
      <c r="X57" s="64" t="str">
        <f aca="false">IF(OR(X$4="",$C57="",$D57=""),"",IF(AND($C57&lt;EDATE(X$4,1),$D57&gt;=X$4),1,""))</f>
        <v/>
      </c>
      <c r="Y57" s="64" t="str">
        <f aca="false">IF(OR(Y$4="",$C57="",$D57=""),"",IF(AND($C57&lt;EDATE(Y$4,1),$D57&gt;=Y$4),1,""))</f>
        <v/>
      </c>
      <c r="Z57" s="64" t="str">
        <f aca="false">IF(OR(Z$4="",$C57="",$D57=""),"",IF(AND($C57&lt;EDATE(Z$4,1),$D57&gt;=Z$4),1,""))</f>
        <v/>
      </c>
      <c r="AA57" s="64" t="str">
        <f aca="false">IF(OR(AA$4="",$C57="",$D57=""),"",IF(AND($C57&lt;EDATE(AA$4,1),$D57&gt;=AA$4),1,""))</f>
        <v/>
      </c>
      <c r="AB57" s="64" t="str">
        <f aca="false">IF(OR(AB$4="",$C57="",$D57=""),"",IF(AND($C57&lt;EDATE(AB$4,1),$D57&gt;=AB$4),1,""))</f>
        <v/>
      </c>
      <c r="AC57" s="64" t="str">
        <f aca="false">IF(OR(AC$4="",$C57="",$D57=""),"",IF(AND($C57&lt;EDATE(AC$4,1),$D57&gt;=AC$4),1,""))</f>
        <v/>
      </c>
      <c r="AD57" s="64" t="str">
        <f aca="false">IF(OR(AD$4="",$C57="",$D57=""),"",IF(AND($C57&lt;EDATE(AD$4,1),$D57&gt;=AD$4),1,""))</f>
        <v/>
      </c>
      <c r="AE57" s="64" t="str">
        <f aca="false">IF(OR(AE$4="",$C57="",$D57=""),"",IF(AND($C57&lt;EDATE(AE$4,1),$D57&gt;=AE$4),1,""))</f>
        <v/>
      </c>
      <c r="AF57" s="64" t="str">
        <f aca="false">IF(OR(AF$4="",$C57="",$D57=""),"",IF(AND($C57&lt;EDATE(AF$4,1),$D57&gt;=AF$4),1,""))</f>
        <v/>
      </c>
      <c r="AG57" s="64" t="str">
        <f aca="false">IF(OR(AG$4="",$C57="",$D57=""),"",IF(AND($C57&lt;EDATE(AG$4,1),$D57&gt;=AG$4),1,""))</f>
        <v/>
      </c>
      <c r="AH57" s="64" t="str">
        <f aca="false">IF(OR(AH$4="",$C57="",$D57=""),"",IF(AND($C57&lt;EDATE(AH$4,1),$D57&gt;=AH$4),1,""))</f>
        <v/>
      </c>
      <c r="AI57" s="64" t="str">
        <f aca="false">IF(OR(AI$4="",$C57="",$D57=""),"",IF(AND($C57&lt;EDATE(AI$4,1),$D57&gt;=AI$4),1,""))</f>
        <v/>
      </c>
      <c r="AJ57" s="64" t="str">
        <f aca="false">IF(OR(AJ$4="",$C57="",$D57=""),"",IF(AND($C57&lt;EDATE(AJ$4,1),$D57&gt;=AJ$4),1,""))</f>
        <v/>
      </c>
      <c r="AK57" s="64" t="str">
        <f aca="false">IF(OR(AK$4="",$C57="",$D57=""),"",IF(AND($C57&lt;EDATE(AK$4,1),$D57&gt;=AK$4),1,""))</f>
        <v/>
      </c>
      <c r="AL57" s="64" t="str">
        <f aca="false">IF(OR(AL$4="",$C57="",$D57=""),"",IF(AND($C57&lt;EDATE(AL$4,1),$D57&gt;=AL$4),1,""))</f>
        <v/>
      </c>
      <c r="AM57" s="64" t="str">
        <f aca="false">IF(OR(AM$4="",$C57="",$D57=""),"",IF(AND($C57&lt;EDATE(AM$4,1),$D57&gt;=AM$4),1,""))</f>
        <v/>
      </c>
      <c r="AN57" s="64" t="str">
        <f aca="false">IF(OR(AN$4="",$C57="",$D57=""),"",IF(AND($C57&lt;EDATE(AN$4,1),$D57&gt;=AN$4),1,""))</f>
        <v/>
      </c>
      <c r="AO57" s="64" t="str">
        <f aca="false">IF(OR(AO$4="",$C57="",$D57=""),"",IF(AND($C57&lt;EDATE(AO$4,1),$D57&gt;=AO$4),1,""))</f>
        <v/>
      </c>
      <c r="AP57" s="64" t="str">
        <f aca="false">IF(OR(AP$4="",$C57="",$D57=""),"",IF(AND($C57&lt;EDATE(AP$4,1),$D57&gt;=AP$4),1,""))</f>
        <v/>
      </c>
      <c r="AQ57" s="64" t="str">
        <f aca="false">IF(OR(AQ$4="",$C57="",$D57=""),"",IF(AND($C57&lt;EDATE(AQ$4,1),$D57&gt;=AQ$4),1,""))</f>
        <v/>
      </c>
      <c r="AR57" s="64" t="str">
        <f aca="false">IF(OR(AR$4="",$C57="",$D57=""),"",IF(AND($C57&lt;EDATE(AR$4,1),$D57&gt;=AR$4),1,""))</f>
        <v/>
      </c>
      <c r="AS57" s="64" t="str">
        <f aca="false">IF(OR(AS$4="",$C57="",$D57=""),"",IF(AND($C57&lt;EDATE(AS$4,1),$D57&gt;=AS$4),1,""))</f>
        <v/>
      </c>
      <c r="AT57" s="64" t="str">
        <f aca="false">IF(OR(AT$4="",$C57="",$D57=""),"",IF(AND($C57&lt;EDATE(AT$4,1),$D57&gt;=AT$4),1,""))</f>
        <v/>
      </c>
      <c r="AU57" s="64" t="str">
        <f aca="false">IF(OR(AU$4="",$C57="",$D57=""),"",IF(AND($C57&lt;EDATE(AU$4,1),$D57&gt;=AU$4),1,""))</f>
        <v/>
      </c>
      <c r="AV57" s="64" t="str">
        <f aca="false">IF(OR(AV$4="",$C57="",$D57=""),"",IF(AND($C57&lt;EDATE(AV$4,1),$D57&gt;=AV$4),1,""))</f>
        <v/>
      </c>
      <c r="AW57" s="64" t="str">
        <f aca="false">IF(OR(AW$4="",$C57="",$D57=""),"",IF(AND($C57&lt;EDATE(AW$4,1),$D57&gt;=AW$4),1,""))</f>
        <v/>
      </c>
      <c r="AX57" s="64" t="str">
        <f aca="false">IF(OR(AX$4="",$C57="",$D57=""),"",IF(AND($C57&lt;EDATE(AX$4,1),$D57&gt;=AX$4),1,""))</f>
        <v/>
      </c>
      <c r="AY57" s="64" t="str">
        <f aca="false">IF(OR(AY$4="",$C57="",$D57=""),"",IF(AND($C57&lt;EDATE(AY$4,1),$D57&gt;=AY$4),1,""))</f>
        <v/>
      </c>
      <c r="AZ57" s="64" t="str">
        <f aca="false">IF(OR(AZ$4="",$C57="",$D57=""),"",IF(AND($C57&lt;EDATE(AZ$4,1),$D57&gt;=AZ$4),1,""))</f>
        <v/>
      </c>
      <c r="BA57" s="64" t="str">
        <f aca="false">IF(OR(BA$4="",$C57="",$D57=""),"",IF(AND($C57&lt;EDATE(BA$4,1),$D57&gt;=BA$4),1,""))</f>
        <v/>
      </c>
      <c r="BB57" s="64" t="str">
        <f aca="false">IF(OR(BB$4="",$C57="",$D57=""),"",IF(AND($C57&lt;EDATE(BB$4,1),$D57&gt;=BB$4),1,""))</f>
        <v/>
      </c>
      <c r="BC57" s="64" t="str">
        <f aca="false">IF(OR(BC$4="",$C57="",$D57=""),"",IF(AND($C57&lt;EDATE(BC$4,1),$D57&gt;=BC$4),1,""))</f>
        <v/>
      </c>
      <c r="BD57" s="64" t="str">
        <f aca="false">IF(OR(BD$4="",$C57="",$D57=""),"",IF(AND($C57&lt;EDATE(BD$4,1),$D57&gt;=BD$4),1,""))</f>
        <v/>
      </c>
      <c r="BE57" s="64" t="str">
        <f aca="false">IF(OR(BE$4="",$C57="",$D57=""),"",IF(AND($C57&lt;EDATE(BE$4,1),$D57&gt;=BE$4),1,""))</f>
        <v/>
      </c>
      <c r="BF57" s="64" t="str">
        <f aca="false">IF(OR(BF$4="",$C57="",$D57=""),"",IF(AND($C57&lt;EDATE(BF$4,1),$D57&gt;=BF$4),1,""))</f>
        <v/>
      </c>
      <c r="BG57" s="64" t="str">
        <f aca="false">IF(OR(BG$4="",$C57="",$D57=""),"",IF(AND($C57&lt;EDATE(BG$4,1),$D57&gt;=BG$4),1,""))</f>
        <v/>
      </c>
      <c r="BH57" s="64" t="str">
        <f aca="false">IF(OR(BH$4="",$C57="",$D57=""),"",IF(AND($C57&lt;EDATE(BH$4,1),$D57&gt;=BH$4),1,""))</f>
        <v/>
      </c>
      <c r="BI57" s="64" t="str">
        <f aca="false">IF(OR(BI$4="",$C57="",$D57=""),"",IF(AND($C57&lt;EDATE(BI$4,1),$D57&gt;=BI$4),1,""))</f>
        <v/>
      </c>
      <c r="BJ57" s="64" t="str">
        <f aca="false">IF(OR(BJ$4="",$C57="",$D57=""),"",IF(AND($C57&lt;EDATE(BJ$4,1),$D57&gt;=BJ$4),1,""))</f>
        <v/>
      </c>
      <c r="BK57" s="64" t="str">
        <f aca="false">IF(OR(BK$4="",$C57="",$D57=""),"",IF(AND($C57&lt;EDATE(BK$4,1),$D57&gt;=BK$4),1,""))</f>
        <v/>
      </c>
      <c r="BL57" s="64" t="str">
        <f aca="false">IF(OR(BL$4="",$C57="",$D57=""),"",IF(AND($C57&lt;EDATE(BL$4,1),$D57&gt;=BL$4),1,""))</f>
        <v/>
      </c>
      <c r="BM57" s="64" t="str">
        <f aca="false">IF(OR(BM$4="",$C57="",$D57=""),"",IF(AND($C57&lt;EDATE(BM$4,1),$D57&gt;=BM$4),1,""))</f>
        <v/>
      </c>
      <c r="BN57" s="64" t="str">
        <f aca="false">IF(OR(BN$4="",$C57="",$D57=""),"",IF(AND($C57&lt;EDATE(BN$4,1),$D57&gt;=BN$4),1,""))</f>
        <v/>
      </c>
      <c r="BO57" s="64" t="str">
        <f aca="false">IF(OR(BO$4="",$C57="",$D57=""),"",IF(AND($C57&lt;EDATE(BO$4,1),$D57&gt;=BO$4),1,""))</f>
        <v/>
      </c>
      <c r="BP57" s="64" t="str">
        <f aca="false">IF(OR(BP$4="",$C57="",$D57=""),"",IF(AND($C57&lt;EDATE(BP$4,1),$D57&gt;=BP$4),1,""))</f>
        <v/>
      </c>
      <c r="BQ57" s="64" t="str">
        <f aca="false">IF(OR(BQ$4="",$C57="",$D57=""),"",IF(AND($C57&lt;EDATE(BQ$4,1),$D57&gt;=BQ$4),1,""))</f>
        <v/>
      </c>
      <c r="BR57" s="64" t="str">
        <f aca="false">IF(OR(BR$4="",$C57="",$D57=""),"",IF(AND($C57&lt;EDATE(BR$4,1),$D57&gt;=BR$4),1,""))</f>
        <v/>
      </c>
      <c r="BS57" s="64" t="str">
        <f aca="false">IF(OR(BS$4="",$C57="",$D57=""),"",IF(AND($C57&lt;EDATE(BS$4,1),$D57&gt;=BS$4),1,""))</f>
        <v/>
      </c>
      <c r="BT57" s="64" t="str">
        <f aca="false">IF(OR(BT$4="",$C57="",$D57=""),"",IF(AND($C57&lt;EDATE(BT$4,1),$D57&gt;=BT$4),1,""))</f>
        <v/>
      </c>
      <c r="BU57" s="64" t="str">
        <f aca="false">IF(OR(BU$4="",$C57="",$D57=""),"",IF(AND($C57&lt;EDATE(BU$4,1),$D57&gt;=BU$4),1,""))</f>
        <v/>
      </c>
      <c r="BV57" s="64" t="str">
        <f aca="false">IF(OR(BV$4="",$C57="",$D57=""),"",IF(AND($C57&lt;EDATE(BV$4,1),$D57&gt;=BV$4),1,""))</f>
        <v/>
      </c>
      <c r="BW57" s="64" t="str">
        <f aca="false">IF(OR(BW$4="",$C57="",$D57=""),"",IF(AND($C57&lt;EDATE(BW$4,1),$D57&gt;=BW$4),1,""))</f>
        <v/>
      </c>
      <c r="BX57" s="64" t="str">
        <f aca="false">IF(OR(BX$4="",$C57="",$D57=""),"",IF(AND($C57&lt;EDATE(BX$4,1),$D57&gt;=BX$4),1,""))</f>
        <v/>
      </c>
      <c r="BY57" s="64" t="str">
        <f aca="false">IF(OR(BY$4="",$C57="",$D57=""),"",IF(AND($C57&lt;EDATE(BY$4,1),$D57&gt;=BY$4),1,""))</f>
        <v/>
      </c>
    </row>
    <row r="58" customFormat="false" ht="15" hidden="false" customHeight="false" outlineLevel="0" collapsed="false">
      <c r="A58" s="53" t="str">
        <f aca="false">IF(BOE!$A27="","",BOE!$A27)</f>
        <v>303</v>
      </c>
      <c r="B58" s="53" t="str">
        <f aca="false">IF(BOE!$A27="","",BOE!$C27)</f>
        <v>Test &amp; Evaluation participation</v>
      </c>
      <c r="C58" s="54" t="n">
        <f aca="false">IF(OR(BOE!$A27="",BOE!$E27&lt;&gt;"Y"),"",BOE!$O27)</f>
        <v>47097</v>
      </c>
      <c r="D58" s="54" t="n">
        <f aca="false">IF(OR(BOE!$A27="",BOE!$E27&lt;&gt;"Y"),"",BOE!$P27)</f>
        <v>47362</v>
      </c>
      <c r="E58" s="55" t="n">
        <f aca="false">IF(OR(BOE!$A27="",BOE!$E27&lt;&gt;"Y"),"",IF(Inputs!$B$7="P90",BOE!$T27,BOE!$R27))</f>
        <v>640</v>
      </c>
      <c r="F58" s="64" t="str">
        <f aca="false">IF(OR(F$4="",$C58="",$D58=""),"",IF(AND($C58&lt;EDATE(F$4,1),$D58&gt;=F$4),1,""))</f>
        <v/>
      </c>
      <c r="G58" s="64" t="str">
        <f aca="false">IF(OR(G$4="",$C58="",$D58=""),"",IF(AND($C58&lt;EDATE(G$4,1),$D58&gt;=G$4),1,""))</f>
        <v/>
      </c>
      <c r="H58" s="64" t="str">
        <f aca="false">IF(OR(H$4="",$C58="",$D58=""),"",IF(AND($C58&lt;EDATE(H$4,1),$D58&gt;=H$4),1,""))</f>
        <v/>
      </c>
      <c r="I58" s="64" t="str">
        <f aca="false">IF(OR(I$4="",$C58="",$D58=""),"",IF(AND($C58&lt;EDATE(I$4,1),$D58&gt;=I$4),1,""))</f>
        <v/>
      </c>
      <c r="J58" s="64" t="str">
        <f aca="false">IF(OR(J$4="",$C58="",$D58=""),"",IF(AND($C58&lt;EDATE(J$4,1),$D58&gt;=J$4),1,""))</f>
        <v/>
      </c>
      <c r="K58" s="64" t="str">
        <f aca="false">IF(OR(K$4="",$C58="",$D58=""),"",IF(AND($C58&lt;EDATE(K$4,1),$D58&gt;=K$4),1,""))</f>
        <v/>
      </c>
      <c r="L58" s="64" t="str">
        <f aca="false">IF(OR(L$4="",$C58="",$D58=""),"",IF(AND($C58&lt;EDATE(L$4,1),$D58&gt;=L$4),1,""))</f>
        <v/>
      </c>
      <c r="M58" s="64" t="str">
        <f aca="false">IF(OR(M$4="",$C58="",$D58=""),"",IF(AND($C58&lt;EDATE(M$4,1),$D58&gt;=M$4),1,""))</f>
        <v/>
      </c>
      <c r="N58" s="64" t="str">
        <f aca="false">IF(OR(N$4="",$C58="",$D58=""),"",IF(AND($C58&lt;EDATE(N$4,1),$D58&gt;=N$4),1,""))</f>
        <v/>
      </c>
      <c r="O58" s="64" t="str">
        <f aca="false">IF(OR(O$4="",$C58="",$D58=""),"",IF(AND($C58&lt;EDATE(O$4,1),$D58&gt;=O$4),1,""))</f>
        <v/>
      </c>
      <c r="P58" s="64" t="str">
        <f aca="false">IF(OR(P$4="",$C58="",$D58=""),"",IF(AND($C58&lt;EDATE(P$4,1),$D58&gt;=P$4),1,""))</f>
        <v/>
      </c>
      <c r="Q58" s="64" t="str">
        <f aca="false">IF(OR(Q$4="",$C58="",$D58=""),"",IF(AND($C58&lt;EDATE(Q$4,1),$D58&gt;=Q$4),1,""))</f>
        <v/>
      </c>
      <c r="R58" s="64" t="str">
        <f aca="false">IF(OR(R$4="",$C58="",$D58=""),"",IF(AND($C58&lt;EDATE(R$4,1),$D58&gt;=R$4),1,""))</f>
        <v/>
      </c>
      <c r="S58" s="64" t="str">
        <f aca="false">IF(OR(S$4="",$C58="",$D58=""),"",IF(AND($C58&lt;EDATE(S$4,1),$D58&gt;=S$4),1,""))</f>
        <v/>
      </c>
      <c r="T58" s="64" t="str">
        <f aca="false">IF(OR(T$4="",$C58="",$D58=""),"",IF(AND($C58&lt;EDATE(T$4,1),$D58&gt;=T$4),1,""))</f>
        <v/>
      </c>
      <c r="U58" s="64" t="str">
        <f aca="false">IF(OR(U$4="",$C58="",$D58=""),"",IF(AND($C58&lt;EDATE(U$4,1),$D58&gt;=U$4),1,""))</f>
        <v/>
      </c>
      <c r="V58" s="64" t="str">
        <f aca="false">IF(OR(V$4="",$C58="",$D58=""),"",IF(AND($C58&lt;EDATE(V$4,1),$D58&gt;=V$4),1,""))</f>
        <v/>
      </c>
      <c r="W58" s="64" t="str">
        <f aca="false">IF(OR(W$4="",$C58="",$D58=""),"",IF(AND($C58&lt;EDATE(W$4,1),$D58&gt;=W$4),1,""))</f>
        <v/>
      </c>
      <c r="X58" s="64" t="str">
        <f aca="false">IF(OR(X$4="",$C58="",$D58=""),"",IF(AND($C58&lt;EDATE(X$4,1),$D58&gt;=X$4),1,""))</f>
        <v/>
      </c>
      <c r="Y58" s="64" t="str">
        <f aca="false">IF(OR(Y$4="",$C58="",$D58=""),"",IF(AND($C58&lt;EDATE(Y$4,1),$D58&gt;=Y$4),1,""))</f>
        <v/>
      </c>
      <c r="Z58" s="64" t="str">
        <f aca="false">IF(OR(Z$4="",$C58="",$D58=""),"",IF(AND($C58&lt;EDATE(Z$4,1),$D58&gt;=Z$4),1,""))</f>
        <v/>
      </c>
      <c r="AA58" s="64" t="str">
        <f aca="false">IF(OR(AA$4="",$C58="",$D58=""),"",IF(AND($C58&lt;EDATE(AA$4,1),$D58&gt;=AA$4),1,""))</f>
        <v/>
      </c>
      <c r="AB58" s="64" t="str">
        <f aca="false">IF(OR(AB$4="",$C58="",$D58=""),"",IF(AND($C58&lt;EDATE(AB$4,1),$D58&gt;=AB$4),1,""))</f>
        <v/>
      </c>
      <c r="AC58" s="64" t="n">
        <f aca="false">IF(OR(AC$4="",$C58="",$D58=""),"",IF(AND($C58&lt;EDATE(AC$4,1),$D58&gt;=AC$4),1,""))</f>
        <v>1</v>
      </c>
      <c r="AD58" s="64" t="n">
        <f aca="false">IF(OR(AD$4="",$C58="",$D58=""),"",IF(AND($C58&lt;EDATE(AD$4,1),$D58&gt;=AD$4),1,""))</f>
        <v>1</v>
      </c>
      <c r="AE58" s="64" t="n">
        <f aca="false">IF(OR(AE$4="",$C58="",$D58=""),"",IF(AND($C58&lt;EDATE(AE$4,1),$D58&gt;=AE$4),1,""))</f>
        <v>1</v>
      </c>
      <c r="AF58" s="64" t="n">
        <f aca="false">IF(OR(AF$4="",$C58="",$D58=""),"",IF(AND($C58&lt;EDATE(AF$4,1),$D58&gt;=AF$4),1,""))</f>
        <v>1</v>
      </c>
      <c r="AG58" s="64" t="n">
        <f aca="false">IF(OR(AG$4="",$C58="",$D58=""),"",IF(AND($C58&lt;EDATE(AG$4,1),$D58&gt;=AG$4),1,""))</f>
        <v>1</v>
      </c>
      <c r="AH58" s="64" t="n">
        <f aca="false">IF(OR(AH$4="",$C58="",$D58=""),"",IF(AND($C58&lt;EDATE(AH$4,1),$D58&gt;=AH$4),1,""))</f>
        <v>1</v>
      </c>
      <c r="AI58" s="64" t="n">
        <f aca="false">IF(OR(AI$4="",$C58="",$D58=""),"",IF(AND($C58&lt;EDATE(AI$4,1),$D58&gt;=AI$4),1,""))</f>
        <v>1</v>
      </c>
      <c r="AJ58" s="64" t="n">
        <f aca="false">IF(OR(AJ$4="",$C58="",$D58=""),"",IF(AND($C58&lt;EDATE(AJ$4,1),$D58&gt;=AJ$4),1,""))</f>
        <v>1</v>
      </c>
      <c r="AK58" s="64" t="n">
        <f aca="false">IF(OR(AK$4="",$C58="",$D58=""),"",IF(AND($C58&lt;EDATE(AK$4,1),$D58&gt;=AK$4),1,""))</f>
        <v>1</v>
      </c>
      <c r="AL58" s="64" t="str">
        <f aca="false">IF(OR(AL$4="",$C58="",$D58=""),"",IF(AND($C58&lt;EDATE(AL$4,1),$D58&gt;=AL$4),1,""))</f>
        <v/>
      </c>
      <c r="AM58" s="64" t="str">
        <f aca="false">IF(OR(AM$4="",$C58="",$D58=""),"",IF(AND($C58&lt;EDATE(AM$4,1),$D58&gt;=AM$4),1,""))</f>
        <v/>
      </c>
      <c r="AN58" s="64" t="str">
        <f aca="false">IF(OR(AN$4="",$C58="",$D58=""),"",IF(AND($C58&lt;EDATE(AN$4,1),$D58&gt;=AN$4),1,""))</f>
        <v/>
      </c>
      <c r="AO58" s="64" t="str">
        <f aca="false">IF(OR(AO$4="",$C58="",$D58=""),"",IF(AND($C58&lt;EDATE(AO$4,1),$D58&gt;=AO$4),1,""))</f>
        <v/>
      </c>
      <c r="AP58" s="64" t="str">
        <f aca="false">IF(OR(AP$4="",$C58="",$D58=""),"",IF(AND($C58&lt;EDATE(AP$4,1),$D58&gt;=AP$4),1,""))</f>
        <v/>
      </c>
      <c r="AQ58" s="64" t="str">
        <f aca="false">IF(OR(AQ$4="",$C58="",$D58=""),"",IF(AND($C58&lt;EDATE(AQ$4,1),$D58&gt;=AQ$4),1,""))</f>
        <v/>
      </c>
      <c r="AR58" s="64" t="str">
        <f aca="false">IF(OR(AR$4="",$C58="",$D58=""),"",IF(AND($C58&lt;EDATE(AR$4,1),$D58&gt;=AR$4),1,""))</f>
        <v/>
      </c>
      <c r="AS58" s="64" t="str">
        <f aca="false">IF(OR(AS$4="",$C58="",$D58=""),"",IF(AND($C58&lt;EDATE(AS$4,1),$D58&gt;=AS$4),1,""))</f>
        <v/>
      </c>
      <c r="AT58" s="64" t="str">
        <f aca="false">IF(OR(AT$4="",$C58="",$D58=""),"",IF(AND($C58&lt;EDATE(AT$4,1),$D58&gt;=AT$4),1,""))</f>
        <v/>
      </c>
      <c r="AU58" s="64" t="str">
        <f aca="false">IF(OR(AU$4="",$C58="",$D58=""),"",IF(AND($C58&lt;EDATE(AU$4,1),$D58&gt;=AU$4),1,""))</f>
        <v/>
      </c>
      <c r="AV58" s="64" t="str">
        <f aca="false">IF(OR(AV$4="",$C58="",$D58=""),"",IF(AND($C58&lt;EDATE(AV$4,1),$D58&gt;=AV$4),1,""))</f>
        <v/>
      </c>
      <c r="AW58" s="64" t="str">
        <f aca="false">IF(OR(AW$4="",$C58="",$D58=""),"",IF(AND($C58&lt;EDATE(AW$4,1),$D58&gt;=AW$4),1,""))</f>
        <v/>
      </c>
      <c r="AX58" s="64" t="str">
        <f aca="false">IF(OR(AX$4="",$C58="",$D58=""),"",IF(AND($C58&lt;EDATE(AX$4,1),$D58&gt;=AX$4),1,""))</f>
        <v/>
      </c>
      <c r="AY58" s="64" t="str">
        <f aca="false">IF(OR(AY$4="",$C58="",$D58=""),"",IF(AND($C58&lt;EDATE(AY$4,1),$D58&gt;=AY$4),1,""))</f>
        <v/>
      </c>
      <c r="AZ58" s="64" t="str">
        <f aca="false">IF(OR(AZ$4="",$C58="",$D58=""),"",IF(AND($C58&lt;EDATE(AZ$4,1),$D58&gt;=AZ$4),1,""))</f>
        <v/>
      </c>
      <c r="BA58" s="64" t="str">
        <f aca="false">IF(OR(BA$4="",$C58="",$D58=""),"",IF(AND($C58&lt;EDATE(BA$4,1),$D58&gt;=BA$4),1,""))</f>
        <v/>
      </c>
      <c r="BB58" s="64" t="str">
        <f aca="false">IF(OR(BB$4="",$C58="",$D58=""),"",IF(AND($C58&lt;EDATE(BB$4,1),$D58&gt;=BB$4),1,""))</f>
        <v/>
      </c>
      <c r="BC58" s="64" t="str">
        <f aca="false">IF(OR(BC$4="",$C58="",$D58=""),"",IF(AND($C58&lt;EDATE(BC$4,1),$D58&gt;=BC$4),1,""))</f>
        <v/>
      </c>
      <c r="BD58" s="64" t="str">
        <f aca="false">IF(OR(BD$4="",$C58="",$D58=""),"",IF(AND($C58&lt;EDATE(BD$4,1),$D58&gt;=BD$4),1,""))</f>
        <v/>
      </c>
      <c r="BE58" s="64" t="str">
        <f aca="false">IF(OR(BE$4="",$C58="",$D58=""),"",IF(AND($C58&lt;EDATE(BE$4,1),$D58&gt;=BE$4),1,""))</f>
        <v/>
      </c>
      <c r="BF58" s="64" t="str">
        <f aca="false">IF(OR(BF$4="",$C58="",$D58=""),"",IF(AND($C58&lt;EDATE(BF$4,1),$D58&gt;=BF$4),1,""))</f>
        <v/>
      </c>
      <c r="BG58" s="64" t="str">
        <f aca="false">IF(OR(BG$4="",$C58="",$D58=""),"",IF(AND($C58&lt;EDATE(BG$4,1),$D58&gt;=BG$4),1,""))</f>
        <v/>
      </c>
      <c r="BH58" s="64" t="str">
        <f aca="false">IF(OR(BH$4="",$C58="",$D58=""),"",IF(AND($C58&lt;EDATE(BH$4,1),$D58&gt;=BH$4),1,""))</f>
        <v/>
      </c>
      <c r="BI58" s="64" t="str">
        <f aca="false">IF(OR(BI$4="",$C58="",$D58=""),"",IF(AND($C58&lt;EDATE(BI$4,1),$D58&gt;=BI$4),1,""))</f>
        <v/>
      </c>
      <c r="BJ58" s="64" t="str">
        <f aca="false">IF(OR(BJ$4="",$C58="",$D58=""),"",IF(AND($C58&lt;EDATE(BJ$4,1),$D58&gt;=BJ$4),1,""))</f>
        <v/>
      </c>
      <c r="BK58" s="64" t="str">
        <f aca="false">IF(OR(BK$4="",$C58="",$D58=""),"",IF(AND($C58&lt;EDATE(BK$4,1),$D58&gt;=BK$4),1,""))</f>
        <v/>
      </c>
      <c r="BL58" s="64" t="str">
        <f aca="false">IF(OR(BL$4="",$C58="",$D58=""),"",IF(AND($C58&lt;EDATE(BL$4,1),$D58&gt;=BL$4),1,""))</f>
        <v/>
      </c>
      <c r="BM58" s="64" t="str">
        <f aca="false">IF(OR(BM$4="",$C58="",$D58=""),"",IF(AND($C58&lt;EDATE(BM$4,1),$D58&gt;=BM$4),1,""))</f>
        <v/>
      </c>
      <c r="BN58" s="64" t="str">
        <f aca="false">IF(OR(BN$4="",$C58="",$D58=""),"",IF(AND($C58&lt;EDATE(BN$4,1),$D58&gt;=BN$4),1,""))</f>
        <v/>
      </c>
      <c r="BO58" s="64" t="str">
        <f aca="false">IF(OR(BO$4="",$C58="",$D58=""),"",IF(AND($C58&lt;EDATE(BO$4,1),$D58&gt;=BO$4),1,""))</f>
        <v/>
      </c>
      <c r="BP58" s="64" t="str">
        <f aca="false">IF(OR(BP$4="",$C58="",$D58=""),"",IF(AND($C58&lt;EDATE(BP$4,1),$D58&gt;=BP$4),1,""))</f>
        <v/>
      </c>
      <c r="BQ58" s="64" t="str">
        <f aca="false">IF(OR(BQ$4="",$C58="",$D58=""),"",IF(AND($C58&lt;EDATE(BQ$4,1),$D58&gt;=BQ$4),1,""))</f>
        <v/>
      </c>
      <c r="BR58" s="64" t="str">
        <f aca="false">IF(OR(BR$4="",$C58="",$D58=""),"",IF(AND($C58&lt;EDATE(BR$4,1),$D58&gt;=BR$4),1,""))</f>
        <v/>
      </c>
      <c r="BS58" s="64" t="str">
        <f aca="false">IF(OR(BS$4="",$C58="",$D58=""),"",IF(AND($C58&lt;EDATE(BS$4,1),$D58&gt;=BS$4),1,""))</f>
        <v/>
      </c>
      <c r="BT58" s="64" t="str">
        <f aca="false">IF(OR(BT$4="",$C58="",$D58=""),"",IF(AND($C58&lt;EDATE(BT$4,1),$D58&gt;=BT$4),1,""))</f>
        <v/>
      </c>
      <c r="BU58" s="64" t="str">
        <f aca="false">IF(OR(BU$4="",$C58="",$D58=""),"",IF(AND($C58&lt;EDATE(BU$4,1),$D58&gt;=BU$4),1,""))</f>
        <v/>
      </c>
      <c r="BV58" s="64" t="str">
        <f aca="false">IF(OR(BV$4="",$C58="",$D58=""),"",IF(AND($C58&lt;EDATE(BV$4,1),$D58&gt;=BV$4),1,""))</f>
        <v/>
      </c>
      <c r="BW58" s="64" t="str">
        <f aca="false">IF(OR(BW$4="",$C58="",$D58=""),"",IF(AND($C58&lt;EDATE(BW$4,1),$D58&gt;=BW$4),1,""))</f>
        <v/>
      </c>
      <c r="BX58" s="64" t="str">
        <f aca="false">IF(OR(BX$4="",$C58="",$D58=""),"",IF(AND($C58&lt;EDATE(BX$4,1),$D58&gt;=BX$4),1,""))</f>
        <v/>
      </c>
      <c r="BY58" s="64" t="str">
        <f aca="false">IF(OR(BY$4="",$C58="",$D58=""),"",IF(AND($C58&lt;EDATE(BY$4,1),$D58&gt;=BY$4),1,""))</f>
        <v/>
      </c>
    </row>
    <row r="59" customFormat="false" ht="15" hidden="false" customHeight="false" outlineLevel="0" collapsed="false">
      <c r="A59" s="53" t="str">
        <f aca="false">IF(BOE!$A28="","",BOE!$A28)</f>
        <v>304</v>
      </c>
      <c r="B59" s="53" t="str">
        <f aca="false">IF(BOE!$A28="","",BOE!$C28)</f>
        <v>Review of ECPs, change notices, deficiency reports, waivers</v>
      </c>
      <c r="C59" s="54" t="n">
        <f aca="false">IF(OR(BOE!$A28="",BOE!$E28&lt;&gt;"Y"),"",BOE!$O28)</f>
        <v>46877</v>
      </c>
      <c r="D59" s="54" t="n">
        <f aca="false">IF(OR(BOE!$A28="",BOE!$E28&lt;&gt;"Y"),"",BOE!$P28)</f>
        <v>47483</v>
      </c>
      <c r="E59" s="55" t="n">
        <f aca="false">IF(OR(BOE!$A28="",BOE!$E28&lt;&gt;"Y"),"",IF(Inputs!$B$7="P90",BOE!$T28,BOE!$R28))</f>
        <v>480</v>
      </c>
      <c r="F59" s="64" t="str">
        <f aca="false">IF(OR(F$4="",$C59="",$D59=""),"",IF(AND($C59&lt;EDATE(F$4,1),$D59&gt;=F$4),1,""))</f>
        <v/>
      </c>
      <c r="G59" s="64" t="str">
        <f aca="false">IF(OR(G$4="",$C59="",$D59=""),"",IF(AND($C59&lt;EDATE(G$4,1),$D59&gt;=G$4),1,""))</f>
        <v/>
      </c>
      <c r="H59" s="64" t="str">
        <f aca="false">IF(OR(H$4="",$C59="",$D59=""),"",IF(AND($C59&lt;EDATE(H$4,1),$D59&gt;=H$4),1,""))</f>
        <v/>
      </c>
      <c r="I59" s="64" t="str">
        <f aca="false">IF(OR(I$4="",$C59="",$D59=""),"",IF(AND($C59&lt;EDATE(I$4,1),$D59&gt;=I$4),1,""))</f>
        <v/>
      </c>
      <c r="J59" s="64" t="str">
        <f aca="false">IF(OR(J$4="",$C59="",$D59=""),"",IF(AND($C59&lt;EDATE(J$4,1),$D59&gt;=J$4),1,""))</f>
        <v/>
      </c>
      <c r="K59" s="64" t="str">
        <f aca="false">IF(OR(K$4="",$C59="",$D59=""),"",IF(AND($C59&lt;EDATE(K$4,1),$D59&gt;=K$4),1,""))</f>
        <v/>
      </c>
      <c r="L59" s="64" t="str">
        <f aca="false">IF(OR(L$4="",$C59="",$D59=""),"",IF(AND($C59&lt;EDATE(L$4,1),$D59&gt;=L$4),1,""))</f>
        <v/>
      </c>
      <c r="M59" s="64" t="str">
        <f aca="false">IF(OR(M$4="",$C59="",$D59=""),"",IF(AND($C59&lt;EDATE(M$4,1),$D59&gt;=M$4),1,""))</f>
        <v/>
      </c>
      <c r="N59" s="64" t="str">
        <f aca="false">IF(OR(N$4="",$C59="",$D59=""),"",IF(AND($C59&lt;EDATE(N$4,1),$D59&gt;=N$4),1,""))</f>
        <v/>
      </c>
      <c r="O59" s="64" t="str">
        <f aca="false">IF(OR(O$4="",$C59="",$D59=""),"",IF(AND($C59&lt;EDATE(O$4,1),$D59&gt;=O$4),1,""))</f>
        <v/>
      </c>
      <c r="P59" s="64" t="str">
        <f aca="false">IF(OR(P$4="",$C59="",$D59=""),"",IF(AND($C59&lt;EDATE(P$4,1),$D59&gt;=P$4),1,""))</f>
        <v/>
      </c>
      <c r="Q59" s="64" t="str">
        <f aca="false">IF(OR(Q$4="",$C59="",$D59=""),"",IF(AND($C59&lt;EDATE(Q$4,1),$D59&gt;=Q$4),1,""))</f>
        <v/>
      </c>
      <c r="R59" s="64" t="str">
        <f aca="false">IF(OR(R$4="",$C59="",$D59=""),"",IF(AND($C59&lt;EDATE(R$4,1),$D59&gt;=R$4),1,""))</f>
        <v/>
      </c>
      <c r="S59" s="64" t="str">
        <f aca="false">IF(OR(S$4="",$C59="",$D59=""),"",IF(AND($C59&lt;EDATE(S$4,1),$D59&gt;=S$4),1,""))</f>
        <v/>
      </c>
      <c r="T59" s="64" t="str">
        <f aca="false">IF(OR(T$4="",$C59="",$D59=""),"",IF(AND($C59&lt;EDATE(T$4,1),$D59&gt;=T$4),1,""))</f>
        <v/>
      </c>
      <c r="U59" s="64" t="str">
        <f aca="false">IF(OR(U$4="",$C59="",$D59=""),"",IF(AND($C59&lt;EDATE(U$4,1),$D59&gt;=U$4),1,""))</f>
        <v/>
      </c>
      <c r="V59" s="64" t="n">
        <f aca="false">IF(OR(V$4="",$C59="",$D59=""),"",IF(AND($C59&lt;EDATE(V$4,1),$D59&gt;=V$4),1,""))</f>
        <v>1</v>
      </c>
      <c r="W59" s="64" t="n">
        <f aca="false">IF(OR(W$4="",$C59="",$D59=""),"",IF(AND($C59&lt;EDATE(W$4,1),$D59&gt;=W$4),1,""))</f>
        <v>1</v>
      </c>
      <c r="X59" s="64" t="n">
        <f aca="false">IF(OR(X$4="",$C59="",$D59=""),"",IF(AND($C59&lt;EDATE(X$4,1),$D59&gt;=X$4),1,""))</f>
        <v>1</v>
      </c>
      <c r="Y59" s="64" t="n">
        <f aca="false">IF(OR(Y$4="",$C59="",$D59=""),"",IF(AND($C59&lt;EDATE(Y$4,1),$D59&gt;=Y$4),1,""))</f>
        <v>1</v>
      </c>
      <c r="Z59" s="64" t="n">
        <f aca="false">IF(OR(Z$4="",$C59="",$D59=""),"",IF(AND($C59&lt;EDATE(Z$4,1),$D59&gt;=Z$4),1,""))</f>
        <v>1</v>
      </c>
      <c r="AA59" s="64" t="n">
        <f aca="false">IF(OR(AA$4="",$C59="",$D59=""),"",IF(AND($C59&lt;EDATE(AA$4,1),$D59&gt;=AA$4),1,""))</f>
        <v>1</v>
      </c>
      <c r="AB59" s="64" t="n">
        <f aca="false">IF(OR(AB$4="",$C59="",$D59=""),"",IF(AND($C59&lt;EDATE(AB$4,1),$D59&gt;=AB$4),1,""))</f>
        <v>1</v>
      </c>
      <c r="AC59" s="64" t="n">
        <f aca="false">IF(OR(AC$4="",$C59="",$D59=""),"",IF(AND($C59&lt;EDATE(AC$4,1),$D59&gt;=AC$4),1,""))</f>
        <v>1</v>
      </c>
      <c r="AD59" s="64" t="n">
        <f aca="false">IF(OR(AD$4="",$C59="",$D59=""),"",IF(AND($C59&lt;EDATE(AD$4,1),$D59&gt;=AD$4),1,""))</f>
        <v>1</v>
      </c>
      <c r="AE59" s="64" t="n">
        <f aca="false">IF(OR(AE$4="",$C59="",$D59=""),"",IF(AND($C59&lt;EDATE(AE$4,1),$D59&gt;=AE$4),1,""))</f>
        <v>1</v>
      </c>
      <c r="AF59" s="64" t="n">
        <f aca="false">IF(OR(AF$4="",$C59="",$D59=""),"",IF(AND($C59&lt;EDATE(AF$4,1),$D59&gt;=AF$4),1,""))</f>
        <v>1</v>
      </c>
      <c r="AG59" s="64" t="n">
        <f aca="false">IF(OR(AG$4="",$C59="",$D59=""),"",IF(AND($C59&lt;EDATE(AG$4,1),$D59&gt;=AG$4),1,""))</f>
        <v>1</v>
      </c>
      <c r="AH59" s="64" t="n">
        <f aca="false">IF(OR(AH$4="",$C59="",$D59=""),"",IF(AND($C59&lt;EDATE(AH$4,1),$D59&gt;=AH$4),1,""))</f>
        <v>1</v>
      </c>
      <c r="AI59" s="64" t="n">
        <f aca="false">IF(OR(AI$4="",$C59="",$D59=""),"",IF(AND($C59&lt;EDATE(AI$4,1),$D59&gt;=AI$4),1,""))</f>
        <v>1</v>
      </c>
      <c r="AJ59" s="64" t="n">
        <f aca="false">IF(OR(AJ$4="",$C59="",$D59=""),"",IF(AND($C59&lt;EDATE(AJ$4,1),$D59&gt;=AJ$4),1,""))</f>
        <v>1</v>
      </c>
      <c r="AK59" s="64" t="n">
        <f aca="false">IF(OR(AK$4="",$C59="",$D59=""),"",IF(AND($C59&lt;EDATE(AK$4,1),$D59&gt;=AK$4),1,""))</f>
        <v>1</v>
      </c>
      <c r="AL59" s="64" t="n">
        <f aca="false">IF(OR(AL$4="",$C59="",$D59=""),"",IF(AND($C59&lt;EDATE(AL$4,1),$D59&gt;=AL$4),1,""))</f>
        <v>1</v>
      </c>
      <c r="AM59" s="64" t="n">
        <f aca="false">IF(OR(AM$4="",$C59="",$D59=""),"",IF(AND($C59&lt;EDATE(AM$4,1),$D59&gt;=AM$4),1,""))</f>
        <v>1</v>
      </c>
      <c r="AN59" s="64" t="n">
        <f aca="false">IF(OR(AN$4="",$C59="",$D59=""),"",IF(AND($C59&lt;EDATE(AN$4,1),$D59&gt;=AN$4),1,""))</f>
        <v>1</v>
      </c>
      <c r="AO59" s="64" t="n">
        <f aca="false">IF(OR(AO$4="",$C59="",$D59=""),"",IF(AND($C59&lt;EDATE(AO$4,1),$D59&gt;=AO$4),1,""))</f>
        <v>1</v>
      </c>
      <c r="AP59" s="64" t="str">
        <f aca="false">IF(OR(AP$4="",$C59="",$D59=""),"",IF(AND($C59&lt;EDATE(AP$4,1),$D59&gt;=AP$4),1,""))</f>
        <v/>
      </c>
      <c r="AQ59" s="64" t="str">
        <f aca="false">IF(OR(AQ$4="",$C59="",$D59=""),"",IF(AND($C59&lt;EDATE(AQ$4,1),$D59&gt;=AQ$4),1,""))</f>
        <v/>
      </c>
      <c r="AR59" s="64" t="str">
        <f aca="false">IF(OR(AR$4="",$C59="",$D59=""),"",IF(AND($C59&lt;EDATE(AR$4,1),$D59&gt;=AR$4),1,""))</f>
        <v/>
      </c>
      <c r="AS59" s="64" t="str">
        <f aca="false">IF(OR(AS$4="",$C59="",$D59=""),"",IF(AND($C59&lt;EDATE(AS$4,1),$D59&gt;=AS$4),1,""))</f>
        <v/>
      </c>
      <c r="AT59" s="64" t="str">
        <f aca="false">IF(OR(AT$4="",$C59="",$D59=""),"",IF(AND($C59&lt;EDATE(AT$4,1),$D59&gt;=AT$4),1,""))</f>
        <v/>
      </c>
      <c r="AU59" s="64" t="str">
        <f aca="false">IF(OR(AU$4="",$C59="",$D59=""),"",IF(AND($C59&lt;EDATE(AU$4,1),$D59&gt;=AU$4),1,""))</f>
        <v/>
      </c>
      <c r="AV59" s="64" t="str">
        <f aca="false">IF(OR(AV$4="",$C59="",$D59=""),"",IF(AND($C59&lt;EDATE(AV$4,1),$D59&gt;=AV$4),1,""))</f>
        <v/>
      </c>
      <c r="AW59" s="64" t="str">
        <f aca="false">IF(OR(AW$4="",$C59="",$D59=""),"",IF(AND($C59&lt;EDATE(AW$4,1),$D59&gt;=AW$4),1,""))</f>
        <v/>
      </c>
      <c r="AX59" s="64" t="str">
        <f aca="false">IF(OR(AX$4="",$C59="",$D59=""),"",IF(AND($C59&lt;EDATE(AX$4,1),$D59&gt;=AX$4),1,""))</f>
        <v/>
      </c>
      <c r="AY59" s="64" t="str">
        <f aca="false">IF(OR(AY$4="",$C59="",$D59=""),"",IF(AND($C59&lt;EDATE(AY$4,1),$D59&gt;=AY$4),1,""))</f>
        <v/>
      </c>
      <c r="AZ59" s="64" t="str">
        <f aca="false">IF(OR(AZ$4="",$C59="",$D59=""),"",IF(AND($C59&lt;EDATE(AZ$4,1),$D59&gt;=AZ$4),1,""))</f>
        <v/>
      </c>
      <c r="BA59" s="64" t="str">
        <f aca="false">IF(OR(BA$4="",$C59="",$D59=""),"",IF(AND($C59&lt;EDATE(BA$4,1),$D59&gt;=BA$4),1,""))</f>
        <v/>
      </c>
      <c r="BB59" s="64" t="str">
        <f aca="false">IF(OR(BB$4="",$C59="",$D59=""),"",IF(AND($C59&lt;EDATE(BB$4,1),$D59&gt;=BB$4),1,""))</f>
        <v/>
      </c>
      <c r="BC59" s="64" t="str">
        <f aca="false">IF(OR(BC$4="",$C59="",$D59=""),"",IF(AND($C59&lt;EDATE(BC$4,1),$D59&gt;=BC$4),1,""))</f>
        <v/>
      </c>
      <c r="BD59" s="64" t="str">
        <f aca="false">IF(OR(BD$4="",$C59="",$D59=""),"",IF(AND($C59&lt;EDATE(BD$4,1),$D59&gt;=BD$4),1,""))</f>
        <v/>
      </c>
      <c r="BE59" s="64" t="str">
        <f aca="false">IF(OR(BE$4="",$C59="",$D59=""),"",IF(AND($C59&lt;EDATE(BE$4,1),$D59&gt;=BE$4),1,""))</f>
        <v/>
      </c>
      <c r="BF59" s="64" t="str">
        <f aca="false">IF(OR(BF$4="",$C59="",$D59=""),"",IF(AND($C59&lt;EDATE(BF$4,1),$D59&gt;=BF$4),1,""))</f>
        <v/>
      </c>
      <c r="BG59" s="64" t="str">
        <f aca="false">IF(OR(BG$4="",$C59="",$D59=""),"",IF(AND($C59&lt;EDATE(BG$4,1),$D59&gt;=BG$4),1,""))</f>
        <v/>
      </c>
      <c r="BH59" s="64" t="str">
        <f aca="false">IF(OR(BH$4="",$C59="",$D59=""),"",IF(AND($C59&lt;EDATE(BH$4,1),$D59&gt;=BH$4),1,""))</f>
        <v/>
      </c>
      <c r="BI59" s="64" t="str">
        <f aca="false">IF(OR(BI$4="",$C59="",$D59=""),"",IF(AND($C59&lt;EDATE(BI$4,1),$D59&gt;=BI$4),1,""))</f>
        <v/>
      </c>
      <c r="BJ59" s="64" t="str">
        <f aca="false">IF(OR(BJ$4="",$C59="",$D59=""),"",IF(AND($C59&lt;EDATE(BJ$4,1),$D59&gt;=BJ$4),1,""))</f>
        <v/>
      </c>
      <c r="BK59" s="64" t="str">
        <f aca="false">IF(OR(BK$4="",$C59="",$D59=""),"",IF(AND($C59&lt;EDATE(BK$4,1),$D59&gt;=BK$4),1,""))</f>
        <v/>
      </c>
      <c r="BL59" s="64" t="str">
        <f aca="false">IF(OR(BL$4="",$C59="",$D59=""),"",IF(AND($C59&lt;EDATE(BL$4,1),$D59&gt;=BL$4),1,""))</f>
        <v/>
      </c>
      <c r="BM59" s="64" t="str">
        <f aca="false">IF(OR(BM$4="",$C59="",$D59=""),"",IF(AND($C59&lt;EDATE(BM$4,1),$D59&gt;=BM$4),1,""))</f>
        <v/>
      </c>
      <c r="BN59" s="64" t="str">
        <f aca="false">IF(OR(BN$4="",$C59="",$D59=""),"",IF(AND($C59&lt;EDATE(BN$4,1),$D59&gt;=BN$4),1,""))</f>
        <v/>
      </c>
      <c r="BO59" s="64" t="str">
        <f aca="false">IF(OR(BO$4="",$C59="",$D59=""),"",IF(AND($C59&lt;EDATE(BO$4,1),$D59&gt;=BO$4),1,""))</f>
        <v/>
      </c>
      <c r="BP59" s="64" t="str">
        <f aca="false">IF(OR(BP$4="",$C59="",$D59=""),"",IF(AND($C59&lt;EDATE(BP$4,1),$D59&gt;=BP$4),1,""))</f>
        <v/>
      </c>
      <c r="BQ59" s="64" t="str">
        <f aca="false">IF(OR(BQ$4="",$C59="",$D59=""),"",IF(AND($C59&lt;EDATE(BQ$4,1),$D59&gt;=BQ$4),1,""))</f>
        <v/>
      </c>
      <c r="BR59" s="64" t="str">
        <f aca="false">IF(OR(BR$4="",$C59="",$D59=""),"",IF(AND($C59&lt;EDATE(BR$4,1),$D59&gt;=BR$4),1,""))</f>
        <v/>
      </c>
      <c r="BS59" s="64" t="str">
        <f aca="false">IF(OR(BS$4="",$C59="",$D59=""),"",IF(AND($C59&lt;EDATE(BS$4,1),$D59&gt;=BS$4),1,""))</f>
        <v/>
      </c>
      <c r="BT59" s="64" t="str">
        <f aca="false">IF(OR(BT$4="",$C59="",$D59=""),"",IF(AND($C59&lt;EDATE(BT$4,1),$D59&gt;=BT$4),1,""))</f>
        <v/>
      </c>
      <c r="BU59" s="64" t="str">
        <f aca="false">IF(OR(BU$4="",$C59="",$D59=""),"",IF(AND($C59&lt;EDATE(BU$4,1),$D59&gt;=BU$4),1,""))</f>
        <v/>
      </c>
      <c r="BV59" s="64" t="str">
        <f aca="false">IF(OR(BV$4="",$C59="",$D59=""),"",IF(AND($C59&lt;EDATE(BV$4,1),$D59&gt;=BV$4),1,""))</f>
        <v/>
      </c>
      <c r="BW59" s="64" t="str">
        <f aca="false">IF(OR(BW$4="",$C59="",$D59=""),"",IF(AND($C59&lt;EDATE(BW$4,1),$D59&gt;=BW$4),1,""))</f>
        <v/>
      </c>
      <c r="BX59" s="64" t="str">
        <f aca="false">IF(OR(BX$4="",$C59="",$D59=""),"",IF(AND($C59&lt;EDATE(BX$4,1),$D59&gt;=BX$4),1,""))</f>
        <v/>
      </c>
      <c r="BY59" s="64" t="str">
        <f aca="false">IF(OR(BY$4="",$C59="",$D59=""),"",IF(AND($C59&lt;EDATE(BY$4,1),$D59&gt;=BY$4),1,""))</f>
        <v/>
      </c>
    </row>
    <row r="60" customFormat="false" ht="15" hidden="false" customHeight="false" outlineLevel="0" collapsed="false">
      <c r="A60" s="53" t="str">
        <f aca="false">IF(BOE!$A29="","",BOE!$A29)</f>
        <v>401</v>
      </c>
      <c r="B60" s="53" t="str">
        <f aca="false">IF(BOE!$A29="","",BOE!$C29)</f>
        <v>Safety Verification (tests, demonstrations, induced/simulated failures)</v>
      </c>
      <c r="C60" s="54" t="n">
        <f aca="false">IF(OR(BOE!$A29="",BOE!$E29&lt;&gt;"Y"),"",BOE!$O29)</f>
        <v>46877</v>
      </c>
      <c r="D60" s="54" t="n">
        <f aca="false">IF(OR(BOE!$A29="",BOE!$E29&lt;&gt;"Y"),"",BOE!$P29)</f>
        <v>47334</v>
      </c>
      <c r="E60" s="55" t="n">
        <f aca="false">IF(OR(BOE!$A29="",BOE!$E29&lt;&gt;"Y"),"",IF(Inputs!$B$7="P90",BOE!$T29,BOE!$R29))</f>
        <v>728</v>
      </c>
      <c r="F60" s="64" t="str">
        <f aca="false">IF(OR(F$4="",$C60="",$D60=""),"",IF(AND($C60&lt;EDATE(F$4,1),$D60&gt;=F$4),1,""))</f>
        <v/>
      </c>
      <c r="G60" s="64" t="str">
        <f aca="false">IF(OR(G$4="",$C60="",$D60=""),"",IF(AND($C60&lt;EDATE(G$4,1),$D60&gt;=G$4),1,""))</f>
        <v/>
      </c>
      <c r="H60" s="64" t="str">
        <f aca="false">IF(OR(H$4="",$C60="",$D60=""),"",IF(AND($C60&lt;EDATE(H$4,1),$D60&gt;=H$4),1,""))</f>
        <v/>
      </c>
      <c r="I60" s="64" t="str">
        <f aca="false">IF(OR(I$4="",$C60="",$D60=""),"",IF(AND($C60&lt;EDATE(I$4,1),$D60&gt;=I$4),1,""))</f>
        <v/>
      </c>
      <c r="J60" s="64" t="str">
        <f aca="false">IF(OR(J$4="",$C60="",$D60=""),"",IF(AND($C60&lt;EDATE(J$4,1),$D60&gt;=J$4),1,""))</f>
        <v/>
      </c>
      <c r="K60" s="64" t="str">
        <f aca="false">IF(OR(K$4="",$C60="",$D60=""),"",IF(AND($C60&lt;EDATE(K$4,1),$D60&gt;=K$4),1,""))</f>
        <v/>
      </c>
      <c r="L60" s="64" t="str">
        <f aca="false">IF(OR(L$4="",$C60="",$D60=""),"",IF(AND($C60&lt;EDATE(L$4,1),$D60&gt;=L$4),1,""))</f>
        <v/>
      </c>
      <c r="M60" s="64" t="str">
        <f aca="false">IF(OR(M$4="",$C60="",$D60=""),"",IF(AND($C60&lt;EDATE(M$4,1),$D60&gt;=M$4),1,""))</f>
        <v/>
      </c>
      <c r="N60" s="64" t="str">
        <f aca="false">IF(OR(N$4="",$C60="",$D60=""),"",IF(AND($C60&lt;EDATE(N$4,1),$D60&gt;=N$4),1,""))</f>
        <v/>
      </c>
      <c r="O60" s="64" t="str">
        <f aca="false">IF(OR(O$4="",$C60="",$D60=""),"",IF(AND($C60&lt;EDATE(O$4,1),$D60&gt;=O$4),1,""))</f>
        <v/>
      </c>
      <c r="P60" s="64" t="str">
        <f aca="false">IF(OR(P$4="",$C60="",$D60=""),"",IF(AND($C60&lt;EDATE(P$4,1),$D60&gt;=P$4),1,""))</f>
        <v/>
      </c>
      <c r="Q60" s="64" t="str">
        <f aca="false">IF(OR(Q$4="",$C60="",$D60=""),"",IF(AND($C60&lt;EDATE(Q$4,1),$D60&gt;=Q$4),1,""))</f>
        <v/>
      </c>
      <c r="R60" s="64" t="str">
        <f aca="false">IF(OR(R$4="",$C60="",$D60=""),"",IF(AND($C60&lt;EDATE(R$4,1),$D60&gt;=R$4),1,""))</f>
        <v/>
      </c>
      <c r="S60" s="64" t="str">
        <f aca="false">IF(OR(S$4="",$C60="",$D60=""),"",IF(AND($C60&lt;EDATE(S$4,1),$D60&gt;=S$4),1,""))</f>
        <v/>
      </c>
      <c r="T60" s="64" t="str">
        <f aca="false">IF(OR(T$4="",$C60="",$D60=""),"",IF(AND($C60&lt;EDATE(T$4,1),$D60&gt;=T$4),1,""))</f>
        <v/>
      </c>
      <c r="U60" s="64" t="str">
        <f aca="false">IF(OR(U$4="",$C60="",$D60=""),"",IF(AND($C60&lt;EDATE(U$4,1),$D60&gt;=U$4),1,""))</f>
        <v/>
      </c>
      <c r="V60" s="64" t="n">
        <f aca="false">IF(OR(V$4="",$C60="",$D60=""),"",IF(AND($C60&lt;EDATE(V$4,1),$D60&gt;=V$4),1,""))</f>
        <v>1</v>
      </c>
      <c r="W60" s="64" t="n">
        <f aca="false">IF(OR(W$4="",$C60="",$D60=""),"",IF(AND($C60&lt;EDATE(W$4,1),$D60&gt;=W$4),1,""))</f>
        <v>1</v>
      </c>
      <c r="X60" s="64" t="n">
        <f aca="false">IF(OR(X$4="",$C60="",$D60=""),"",IF(AND($C60&lt;EDATE(X$4,1),$D60&gt;=X$4),1,""))</f>
        <v>1</v>
      </c>
      <c r="Y60" s="64" t="n">
        <f aca="false">IF(OR(Y$4="",$C60="",$D60=""),"",IF(AND($C60&lt;EDATE(Y$4,1),$D60&gt;=Y$4),1,""))</f>
        <v>1</v>
      </c>
      <c r="Z60" s="64" t="n">
        <f aca="false">IF(OR(Z$4="",$C60="",$D60=""),"",IF(AND($C60&lt;EDATE(Z$4,1),$D60&gt;=Z$4),1,""))</f>
        <v>1</v>
      </c>
      <c r="AA60" s="64" t="n">
        <f aca="false">IF(OR(AA$4="",$C60="",$D60=""),"",IF(AND($C60&lt;EDATE(AA$4,1),$D60&gt;=AA$4),1,""))</f>
        <v>1</v>
      </c>
      <c r="AB60" s="64" t="n">
        <f aca="false">IF(OR(AB$4="",$C60="",$D60=""),"",IF(AND($C60&lt;EDATE(AB$4,1),$D60&gt;=AB$4),1,""))</f>
        <v>1</v>
      </c>
      <c r="AC60" s="64" t="n">
        <f aca="false">IF(OR(AC$4="",$C60="",$D60=""),"",IF(AND($C60&lt;EDATE(AC$4,1),$D60&gt;=AC$4),1,""))</f>
        <v>1</v>
      </c>
      <c r="AD60" s="64" t="n">
        <f aca="false">IF(OR(AD$4="",$C60="",$D60=""),"",IF(AND($C60&lt;EDATE(AD$4,1),$D60&gt;=AD$4),1,""))</f>
        <v>1</v>
      </c>
      <c r="AE60" s="64" t="n">
        <f aca="false">IF(OR(AE$4="",$C60="",$D60=""),"",IF(AND($C60&lt;EDATE(AE$4,1),$D60&gt;=AE$4),1,""))</f>
        <v>1</v>
      </c>
      <c r="AF60" s="64" t="n">
        <f aca="false">IF(OR(AF$4="",$C60="",$D60=""),"",IF(AND($C60&lt;EDATE(AF$4,1),$D60&gt;=AF$4),1,""))</f>
        <v>1</v>
      </c>
      <c r="AG60" s="64" t="n">
        <f aca="false">IF(OR(AG$4="",$C60="",$D60=""),"",IF(AND($C60&lt;EDATE(AG$4,1),$D60&gt;=AG$4),1,""))</f>
        <v>1</v>
      </c>
      <c r="AH60" s="64" t="n">
        <f aca="false">IF(OR(AH$4="",$C60="",$D60=""),"",IF(AND($C60&lt;EDATE(AH$4,1),$D60&gt;=AH$4),1,""))</f>
        <v>1</v>
      </c>
      <c r="AI60" s="64" t="n">
        <f aca="false">IF(OR(AI$4="",$C60="",$D60=""),"",IF(AND($C60&lt;EDATE(AI$4,1),$D60&gt;=AI$4),1,""))</f>
        <v>1</v>
      </c>
      <c r="AJ60" s="64" t="n">
        <f aca="false">IF(OR(AJ$4="",$C60="",$D60=""),"",IF(AND($C60&lt;EDATE(AJ$4,1),$D60&gt;=AJ$4),1,""))</f>
        <v>1</v>
      </c>
      <c r="AK60" s="64" t="n">
        <f aca="false">IF(OR(AK$4="",$C60="",$D60=""),"",IF(AND($C60&lt;EDATE(AK$4,1),$D60&gt;=AK$4),1,""))</f>
        <v>1</v>
      </c>
      <c r="AL60" s="64" t="str">
        <f aca="false">IF(OR(AL$4="",$C60="",$D60=""),"",IF(AND($C60&lt;EDATE(AL$4,1),$D60&gt;=AL$4),1,""))</f>
        <v/>
      </c>
      <c r="AM60" s="64" t="str">
        <f aca="false">IF(OR(AM$4="",$C60="",$D60=""),"",IF(AND($C60&lt;EDATE(AM$4,1),$D60&gt;=AM$4),1,""))</f>
        <v/>
      </c>
      <c r="AN60" s="64" t="str">
        <f aca="false">IF(OR(AN$4="",$C60="",$D60=""),"",IF(AND($C60&lt;EDATE(AN$4,1),$D60&gt;=AN$4),1,""))</f>
        <v/>
      </c>
      <c r="AO60" s="64" t="str">
        <f aca="false">IF(OR(AO$4="",$C60="",$D60=""),"",IF(AND($C60&lt;EDATE(AO$4,1),$D60&gt;=AO$4),1,""))</f>
        <v/>
      </c>
      <c r="AP60" s="64" t="str">
        <f aca="false">IF(OR(AP$4="",$C60="",$D60=""),"",IF(AND($C60&lt;EDATE(AP$4,1),$D60&gt;=AP$4),1,""))</f>
        <v/>
      </c>
      <c r="AQ60" s="64" t="str">
        <f aca="false">IF(OR(AQ$4="",$C60="",$D60=""),"",IF(AND($C60&lt;EDATE(AQ$4,1),$D60&gt;=AQ$4),1,""))</f>
        <v/>
      </c>
      <c r="AR60" s="64" t="str">
        <f aca="false">IF(OR(AR$4="",$C60="",$D60=""),"",IF(AND($C60&lt;EDATE(AR$4,1),$D60&gt;=AR$4),1,""))</f>
        <v/>
      </c>
      <c r="AS60" s="64" t="str">
        <f aca="false">IF(OR(AS$4="",$C60="",$D60=""),"",IF(AND($C60&lt;EDATE(AS$4,1),$D60&gt;=AS$4),1,""))</f>
        <v/>
      </c>
      <c r="AT60" s="64" t="str">
        <f aca="false">IF(OR(AT$4="",$C60="",$D60=""),"",IF(AND($C60&lt;EDATE(AT$4,1),$D60&gt;=AT$4),1,""))</f>
        <v/>
      </c>
      <c r="AU60" s="64" t="str">
        <f aca="false">IF(OR(AU$4="",$C60="",$D60=""),"",IF(AND($C60&lt;EDATE(AU$4,1),$D60&gt;=AU$4),1,""))</f>
        <v/>
      </c>
      <c r="AV60" s="64" t="str">
        <f aca="false">IF(OR(AV$4="",$C60="",$D60=""),"",IF(AND($C60&lt;EDATE(AV$4,1),$D60&gt;=AV$4),1,""))</f>
        <v/>
      </c>
      <c r="AW60" s="64" t="str">
        <f aca="false">IF(OR(AW$4="",$C60="",$D60=""),"",IF(AND($C60&lt;EDATE(AW$4,1),$D60&gt;=AW$4),1,""))</f>
        <v/>
      </c>
      <c r="AX60" s="64" t="str">
        <f aca="false">IF(OR(AX$4="",$C60="",$D60=""),"",IF(AND($C60&lt;EDATE(AX$4,1),$D60&gt;=AX$4),1,""))</f>
        <v/>
      </c>
      <c r="AY60" s="64" t="str">
        <f aca="false">IF(OR(AY$4="",$C60="",$D60=""),"",IF(AND($C60&lt;EDATE(AY$4,1),$D60&gt;=AY$4),1,""))</f>
        <v/>
      </c>
      <c r="AZ60" s="64" t="str">
        <f aca="false">IF(OR(AZ$4="",$C60="",$D60=""),"",IF(AND($C60&lt;EDATE(AZ$4,1),$D60&gt;=AZ$4),1,""))</f>
        <v/>
      </c>
      <c r="BA60" s="64" t="str">
        <f aca="false">IF(OR(BA$4="",$C60="",$D60=""),"",IF(AND($C60&lt;EDATE(BA$4,1),$D60&gt;=BA$4),1,""))</f>
        <v/>
      </c>
      <c r="BB60" s="64" t="str">
        <f aca="false">IF(OR(BB$4="",$C60="",$D60=""),"",IF(AND($C60&lt;EDATE(BB$4,1),$D60&gt;=BB$4),1,""))</f>
        <v/>
      </c>
      <c r="BC60" s="64" t="str">
        <f aca="false">IF(OR(BC$4="",$C60="",$D60=""),"",IF(AND($C60&lt;EDATE(BC$4,1),$D60&gt;=BC$4),1,""))</f>
        <v/>
      </c>
      <c r="BD60" s="64" t="str">
        <f aca="false">IF(OR(BD$4="",$C60="",$D60=""),"",IF(AND($C60&lt;EDATE(BD$4,1),$D60&gt;=BD$4),1,""))</f>
        <v/>
      </c>
      <c r="BE60" s="64" t="str">
        <f aca="false">IF(OR(BE$4="",$C60="",$D60=""),"",IF(AND($C60&lt;EDATE(BE$4,1),$D60&gt;=BE$4),1,""))</f>
        <v/>
      </c>
      <c r="BF60" s="64" t="str">
        <f aca="false">IF(OR(BF$4="",$C60="",$D60=""),"",IF(AND($C60&lt;EDATE(BF$4,1),$D60&gt;=BF$4),1,""))</f>
        <v/>
      </c>
      <c r="BG60" s="64" t="str">
        <f aca="false">IF(OR(BG$4="",$C60="",$D60=""),"",IF(AND($C60&lt;EDATE(BG$4,1),$D60&gt;=BG$4),1,""))</f>
        <v/>
      </c>
      <c r="BH60" s="64" t="str">
        <f aca="false">IF(OR(BH$4="",$C60="",$D60=""),"",IF(AND($C60&lt;EDATE(BH$4,1),$D60&gt;=BH$4),1,""))</f>
        <v/>
      </c>
      <c r="BI60" s="64" t="str">
        <f aca="false">IF(OR(BI$4="",$C60="",$D60=""),"",IF(AND($C60&lt;EDATE(BI$4,1),$D60&gt;=BI$4),1,""))</f>
        <v/>
      </c>
      <c r="BJ60" s="64" t="str">
        <f aca="false">IF(OR(BJ$4="",$C60="",$D60=""),"",IF(AND($C60&lt;EDATE(BJ$4,1),$D60&gt;=BJ$4),1,""))</f>
        <v/>
      </c>
      <c r="BK60" s="64" t="str">
        <f aca="false">IF(OR(BK$4="",$C60="",$D60=""),"",IF(AND($C60&lt;EDATE(BK$4,1),$D60&gt;=BK$4),1,""))</f>
        <v/>
      </c>
      <c r="BL60" s="64" t="str">
        <f aca="false">IF(OR(BL$4="",$C60="",$D60=""),"",IF(AND($C60&lt;EDATE(BL$4,1),$D60&gt;=BL$4),1,""))</f>
        <v/>
      </c>
      <c r="BM60" s="64" t="str">
        <f aca="false">IF(OR(BM$4="",$C60="",$D60=""),"",IF(AND($C60&lt;EDATE(BM$4,1),$D60&gt;=BM$4),1,""))</f>
        <v/>
      </c>
      <c r="BN60" s="64" t="str">
        <f aca="false">IF(OR(BN$4="",$C60="",$D60=""),"",IF(AND($C60&lt;EDATE(BN$4,1),$D60&gt;=BN$4),1,""))</f>
        <v/>
      </c>
      <c r="BO60" s="64" t="str">
        <f aca="false">IF(OR(BO$4="",$C60="",$D60=""),"",IF(AND($C60&lt;EDATE(BO$4,1),$D60&gt;=BO$4),1,""))</f>
        <v/>
      </c>
      <c r="BP60" s="64" t="str">
        <f aca="false">IF(OR(BP$4="",$C60="",$D60=""),"",IF(AND($C60&lt;EDATE(BP$4,1),$D60&gt;=BP$4),1,""))</f>
        <v/>
      </c>
      <c r="BQ60" s="64" t="str">
        <f aca="false">IF(OR(BQ$4="",$C60="",$D60=""),"",IF(AND($C60&lt;EDATE(BQ$4,1),$D60&gt;=BQ$4),1,""))</f>
        <v/>
      </c>
      <c r="BR60" s="64" t="str">
        <f aca="false">IF(OR(BR$4="",$C60="",$D60=""),"",IF(AND($C60&lt;EDATE(BR$4,1),$D60&gt;=BR$4),1,""))</f>
        <v/>
      </c>
      <c r="BS60" s="64" t="str">
        <f aca="false">IF(OR(BS$4="",$C60="",$D60=""),"",IF(AND($C60&lt;EDATE(BS$4,1),$D60&gt;=BS$4),1,""))</f>
        <v/>
      </c>
      <c r="BT60" s="64" t="str">
        <f aca="false">IF(OR(BT$4="",$C60="",$D60=""),"",IF(AND($C60&lt;EDATE(BT$4,1),$D60&gt;=BT$4),1,""))</f>
        <v/>
      </c>
      <c r="BU60" s="64" t="str">
        <f aca="false">IF(OR(BU$4="",$C60="",$D60=""),"",IF(AND($C60&lt;EDATE(BU$4,1),$D60&gt;=BU$4),1,""))</f>
        <v/>
      </c>
      <c r="BV60" s="64" t="str">
        <f aca="false">IF(OR(BV$4="",$C60="",$D60=""),"",IF(AND($C60&lt;EDATE(BV$4,1),$D60&gt;=BV$4),1,""))</f>
        <v/>
      </c>
      <c r="BW60" s="64" t="str">
        <f aca="false">IF(OR(BW$4="",$C60="",$D60=""),"",IF(AND($C60&lt;EDATE(BW$4,1),$D60&gt;=BW$4),1,""))</f>
        <v/>
      </c>
      <c r="BX60" s="64" t="str">
        <f aca="false">IF(OR(BX$4="",$C60="",$D60=""),"",IF(AND($C60&lt;EDATE(BX$4,1),$D60&gt;=BX$4),1,""))</f>
        <v/>
      </c>
      <c r="BY60" s="64" t="str">
        <f aca="false">IF(OR(BY$4="",$C60="",$D60=""),"",IF(AND($C60&lt;EDATE(BY$4,1),$D60&gt;=BY$4),1,""))</f>
        <v/>
      </c>
    </row>
    <row r="61" customFormat="false" ht="15" hidden="false" customHeight="false" outlineLevel="0" collapsed="false">
      <c r="A61" s="53" t="str">
        <f aca="false">IF(BOE!$A30="","",BOE!$A30)</f>
        <v>402</v>
      </c>
      <c r="B61" s="53" t="str">
        <f aca="false">IF(BOE!$A30="","",BOE!$C30)</f>
        <v>Explosives Hazard Classification Data</v>
      </c>
      <c r="C61" s="54" t="str">
        <f aca="false">IF(OR(BOE!$A30="",BOE!$E30&lt;&gt;"Y"),"",BOE!$O30)</f>
        <v/>
      </c>
      <c r="D61" s="54" t="str">
        <f aca="false">IF(OR(BOE!$A30="",BOE!$E30&lt;&gt;"Y"),"",BOE!$P30)</f>
        <v/>
      </c>
      <c r="E61" s="55" t="str">
        <f aca="false">IF(OR(BOE!$A30="",BOE!$E30&lt;&gt;"Y"),"",IF(Inputs!$B$7="P90",BOE!$T30,BOE!$R30))</f>
        <v/>
      </c>
      <c r="F61" s="64" t="str">
        <f aca="false">IF(OR(F$4="",$C61="",$D61=""),"",IF(AND($C61&lt;EDATE(F$4,1),$D61&gt;=F$4),1,""))</f>
        <v/>
      </c>
      <c r="G61" s="64" t="str">
        <f aca="false">IF(OR(G$4="",$C61="",$D61=""),"",IF(AND($C61&lt;EDATE(G$4,1),$D61&gt;=G$4),1,""))</f>
        <v/>
      </c>
      <c r="H61" s="64" t="str">
        <f aca="false">IF(OR(H$4="",$C61="",$D61=""),"",IF(AND($C61&lt;EDATE(H$4,1),$D61&gt;=H$4),1,""))</f>
        <v/>
      </c>
      <c r="I61" s="64" t="str">
        <f aca="false">IF(OR(I$4="",$C61="",$D61=""),"",IF(AND($C61&lt;EDATE(I$4,1),$D61&gt;=I$4),1,""))</f>
        <v/>
      </c>
      <c r="J61" s="64" t="str">
        <f aca="false">IF(OR(J$4="",$C61="",$D61=""),"",IF(AND($C61&lt;EDATE(J$4,1),$D61&gt;=J$4),1,""))</f>
        <v/>
      </c>
      <c r="K61" s="64" t="str">
        <f aca="false">IF(OR(K$4="",$C61="",$D61=""),"",IF(AND($C61&lt;EDATE(K$4,1),$D61&gt;=K$4),1,""))</f>
        <v/>
      </c>
      <c r="L61" s="64" t="str">
        <f aca="false">IF(OR(L$4="",$C61="",$D61=""),"",IF(AND($C61&lt;EDATE(L$4,1),$D61&gt;=L$4),1,""))</f>
        <v/>
      </c>
      <c r="M61" s="64" t="str">
        <f aca="false">IF(OR(M$4="",$C61="",$D61=""),"",IF(AND($C61&lt;EDATE(M$4,1),$D61&gt;=M$4),1,""))</f>
        <v/>
      </c>
      <c r="N61" s="64" t="str">
        <f aca="false">IF(OR(N$4="",$C61="",$D61=""),"",IF(AND($C61&lt;EDATE(N$4,1),$D61&gt;=N$4),1,""))</f>
        <v/>
      </c>
      <c r="O61" s="64" t="str">
        <f aca="false">IF(OR(O$4="",$C61="",$D61=""),"",IF(AND($C61&lt;EDATE(O$4,1),$D61&gt;=O$4),1,""))</f>
        <v/>
      </c>
      <c r="P61" s="64" t="str">
        <f aca="false">IF(OR(P$4="",$C61="",$D61=""),"",IF(AND($C61&lt;EDATE(P$4,1),$D61&gt;=P$4),1,""))</f>
        <v/>
      </c>
      <c r="Q61" s="64" t="str">
        <f aca="false">IF(OR(Q$4="",$C61="",$D61=""),"",IF(AND($C61&lt;EDATE(Q$4,1),$D61&gt;=Q$4),1,""))</f>
        <v/>
      </c>
      <c r="R61" s="64" t="str">
        <f aca="false">IF(OR(R$4="",$C61="",$D61=""),"",IF(AND($C61&lt;EDATE(R$4,1),$D61&gt;=R$4),1,""))</f>
        <v/>
      </c>
      <c r="S61" s="64" t="str">
        <f aca="false">IF(OR(S$4="",$C61="",$D61=""),"",IF(AND($C61&lt;EDATE(S$4,1),$D61&gt;=S$4),1,""))</f>
        <v/>
      </c>
      <c r="T61" s="64" t="str">
        <f aca="false">IF(OR(T$4="",$C61="",$D61=""),"",IF(AND($C61&lt;EDATE(T$4,1),$D61&gt;=T$4),1,""))</f>
        <v/>
      </c>
      <c r="U61" s="64" t="str">
        <f aca="false">IF(OR(U$4="",$C61="",$D61=""),"",IF(AND($C61&lt;EDATE(U$4,1),$D61&gt;=U$4),1,""))</f>
        <v/>
      </c>
      <c r="V61" s="64" t="str">
        <f aca="false">IF(OR(V$4="",$C61="",$D61=""),"",IF(AND($C61&lt;EDATE(V$4,1),$D61&gt;=V$4),1,""))</f>
        <v/>
      </c>
      <c r="W61" s="64" t="str">
        <f aca="false">IF(OR(W$4="",$C61="",$D61=""),"",IF(AND($C61&lt;EDATE(W$4,1),$D61&gt;=W$4),1,""))</f>
        <v/>
      </c>
      <c r="X61" s="64" t="str">
        <f aca="false">IF(OR(X$4="",$C61="",$D61=""),"",IF(AND($C61&lt;EDATE(X$4,1),$D61&gt;=X$4),1,""))</f>
        <v/>
      </c>
      <c r="Y61" s="64" t="str">
        <f aca="false">IF(OR(Y$4="",$C61="",$D61=""),"",IF(AND($C61&lt;EDATE(Y$4,1),$D61&gt;=Y$4),1,""))</f>
        <v/>
      </c>
      <c r="Z61" s="64" t="str">
        <f aca="false">IF(OR(Z$4="",$C61="",$D61=""),"",IF(AND($C61&lt;EDATE(Z$4,1),$D61&gt;=Z$4),1,""))</f>
        <v/>
      </c>
      <c r="AA61" s="64" t="str">
        <f aca="false">IF(OR(AA$4="",$C61="",$D61=""),"",IF(AND($C61&lt;EDATE(AA$4,1),$D61&gt;=AA$4),1,""))</f>
        <v/>
      </c>
      <c r="AB61" s="64" t="str">
        <f aca="false">IF(OR(AB$4="",$C61="",$D61=""),"",IF(AND($C61&lt;EDATE(AB$4,1),$D61&gt;=AB$4),1,""))</f>
        <v/>
      </c>
      <c r="AC61" s="64" t="str">
        <f aca="false">IF(OR(AC$4="",$C61="",$D61=""),"",IF(AND($C61&lt;EDATE(AC$4,1),$D61&gt;=AC$4),1,""))</f>
        <v/>
      </c>
      <c r="AD61" s="64" t="str">
        <f aca="false">IF(OR(AD$4="",$C61="",$D61=""),"",IF(AND($C61&lt;EDATE(AD$4,1),$D61&gt;=AD$4),1,""))</f>
        <v/>
      </c>
      <c r="AE61" s="64" t="str">
        <f aca="false">IF(OR(AE$4="",$C61="",$D61=""),"",IF(AND($C61&lt;EDATE(AE$4,1),$D61&gt;=AE$4),1,""))</f>
        <v/>
      </c>
      <c r="AF61" s="64" t="str">
        <f aca="false">IF(OR(AF$4="",$C61="",$D61=""),"",IF(AND($C61&lt;EDATE(AF$4,1),$D61&gt;=AF$4),1,""))</f>
        <v/>
      </c>
      <c r="AG61" s="64" t="str">
        <f aca="false">IF(OR(AG$4="",$C61="",$D61=""),"",IF(AND($C61&lt;EDATE(AG$4,1),$D61&gt;=AG$4),1,""))</f>
        <v/>
      </c>
      <c r="AH61" s="64" t="str">
        <f aca="false">IF(OR(AH$4="",$C61="",$D61=""),"",IF(AND($C61&lt;EDATE(AH$4,1),$D61&gt;=AH$4),1,""))</f>
        <v/>
      </c>
      <c r="AI61" s="64" t="str">
        <f aca="false">IF(OR(AI$4="",$C61="",$D61=""),"",IF(AND($C61&lt;EDATE(AI$4,1),$D61&gt;=AI$4),1,""))</f>
        <v/>
      </c>
      <c r="AJ61" s="64" t="str">
        <f aca="false">IF(OR(AJ$4="",$C61="",$D61=""),"",IF(AND($C61&lt;EDATE(AJ$4,1),$D61&gt;=AJ$4),1,""))</f>
        <v/>
      </c>
      <c r="AK61" s="64" t="str">
        <f aca="false">IF(OR(AK$4="",$C61="",$D61=""),"",IF(AND($C61&lt;EDATE(AK$4,1),$D61&gt;=AK$4),1,""))</f>
        <v/>
      </c>
      <c r="AL61" s="64" t="str">
        <f aca="false">IF(OR(AL$4="",$C61="",$D61=""),"",IF(AND($C61&lt;EDATE(AL$4,1),$D61&gt;=AL$4),1,""))</f>
        <v/>
      </c>
      <c r="AM61" s="64" t="str">
        <f aca="false">IF(OR(AM$4="",$C61="",$D61=""),"",IF(AND($C61&lt;EDATE(AM$4,1),$D61&gt;=AM$4),1,""))</f>
        <v/>
      </c>
      <c r="AN61" s="64" t="str">
        <f aca="false">IF(OR(AN$4="",$C61="",$D61=""),"",IF(AND($C61&lt;EDATE(AN$4,1),$D61&gt;=AN$4),1,""))</f>
        <v/>
      </c>
      <c r="AO61" s="64" t="str">
        <f aca="false">IF(OR(AO$4="",$C61="",$D61=""),"",IF(AND($C61&lt;EDATE(AO$4,1),$D61&gt;=AO$4),1,""))</f>
        <v/>
      </c>
      <c r="AP61" s="64" t="str">
        <f aca="false">IF(OR(AP$4="",$C61="",$D61=""),"",IF(AND($C61&lt;EDATE(AP$4,1),$D61&gt;=AP$4),1,""))</f>
        <v/>
      </c>
      <c r="AQ61" s="64" t="str">
        <f aca="false">IF(OR(AQ$4="",$C61="",$D61=""),"",IF(AND($C61&lt;EDATE(AQ$4,1),$D61&gt;=AQ$4),1,""))</f>
        <v/>
      </c>
      <c r="AR61" s="64" t="str">
        <f aca="false">IF(OR(AR$4="",$C61="",$D61=""),"",IF(AND($C61&lt;EDATE(AR$4,1),$D61&gt;=AR$4),1,""))</f>
        <v/>
      </c>
      <c r="AS61" s="64" t="str">
        <f aca="false">IF(OR(AS$4="",$C61="",$D61=""),"",IF(AND($C61&lt;EDATE(AS$4,1),$D61&gt;=AS$4),1,""))</f>
        <v/>
      </c>
      <c r="AT61" s="64" t="str">
        <f aca="false">IF(OR(AT$4="",$C61="",$D61=""),"",IF(AND($C61&lt;EDATE(AT$4,1),$D61&gt;=AT$4),1,""))</f>
        <v/>
      </c>
      <c r="AU61" s="64" t="str">
        <f aca="false">IF(OR(AU$4="",$C61="",$D61=""),"",IF(AND($C61&lt;EDATE(AU$4,1),$D61&gt;=AU$4),1,""))</f>
        <v/>
      </c>
      <c r="AV61" s="64" t="str">
        <f aca="false">IF(OR(AV$4="",$C61="",$D61=""),"",IF(AND($C61&lt;EDATE(AV$4,1),$D61&gt;=AV$4),1,""))</f>
        <v/>
      </c>
      <c r="AW61" s="64" t="str">
        <f aca="false">IF(OR(AW$4="",$C61="",$D61=""),"",IF(AND($C61&lt;EDATE(AW$4,1),$D61&gt;=AW$4),1,""))</f>
        <v/>
      </c>
      <c r="AX61" s="64" t="str">
        <f aca="false">IF(OR(AX$4="",$C61="",$D61=""),"",IF(AND($C61&lt;EDATE(AX$4,1),$D61&gt;=AX$4),1,""))</f>
        <v/>
      </c>
      <c r="AY61" s="64" t="str">
        <f aca="false">IF(OR(AY$4="",$C61="",$D61=""),"",IF(AND($C61&lt;EDATE(AY$4,1),$D61&gt;=AY$4),1,""))</f>
        <v/>
      </c>
      <c r="AZ61" s="64" t="str">
        <f aca="false">IF(OR(AZ$4="",$C61="",$D61=""),"",IF(AND($C61&lt;EDATE(AZ$4,1),$D61&gt;=AZ$4),1,""))</f>
        <v/>
      </c>
      <c r="BA61" s="64" t="str">
        <f aca="false">IF(OR(BA$4="",$C61="",$D61=""),"",IF(AND($C61&lt;EDATE(BA$4,1),$D61&gt;=BA$4),1,""))</f>
        <v/>
      </c>
      <c r="BB61" s="64" t="str">
        <f aca="false">IF(OR(BB$4="",$C61="",$D61=""),"",IF(AND($C61&lt;EDATE(BB$4,1),$D61&gt;=BB$4),1,""))</f>
        <v/>
      </c>
      <c r="BC61" s="64" t="str">
        <f aca="false">IF(OR(BC$4="",$C61="",$D61=""),"",IF(AND($C61&lt;EDATE(BC$4,1),$D61&gt;=BC$4),1,""))</f>
        <v/>
      </c>
      <c r="BD61" s="64" t="str">
        <f aca="false">IF(OR(BD$4="",$C61="",$D61=""),"",IF(AND($C61&lt;EDATE(BD$4,1),$D61&gt;=BD$4),1,""))</f>
        <v/>
      </c>
      <c r="BE61" s="64" t="str">
        <f aca="false">IF(OR(BE$4="",$C61="",$D61=""),"",IF(AND($C61&lt;EDATE(BE$4,1),$D61&gt;=BE$4),1,""))</f>
        <v/>
      </c>
      <c r="BF61" s="64" t="str">
        <f aca="false">IF(OR(BF$4="",$C61="",$D61=""),"",IF(AND($C61&lt;EDATE(BF$4,1),$D61&gt;=BF$4),1,""))</f>
        <v/>
      </c>
      <c r="BG61" s="64" t="str">
        <f aca="false">IF(OR(BG$4="",$C61="",$D61=""),"",IF(AND($C61&lt;EDATE(BG$4,1),$D61&gt;=BG$4),1,""))</f>
        <v/>
      </c>
      <c r="BH61" s="64" t="str">
        <f aca="false">IF(OR(BH$4="",$C61="",$D61=""),"",IF(AND($C61&lt;EDATE(BH$4,1),$D61&gt;=BH$4),1,""))</f>
        <v/>
      </c>
      <c r="BI61" s="64" t="str">
        <f aca="false">IF(OR(BI$4="",$C61="",$D61=""),"",IF(AND($C61&lt;EDATE(BI$4,1),$D61&gt;=BI$4),1,""))</f>
        <v/>
      </c>
      <c r="BJ61" s="64" t="str">
        <f aca="false">IF(OR(BJ$4="",$C61="",$D61=""),"",IF(AND($C61&lt;EDATE(BJ$4,1),$D61&gt;=BJ$4),1,""))</f>
        <v/>
      </c>
      <c r="BK61" s="64" t="str">
        <f aca="false">IF(OR(BK$4="",$C61="",$D61=""),"",IF(AND($C61&lt;EDATE(BK$4,1),$D61&gt;=BK$4),1,""))</f>
        <v/>
      </c>
      <c r="BL61" s="64" t="str">
        <f aca="false">IF(OR(BL$4="",$C61="",$D61=""),"",IF(AND($C61&lt;EDATE(BL$4,1),$D61&gt;=BL$4),1,""))</f>
        <v/>
      </c>
      <c r="BM61" s="64" t="str">
        <f aca="false">IF(OR(BM$4="",$C61="",$D61=""),"",IF(AND($C61&lt;EDATE(BM$4,1),$D61&gt;=BM$4),1,""))</f>
        <v/>
      </c>
      <c r="BN61" s="64" t="str">
        <f aca="false">IF(OR(BN$4="",$C61="",$D61=""),"",IF(AND($C61&lt;EDATE(BN$4,1),$D61&gt;=BN$4),1,""))</f>
        <v/>
      </c>
      <c r="BO61" s="64" t="str">
        <f aca="false">IF(OR(BO$4="",$C61="",$D61=""),"",IF(AND($C61&lt;EDATE(BO$4,1),$D61&gt;=BO$4),1,""))</f>
        <v/>
      </c>
      <c r="BP61" s="64" t="str">
        <f aca="false">IF(OR(BP$4="",$C61="",$D61=""),"",IF(AND($C61&lt;EDATE(BP$4,1),$D61&gt;=BP$4),1,""))</f>
        <v/>
      </c>
      <c r="BQ61" s="64" t="str">
        <f aca="false">IF(OR(BQ$4="",$C61="",$D61=""),"",IF(AND($C61&lt;EDATE(BQ$4,1),$D61&gt;=BQ$4),1,""))</f>
        <v/>
      </c>
      <c r="BR61" s="64" t="str">
        <f aca="false">IF(OR(BR$4="",$C61="",$D61=""),"",IF(AND($C61&lt;EDATE(BR$4,1),$D61&gt;=BR$4),1,""))</f>
        <v/>
      </c>
      <c r="BS61" s="64" t="str">
        <f aca="false">IF(OR(BS$4="",$C61="",$D61=""),"",IF(AND($C61&lt;EDATE(BS$4,1),$D61&gt;=BS$4),1,""))</f>
        <v/>
      </c>
      <c r="BT61" s="64" t="str">
        <f aca="false">IF(OR(BT$4="",$C61="",$D61=""),"",IF(AND($C61&lt;EDATE(BT$4,1),$D61&gt;=BT$4),1,""))</f>
        <v/>
      </c>
      <c r="BU61" s="64" t="str">
        <f aca="false">IF(OR(BU$4="",$C61="",$D61=""),"",IF(AND($C61&lt;EDATE(BU$4,1),$D61&gt;=BU$4),1,""))</f>
        <v/>
      </c>
      <c r="BV61" s="64" t="str">
        <f aca="false">IF(OR(BV$4="",$C61="",$D61=""),"",IF(AND($C61&lt;EDATE(BV$4,1),$D61&gt;=BV$4),1,""))</f>
        <v/>
      </c>
      <c r="BW61" s="64" t="str">
        <f aca="false">IF(OR(BW$4="",$C61="",$D61=""),"",IF(AND($C61&lt;EDATE(BW$4,1),$D61&gt;=BW$4),1,""))</f>
        <v/>
      </c>
      <c r="BX61" s="64" t="str">
        <f aca="false">IF(OR(BX$4="",$C61="",$D61=""),"",IF(AND($C61&lt;EDATE(BX$4,1),$D61&gt;=BX$4),1,""))</f>
        <v/>
      </c>
      <c r="BY61" s="64" t="str">
        <f aca="false">IF(OR(BY$4="",$C61="",$D61=""),"",IF(AND($C61&lt;EDATE(BY$4,1),$D61&gt;=BY$4),1,""))</f>
        <v/>
      </c>
    </row>
    <row r="62" customFormat="false" ht="15" hidden="false" customHeight="false" outlineLevel="0" collapsed="false">
      <c r="A62" s="53" t="str">
        <f aca="false">IF(BOE!$A31="","",BOE!$A31)</f>
        <v>403</v>
      </c>
      <c r="B62" s="53" t="str">
        <f aca="false">IF(BOE!$A31="","",BOE!$C31)</f>
        <v>Explosive Ordnance Disposal Data</v>
      </c>
      <c r="C62" s="54" t="str">
        <f aca="false">IF(OR(BOE!$A31="",BOE!$E31&lt;&gt;"Y"),"",BOE!$O31)</f>
        <v/>
      </c>
      <c r="D62" s="54" t="str">
        <f aca="false">IF(OR(BOE!$A31="",BOE!$E31&lt;&gt;"Y"),"",BOE!$P31)</f>
        <v/>
      </c>
      <c r="E62" s="55" t="str">
        <f aca="false">IF(OR(BOE!$A31="",BOE!$E31&lt;&gt;"Y"),"",IF(Inputs!$B$7="P90",BOE!$T31,BOE!$R31))</f>
        <v/>
      </c>
      <c r="F62" s="64" t="str">
        <f aca="false">IF(OR(F$4="",$C62="",$D62=""),"",IF(AND($C62&lt;EDATE(F$4,1),$D62&gt;=F$4),1,""))</f>
        <v/>
      </c>
      <c r="G62" s="64" t="str">
        <f aca="false">IF(OR(G$4="",$C62="",$D62=""),"",IF(AND($C62&lt;EDATE(G$4,1),$D62&gt;=G$4),1,""))</f>
        <v/>
      </c>
      <c r="H62" s="64" t="str">
        <f aca="false">IF(OR(H$4="",$C62="",$D62=""),"",IF(AND($C62&lt;EDATE(H$4,1),$D62&gt;=H$4),1,""))</f>
        <v/>
      </c>
      <c r="I62" s="64" t="str">
        <f aca="false">IF(OR(I$4="",$C62="",$D62=""),"",IF(AND($C62&lt;EDATE(I$4,1),$D62&gt;=I$4),1,""))</f>
        <v/>
      </c>
      <c r="J62" s="64" t="str">
        <f aca="false">IF(OR(J$4="",$C62="",$D62=""),"",IF(AND($C62&lt;EDATE(J$4,1),$D62&gt;=J$4),1,""))</f>
        <v/>
      </c>
      <c r="K62" s="64" t="str">
        <f aca="false">IF(OR(K$4="",$C62="",$D62=""),"",IF(AND($C62&lt;EDATE(K$4,1),$D62&gt;=K$4),1,""))</f>
        <v/>
      </c>
      <c r="L62" s="64" t="str">
        <f aca="false">IF(OR(L$4="",$C62="",$D62=""),"",IF(AND($C62&lt;EDATE(L$4,1),$D62&gt;=L$4),1,""))</f>
        <v/>
      </c>
      <c r="M62" s="64" t="str">
        <f aca="false">IF(OR(M$4="",$C62="",$D62=""),"",IF(AND($C62&lt;EDATE(M$4,1),$D62&gt;=M$4),1,""))</f>
        <v/>
      </c>
      <c r="N62" s="64" t="str">
        <f aca="false">IF(OR(N$4="",$C62="",$D62=""),"",IF(AND($C62&lt;EDATE(N$4,1),$D62&gt;=N$4),1,""))</f>
        <v/>
      </c>
      <c r="O62" s="64" t="str">
        <f aca="false">IF(OR(O$4="",$C62="",$D62=""),"",IF(AND($C62&lt;EDATE(O$4,1),$D62&gt;=O$4),1,""))</f>
        <v/>
      </c>
      <c r="P62" s="64" t="str">
        <f aca="false">IF(OR(P$4="",$C62="",$D62=""),"",IF(AND($C62&lt;EDATE(P$4,1),$D62&gt;=P$4),1,""))</f>
        <v/>
      </c>
      <c r="Q62" s="64" t="str">
        <f aca="false">IF(OR(Q$4="",$C62="",$D62=""),"",IF(AND($C62&lt;EDATE(Q$4,1),$D62&gt;=Q$4),1,""))</f>
        <v/>
      </c>
      <c r="R62" s="64" t="str">
        <f aca="false">IF(OR(R$4="",$C62="",$D62=""),"",IF(AND($C62&lt;EDATE(R$4,1),$D62&gt;=R$4),1,""))</f>
        <v/>
      </c>
      <c r="S62" s="64" t="str">
        <f aca="false">IF(OR(S$4="",$C62="",$D62=""),"",IF(AND($C62&lt;EDATE(S$4,1),$D62&gt;=S$4),1,""))</f>
        <v/>
      </c>
      <c r="T62" s="64" t="str">
        <f aca="false">IF(OR(T$4="",$C62="",$D62=""),"",IF(AND($C62&lt;EDATE(T$4,1),$D62&gt;=T$4),1,""))</f>
        <v/>
      </c>
      <c r="U62" s="64" t="str">
        <f aca="false">IF(OR(U$4="",$C62="",$D62=""),"",IF(AND($C62&lt;EDATE(U$4,1),$D62&gt;=U$4),1,""))</f>
        <v/>
      </c>
      <c r="V62" s="64" t="str">
        <f aca="false">IF(OR(V$4="",$C62="",$D62=""),"",IF(AND($C62&lt;EDATE(V$4,1),$D62&gt;=V$4),1,""))</f>
        <v/>
      </c>
      <c r="W62" s="64" t="str">
        <f aca="false">IF(OR(W$4="",$C62="",$D62=""),"",IF(AND($C62&lt;EDATE(W$4,1),$D62&gt;=W$4),1,""))</f>
        <v/>
      </c>
      <c r="X62" s="64" t="str">
        <f aca="false">IF(OR(X$4="",$C62="",$D62=""),"",IF(AND($C62&lt;EDATE(X$4,1),$D62&gt;=X$4),1,""))</f>
        <v/>
      </c>
      <c r="Y62" s="64" t="str">
        <f aca="false">IF(OR(Y$4="",$C62="",$D62=""),"",IF(AND($C62&lt;EDATE(Y$4,1),$D62&gt;=Y$4),1,""))</f>
        <v/>
      </c>
      <c r="Z62" s="64" t="str">
        <f aca="false">IF(OR(Z$4="",$C62="",$D62=""),"",IF(AND($C62&lt;EDATE(Z$4,1),$D62&gt;=Z$4),1,""))</f>
        <v/>
      </c>
      <c r="AA62" s="64" t="str">
        <f aca="false">IF(OR(AA$4="",$C62="",$D62=""),"",IF(AND($C62&lt;EDATE(AA$4,1),$D62&gt;=AA$4),1,""))</f>
        <v/>
      </c>
      <c r="AB62" s="64" t="str">
        <f aca="false">IF(OR(AB$4="",$C62="",$D62=""),"",IF(AND($C62&lt;EDATE(AB$4,1),$D62&gt;=AB$4),1,""))</f>
        <v/>
      </c>
      <c r="AC62" s="64" t="str">
        <f aca="false">IF(OR(AC$4="",$C62="",$D62=""),"",IF(AND($C62&lt;EDATE(AC$4,1),$D62&gt;=AC$4),1,""))</f>
        <v/>
      </c>
      <c r="AD62" s="64" t="str">
        <f aca="false">IF(OR(AD$4="",$C62="",$D62=""),"",IF(AND($C62&lt;EDATE(AD$4,1),$D62&gt;=AD$4),1,""))</f>
        <v/>
      </c>
      <c r="AE62" s="64" t="str">
        <f aca="false">IF(OR(AE$4="",$C62="",$D62=""),"",IF(AND($C62&lt;EDATE(AE$4,1),$D62&gt;=AE$4),1,""))</f>
        <v/>
      </c>
      <c r="AF62" s="64" t="str">
        <f aca="false">IF(OR(AF$4="",$C62="",$D62=""),"",IF(AND($C62&lt;EDATE(AF$4,1),$D62&gt;=AF$4),1,""))</f>
        <v/>
      </c>
      <c r="AG62" s="64" t="str">
        <f aca="false">IF(OR(AG$4="",$C62="",$D62=""),"",IF(AND($C62&lt;EDATE(AG$4,1),$D62&gt;=AG$4),1,""))</f>
        <v/>
      </c>
      <c r="AH62" s="64" t="str">
        <f aca="false">IF(OR(AH$4="",$C62="",$D62=""),"",IF(AND($C62&lt;EDATE(AH$4,1),$D62&gt;=AH$4),1,""))</f>
        <v/>
      </c>
      <c r="AI62" s="64" t="str">
        <f aca="false">IF(OR(AI$4="",$C62="",$D62=""),"",IF(AND($C62&lt;EDATE(AI$4,1),$D62&gt;=AI$4),1,""))</f>
        <v/>
      </c>
      <c r="AJ62" s="64" t="str">
        <f aca="false">IF(OR(AJ$4="",$C62="",$D62=""),"",IF(AND($C62&lt;EDATE(AJ$4,1),$D62&gt;=AJ$4),1,""))</f>
        <v/>
      </c>
      <c r="AK62" s="64" t="str">
        <f aca="false">IF(OR(AK$4="",$C62="",$D62=""),"",IF(AND($C62&lt;EDATE(AK$4,1),$D62&gt;=AK$4),1,""))</f>
        <v/>
      </c>
      <c r="AL62" s="64" t="str">
        <f aca="false">IF(OR(AL$4="",$C62="",$D62=""),"",IF(AND($C62&lt;EDATE(AL$4,1),$D62&gt;=AL$4),1,""))</f>
        <v/>
      </c>
      <c r="AM62" s="64" t="str">
        <f aca="false">IF(OR(AM$4="",$C62="",$D62=""),"",IF(AND($C62&lt;EDATE(AM$4,1),$D62&gt;=AM$4),1,""))</f>
        <v/>
      </c>
      <c r="AN62" s="64" t="str">
        <f aca="false">IF(OR(AN$4="",$C62="",$D62=""),"",IF(AND($C62&lt;EDATE(AN$4,1),$D62&gt;=AN$4),1,""))</f>
        <v/>
      </c>
      <c r="AO62" s="64" t="str">
        <f aca="false">IF(OR(AO$4="",$C62="",$D62=""),"",IF(AND($C62&lt;EDATE(AO$4,1),$D62&gt;=AO$4),1,""))</f>
        <v/>
      </c>
      <c r="AP62" s="64" t="str">
        <f aca="false">IF(OR(AP$4="",$C62="",$D62=""),"",IF(AND($C62&lt;EDATE(AP$4,1),$D62&gt;=AP$4),1,""))</f>
        <v/>
      </c>
      <c r="AQ62" s="64" t="str">
        <f aca="false">IF(OR(AQ$4="",$C62="",$D62=""),"",IF(AND($C62&lt;EDATE(AQ$4,1),$D62&gt;=AQ$4),1,""))</f>
        <v/>
      </c>
      <c r="AR62" s="64" t="str">
        <f aca="false">IF(OR(AR$4="",$C62="",$D62=""),"",IF(AND($C62&lt;EDATE(AR$4,1),$D62&gt;=AR$4),1,""))</f>
        <v/>
      </c>
      <c r="AS62" s="64" t="str">
        <f aca="false">IF(OR(AS$4="",$C62="",$D62=""),"",IF(AND($C62&lt;EDATE(AS$4,1),$D62&gt;=AS$4),1,""))</f>
        <v/>
      </c>
      <c r="AT62" s="64" t="str">
        <f aca="false">IF(OR(AT$4="",$C62="",$D62=""),"",IF(AND($C62&lt;EDATE(AT$4,1),$D62&gt;=AT$4),1,""))</f>
        <v/>
      </c>
      <c r="AU62" s="64" t="str">
        <f aca="false">IF(OR(AU$4="",$C62="",$D62=""),"",IF(AND($C62&lt;EDATE(AU$4,1),$D62&gt;=AU$4),1,""))</f>
        <v/>
      </c>
      <c r="AV62" s="64" t="str">
        <f aca="false">IF(OR(AV$4="",$C62="",$D62=""),"",IF(AND($C62&lt;EDATE(AV$4,1),$D62&gt;=AV$4),1,""))</f>
        <v/>
      </c>
      <c r="AW62" s="64" t="str">
        <f aca="false">IF(OR(AW$4="",$C62="",$D62=""),"",IF(AND($C62&lt;EDATE(AW$4,1),$D62&gt;=AW$4),1,""))</f>
        <v/>
      </c>
      <c r="AX62" s="64" t="str">
        <f aca="false">IF(OR(AX$4="",$C62="",$D62=""),"",IF(AND($C62&lt;EDATE(AX$4,1),$D62&gt;=AX$4),1,""))</f>
        <v/>
      </c>
      <c r="AY62" s="64" t="str">
        <f aca="false">IF(OR(AY$4="",$C62="",$D62=""),"",IF(AND($C62&lt;EDATE(AY$4,1),$D62&gt;=AY$4),1,""))</f>
        <v/>
      </c>
      <c r="AZ62" s="64" t="str">
        <f aca="false">IF(OR(AZ$4="",$C62="",$D62=""),"",IF(AND($C62&lt;EDATE(AZ$4,1),$D62&gt;=AZ$4),1,""))</f>
        <v/>
      </c>
      <c r="BA62" s="64" t="str">
        <f aca="false">IF(OR(BA$4="",$C62="",$D62=""),"",IF(AND($C62&lt;EDATE(BA$4,1),$D62&gt;=BA$4),1,""))</f>
        <v/>
      </c>
      <c r="BB62" s="64" t="str">
        <f aca="false">IF(OR(BB$4="",$C62="",$D62=""),"",IF(AND($C62&lt;EDATE(BB$4,1),$D62&gt;=BB$4),1,""))</f>
        <v/>
      </c>
      <c r="BC62" s="64" t="str">
        <f aca="false">IF(OR(BC$4="",$C62="",$D62=""),"",IF(AND($C62&lt;EDATE(BC$4,1),$D62&gt;=BC$4),1,""))</f>
        <v/>
      </c>
      <c r="BD62" s="64" t="str">
        <f aca="false">IF(OR(BD$4="",$C62="",$D62=""),"",IF(AND($C62&lt;EDATE(BD$4,1),$D62&gt;=BD$4),1,""))</f>
        <v/>
      </c>
      <c r="BE62" s="64" t="str">
        <f aca="false">IF(OR(BE$4="",$C62="",$D62=""),"",IF(AND($C62&lt;EDATE(BE$4,1),$D62&gt;=BE$4),1,""))</f>
        <v/>
      </c>
      <c r="BF62" s="64" t="str">
        <f aca="false">IF(OR(BF$4="",$C62="",$D62=""),"",IF(AND($C62&lt;EDATE(BF$4,1),$D62&gt;=BF$4),1,""))</f>
        <v/>
      </c>
      <c r="BG62" s="64" t="str">
        <f aca="false">IF(OR(BG$4="",$C62="",$D62=""),"",IF(AND($C62&lt;EDATE(BG$4,1),$D62&gt;=BG$4),1,""))</f>
        <v/>
      </c>
      <c r="BH62" s="64" t="str">
        <f aca="false">IF(OR(BH$4="",$C62="",$D62=""),"",IF(AND($C62&lt;EDATE(BH$4,1),$D62&gt;=BH$4),1,""))</f>
        <v/>
      </c>
      <c r="BI62" s="64" t="str">
        <f aca="false">IF(OR(BI$4="",$C62="",$D62=""),"",IF(AND($C62&lt;EDATE(BI$4,1),$D62&gt;=BI$4),1,""))</f>
        <v/>
      </c>
      <c r="BJ62" s="64" t="str">
        <f aca="false">IF(OR(BJ$4="",$C62="",$D62=""),"",IF(AND($C62&lt;EDATE(BJ$4,1),$D62&gt;=BJ$4),1,""))</f>
        <v/>
      </c>
      <c r="BK62" s="64" t="str">
        <f aca="false">IF(OR(BK$4="",$C62="",$D62=""),"",IF(AND($C62&lt;EDATE(BK$4,1),$D62&gt;=BK$4),1,""))</f>
        <v/>
      </c>
      <c r="BL62" s="64" t="str">
        <f aca="false">IF(OR(BL$4="",$C62="",$D62=""),"",IF(AND($C62&lt;EDATE(BL$4,1),$D62&gt;=BL$4),1,""))</f>
        <v/>
      </c>
      <c r="BM62" s="64" t="str">
        <f aca="false">IF(OR(BM$4="",$C62="",$D62=""),"",IF(AND($C62&lt;EDATE(BM$4,1),$D62&gt;=BM$4),1,""))</f>
        <v/>
      </c>
      <c r="BN62" s="64" t="str">
        <f aca="false">IF(OR(BN$4="",$C62="",$D62=""),"",IF(AND($C62&lt;EDATE(BN$4,1),$D62&gt;=BN$4),1,""))</f>
        <v/>
      </c>
      <c r="BO62" s="64" t="str">
        <f aca="false">IF(OR(BO$4="",$C62="",$D62=""),"",IF(AND($C62&lt;EDATE(BO$4,1),$D62&gt;=BO$4),1,""))</f>
        <v/>
      </c>
      <c r="BP62" s="64" t="str">
        <f aca="false">IF(OR(BP$4="",$C62="",$D62=""),"",IF(AND($C62&lt;EDATE(BP$4,1),$D62&gt;=BP$4),1,""))</f>
        <v/>
      </c>
      <c r="BQ62" s="64" t="str">
        <f aca="false">IF(OR(BQ$4="",$C62="",$D62=""),"",IF(AND($C62&lt;EDATE(BQ$4,1),$D62&gt;=BQ$4),1,""))</f>
        <v/>
      </c>
      <c r="BR62" s="64" t="str">
        <f aca="false">IF(OR(BR$4="",$C62="",$D62=""),"",IF(AND($C62&lt;EDATE(BR$4,1),$D62&gt;=BR$4),1,""))</f>
        <v/>
      </c>
      <c r="BS62" s="64" t="str">
        <f aca="false">IF(OR(BS$4="",$C62="",$D62=""),"",IF(AND($C62&lt;EDATE(BS$4,1),$D62&gt;=BS$4),1,""))</f>
        <v/>
      </c>
      <c r="BT62" s="64" t="str">
        <f aca="false">IF(OR(BT$4="",$C62="",$D62=""),"",IF(AND($C62&lt;EDATE(BT$4,1),$D62&gt;=BT$4),1,""))</f>
        <v/>
      </c>
      <c r="BU62" s="64" t="str">
        <f aca="false">IF(OR(BU$4="",$C62="",$D62=""),"",IF(AND($C62&lt;EDATE(BU$4,1),$D62&gt;=BU$4),1,""))</f>
        <v/>
      </c>
      <c r="BV62" s="64" t="str">
        <f aca="false">IF(OR(BV$4="",$C62="",$D62=""),"",IF(AND($C62&lt;EDATE(BV$4,1),$D62&gt;=BV$4),1,""))</f>
        <v/>
      </c>
      <c r="BW62" s="64" t="str">
        <f aca="false">IF(OR(BW$4="",$C62="",$D62=""),"",IF(AND($C62&lt;EDATE(BW$4,1),$D62&gt;=BW$4),1,""))</f>
        <v/>
      </c>
      <c r="BX62" s="64" t="str">
        <f aca="false">IF(OR(BX$4="",$C62="",$D62=""),"",IF(AND($C62&lt;EDATE(BX$4,1),$D62&gt;=BX$4),1,""))</f>
        <v/>
      </c>
      <c r="BY62" s="64" t="str">
        <f aca="false">IF(OR(BY$4="",$C62="",$D62=""),"",IF(AND($C62&lt;EDATE(BY$4,1),$D62&gt;=BY$4),1,""))</f>
        <v/>
      </c>
    </row>
    <row r="63" customFormat="false" ht="15" hidden="false" customHeight="false" outlineLevel="0" collapsed="false">
      <c r="A63" s="53" t="str">
        <f aca="false">IF(BOE!$A32="","",BOE!$A32)</f>
        <v>SW-LOR</v>
      </c>
      <c r="B63" s="53" t="str">
        <f aca="false">IF(BOE!$A32="","",BOE!$C32)</f>
        <v>Software Level-of-Rigor tasks (Section 4.4, Table V)</v>
      </c>
      <c r="C63" s="54" t="n">
        <f aca="false">IF(OR(BOE!$A32="",BOE!$E32&lt;&gt;"Y"),"",BOE!$O32)</f>
        <v>46695</v>
      </c>
      <c r="D63" s="54" t="n">
        <f aca="false">IF(OR(BOE!$A32="",BOE!$E32&lt;&gt;"Y"),"",BOE!$P32)</f>
        <v>47122</v>
      </c>
      <c r="E63" s="55" t="n">
        <f aca="false">IF(OR(BOE!$A32="",BOE!$E32&lt;&gt;"Y"),"",IF(Inputs!$B$7="P90",BOE!$T32,BOE!$R32))</f>
        <v>624</v>
      </c>
      <c r="F63" s="64" t="str">
        <f aca="false">IF(OR(F$4="",$C63="",$D63=""),"",IF(AND($C63&lt;EDATE(F$4,1),$D63&gt;=F$4),1,""))</f>
        <v/>
      </c>
      <c r="G63" s="64" t="str">
        <f aca="false">IF(OR(G$4="",$C63="",$D63=""),"",IF(AND($C63&lt;EDATE(G$4,1),$D63&gt;=G$4),1,""))</f>
        <v/>
      </c>
      <c r="H63" s="64" t="str">
        <f aca="false">IF(OR(H$4="",$C63="",$D63=""),"",IF(AND($C63&lt;EDATE(H$4,1),$D63&gt;=H$4),1,""))</f>
        <v/>
      </c>
      <c r="I63" s="64" t="str">
        <f aca="false">IF(OR(I$4="",$C63="",$D63=""),"",IF(AND($C63&lt;EDATE(I$4,1),$D63&gt;=I$4),1,""))</f>
        <v/>
      </c>
      <c r="J63" s="64" t="str">
        <f aca="false">IF(OR(J$4="",$C63="",$D63=""),"",IF(AND($C63&lt;EDATE(J$4,1),$D63&gt;=J$4),1,""))</f>
        <v/>
      </c>
      <c r="K63" s="64" t="str">
        <f aca="false">IF(OR(K$4="",$C63="",$D63=""),"",IF(AND($C63&lt;EDATE(K$4,1),$D63&gt;=K$4),1,""))</f>
        <v/>
      </c>
      <c r="L63" s="64" t="str">
        <f aca="false">IF(OR(L$4="",$C63="",$D63=""),"",IF(AND($C63&lt;EDATE(L$4,1),$D63&gt;=L$4),1,""))</f>
        <v/>
      </c>
      <c r="M63" s="64" t="str">
        <f aca="false">IF(OR(M$4="",$C63="",$D63=""),"",IF(AND($C63&lt;EDATE(M$4,1),$D63&gt;=M$4),1,""))</f>
        <v/>
      </c>
      <c r="N63" s="64" t="str">
        <f aca="false">IF(OR(N$4="",$C63="",$D63=""),"",IF(AND($C63&lt;EDATE(N$4,1),$D63&gt;=N$4),1,""))</f>
        <v/>
      </c>
      <c r="O63" s="64" t="str">
        <f aca="false">IF(OR(O$4="",$C63="",$D63=""),"",IF(AND($C63&lt;EDATE(O$4,1),$D63&gt;=O$4),1,""))</f>
        <v/>
      </c>
      <c r="P63" s="64" t="n">
        <f aca="false">IF(OR(P$4="",$C63="",$D63=""),"",IF(AND($C63&lt;EDATE(P$4,1),$D63&gt;=P$4),1,""))</f>
        <v>1</v>
      </c>
      <c r="Q63" s="64" t="n">
        <f aca="false">IF(OR(Q$4="",$C63="",$D63=""),"",IF(AND($C63&lt;EDATE(Q$4,1),$D63&gt;=Q$4),1,""))</f>
        <v>1</v>
      </c>
      <c r="R63" s="64" t="n">
        <f aca="false">IF(OR(R$4="",$C63="",$D63=""),"",IF(AND($C63&lt;EDATE(R$4,1),$D63&gt;=R$4),1,""))</f>
        <v>1</v>
      </c>
      <c r="S63" s="64" t="n">
        <f aca="false">IF(OR(S$4="",$C63="",$D63=""),"",IF(AND($C63&lt;EDATE(S$4,1),$D63&gt;=S$4),1,""))</f>
        <v>1</v>
      </c>
      <c r="T63" s="64" t="n">
        <f aca="false">IF(OR(T$4="",$C63="",$D63=""),"",IF(AND($C63&lt;EDATE(T$4,1),$D63&gt;=T$4),1,""))</f>
        <v>1</v>
      </c>
      <c r="U63" s="64" t="n">
        <f aca="false">IF(OR(U$4="",$C63="",$D63=""),"",IF(AND($C63&lt;EDATE(U$4,1),$D63&gt;=U$4),1,""))</f>
        <v>1</v>
      </c>
      <c r="V63" s="64" t="n">
        <f aca="false">IF(OR(V$4="",$C63="",$D63=""),"",IF(AND($C63&lt;EDATE(V$4,1),$D63&gt;=V$4),1,""))</f>
        <v>1</v>
      </c>
      <c r="W63" s="64" t="n">
        <f aca="false">IF(OR(W$4="",$C63="",$D63=""),"",IF(AND($C63&lt;EDATE(W$4,1),$D63&gt;=W$4),1,""))</f>
        <v>1</v>
      </c>
      <c r="X63" s="64" t="n">
        <f aca="false">IF(OR(X$4="",$C63="",$D63=""),"",IF(AND($C63&lt;EDATE(X$4,1),$D63&gt;=X$4),1,""))</f>
        <v>1</v>
      </c>
      <c r="Y63" s="64" t="n">
        <f aca="false">IF(OR(Y$4="",$C63="",$D63=""),"",IF(AND($C63&lt;EDATE(Y$4,1),$D63&gt;=Y$4),1,""))</f>
        <v>1</v>
      </c>
      <c r="Z63" s="64" t="n">
        <f aca="false">IF(OR(Z$4="",$C63="",$D63=""),"",IF(AND($C63&lt;EDATE(Z$4,1),$D63&gt;=Z$4),1,""))</f>
        <v>1</v>
      </c>
      <c r="AA63" s="64" t="n">
        <f aca="false">IF(OR(AA$4="",$C63="",$D63=""),"",IF(AND($C63&lt;EDATE(AA$4,1),$D63&gt;=AA$4),1,""))</f>
        <v>1</v>
      </c>
      <c r="AB63" s="64" t="n">
        <f aca="false">IF(OR(AB$4="",$C63="",$D63=""),"",IF(AND($C63&lt;EDATE(AB$4,1),$D63&gt;=AB$4),1,""))</f>
        <v>1</v>
      </c>
      <c r="AC63" s="64" t="n">
        <f aca="false">IF(OR(AC$4="",$C63="",$D63=""),"",IF(AND($C63&lt;EDATE(AC$4,1),$D63&gt;=AC$4),1,""))</f>
        <v>1</v>
      </c>
      <c r="AD63" s="64" t="n">
        <f aca="false">IF(OR(AD$4="",$C63="",$D63=""),"",IF(AND($C63&lt;EDATE(AD$4,1),$D63&gt;=AD$4),1,""))</f>
        <v>1</v>
      </c>
      <c r="AE63" s="64" t="str">
        <f aca="false">IF(OR(AE$4="",$C63="",$D63=""),"",IF(AND($C63&lt;EDATE(AE$4,1),$D63&gt;=AE$4),1,""))</f>
        <v/>
      </c>
      <c r="AF63" s="64" t="str">
        <f aca="false">IF(OR(AF$4="",$C63="",$D63=""),"",IF(AND($C63&lt;EDATE(AF$4,1),$D63&gt;=AF$4),1,""))</f>
        <v/>
      </c>
      <c r="AG63" s="64" t="str">
        <f aca="false">IF(OR(AG$4="",$C63="",$D63=""),"",IF(AND($C63&lt;EDATE(AG$4,1),$D63&gt;=AG$4),1,""))</f>
        <v/>
      </c>
      <c r="AH63" s="64" t="str">
        <f aca="false">IF(OR(AH$4="",$C63="",$D63=""),"",IF(AND($C63&lt;EDATE(AH$4,1),$D63&gt;=AH$4),1,""))</f>
        <v/>
      </c>
      <c r="AI63" s="64" t="str">
        <f aca="false">IF(OR(AI$4="",$C63="",$D63=""),"",IF(AND($C63&lt;EDATE(AI$4,1),$D63&gt;=AI$4),1,""))</f>
        <v/>
      </c>
      <c r="AJ63" s="64" t="str">
        <f aca="false">IF(OR(AJ$4="",$C63="",$D63=""),"",IF(AND($C63&lt;EDATE(AJ$4,1),$D63&gt;=AJ$4),1,""))</f>
        <v/>
      </c>
      <c r="AK63" s="64" t="str">
        <f aca="false">IF(OR(AK$4="",$C63="",$D63=""),"",IF(AND($C63&lt;EDATE(AK$4,1),$D63&gt;=AK$4),1,""))</f>
        <v/>
      </c>
      <c r="AL63" s="64" t="str">
        <f aca="false">IF(OR(AL$4="",$C63="",$D63=""),"",IF(AND($C63&lt;EDATE(AL$4,1),$D63&gt;=AL$4),1,""))</f>
        <v/>
      </c>
      <c r="AM63" s="64" t="str">
        <f aca="false">IF(OR(AM$4="",$C63="",$D63=""),"",IF(AND($C63&lt;EDATE(AM$4,1),$D63&gt;=AM$4),1,""))</f>
        <v/>
      </c>
      <c r="AN63" s="64" t="str">
        <f aca="false">IF(OR(AN$4="",$C63="",$D63=""),"",IF(AND($C63&lt;EDATE(AN$4,1),$D63&gt;=AN$4),1,""))</f>
        <v/>
      </c>
      <c r="AO63" s="64" t="str">
        <f aca="false">IF(OR(AO$4="",$C63="",$D63=""),"",IF(AND($C63&lt;EDATE(AO$4,1),$D63&gt;=AO$4),1,""))</f>
        <v/>
      </c>
      <c r="AP63" s="64" t="str">
        <f aca="false">IF(OR(AP$4="",$C63="",$D63=""),"",IF(AND($C63&lt;EDATE(AP$4,1),$D63&gt;=AP$4),1,""))</f>
        <v/>
      </c>
      <c r="AQ63" s="64" t="str">
        <f aca="false">IF(OR(AQ$4="",$C63="",$D63=""),"",IF(AND($C63&lt;EDATE(AQ$4,1),$D63&gt;=AQ$4),1,""))</f>
        <v/>
      </c>
      <c r="AR63" s="64" t="str">
        <f aca="false">IF(OR(AR$4="",$C63="",$D63=""),"",IF(AND($C63&lt;EDATE(AR$4,1),$D63&gt;=AR$4),1,""))</f>
        <v/>
      </c>
      <c r="AS63" s="64" t="str">
        <f aca="false">IF(OR(AS$4="",$C63="",$D63=""),"",IF(AND($C63&lt;EDATE(AS$4,1),$D63&gt;=AS$4),1,""))</f>
        <v/>
      </c>
      <c r="AT63" s="64" t="str">
        <f aca="false">IF(OR(AT$4="",$C63="",$D63=""),"",IF(AND($C63&lt;EDATE(AT$4,1),$D63&gt;=AT$4),1,""))</f>
        <v/>
      </c>
      <c r="AU63" s="64" t="str">
        <f aca="false">IF(OR(AU$4="",$C63="",$D63=""),"",IF(AND($C63&lt;EDATE(AU$4,1),$D63&gt;=AU$4),1,""))</f>
        <v/>
      </c>
      <c r="AV63" s="64" t="str">
        <f aca="false">IF(OR(AV$4="",$C63="",$D63=""),"",IF(AND($C63&lt;EDATE(AV$4,1),$D63&gt;=AV$4),1,""))</f>
        <v/>
      </c>
      <c r="AW63" s="64" t="str">
        <f aca="false">IF(OR(AW$4="",$C63="",$D63=""),"",IF(AND($C63&lt;EDATE(AW$4,1),$D63&gt;=AW$4),1,""))</f>
        <v/>
      </c>
      <c r="AX63" s="64" t="str">
        <f aca="false">IF(OR(AX$4="",$C63="",$D63=""),"",IF(AND($C63&lt;EDATE(AX$4,1),$D63&gt;=AX$4),1,""))</f>
        <v/>
      </c>
      <c r="AY63" s="64" t="str">
        <f aca="false">IF(OR(AY$4="",$C63="",$D63=""),"",IF(AND($C63&lt;EDATE(AY$4,1),$D63&gt;=AY$4),1,""))</f>
        <v/>
      </c>
      <c r="AZ63" s="64" t="str">
        <f aca="false">IF(OR(AZ$4="",$C63="",$D63=""),"",IF(AND($C63&lt;EDATE(AZ$4,1),$D63&gt;=AZ$4),1,""))</f>
        <v/>
      </c>
      <c r="BA63" s="64" t="str">
        <f aca="false">IF(OR(BA$4="",$C63="",$D63=""),"",IF(AND($C63&lt;EDATE(BA$4,1),$D63&gt;=BA$4),1,""))</f>
        <v/>
      </c>
      <c r="BB63" s="64" t="str">
        <f aca="false">IF(OR(BB$4="",$C63="",$D63=""),"",IF(AND($C63&lt;EDATE(BB$4,1),$D63&gt;=BB$4),1,""))</f>
        <v/>
      </c>
      <c r="BC63" s="64" t="str">
        <f aca="false">IF(OR(BC$4="",$C63="",$D63=""),"",IF(AND($C63&lt;EDATE(BC$4,1),$D63&gt;=BC$4),1,""))</f>
        <v/>
      </c>
      <c r="BD63" s="64" t="str">
        <f aca="false">IF(OR(BD$4="",$C63="",$D63=""),"",IF(AND($C63&lt;EDATE(BD$4,1),$D63&gt;=BD$4),1,""))</f>
        <v/>
      </c>
      <c r="BE63" s="64" t="str">
        <f aca="false">IF(OR(BE$4="",$C63="",$D63=""),"",IF(AND($C63&lt;EDATE(BE$4,1),$D63&gt;=BE$4),1,""))</f>
        <v/>
      </c>
      <c r="BF63" s="64" t="str">
        <f aca="false">IF(OR(BF$4="",$C63="",$D63=""),"",IF(AND($C63&lt;EDATE(BF$4,1),$D63&gt;=BF$4),1,""))</f>
        <v/>
      </c>
      <c r="BG63" s="64" t="str">
        <f aca="false">IF(OR(BG$4="",$C63="",$D63=""),"",IF(AND($C63&lt;EDATE(BG$4,1),$D63&gt;=BG$4),1,""))</f>
        <v/>
      </c>
      <c r="BH63" s="64" t="str">
        <f aca="false">IF(OR(BH$4="",$C63="",$D63=""),"",IF(AND($C63&lt;EDATE(BH$4,1),$D63&gt;=BH$4),1,""))</f>
        <v/>
      </c>
      <c r="BI63" s="64" t="str">
        <f aca="false">IF(OR(BI$4="",$C63="",$D63=""),"",IF(AND($C63&lt;EDATE(BI$4,1),$D63&gt;=BI$4),1,""))</f>
        <v/>
      </c>
      <c r="BJ63" s="64" t="str">
        <f aca="false">IF(OR(BJ$4="",$C63="",$D63=""),"",IF(AND($C63&lt;EDATE(BJ$4,1),$D63&gt;=BJ$4),1,""))</f>
        <v/>
      </c>
      <c r="BK63" s="64" t="str">
        <f aca="false">IF(OR(BK$4="",$C63="",$D63=""),"",IF(AND($C63&lt;EDATE(BK$4,1),$D63&gt;=BK$4),1,""))</f>
        <v/>
      </c>
      <c r="BL63" s="64" t="str">
        <f aca="false">IF(OR(BL$4="",$C63="",$D63=""),"",IF(AND($C63&lt;EDATE(BL$4,1),$D63&gt;=BL$4),1,""))</f>
        <v/>
      </c>
      <c r="BM63" s="64" t="str">
        <f aca="false">IF(OR(BM$4="",$C63="",$D63=""),"",IF(AND($C63&lt;EDATE(BM$4,1),$D63&gt;=BM$4),1,""))</f>
        <v/>
      </c>
      <c r="BN63" s="64" t="str">
        <f aca="false">IF(OR(BN$4="",$C63="",$D63=""),"",IF(AND($C63&lt;EDATE(BN$4,1),$D63&gt;=BN$4),1,""))</f>
        <v/>
      </c>
      <c r="BO63" s="64" t="str">
        <f aca="false">IF(OR(BO$4="",$C63="",$D63=""),"",IF(AND($C63&lt;EDATE(BO$4,1),$D63&gt;=BO$4),1,""))</f>
        <v/>
      </c>
      <c r="BP63" s="64" t="str">
        <f aca="false">IF(OR(BP$4="",$C63="",$D63=""),"",IF(AND($C63&lt;EDATE(BP$4,1),$D63&gt;=BP$4),1,""))</f>
        <v/>
      </c>
      <c r="BQ63" s="64" t="str">
        <f aca="false">IF(OR(BQ$4="",$C63="",$D63=""),"",IF(AND($C63&lt;EDATE(BQ$4,1),$D63&gt;=BQ$4),1,""))</f>
        <v/>
      </c>
      <c r="BR63" s="64" t="str">
        <f aca="false">IF(OR(BR$4="",$C63="",$D63=""),"",IF(AND($C63&lt;EDATE(BR$4,1),$D63&gt;=BR$4),1,""))</f>
        <v/>
      </c>
      <c r="BS63" s="64" t="str">
        <f aca="false">IF(OR(BS$4="",$C63="",$D63=""),"",IF(AND($C63&lt;EDATE(BS$4,1),$D63&gt;=BS$4),1,""))</f>
        <v/>
      </c>
      <c r="BT63" s="64" t="str">
        <f aca="false">IF(OR(BT$4="",$C63="",$D63=""),"",IF(AND($C63&lt;EDATE(BT$4,1),$D63&gt;=BT$4),1,""))</f>
        <v/>
      </c>
      <c r="BU63" s="64" t="str">
        <f aca="false">IF(OR(BU$4="",$C63="",$D63=""),"",IF(AND($C63&lt;EDATE(BU$4,1),$D63&gt;=BU$4),1,""))</f>
        <v/>
      </c>
      <c r="BV63" s="64" t="str">
        <f aca="false">IF(OR(BV$4="",$C63="",$D63=""),"",IF(AND($C63&lt;EDATE(BV$4,1),$D63&gt;=BV$4),1,""))</f>
        <v/>
      </c>
      <c r="BW63" s="64" t="str">
        <f aca="false">IF(OR(BW$4="",$C63="",$D63=""),"",IF(AND($C63&lt;EDATE(BW$4,1),$D63&gt;=BW$4),1,""))</f>
        <v/>
      </c>
      <c r="BX63" s="64" t="str">
        <f aca="false">IF(OR(BX$4="",$C63="",$D63=""),"",IF(AND($C63&lt;EDATE(BX$4,1),$D63&gt;=BX$4),1,""))</f>
        <v/>
      </c>
      <c r="BY63" s="64" t="str">
        <f aca="false">IF(OR(BY$4="",$C63="",$D63=""),"",IF(AND($C63&lt;EDATE(BY$4,1),$D63&gt;=BY$4),1,""))</f>
        <v/>
      </c>
    </row>
    <row r="64" customFormat="false" ht="15" hidden="false" customHeight="false" outlineLevel="0" collapsed="false">
      <c r="A64" s="53" t="str">
        <f aca="false">IF(BOE!$A33="","",BOE!$A33)</f>
        <v>LOE-1</v>
      </c>
      <c r="B64" s="53" t="str">
        <f aca="false">IF(BOE!$A33="","",BOE!$C33)</f>
        <v>System Safety Working Group meetings</v>
      </c>
      <c r="C64" s="54" t="n">
        <f aca="false">IF(OR(BOE!$A33="",BOE!$E33&lt;&gt;"Y"),"",BOE!$O33)</f>
        <v>46391</v>
      </c>
      <c r="D64" s="54" t="n">
        <f aca="false">IF(OR(BOE!$A33="",BOE!$E33&lt;&gt;"Y"),"",BOE!$P33)</f>
        <v>47483</v>
      </c>
      <c r="E64" s="55" t="n">
        <f aca="false">IF(OR(BOE!$A33="",BOE!$E33&lt;&gt;"Y"),"",IF(Inputs!$B$7="P90",BOE!$T33,BOE!$R33))</f>
        <v>287.014373716632</v>
      </c>
      <c r="F64" s="64" t="n">
        <f aca="false">IF(OR(F$4="",$C64="",$D64=""),"",IF(AND($C64&lt;EDATE(F$4,1),$D64&gt;=F$4),1,""))</f>
        <v>1</v>
      </c>
      <c r="G64" s="64" t="n">
        <f aca="false">IF(OR(G$4="",$C64="",$D64=""),"",IF(AND($C64&lt;EDATE(G$4,1),$D64&gt;=G$4),1,""))</f>
        <v>1</v>
      </c>
      <c r="H64" s="64" t="n">
        <f aca="false">IF(OR(H$4="",$C64="",$D64=""),"",IF(AND($C64&lt;EDATE(H$4,1),$D64&gt;=H$4),1,""))</f>
        <v>1</v>
      </c>
      <c r="I64" s="64" t="n">
        <f aca="false">IF(OR(I$4="",$C64="",$D64=""),"",IF(AND($C64&lt;EDATE(I$4,1),$D64&gt;=I$4),1,""))</f>
        <v>1</v>
      </c>
      <c r="J64" s="64" t="n">
        <f aca="false">IF(OR(J$4="",$C64="",$D64=""),"",IF(AND($C64&lt;EDATE(J$4,1),$D64&gt;=J$4),1,""))</f>
        <v>1</v>
      </c>
      <c r="K64" s="64" t="n">
        <f aca="false">IF(OR(K$4="",$C64="",$D64=""),"",IF(AND($C64&lt;EDATE(K$4,1),$D64&gt;=K$4),1,""))</f>
        <v>1</v>
      </c>
      <c r="L64" s="64" t="n">
        <f aca="false">IF(OR(L$4="",$C64="",$D64=""),"",IF(AND($C64&lt;EDATE(L$4,1),$D64&gt;=L$4),1,""))</f>
        <v>1</v>
      </c>
      <c r="M64" s="64" t="n">
        <f aca="false">IF(OR(M$4="",$C64="",$D64=""),"",IF(AND($C64&lt;EDATE(M$4,1),$D64&gt;=M$4),1,""))</f>
        <v>1</v>
      </c>
      <c r="N64" s="64" t="n">
        <f aca="false">IF(OR(N$4="",$C64="",$D64=""),"",IF(AND($C64&lt;EDATE(N$4,1),$D64&gt;=N$4),1,""))</f>
        <v>1</v>
      </c>
      <c r="O64" s="64" t="n">
        <f aca="false">IF(OR(O$4="",$C64="",$D64=""),"",IF(AND($C64&lt;EDATE(O$4,1),$D64&gt;=O$4),1,""))</f>
        <v>1</v>
      </c>
      <c r="P64" s="64" t="n">
        <f aca="false">IF(OR(P$4="",$C64="",$D64=""),"",IF(AND($C64&lt;EDATE(P$4,1),$D64&gt;=P$4),1,""))</f>
        <v>1</v>
      </c>
      <c r="Q64" s="64" t="n">
        <f aca="false">IF(OR(Q$4="",$C64="",$D64=""),"",IF(AND($C64&lt;EDATE(Q$4,1),$D64&gt;=Q$4),1,""))</f>
        <v>1</v>
      </c>
      <c r="R64" s="64" t="n">
        <f aca="false">IF(OR(R$4="",$C64="",$D64=""),"",IF(AND($C64&lt;EDATE(R$4,1),$D64&gt;=R$4),1,""))</f>
        <v>1</v>
      </c>
      <c r="S64" s="64" t="n">
        <f aca="false">IF(OR(S$4="",$C64="",$D64=""),"",IF(AND($C64&lt;EDATE(S$4,1),$D64&gt;=S$4),1,""))</f>
        <v>1</v>
      </c>
      <c r="T64" s="64" t="n">
        <f aca="false">IF(OR(T$4="",$C64="",$D64=""),"",IF(AND($C64&lt;EDATE(T$4,1),$D64&gt;=T$4),1,""))</f>
        <v>1</v>
      </c>
      <c r="U64" s="64" t="n">
        <f aca="false">IF(OR(U$4="",$C64="",$D64=""),"",IF(AND($C64&lt;EDATE(U$4,1),$D64&gt;=U$4),1,""))</f>
        <v>1</v>
      </c>
      <c r="V64" s="64" t="n">
        <f aca="false">IF(OR(V$4="",$C64="",$D64=""),"",IF(AND($C64&lt;EDATE(V$4,1),$D64&gt;=V$4),1,""))</f>
        <v>1</v>
      </c>
      <c r="W64" s="64" t="n">
        <f aca="false">IF(OR(W$4="",$C64="",$D64=""),"",IF(AND($C64&lt;EDATE(W$4,1),$D64&gt;=W$4),1,""))</f>
        <v>1</v>
      </c>
      <c r="X64" s="64" t="n">
        <f aca="false">IF(OR(X$4="",$C64="",$D64=""),"",IF(AND($C64&lt;EDATE(X$4,1),$D64&gt;=X$4),1,""))</f>
        <v>1</v>
      </c>
      <c r="Y64" s="64" t="n">
        <f aca="false">IF(OR(Y$4="",$C64="",$D64=""),"",IF(AND($C64&lt;EDATE(Y$4,1),$D64&gt;=Y$4),1,""))</f>
        <v>1</v>
      </c>
      <c r="Z64" s="64" t="n">
        <f aca="false">IF(OR(Z$4="",$C64="",$D64=""),"",IF(AND($C64&lt;EDATE(Z$4,1),$D64&gt;=Z$4),1,""))</f>
        <v>1</v>
      </c>
      <c r="AA64" s="64" t="n">
        <f aca="false">IF(OR(AA$4="",$C64="",$D64=""),"",IF(AND($C64&lt;EDATE(AA$4,1),$D64&gt;=AA$4),1,""))</f>
        <v>1</v>
      </c>
      <c r="AB64" s="64" t="n">
        <f aca="false">IF(OR(AB$4="",$C64="",$D64=""),"",IF(AND($C64&lt;EDATE(AB$4,1),$D64&gt;=AB$4),1,""))</f>
        <v>1</v>
      </c>
      <c r="AC64" s="64" t="n">
        <f aca="false">IF(OR(AC$4="",$C64="",$D64=""),"",IF(AND($C64&lt;EDATE(AC$4,1),$D64&gt;=AC$4),1,""))</f>
        <v>1</v>
      </c>
      <c r="AD64" s="64" t="n">
        <f aca="false">IF(OR(AD$4="",$C64="",$D64=""),"",IF(AND($C64&lt;EDATE(AD$4,1),$D64&gt;=AD$4),1,""))</f>
        <v>1</v>
      </c>
      <c r="AE64" s="64" t="n">
        <f aca="false">IF(OR(AE$4="",$C64="",$D64=""),"",IF(AND($C64&lt;EDATE(AE$4,1),$D64&gt;=AE$4),1,""))</f>
        <v>1</v>
      </c>
      <c r="AF64" s="64" t="n">
        <f aca="false">IF(OR(AF$4="",$C64="",$D64=""),"",IF(AND($C64&lt;EDATE(AF$4,1),$D64&gt;=AF$4),1,""))</f>
        <v>1</v>
      </c>
      <c r="AG64" s="64" t="n">
        <f aca="false">IF(OR(AG$4="",$C64="",$D64=""),"",IF(AND($C64&lt;EDATE(AG$4,1),$D64&gt;=AG$4),1,""))</f>
        <v>1</v>
      </c>
      <c r="AH64" s="64" t="n">
        <f aca="false">IF(OR(AH$4="",$C64="",$D64=""),"",IF(AND($C64&lt;EDATE(AH$4,1),$D64&gt;=AH$4),1,""))</f>
        <v>1</v>
      </c>
      <c r="AI64" s="64" t="n">
        <f aca="false">IF(OR(AI$4="",$C64="",$D64=""),"",IF(AND($C64&lt;EDATE(AI$4,1),$D64&gt;=AI$4),1,""))</f>
        <v>1</v>
      </c>
      <c r="AJ64" s="64" t="n">
        <f aca="false">IF(OR(AJ$4="",$C64="",$D64=""),"",IF(AND($C64&lt;EDATE(AJ$4,1),$D64&gt;=AJ$4),1,""))</f>
        <v>1</v>
      </c>
      <c r="AK64" s="64" t="n">
        <f aca="false">IF(OR(AK$4="",$C64="",$D64=""),"",IF(AND($C64&lt;EDATE(AK$4,1),$D64&gt;=AK$4),1,""))</f>
        <v>1</v>
      </c>
      <c r="AL64" s="64" t="n">
        <f aca="false">IF(OR(AL$4="",$C64="",$D64=""),"",IF(AND($C64&lt;EDATE(AL$4,1),$D64&gt;=AL$4),1,""))</f>
        <v>1</v>
      </c>
      <c r="AM64" s="64" t="n">
        <f aca="false">IF(OR(AM$4="",$C64="",$D64=""),"",IF(AND($C64&lt;EDATE(AM$4,1),$D64&gt;=AM$4),1,""))</f>
        <v>1</v>
      </c>
      <c r="AN64" s="64" t="n">
        <f aca="false">IF(OR(AN$4="",$C64="",$D64=""),"",IF(AND($C64&lt;EDATE(AN$4,1),$D64&gt;=AN$4),1,""))</f>
        <v>1</v>
      </c>
      <c r="AO64" s="64" t="n">
        <f aca="false">IF(OR(AO$4="",$C64="",$D64=""),"",IF(AND($C64&lt;EDATE(AO$4,1),$D64&gt;=AO$4),1,""))</f>
        <v>1</v>
      </c>
      <c r="AP64" s="64" t="str">
        <f aca="false">IF(OR(AP$4="",$C64="",$D64=""),"",IF(AND($C64&lt;EDATE(AP$4,1),$D64&gt;=AP$4),1,""))</f>
        <v/>
      </c>
      <c r="AQ64" s="64" t="str">
        <f aca="false">IF(OR(AQ$4="",$C64="",$D64=""),"",IF(AND($C64&lt;EDATE(AQ$4,1),$D64&gt;=AQ$4),1,""))</f>
        <v/>
      </c>
      <c r="AR64" s="64" t="str">
        <f aca="false">IF(OR(AR$4="",$C64="",$D64=""),"",IF(AND($C64&lt;EDATE(AR$4,1),$D64&gt;=AR$4),1,""))</f>
        <v/>
      </c>
      <c r="AS64" s="64" t="str">
        <f aca="false">IF(OR(AS$4="",$C64="",$D64=""),"",IF(AND($C64&lt;EDATE(AS$4,1),$D64&gt;=AS$4),1,""))</f>
        <v/>
      </c>
      <c r="AT64" s="64" t="str">
        <f aca="false">IF(OR(AT$4="",$C64="",$D64=""),"",IF(AND($C64&lt;EDATE(AT$4,1),$D64&gt;=AT$4),1,""))</f>
        <v/>
      </c>
      <c r="AU64" s="64" t="str">
        <f aca="false">IF(OR(AU$4="",$C64="",$D64=""),"",IF(AND($C64&lt;EDATE(AU$4,1),$D64&gt;=AU$4),1,""))</f>
        <v/>
      </c>
      <c r="AV64" s="64" t="str">
        <f aca="false">IF(OR(AV$4="",$C64="",$D64=""),"",IF(AND($C64&lt;EDATE(AV$4,1),$D64&gt;=AV$4),1,""))</f>
        <v/>
      </c>
      <c r="AW64" s="64" t="str">
        <f aca="false">IF(OR(AW$4="",$C64="",$D64=""),"",IF(AND($C64&lt;EDATE(AW$4,1),$D64&gt;=AW$4),1,""))</f>
        <v/>
      </c>
      <c r="AX64" s="64" t="str">
        <f aca="false">IF(OR(AX$4="",$C64="",$D64=""),"",IF(AND($C64&lt;EDATE(AX$4,1),$D64&gt;=AX$4),1,""))</f>
        <v/>
      </c>
      <c r="AY64" s="64" t="str">
        <f aca="false">IF(OR(AY$4="",$C64="",$D64=""),"",IF(AND($C64&lt;EDATE(AY$4,1),$D64&gt;=AY$4),1,""))</f>
        <v/>
      </c>
      <c r="AZ64" s="64" t="str">
        <f aca="false">IF(OR(AZ$4="",$C64="",$D64=""),"",IF(AND($C64&lt;EDATE(AZ$4,1),$D64&gt;=AZ$4),1,""))</f>
        <v/>
      </c>
      <c r="BA64" s="64" t="str">
        <f aca="false">IF(OR(BA$4="",$C64="",$D64=""),"",IF(AND($C64&lt;EDATE(BA$4,1),$D64&gt;=BA$4),1,""))</f>
        <v/>
      </c>
      <c r="BB64" s="64" t="str">
        <f aca="false">IF(OR(BB$4="",$C64="",$D64=""),"",IF(AND($C64&lt;EDATE(BB$4,1),$D64&gt;=BB$4),1,""))</f>
        <v/>
      </c>
      <c r="BC64" s="64" t="str">
        <f aca="false">IF(OR(BC$4="",$C64="",$D64=""),"",IF(AND($C64&lt;EDATE(BC$4,1),$D64&gt;=BC$4),1,""))</f>
        <v/>
      </c>
      <c r="BD64" s="64" t="str">
        <f aca="false">IF(OR(BD$4="",$C64="",$D64=""),"",IF(AND($C64&lt;EDATE(BD$4,1),$D64&gt;=BD$4),1,""))</f>
        <v/>
      </c>
      <c r="BE64" s="64" t="str">
        <f aca="false">IF(OR(BE$4="",$C64="",$D64=""),"",IF(AND($C64&lt;EDATE(BE$4,1),$D64&gt;=BE$4),1,""))</f>
        <v/>
      </c>
      <c r="BF64" s="64" t="str">
        <f aca="false">IF(OR(BF$4="",$C64="",$D64=""),"",IF(AND($C64&lt;EDATE(BF$4,1),$D64&gt;=BF$4),1,""))</f>
        <v/>
      </c>
      <c r="BG64" s="64" t="str">
        <f aca="false">IF(OR(BG$4="",$C64="",$D64=""),"",IF(AND($C64&lt;EDATE(BG$4,1),$D64&gt;=BG$4),1,""))</f>
        <v/>
      </c>
      <c r="BH64" s="64" t="str">
        <f aca="false">IF(OR(BH$4="",$C64="",$D64=""),"",IF(AND($C64&lt;EDATE(BH$4,1),$D64&gt;=BH$4),1,""))</f>
        <v/>
      </c>
      <c r="BI64" s="64" t="str">
        <f aca="false">IF(OR(BI$4="",$C64="",$D64=""),"",IF(AND($C64&lt;EDATE(BI$4,1),$D64&gt;=BI$4),1,""))</f>
        <v/>
      </c>
      <c r="BJ64" s="64" t="str">
        <f aca="false">IF(OR(BJ$4="",$C64="",$D64=""),"",IF(AND($C64&lt;EDATE(BJ$4,1),$D64&gt;=BJ$4),1,""))</f>
        <v/>
      </c>
      <c r="BK64" s="64" t="str">
        <f aca="false">IF(OR(BK$4="",$C64="",$D64=""),"",IF(AND($C64&lt;EDATE(BK$4,1),$D64&gt;=BK$4),1,""))</f>
        <v/>
      </c>
      <c r="BL64" s="64" t="str">
        <f aca="false">IF(OR(BL$4="",$C64="",$D64=""),"",IF(AND($C64&lt;EDATE(BL$4,1),$D64&gt;=BL$4),1,""))</f>
        <v/>
      </c>
      <c r="BM64" s="64" t="str">
        <f aca="false">IF(OR(BM$4="",$C64="",$D64=""),"",IF(AND($C64&lt;EDATE(BM$4,1),$D64&gt;=BM$4),1,""))</f>
        <v/>
      </c>
      <c r="BN64" s="64" t="str">
        <f aca="false">IF(OR(BN$4="",$C64="",$D64=""),"",IF(AND($C64&lt;EDATE(BN$4,1),$D64&gt;=BN$4),1,""))</f>
        <v/>
      </c>
      <c r="BO64" s="64" t="str">
        <f aca="false">IF(OR(BO$4="",$C64="",$D64=""),"",IF(AND($C64&lt;EDATE(BO$4,1),$D64&gt;=BO$4),1,""))</f>
        <v/>
      </c>
      <c r="BP64" s="64" t="str">
        <f aca="false">IF(OR(BP$4="",$C64="",$D64=""),"",IF(AND($C64&lt;EDATE(BP$4,1),$D64&gt;=BP$4),1,""))</f>
        <v/>
      </c>
      <c r="BQ64" s="64" t="str">
        <f aca="false">IF(OR(BQ$4="",$C64="",$D64=""),"",IF(AND($C64&lt;EDATE(BQ$4,1),$D64&gt;=BQ$4),1,""))</f>
        <v/>
      </c>
      <c r="BR64" s="64" t="str">
        <f aca="false">IF(OR(BR$4="",$C64="",$D64=""),"",IF(AND($C64&lt;EDATE(BR$4,1),$D64&gt;=BR$4),1,""))</f>
        <v/>
      </c>
      <c r="BS64" s="64" t="str">
        <f aca="false">IF(OR(BS$4="",$C64="",$D64=""),"",IF(AND($C64&lt;EDATE(BS$4,1),$D64&gt;=BS$4),1,""))</f>
        <v/>
      </c>
      <c r="BT64" s="64" t="str">
        <f aca="false">IF(OR(BT$4="",$C64="",$D64=""),"",IF(AND($C64&lt;EDATE(BT$4,1),$D64&gt;=BT$4),1,""))</f>
        <v/>
      </c>
      <c r="BU64" s="64" t="str">
        <f aca="false">IF(OR(BU$4="",$C64="",$D64=""),"",IF(AND($C64&lt;EDATE(BU$4,1),$D64&gt;=BU$4),1,""))</f>
        <v/>
      </c>
      <c r="BV64" s="64" t="str">
        <f aca="false">IF(OR(BV$4="",$C64="",$D64=""),"",IF(AND($C64&lt;EDATE(BV$4,1),$D64&gt;=BV$4),1,""))</f>
        <v/>
      </c>
      <c r="BW64" s="64" t="str">
        <f aca="false">IF(OR(BW$4="",$C64="",$D64=""),"",IF(AND($C64&lt;EDATE(BW$4,1),$D64&gt;=BW$4),1,""))</f>
        <v/>
      </c>
      <c r="BX64" s="64" t="str">
        <f aca="false">IF(OR(BX$4="",$C64="",$D64=""),"",IF(AND($C64&lt;EDATE(BX$4,1),$D64&gt;=BX$4),1,""))</f>
        <v/>
      </c>
      <c r="BY64" s="64" t="str">
        <f aca="false">IF(OR(BY$4="",$C64="",$D64=""),"",IF(AND($C64&lt;EDATE(BY$4,1),$D64&gt;=BY$4),1,""))</f>
        <v/>
      </c>
    </row>
    <row r="65" customFormat="false" ht="15" hidden="false" customHeight="false" outlineLevel="0" collapsed="false">
      <c r="A65" s="53" t="str">
        <f aca="false">IF(BOE!$A34="","",BOE!$A34)</f>
        <v>LOE-2</v>
      </c>
      <c r="B65" s="53" t="str">
        <f aca="false">IF(BOE!$A34="","",BOE!$C34)</f>
        <v>Design review safety data packages (SRR/PDR/CDR/TRR)</v>
      </c>
      <c r="C65" s="54" t="n">
        <f aca="false">IF(OR(BOE!$A34="",BOE!$E34&lt;&gt;"Y"),"",BOE!$O34)</f>
        <v>46439</v>
      </c>
      <c r="D65" s="54" t="n">
        <f aca="false">IF(OR(BOE!$A34="",BOE!$E34&lt;&gt;"Y"),"",BOE!$P34)</f>
        <v>47122</v>
      </c>
      <c r="E65" s="55" t="n">
        <f aca="false">IF(OR(BOE!$A34="",BOE!$E34&lt;&gt;"Y"),"",IF(Inputs!$B$7="P90",BOE!$T34,BOE!$R34))</f>
        <v>320</v>
      </c>
      <c r="F65" s="64" t="str">
        <f aca="false">IF(OR(F$4="",$C65="",$D65=""),"",IF(AND($C65&lt;EDATE(F$4,1),$D65&gt;=F$4),1,""))</f>
        <v/>
      </c>
      <c r="G65" s="64" t="n">
        <f aca="false">IF(OR(G$4="",$C65="",$D65=""),"",IF(AND($C65&lt;EDATE(G$4,1),$D65&gt;=G$4),1,""))</f>
        <v>1</v>
      </c>
      <c r="H65" s="64" t="n">
        <f aca="false">IF(OR(H$4="",$C65="",$D65=""),"",IF(AND($C65&lt;EDATE(H$4,1),$D65&gt;=H$4),1,""))</f>
        <v>1</v>
      </c>
      <c r="I65" s="64" t="n">
        <f aca="false">IF(OR(I$4="",$C65="",$D65=""),"",IF(AND($C65&lt;EDATE(I$4,1),$D65&gt;=I$4),1,""))</f>
        <v>1</v>
      </c>
      <c r="J65" s="64" t="n">
        <f aca="false">IF(OR(J$4="",$C65="",$D65=""),"",IF(AND($C65&lt;EDATE(J$4,1),$D65&gt;=J$4),1,""))</f>
        <v>1</v>
      </c>
      <c r="K65" s="64" t="n">
        <f aca="false">IF(OR(K$4="",$C65="",$D65=""),"",IF(AND($C65&lt;EDATE(K$4,1),$D65&gt;=K$4),1,""))</f>
        <v>1</v>
      </c>
      <c r="L65" s="64" t="n">
        <f aca="false">IF(OR(L$4="",$C65="",$D65=""),"",IF(AND($C65&lt;EDATE(L$4,1),$D65&gt;=L$4),1,""))</f>
        <v>1</v>
      </c>
      <c r="M65" s="64" t="n">
        <f aca="false">IF(OR(M$4="",$C65="",$D65=""),"",IF(AND($C65&lt;EDATE(M$4,1),$D65&gt;=M$4),1,""))</f>
        <v>1</v>
      </c>
      <c r="N65" s="64" t="n">
        <f aca="false">IF(OR(N$4="",$C65="",$D65=""),"",IF(AND($C65&lt;EDATE(N$4,1),$D65&gt;=N$4),1,""))</f>
        <v>1</v>
      </c>
      <c r="O65" s="64" t="n">
        <f aca="false">IF(OR(O$4="",$C65="",$D65=""),"",IF(AND($C65&lt;EDATE(O$4,1),$D65&gt;=O$4),1,""))</f>
        <v>1</v>
      </c>
      <c r="P65" s="64" t="n">
        <f aca="false">IF(OR(P$4="",$C65="",$D65=""),"",IF(AND($C65&lt;EDATE(P$4,1),$D65&gt;=P$4),1,""))</f>
        <v>1</v>
      </c>
      <c r="Q65" s="64" t="n">
        <f aca="false">IF(OR(Q$4="",$C65="",$D65=""),"",IF(AND($C65&lt;EDATE(Q$4,1),$D65&gt;=Q$4),1,""))</f>
        <v>1</v>
      </c>
      <c r="R65" s="64" t="n">
        <f aca="false">IF(OR(R$4="",$C65="",$D65=""),"",IF(AND($C65&lt;EDATE(R$4,1),$D65&gt;=R$4),1,""))</f>
        <v>1</v>
      </c>
      <c r="S65" s="64" t="n">
        <f aca="false">IF(OR(S$4="",$C65="",$D65=""),"",IF(AND($C65&lt;EDATE(S$4,1),$D65&gt;=S$4),1,""))</f>
        <v>1</v>
      </c>
      <c r="T65" s="64" t="n">
        <f aca="false">IF(OR(T$4="",$C65="",$D65=""),"",IF(AND($C65&lt;EDATE(T$4,1),$D65&gt;=T$4),1,""))</f>
        <v>1</v>
      </c>
      <c r="U65" s="64" t="n">
        <f aca="false">IF(OR(U$4="",$C65="",$D65=""),"",IF(AND($C65&lt;EDATE(U$4,1),$D65&gt;=U$4),1,""))</f>
        <v>1</v>
      </c>
      <c r="V65" s="64" t="n">
        <f aca="false">IF(OR(V$4="",$C65="",$D65=""),"",IF(AND($C65&lt;EDATE(V$4,1),$D65&gt;=V$4),1,""))</f>
        <v>1</v>
      </c>
      <c r="W65" s="64" t="n">
        <f aca="false">IF(OR(W$4="",$C65="",$D65=""),"",IF(AND($C65&lt;EDATE(W$4,1),$D65&gt;=W$4),1,""))</f>
        <v>1</v>
      </c>
      <c r="X65" s="64" t="n">
        <f aca="false">IF(OR(X$4="",$C65="",$D65=""),"",IF(AND($C65&lt;EDATE(X$4,1),$D65&gt;=X$4),1,""))</f>
        <v>1</v>
      </c>
      <c r="Y65" s="64" t="n">
        <f aca="false">IF(OR(Y$4="",$C65="",$D65=""),"",IF(AND($C65&lt;EDATE(Y$4,1),$D65&gt;=Y$4),1,""))</f>
        <v>1</v>
      </c>
      <c r="Z65" s="64" t="n">
        <f aca="false">IF(OR(Z$4="",$C65="",$D65=""),"",IF(AND($C65&lt;EDATE(Z$4,1),$D65&gt;=Z$4),1,""))</f>
        <v>1</v>
      </c>
      <c r="AA65" s="64" t="n">
        <f aca="false">IF(OR(AA$4="",$C65="",$D65=""),"",IF(AND($C65&lt;EDATE(AA$4,1),$D65&gt;=AA$4),1,""))</f>
        <v>1</v>
      </c>
      <c r="AB65" s="64" t="n">
        <f aca="false">IF(OR(AB$4="",$C65="",$D65=""),"",IF(AND($C65&lt;EDATE(AB$4,1),$D65&gt;=AB$4),1,""))</f>
        <v>1</v>
      </c>
      <c r="AC65" s="64" t="n">
        <f aca="false">IF(OR(AC$4="",$C65="",$D65=""),"",IF(AND($C65&lt;EDATE(AC$4,1),$D65&gt;=AC$4),1,""))</f>
        <v>1</v>
      </c>
      <c r="AD65" s="64" t="n">
        <f aca="false">IF(OR(AD$4="",$C65="",$D65=""),"",IF(AND($C65&lt;EDATE(AD$4,1),$D65&gt;=AD$4),1,""))</f>
        <v>1</v>
      </c>
      <c r="AE65" s="64" t="str">
        <f aca="false">IF(OR(AE$4="",$C65="",$D65=""),"",IF(AND($C65&lt;EDATE(AE$4,1),$D65&gt;=AE$4),1,""))</f>
        <v/>
      </c>
      <c r="AF65" s="64" t="str">
        <f aca="false">IF(OR(AF$4="",$C65="",$D65=""),"",IF(AND($C65&lt;EDATE(AF$4,1),$D65&gt;=AF$4),1,""))</f>
        <v/>
      </c>
      <c r="AG65" s="64" t="str">
        <f aca="false">IF(OR(AG$4="",$C65="",$D65=""),"",IF(AND($C65&lt;EDATE(AG$4,1),$D65&gt;=AG$4),1,""))</f>
        <v/>
      </c>
      <c r="AH65" s="64" t="str">
        <f aca="false">IF(OR(AH$4="",$C65="",$D65=""),"",IF(AND($C65&lt;EDATE(AH$4,1),$D65&gt;=AH$4),1,""))</f>
        <v/>
      </c>
      <c r="AI65" s="64" t="str">
        <f aca="false">IF(OR(AI$4="",$C65="",$D65=""),"",IF(AND($C65&lt;EDATE(AI$4,1),$D65&gt;=AI$4),1,""))</f>
        <v/>
      </c>
      <c r="AJ65" s="64" t="str">
        <f aca="false">IF(OR(AJ$4="",$C65="",$D65=""),"",IF(AND($C65&lt;EDATE(AJ$4,1),$D65&gt;=AJ$4),1,""))</f>
        <v/>
      </c>
      <c r="AK65" s="64" t="str">
        <f aca="false">IF(OR(AK$4="",$C65="",$D65=""),"",IF(AND($C65&lt;EDATE(AK$4,1),$D65&gt;=AK$4),1,""))</f>
        <v/>
      </c>
      <c r="AL65" s="64" t="str">
        <f aca="false">IF(OR(AL$4="",$C65="",$D65=""),"",IF(AND($C65&lt;EDATE(AL$4,1),$D65&gt;=AL$4),1,""))</f>
        <v/>
      </c>
      <c r="AM65" s="64" t="str">
        <f aca="false">IF(OR(AM$4="",$C65="",$D65=""),"",IF(AND($C65&lt;EDATE(AM$4,1),$D65&gt;=AM$4),1,""))</f>
        <v/>
      </c>
      <c r="AN65" s="64" t="str">
        <f aca="false">IF(OR(AN$4="",$C65="",$D65=""),"",IF(AND($C65&lt;EDATE(AN$4,1),$D65&gt;=AN$4),1,""))</f>
        <v/>
      </c>
      <c r="AO65" s="64" t="str">
        <f aca="false">IF(OR(AO$4="",$C65="",$D65=""),"",IF(AND($C65&lt;EDATE(AO$4,1),$D65&gt;=AO$4),1,""))</f>
        <v/>
      </c>
      <c r="AP65" s="64" t="str">
        <f aca="false">IF(OR(AP$4="",$C65="",$D65=""),"",IF(AND($C65&lt;EDATE(AP$4,1),$D65&gt;=AP$4),1,""))</f>
        <v/>
      </c>
      <c r="AQ65" s="64" t="str">
        <f aca="false">IF(OR(AQ$4="",$C65="",$D65=""),"",IF(AND($C65&lt;EDATE(AQ$4,1),$D65&gt;=AQ$4),1,""))</f>
        <v/>
      </c>
      <c r="AR65" s="64" t="str">
        <f aca="false">IF(OR(AR$4="",$C65="",$D65=""),"",IF(AND($C65&lt;EDATE(AR$4,1),$D65&gt;=AR$4),1,""))</f>
        <v/>
      </c>
      <c r="AS65" s="64" t="str">
        <f aca="false">IF(OR(AS$4="",$C65="",$D65=""),"",IF(AND($C65&lt;EDATE(AS$4,1),$D65&gt;=AS$4),1,""))</f>
        <v/>
      </c>
      <c r="AT65" s="64" t="str">
        <f aca="false">IF(OR(AT$4="",$C65="",$D65=""),"",IF(AND($C65&lt;EDATE(AT$4,1),$D65&gt;=AT$4),1,""))</f>
        <v/>
      </c>
      <c r="AU65" s="64" t="str">
        <f aca="false">IF(OR(AU$4="",$C65="",$D65=""),"",IF(AND($C65&lt;EDATE(AU$4,1),$D65&gt;=AU$4),1,""))</f>
        <v/>
      </c>
      <c r="AV65" s="64" t="str">
        <f aca="false">IF(OR(AV$4="",$C65="",$D65=""),"",IF(AND($C65&lt;EDATE(AV$4,1),$D65&gt;=AV$4),1,""))</f>
        <v/>
      </c>
      <c r="AW65" s="64" t="str">
        <f aca="false">IF(OR(AW$4="",$C65="",$D65=""),"",IF(AND($C65&lt;EDATE(AW$4,1),$D65&gt;=AW$4),1,""))</f>
        <v/>
      </c>
      <c r="AX65" s="64" t="str">
        <f aca="false">IF(OR(AX$4="",$C65="",$D65=""),"",IF(AND($C65&lt;EDATE(AX$4,1),$D65&gt;=AX$4),1,""))</f>
        <v/>
      </c>
      <c r="AY65" s="64" t="str">
        <f aca="false">IF(OR(AY$4="",$C65="",$D65=""),"",IF(AND($C65&lt;EDATE(AY$4,1),$D65&gt;=AY$4),1,""))</f>
        <v/>
      </c>
      <c r="AZ65" s="64" t="str">
        <f aca="false">IF(OR(AZ$4="",$C65="",$D65=""),"",IF(AND($C65&lt;EDATE(AZ$4,1),$D65&gt;=AZ$4),1,""))</f>
        <v/>
      </c>
      <c r="BA65" s="64" t="str">
        <f aca="false">IF(OR(BA$4="",$C65="",$D65=""),"",IF(AND($C65&lt;EDATE(BA$4,1),$D65&gt;=BA$4),1,""))</f>
        <v/>
      </c>
      <c r="BB65" s="64" t="str">
        <f aca="false">IF(OR(BB$4="",$C65="",$D65=""),"",IF(AND($C65&lt;EDATE(BB$4,1),$D65&gt;=BB$4),1,""))</f>
        <v/>
      </c>
      <c r="BC65" s="64" t="str">
        <f aca="false">IF(OR(BC$4="",$C65="",$D65=""),"",IF(AND($C65&lt;EDATE(BC$4,1),$D65&gt;=BC$4),1,""))</f>
        <v/>
      </c>
      <c r="BD65" s="64" t="str">
        <f aca="false">IF(OR(BD$4="",$C65="",$D65=""),"",IF(AND($C65&lt;EDATE(BD$4,1),$D65&gt;=BD$4),1,""))</f>
        <v/>
      </c>
      <c r="BE65" s="64" t="str">
        <f aca="false">IF(OR(BE$4="",$C65="",$D65=""),"",IF(AND($C65&lt;EDATE(BE$4,1),$D65&gt;=BE$4),1,""))</f>
        <v/>
      </c>
      <c r="BF65" s="64" t="str">
        <f aca="false">IF(OR(BF$4="",$C65="",$D65=""),"",IF(AND($C65&lt;EDATE(BF$4,1),$D65&gt;=BF$4),1,""))</f>
        <v/>
      </c>
      <c r="BG65" s="64" t="str">
        <f aca="false">IF(OR(BG$4="",$C65="",$D65=""),"",IF(AND($C65&lt;EDATE(BG$4,1),$D65&gt;=BG$4),1,""))</f>
        <v/>
      </c>
      <c r="BH65" s="64" t="str">
        <f aca="false">IF(OR(BH$4="",$C65="",$D65=""),"",IF(AND($C65&lt;EDATE(BH$4,1),$D65&gt;=BH$4),1,""))</f>
        <v/>
      </c>
      <c r="BI65" s="64" t="str">
        <f aca="false">IF(OR(BI$4="",$C65="",$D65=""),"",IF(AND($C65&lt;EDATE(BI$4,1),$D65&gt;=BI$4),1,""))</f>
        <v/>
      </c>
      <c r="BJ65" s="64" t="str">
        <f aca="false">IF(OR(BJ$4="",$C65="",$D65=""),"",IF(AND($C65&lt;EDATE(BJ$4,1),$D65&gt;=BJ$4),1,""))</f>
        <v/>
      </c>
      <c r="BK65" s="64" t="str">
        <f aca="false">IF(OR(BK$4="",$C65="",$D65=""),"",IF(AND($C65&lt;EDATE(BK$4,1),$D65&gt;=BK$4),1,""))</f>
        <v/>
      </c>
      <c r="BL65" s="64" t="str">
        <f aca="false">IF(OR(BL$4="",$C65="",$D65=""),"",IF(AND($C65&lt;EDATE(BL$4,1),$D65&gt;=BL$4),1,""))</f>
        <v/>
      </c>
      <c r="BM65" s="64" t="str">
        <f aca="false">IF(OR(BM$4="",$C65="",$D65=""),"",IF(AND($C65&lt;EDATE(BM$4,1),$D65&gt;=BM$4),1,""))</f>
        <v/>
      </c>
      <c r="BN65" s="64" t="str">
        <f aca="false">IF(OR(BN$4="",$C65="",$D65=""),"",IF(AND($C65&lt;EDATE(BN$4,1),$D65&gt;=BN$4),1,""))</f>
        <v/>
      </c>
      <c r="BO65" s="64" t="str">
        <f aca="false">IF(OR(BO$4="",$C65="",$D65=""),"",IF(AND($C65&lt;EDATE(BO$4,1),$D65&gt;=BO$4),1,""))</f>
        <v/>
      </c>
      <c r="BP65" s="64" t="str">
        <f aca="false">IF(OR(BP$4="",$C65="",$D65=""),"",IF(AND($C65&lt;EDATE(BP$4,1),$D65&gt;=BP$4),1,""))</f>
        <v/>
      </c>
      <c r="BQ65" s="64" t="str">
        <f aca="false">IF(OR(BQ$4="",$C65="",$D65=""),"",IF(AND($C65&lt;EDATE(BQ$4,1),$D65&gt;=BQ$4),1,""))</f>
        <v/>
      </c>
      <c r="BR65" s="64" t="str">
        <f aca="false">IF(OR(BR$4="",$C65="",$D65=""),"",IF(AND($C65&lt;EDATE(BR$4,1),$D65&gt;=BR$4),1,""))</f>
        <v/>
      </c>
      <c r="BS65" s="64" t="str">
        <f aca="false">IF(OR(BS$4="",$C65="",$D65=""),"",IF(AND($C65&lt;EDATE(BS$4,1),$D65&gt;=BS$4),1,""))</f>
        <v/>
      </c>
      <c r="BT65" s="64" t="str">
        <f aca="false">IF(OR(BT$4="",$C65="",$D65=""),"",IF(AND($C65&lt;EDATE(BT$4,1),$D65&gt;=BT$4),1,""))</f>
        <v/>
      </c>
      <c r="BU65" s="64" t="str">
        <f aca="false">IF(OR(BU$4="",$C65="",$D65=""),"",IF(AND($C65&lt;EDATE(BU$4,1),$D65&gt;=BU$4),1,""))</f>
        <v/>
      </c>
      <c r="BV65" s="64" t="str">
        <f aca="false">IF(OR(BV$4="",$C65="",$D65=""),"",IF(AND($C65&lt;EDATE(BV$4,1),$D65&gt;=BV$4),1,""))</f>
        <v/>
      </c>
      <c r="BW65" s="64" t="str">
        <f aca="false">IF(OR(BW$4="",$C65="",$D65=""),"",IF(AND($C65&lt;EDATE(BW$4,1),$D65&gt;=BW$4),1,""))</f>
        <v/>
      </c>
      <c r="BX65" s="64" t="str">
        <f aca="false">IF(OR(BX$4="",$C65="",$D65=""),"",IF(AND($C65&lt;EDATE(BX$4,1),$D65&gt;=BX$4),1,""))</f>
        <v/>
      </c>
      <c r="BY65" s="64" t="str">
        <f aca="false">IF(OR(BY$4="",$C65="",$D65=""),"",IF(AND($C65&lt;EDATE(BY$4,1),$D65&gt;=BY$4),1,""))</f>
        <v/>
      </c>
    </row>
    <row r="66" customFormat="false" ht="15" hidden="false" customHeight="false" outlineLevel="0" collapsed="false">
      <c r="A66" s="53" t="str">
        <f aca="false">IF(BOE!$A35="","",BOE!$A35)</f>
        <v>LOE-3</v>
      </c>
      <c r="B66" s="53" t="str">
        <f aca="false">IF(BOE!$A35="","",BOE!$C35)</f>
        <v>Safety program management, BOE/EVM upkeep, travel</v>
      </c>
      <c r="C66" s="54" t="n">
        <f aca="false">IF(OR(BOE!$A35="",BOE!$E35&lt;&gt;"Y"),"",BOE!$O35)</f>
        <v>46391</v>
      </c>
      <c r="D66" s="54" t="n">
        <f aca="false">IF(OR(BOE!$A35="",BOE!$E35&lt;&gt;"Y"),"",BOE!$P35)</f>
        <v>47483</v>
      </c>
      <c r="E66" s="55" t="n">
        <f aca="false">IF(OR(BOE!$A35="",BOE!$E35&lt;&gt;"Y"),"",IF(Inputs!$B$7="P90",BOE!$T35,BOE!$R35))</f>
        <v>215.260780287474</v>
      </c>
      <c r="F66" s="64" t="n">
        <f aca="false">IF(OR(F$4="",$C66="",$D66=""),"",IF(AND($C66&lt;EDATE(F$4,1),$D66&gt;=F$4),1,""))</f>
        <v>1</v>
      </c>
      <c r="G66" s="64" t="n">
        <f aca="false">IF(OR(G$4="",$C66="",$D66=""),"",IF(AND($C66&lt;EDATE(G$4,1),$D66&gt;=G$4),1,""))</f>
        <v>1</v>
      </c>
      <c r="H66" s="64" t="n">
        <f aca="false">IF(OR(H$4="",$C66="",$D66=""),"",IF(AND($C66&lt;EDATE(H$4,1),$D66&gt;=H$4),1,""))</f>
        <v>1</v>
      </c>
      <c r="I66" s="64" t="n">
        <f aca="false">IF(OR(I$4="",$C66="",$D66=""),"",IF(AND($C66&lt;EDATE(I$4,1),$D66&gt;=I$4),1,""))</f>
        <v>1</v>
      </c>
      <c r="J66" s="64" t="n">
        <f aca="false">IF(OR(J$4="",$C66="",$D66=""),"",IF(AND($C66&lt;EDATE(J$4,1),$D66&gt;=J$4),1,""))</f>
        <v>1</v>
      </c>
      <c r="K66" s="64" t="n">
        <f aca="false">IF(OR(K$4="",$C66="",$D66=""),"",IF(AND($C66&lt;EDATE(K$4,1),$D66&gt;=K$4),1,""))</f>
        <v>1</v>
      </c>
      <c r="L66" s="64" t="n">
        <f aca="false">IF(OR(L$4="",$C66="",$D66=""),"",IF(AND($C66&lt;EDATE(L$4,1),$D66&gt;=L$4),1,""))</f>
        <v>1</v>
      </c>
      <c r="M66" s="64" t="n">
        <f aca="false">IF(OR(M$4="",$C66="",$D66=""),"",IF(AND($C66&lt;EDATE(M$4,1),$D66&gt;=M$4),1,""))</f>
        <v>1</v>
      </c>
      <c r="N66" s="64" t="n">
        <f aca="false">IF(OR(N$4="",$C66="",$D66=""),"",IF(AND($C66&lt;EDATE(N$4,1),$D66&gt;=N$4),1,""))</f>
        <v>1</v>
      </c>
      <c r="O66" s="64" t="n">
        <f aca="false">IF(OR(O$4="",$C66="",$D66=""),"",IF(AND($C66&lt;EDATE(O$4,1),$D66&gt;=O$4),1,""))</f>
        <v>1</v>
      </c>
      <c r="P66" s="64" t="n">
        <f aca="false">IF(OR(P$4="",$C66="",$D66=""),"",IF(AND($C66&lt;EDATE(P$4,1),$D66&gt;=P$4),1,""))</f>
        <v>1</v>
      </c>
      <c r="Q66" s="64" t="n">
        <f aca="false">IF(OR(Q$4="",$C66="",$D66=""),"",IF(AND($C66&lt;EDATE(Q$4,1),$D66&gt;=Q$4),1,""))</f>
        <v>1</v>
      </c>
      <c r="R66" s="64" t="n">
        <f aca="false">IF(OR(R$4="",$C66="",$D66=""),"",IF(AND($C66&lt;EDATE(R$4,1),$D66&gt;=R$4),1,""))</f>
        <v>1</v>
      </c>
      <c r="S66" s="64" t="n">
        <f aca="false">IF(OR(S$4="",$C66="",$D66=""),"",IF(AND($C66&lt;EDATE(S$4,1),$D66&gt;=S$4),1,""))</f>
        <v>1</v>
      </c>
      <c r="T66" s="64" t="n">
        <f aca="false">IF(OR(T$4="",$C66="",$D66=""),"",IF(AND($C66&lt;EDATE(T$4,1),$D66&gt;=T$4),1,""))</f>
        <v>1</v>
      </c>
      <c r="U66" s="64" t="n">
        <f aca="false">IF(OR(U$4="",$C66="",$D66=""),"",IF(AND($C66&lt;EDATE(U$4,1),$D66&gt;=U$4),1,""))</f>
        <v>1</v>
      </c>
      <c r="V66" s="64" t="n">
        <f aca="false">IF(OR(V$4="",$C66="",$D66=""),"",IF(AND($C66&lt;EDATE(V$4,1),$D66&gt;=V$4),1,""))</f>
        <v>1</v>
      </c>
      <c r="W66" s="64" t="n">
        <f aca="false">IF(OR(W$4="",$C66="",$D66=""),"",IF(AND($C66&lt;EDATE(W$4,1),$D66&gt;=W$4),1,""))</f>
        <v>1</v>
      </c>
      <c r="X66" s="64" t="n">
        <f aca="false">IF(OR(X$4="",$C66="",$D66=""),"",IF(AND($C66&lt;EDATE(X$4,1),$D66&gt;=X$4),1,""))</f>
        <v>1</v>
      </c>
      <c r="Y66" s="64" t="n">
        <f aca="false">IF(OR(Y$4="",$C66="",$D66=""),"",IF(AND($C66&lt;EDATE(Y$4,1),$D66&gt;=Y$4),1,""))</f>
        <v>1</v>
      </c>
      <c r="Z66" s="64" t="n">
        <f aca="false">IF(OR(Z$4="",$C66="",$D66=""),"",IF(AND($C66&lt;EDATE(Z$4,1),$D66&gt;=Z$4),1,""))</f>
        <v>1</v>
      </c>
      <c r="AA66" s="64" t="n">
        <f aca="false">IF(OR(AA$4="",$C66="",$D66=""),"",IF(AND($C66&lt;EDATE(AA$4,1),$D66&gt;=AA$4),1,""))</f>
        <v>1</v>
      </c>
      <c r="AB66" s="64" t="n">
        <f aca="false">IF(OR(AB$4="",$C66="",$D66=""),"",IF(AND($C66&lt;EDATE(AB$4,1),$D66&gt;=AB$4),1,""))</f>
        <v>1</v>
      </c>
      <c r="AC66" s="64" t="n">
        <f aca="false">IF(OR(AC$4="",$C66="",$D66=""),"",IF(AND($C66&lt;EDATE(AC$4,1),$D66&gt;=AC$4),1,""))</f>
        <v>1</v>
      </c>
      <c r="AD66" s="64" t="n">
        <f aca="false">IF(OR(AD$4="",$C66="",$D66=""),"",IF(AND($C66&lt;EDATE(AD$4,1),$D66&gt;=AD$4),1,""))</f>
        <v>1</v>
      </c>
      <c r="AE66" s="64" t="n">
        <f aca="false">IF(OR(AE$4="",$C66="",$D66=""),"",IF(AND($C66&lt;EDATE(AE$4,1),$D66&gt;=AE$4),1,""))</f>
        <v>1</v>
      </c>
      <c r="AF66" s="64" t="n">
        <f aca="false">IF(OR(AF$4="",$C66="",$D66=""),"",IF(AND($C66&lt;EDATE(AF$4,1),$D66&gt;=AF$4),1,""))</f>
        <v>1</v>
      </c>
      <c r="AG66" s="64" t="n">
        <f aca="false">IF(OR(AG$4="",$C66="",$D66=""),"",IF(AND($C66&lt;EDATE(AG$4,1),$D66&gt;=AG$4),1,""))</f>
        <v>1</v>
      </c>
      <c r="AH66" s="64" t="n">
        <f aca="false">IF(OR(AH$4="",$C66="",$D66=""),"",IF(AND($C66&lt;EDATE(AH$4,1),$D66&gt;=AH$4),1,""))</f>
        <v>1</v>
      </c>
      <c r="AI66" s="64" t="n">
        <f aca="false">IF(OR(AI$4="",$C66="",$D66=""),"",IF(AND($C66&lt;EDATE(AI$4,1),$D66&gt;=AI$4),1,""))</f>
        <v>1</v>
      </c>
      <c r="AJ66" s="64" t="n">
        <f aca="false">IF(OR(AJ$4="",$C66="",$D66=""),"",IF(AND($C66&lt;EDATE(AJ$4,1),$D66&gt;=AJ$4),1,""))</f>
        <v>1</v>
      </c>
      <c r="AK66" s="64" t="n">
        <f aca="false">IF(OR(AK$4="",$C66="",$D66=""),"",IF(AND($C66&lt;EDATE(AK$4,1),$D66&gt;=AK$4),1,""))</f>
        <v>1</v>
      </c>
      <c r="AL66" s="64" t="n">
        <f aca="false">IF(OR(AL$4="",$C66="",$D66=""),"",IF(AND($C66&lt;EDATE(AL$4,1),$D66&gt;=AL$4),1,""))</f>
        <v>1</v>
      </c>
      <c r="AM66" s="64" t="n">
        <f aca="false">IF(OR(AM$4="",$C66="",$D66=""),"",IF(AND($C66&lt;EDATE(AM$4,1),$D66&gt;=AM$4),1,""))</f>
        <v>1</v>
      </c>
      <c r="AN66" s="64" t="n">
        <f aca="false">IF(OR(AN$4="",$C66="",$D66=""),"",IF(AND($C66&lt;EDATE(AN$4,1),$D66&gt;=AN$4),1,""))</f>
        <v>1</v>
      </c>
      <c r="AO66" s="64" t="n">
        <f aca="false">IF(OR(AO$4="",$C66="",$D66=""),"",IF(AND($C66&lt;EDATE(AO$4,1),$D66&gt;=AO$4),1,""))</f>
        <v>1</v>
      </c>
      <c r="AP66" s="64" t="str">
        <f aca="false">IF(OR(AP$4="",$C66="",$D66=""),"",IF(AND($C66&lt;EDATE(AP$4,1),$D66&gt;=AP$4),1,""))</f>
        <v/>
      </c>
      <c r="AQ66" s="64" t="str">
        <f aca="false">IF(OR(AQ$4="",$C66="",$D66=""),"",IF(AND($C66&lt;EDATE(AQ$4,1),$D66&gt;=AQ$4),1,""))</f>
        <v/>
      </c>
      <c r="AR66" s="64" t="str">
        <f aca="false">IF(OR(AR$4="",$C66="",$D66=""),"",IF(AND($C66&lt;EDATE(AR$4,1),$D66&gt;=AR$4),1,""))</f>
        <v/>
      </c>
      <c r="AS66" s="64" t="str">
        <f aca="false">IF(OR(AS$4="",$C66="",$D66=""),"",IF(AND($C66&lt;EDATE(AS$4,1),$D66&gt;=AS$4),1,""))</f>
        <v/>
      </c>
      <c r="AT66" s="64" t="str">
        <f aca="false">IF(OR(AT$4="",$C66="",$D66=""),"",IF(AND($C66&lt;EDATE(AT$4,1),$D66&gt;=AT$4),1,""))</f>
        <v/>
      </c>
      <c r="AU66" s="64" t="str">
        <f aca="false">IF(OR(AU$4="",$C66="",$D66=""),"",IF(AND($C66&lt;EDATE(AU$4,1),$D66&gt;=AU$4),1,""))</f>
        <v/>
      </c>
      <c r="AV66" s="64" t="str">
        <f aca="false">IF(OR(AV$4="",$C66="",$D66=""),"",IF(AND($C66&lt;EDATE(AV$4,1),$D66&gt;=AV$4),1,""))</f>
        <v/>
      </c>
      <c r="AW66" s="64" t="str">
        <f aca="false">IF(OR(AW$4="",$C66="",$D66=""),"",IF(AND($C66&lt;EDATE(AW$4,1),$D66&gt;=AW$4),1,""))</f>
        <v/>
      </c>
      <c r="AX66" s="64" t="str">
        <f aca="false">IF(OR(AX$4="",$C66="",$D66=""),"",IF(AND($C66&lt;EDATE(AX$4,1),$D66&gt;=AX$4),1,""))</f>
        <v/>
      </c>
      <c r="AY66" s="64" t="str">
        <f aca="false">IF(OR(AY$4="",$C66="",$D66=""),"",IF(AND($C66&lt;EDATE(AY$4,1),$D66&gt;=AY$4),1,""))</f>
        <v/>
      </c>
      <c r="AZ66" s="64" t="str">
        <f aca="false">IF(OR(AZ$4="",$C66="",$D66=""),"",IF(AND($C66&lt;EDATE(AZ$4,1),$D66&gt;=AZ$4),1,""))</f>
        <v/>
      </c>
      <c r="BA66" s="64" t="str">
        <f aca="false">IF(OR(BA$4="",$C66="",$D66=""),"",IF(AND($C66&lt;EDATE(BA$4,1),$D66&gt;=BA$4),1,""))</f>
        <v/>
      </c>
      <c r="BB66" s="64" t="str">
        <f aca="false">IF(OR(BB$4="",$C66="",$D66=""),"",IF(AND($C66&lt;EDATE(BB$4,1),$D66&gt;=BB$4),1,""))</f>
        <v/>
      </c>
      <c r="BC66" s="64" t="str">
        <f aca="false">IF(OR(BC$4="",$C66="",$D66=""),"",IF(AND($C66&lt;EDATE(BC$4,1),$D66&gt;=BC$4),1,""))</f>
        <v/>
      </c>
      <c r="BD66" s="64" t="str">
        <f aca="false">IF(OR(BD$4="",$C66="",$D66=""),"",IF(AND($C66&lt;EDATE(BD$4,1),$D66&gt;=BD$4),1,""))</f>
        <v/>
      </c>
      <c r="BE66" s="64" t="str">
        <f aca="false">IF(OR(BE$4="",$C66="",$D66=""),"",IF(AND($C66&lt;EDATE(BE$4,1),$D66&gt;=BE$4),1,""))</f>
        <v/>
      </c>
      <c r="BF66" s="64" t="str">
        <f aca="false">IF(OR(BF$4="",$C66="",$D66=""),"",IF(AND($C66&lt;EDATE(BF$4,1),$D66&gt;=BF$4),1,""))</f>
        <v/>
      </c>
      <c r="BG66" s="64" t="str">
        <f aca="false">IF(OR(BG$4="",$C66="",$D66=""),"",IF(AND($C66&lt;EDATE(BG$4,1),$D66&gt;=BG$4),1,""))</f>
        <v/>
      </c>
      <c r="BH66" s="64" t="str">
        <f aca="false">IF(OR(BH$4="",$C66="",$D66=""),"",IF(AND($C66&lt;EDATE(BH$4,1),$D66&gt;=BH$4),1,""))</f>
        <v/>
      </c>
      <c r="BI66" s="64" t="str">
        <f aca="false">IF(OR(BI$4="",$C66="",$D66=""),"",IF(AND($C66&lt;EDATE(BI$4,1),$D66&gt;=BI$4),1,""))</f>
        <v/>
      </c>
      <c r="BJ66" s="64" t="str">
        <f aca="false">IF(OR(BJ$4="",$C66="",$D66=""),"",IF(AND($C66&lt;EDATE(BJ$4,1),$D66&gt;=BJ$4),1,""))</f>
        <v/>
      </c>
      <c r="BK66" s="64" t="str">
        <f aca="false">IF(OR(BK$4="",$C66="",$D66=""),"",IF(AND($C66&lt;EDATE(BK$4,1),$D66&gt;=BK$4),1,""))</f>
        <v/>
      </c>
      <c r="BL66" s="64" t="str">
        <f aca="false">IF(OR(BL$4="",$C66="",$D66=""),"",IF(AND($C66&lt;EDATE(BL$4,1),$D66&gt;=BL$4),1,""))</f>
        <v/>
      </c>
      <c r="BM66" s="64" t="str">
        <f aca="false">IF(OR(BM$4="",$C66="",$D66=""),"",IF(AND($C66&lt;EDATE(BM$4,1),$D66&gt;=BM$4),1,""))</f>
        <v/>
      </c>
      <c r="BN66" s="64" t="str">
        <f aca="false">IF(OR(BN$4="",$C66="",$D66=""),"",IF(AND($C66&lt;EDATE(BN$4,1),$D66&gt;=BN$4),1,""))</f>
        <v/>
      </c>
      <c r="BO66" s="64" t="str">
        <f aca="false">IF(OR(BO$4="",$C66="",$D66=""),"",IF(AND($C66&lt;EDATE(BO$4,1),$D66&gt;=BO$4),1,""))</f>
        <v/>
      </c>
      <c r="BP66" s="64" t="str">
        <f aca="false">IF(OR(BP$4="",$C66="",$D66=""),"",IF(AND($C66&lt;EDATE(BP$4,1),$D66&gt;=BP$4),1,""))</f>
        <v/>
      </c>
      <c r="BQ66" s="64" t="str">
        <f aca="false">IF(OR(BQ$4="",$C66="",$D66=""),"",IF(AND($C66&lt;EDATE(BQ$4,1),$D66&gt;=BQ$4),1,""))</f>
        <v/>
      </c>
      <c r="BR66" s="64" t="str">
        <f aca="false">IF(OR(BR$4="",$C66="",$D66=""),"",IF(AND($C66&lt;EDATE(BR$4,1),$D66&gt;=BR$4),1,""))</f>
        <v/>
      </c>
      <c r="BS66" s="64" t="str">
        <f aca="false">IF(OR(BS$4="",$C66="",$D66=""),"",IF(AND($C66&lt;EDATE(BS$4,1),$D66&gt;=BS$4),1,""))</f>
        <v/>
      </c>
      <c r="BT66" s="64" t="str">
        <f aca="false">IF(OR(BT$4="",$C66="",$D66=""),"",IF(AND($C66&lt;EDATE(BT$4,1),$D66&gt;=BT$4),1,""))</f>
        <v/>
      </c>
      <c r="BU66" s="64" t="str">
        <f aca="false">IF(OR(BU$4="",$C66="",$D66=""),"",IF(AND($C66&lt;EDATE(BU$4,1),$D66&gt;=BU$4),1,""))</f>
        <v/>
      </c>
      <c r="BV66" s="64" t="str">
        <f aca="false">IF(OR(BV$4="",$C66="",$D66=""),"",IF(AND($C66&lt;EDATE(BV$4,1),$D66&gt;=BV$4),1,""))</f>
        <v/>
      </c>
      <c r="BW66" s="64" t="str">
        <f aca="false">IF(OR(BW$4="",$C66="",$D66=""),"",IF(AND($C66&lt;EDATE(BW$4,1),$D66&gt;=BW$4),1,""))</f>
        <v/>
      </c>
      <c r="BX66" s="64" t="str">
        <f aca="false">IF(OR(BX$4="",$C66="",$D66=""),"",IF(AND($C66&lt;EDATE(BX$4,1),$D66&gt;=BX$4),1,""))</f>
        <v/>
      </c>
      <c r="BY66" s="64" t="str">
        <f aca="false">IF(OR(BY$4="",$C66="",$D66=""),"",IF(AND($C66&lt;EDATE(BY$4,1),$D66&gt;=BY$4),1,""))</f>
        <v/>
      </c>
    </row>
    <row r="67" customFormat="false" ht="15" hidden="false" customHeight="false" outlineLevel="0" collapsed="false">
      <c r="A67" s="53" t="str">
        <f aca="false">IF(BOE!$A36="","",BOE!$A36)</f>
        <v/>
      </c>
      <c r="B67" s="53" t="str">
        <f aca="false">IF(BOE!$A36="","",BOE!$C36)</f>
        <v/>
      </c>
      <c r="C67" s="54" t="str">
        <f aca="false">IF(OR(BOE!$A36="",BOE!$E36&lt;&gt;"Y"),"",BOE!$O36)</f>
        <v/>
      </c>
      <c r="D67" s="54" t="str">
        <f aca="false">IF(OR(BOE!$A36="",BOE!$E36&lt;&gt;"Y"),"",BOE!$P36)</f>
        <v/>
      </c>
      <c r="E67" s="55" t="str">
        <f aca="false">IF(OR(BOE!$A36="",BOE!$E36&lt;&gt;"Y"),"",IF(Inputs!$B$7="P90",BOE!$T36,BOE!$R36))</f>
        <v/>
      </c>
      <c r="F67" s="64" t="str">
        <f aca="false">IF(OR(F$4="",$C67="",$D67=""),"",IF(AND($C67&lt;EDATE(F$4,1),$D67&gt;=F$4),1,""))</f>
        <v/>
      </c>
      <c r="G67" s="64" t="str">
        <f aca="false">IF(OR(G$4="",$C67="",$D67=""),"",IF(AND($C67&lt;EDATE(G$4,1),$D67&gt;=G$4),1,""))</f>
        <v/>
      </c>
      <c r="H67" s="64" t="str">
        <f aca="false">IF(OR(H$4="",$C67="",$D67=""),"",IF(AND($C67&lt;EDATE(H$4,1),$D67&gt;=H$4),1,""))</f>
        <v/>
      </c>
      <c r="I67" s="64" t="str">
        <f aca="false">IF(OR(I$4="",$C67="",$D67=""),"",IF(AND($C67&lt;EDATE(I$4,1),$D67&gt;=I$4),1,""))</f>
        <v/>
      </c>
      <c r="J67" s="64" t="str">
        <f aca="false">IF(OR(J$4="",$C67="",$D67=""),"",IF(AND($C67&lt;EDATE(J$4,1),$D67&gt;=J$4),1,""))</f>
        <v/>
      </c>
      <c r="K67" s="64" t="str">
        <f aca="false">IF(OR(K$4="",$C67="",$D67=""),"",IF(AND($C67&lt;EDATE(K$4,1),$D67&gt;=K$4),1,""))</f>
        <v/>
      </c>
      <c r="L67" s="64" t="str">
        <f aca="false">IF(OR(L$4="",$C67="",$D67=""),"",IF(AND($C67&lt;EDATE(L$4,1),$D67&gt;=L$4),1,""))</f>
        <v/>
      </c>
      <c r="M67" s="64" t="str">
        <f aca="false">IF(OR(M$4="",$C67="",$D67=""),"",IF(AND($C67&lt;EDATE(M$4,1),$D67&gt;=M$4),1,""))</f>
        <v/>
      </c>
      <c r="N67" s="64" t="str">
        <f aca="false">IF(OR(N$4="",$C67="",$D67=""),"",IF(AND($C67&lt;EDATE(N$4,1),$D67&gt;=N$4),1,""))</f>
        <v/>
      </c>
      <c r="O67" s="64" t="str">
        <f aca="false">IF(OR(O$4="",$C67="",$D67=""),"",IF(AND($C67&lt;EDATE(O$4,1),$D67&gt;=O$4),1,""))</f>
        <v/>
      </c>
      <c r="P67" s="64" t="str">
        <f aca="false">IF(OR(P$4="",$C67="",$D67=""),"",IF(AND($C67&lt;EDATE(P$4,1),$D67&gt;=P$4),1,""))</f>
        <v/>
      </c>
      <c r="Q67" s="64" t="str">
        <f aca="false">IF(OR(Q$4="",$C67="",$D67=""),"",IF(AND($C67&lt;EDATE(Q$4,1),$D67&gt;=Q$4),1,""))</f>
        <v/>
      </c>
      <c r="R67" s="64" t="str">
        <f aca="false">IF(OR(R$4="",$C67="",$D67=""),"",IF(AND($C67&lt;EDATE(R$4,1),$D67&gt;=R$4),1,""))</f>
        <v/>
      </c>
      <c r="S67" s="64" t="str">
        <f aca="false">IF(OR(S$4="",$C67="",$D67=""),"",IF(AND($C67&lt;EDATE(S$4,1),$D67&gt;=S$4),1,""))</f>
        <v/>
      </c>
      <c r="T67" s="64" t="str">
        <f aca="false">IF(OR(T$4="",$C67="",$D67=""),"",IF(AND($C67&lt;EDATE(T$4,1),$D67&gt;=T$4),1,""))</f>
        <v/>
      </c>
      <c r="U67" s="64" t="str">
        <f aca="false">IF(OR(U$4="",$C67="",$D67=""),"",IF(AND($C67&lt;EDATE(U$4,1),$D67&gt;=U$4),1,""))</f>
        <v/>
      </c>
      <c r="V67" s="64" t="str">
        <f aca="false">IF(OR(V$4="",$C67="",$D67=""),"",IF(AND($C67&lt;EDATE(V$4,1),$D67&gt;=V$4),1,""))</f>
        <v/>
      </c>
      <c r="W67" s="64" t="str">
        <f aca="false">IF(OR(W$4="",$C67="",$D67=""),"",IF(AND($C67&lt;EDATE(W$4,1),$D67&gt;=W$4),1,""))</f>
        <v/>
      </c>
      <c r="X67" s="64" t="str">
        <f aca="false">IF(OR(X$4="",$C67="",$D67=""),"",IF(AND($C67&lt;EDATE(X$4,1),$D67&gt;=X$4),1,""))</f>
        <v/>
      </c>
      <c r="Y67" s="64" t="str">
        <f aca="false">IF(OR(Y$4="",$C67="",$D67=""),"",IF(AND($C67&lt;EDATE(Y$4,1),$D67&gt;=Y$4),1,""))</f>
        <v/>
      </c>
      <c r="Z67" s="64" t="str">
        <f aca="false">IF(OR(Z$4="",$C67="",$D67=""),"",IF(AND($C67&lt;EDATE(Z$4,1),$D67&gt;=Z$4),1,""))</f>
        <v/>
      </c>
      <c r="AA67" s="64" t="str">
        <f aca="false">IF(OR(AA$4="",$C67="",$D67=""),"",IF(AND($C67&lt;EDATE(AA$4,1),$D67&gt;=AA$4),1,""))</f>
        <v/>
      </c>
      <c r="AB67" s="64" t="str">
        <f aca="false">IF(OR(AB$4="",$C67="",$D67=""),"",IF(AND($C67&lt;EDATE(AB$4,1),$D67&gt;=AB$4),1,""))</f>
        <v/>
      </c>
      <c r="AC67" s="64" t="str">
        <f aca="false">IF(OR(AC$4="",$C67="",$D67=""),"",IF(AND($C67&lt;EDATE(AC$4,1),$D67&gt;=AC$4),1,""))</f>
        <v/>
      </c>
      <c r="AD67" s="64" t="str">
        <f aca="false">IF(OR(AD$4="",$C67="",$D67=""),"",IF(AND($C67&lt;EDATE(AD$4,1),$D67&gt;=AD$4),1,""))</f>
        <v/>
      </c>
      <c r="AE67" s="64" t="str">
        <f aca="false">IF(OR(AE$4="",$C67="",$D67=""),"",IF(AND($C67&lt;EDATE(AE$4,1),$D67&gt;=AE$4),1,""))</f>
        <v/>
      </c>
      <c r="AF67" s="64" t="str">
        <f aca="false">IF(OR(AF$4="",$C67="",$D67=""),"",IF(AND($C67&lt;EDATE(AF$4,1),$D67&gt;=AF$4),1,""))</f>
        <v/>
      </c>
      <c r="AG67" s="64" t="str">
        <f aca="false">IF(OR(AG$4="",$C67="",$D67=""),"",IF(AND($C67&lt;EDATE(AG$4,1),$D67&gt;=AG$4),1,""))</f>
        <v/>
      </c>
      <c r="AH67" s="64" t="str">
        <f aca="false">IF(OR(AH$4="",$C67="",$D67=""),"",IF(AND($C67&lt;EDATE(AH$4,1),$D67&gt;=AH$4),1,""))</f>
        <v/>
      </c>
      <c r="AI67" s="64" t="str">
        <f aca="false">IF(OR(AI$4="",$C67="",$D67=""),"",IF(AND($C67&lt;EDATE(AI$4,1),$D67&gt;=AI$4),1,""))</f>
        <v/>
      </c>
      <c r="AJ67" s="64" t="str">
        <f aca="false">IF(OR(AJ$4="",$C67="",$D67=""),"",IF(AND($C67&lt;EDATE(AJ$4,1),$D67&gt;=AJ$4),1,""))</f>
        <v/>
      </c>
      <c r="AK67" s="64" t="str">
        <f aca="false">IF(OR(AK$4="",$C67="",$D67=""),"",IF(AND($C67&lt;EDATE(AK$4,1),$D67&gt;=AK$4),1,""))</f>
        <v/>
      </c>
      <c r="AL67" s="64" t="str">
        <f aca="false">IF(OR(AL$4="",$C67="",$D67=""),"",IF(AND($C67&lt;EDATE(AL$4,1),$D67&gt;=AL$4),1,""))</f>
        <v/>
      </c>
      <c r="AM67" s="64" t="str">
        <f aca="false">IF(OR(AM$4="",$C67="",$D67=""),"",IF(AND($C67&lt;EDATE(AM$4,1),$D67&gt;=AM$4),1,""))</f>
        <v/>
      </c>
      <c r="AN67" s="64" t="str">
        <f aca="false">IF(OR(AN$4="",$C67="",$D67=""),"",IF(AND($C67&lt;EDATE(AN$4,1),$D67&gt;=AN$4),1,""))</f>
        <v/>
      </c>
      <c r="AO67" s="64" t="str">
        <f aca="false">IF(OR(AO$4="",$C67="",$D67=""),"",IF(AND($C67&lt;EDATE(AO$4,1),$D67&gt;=AO$4),1,""))</f>
        <v/>
      </c>
      <c r="AP67" s="64" t="str">
        <f aca="false">IF(OR(AP$4="",$C67="",$D67=""),"",IF(AND($C67&lt;EDATE(AP$4,1),$D67&gt;=AP$4),1,""))</f>
        <v/>
      </c>
      <c r="AQ67" s="64" t="str">
        <f aca="false">IF(OR(AQ$4="",$C67="",$D67=""),"",IF(AND($C67&lt;EDATE(AQ$4,1),$D67&gt;=AQ$4),1,""))</f>
        <v/>
      </c>
      <c r="AR67" s="64" t="str">
        <f aca="false">IF(OR(AR$4="",$C67="",$D67=""),"",IF(AND($C67&lt;EDATE(AR$4,1),$D67&gt;=AR$4),1,""))</f>
        <v/>
      </c>
      <c r="AS67" s="64" t="str">
        <f aca="false">IF(OR(AS$4="",$C67="",$D67=""),"",IF(AND($C67&lt;EDATE(AS$4,1),$D67&gt;=AS$4),1,""))</f>
        <v/>
      </c>
      <c r="AT67" s="64" t="str">
        <f aca="false">IF(OR(AT$4="",$C67="",$D67=""),"",IF(AND($C67&lt;EDATE(AT$4,1),$D67&gt;=AT$4),1,""))</f>
        <v/>
      </c>
      <c r="AU67" s="64" t="str">
        <f aca="false">IF(OR(AU$4="",$C67="",$D67=""),"",IF(AND($C67&lt;EDATE(AU$4,1),$D67&gt;=AU$4),1,""))</f>
        <v/>
      </c>
      <c r="AV67" s="64" t="str">
        <f aca="false">IF(OR(AV$4="",$C67="",$D67=""),"",IF(AND($C67&lt;EDATE(AV$4,1),$D67&gt;=AV$4),1,""))</f>
        <v/>
      </c>
      <c r="AW67" s="64" t="str">
        <f aca="false">IF(OR(AW$4="",$C67="",$D67=""),"",IF(AND($C67&lt;EDATE(AW$4,1),$D67&gt;=AW$4),1,""))</f>
        <v/>
      </c>
      <c r="AX67" s="64" t="str">
        <f aca="false">IF(OR(AX$4="",$C67="",$D67=""),"",IF(AND($C67&lt;EDATE(AX$4,1),$D67&gt;=AX$4),1,""))</f>
        <v/>
      </c>
      <c r="AY67" s="64" t="str">
        <f aca="false">IF(OR(AY$4="",$C67="",$D67=""),"",IF(AND($C67&lt;EDATE(AY$4,1),$D67&gt;=AY$4),1,""))</f>
        <v/>
      </c>
      <c r="AZ67" s="64" t="str">
        <f aca="false">IF(OR(AZ$4="",$C67="",$D67=""),"",IF(AND($C67&lt;EDATE(AZ$4,1),$D67&gt;=AZ$4),1,""))</f>
        <v/>
      </c>
      <c r="BA67" s="64" t="str">
        <f aca="false">IF(OR(BA$4="",$C67="",$D67=""),"",IF(AND($C67&lt;EDATE(BA$4,1),$D67&gt;=BA$4),1,""))</f>
        <v/>
      </c>
      <c r="BB67" s="64" t="str">
        <f aca="false">IF(OR(BB$4="",$C67="",$D67=""),"",IF(AND($C67&lt;EDATE(BB$4,1),$D67&gt;=BB$4),1,""))</f>
        <v/>
      </c>
      <c r="BC67" s="64" t="str">
        <f aca="false">IF(OR(BC$4="",$C67="",$D67=""),"",IF(AND($C67&lt;EDATE(BC$4,1),$D67&gt;=BC$4),1,""))</f>
        <v/>
      </c>
      <c r="BD67" s="64" t="str">
        <f aca="false">IF(OR(BD$4="",$C67="",$D67=""),"",IF(AND($C67&lt;EDATE(BD$4,1),$D67&gt;=BD$4),1,""))</f>
        <v/>
      </c>
      <c r="BE67" s="64" t="str">
        <f aca="false">IF(OR(BE$4="",$C67="",$D67=""),"",IF(AND($C67&lt;EDATE(BE$4,1),$D67&gt;=BE$4),1,""))</f>
        <v/>
      </c>
      <c r="BF67" s="64" t="str">
        <f aca="false">IF(OR(BF$4="",$C67="",$D67=""),"",IF(AND($C67&lt;EDATE(BF$4,1),$D67&gt;=BF$4),1,""))</f>
        <v/>
      </c>
      <c r="BG67" s="64" t="str">
        <f aca="false">IF(OR(BG$4="",$C67="",$D67=""),"",IF(AND($C67&lt;EDATE(BG$4,1),$D67&gt;=BG$4),1,""))</f>
        <v/>
      </c>
      <c r="BH67" s="64" t="str">
        <f aca="false">IF(OR(BH$4="",$C67="",$D67=""),"",IF(AND($C67&lt;EDATE(BH$4,1),$D67&gt;=BH$4),1,""))</f>
        <v/>
      </c>
      <c r="BI67" s="64" t="str">
        <f aca="false">IF(OR(BI$4="",$C67="",$D67=""),"",IF(AND($C67&lt;EDATE(BI$4,1),$D67&gt;=BI$4),1,""))</f>
        <v/>
      </c>
      <c r="BJ67" s="64" t="str">
        <f aca="false">IF(OR(BJ$4="",$C67="",$D67=""),"",IF(AND($C67&lt;EDATE(BJ$4,1),$D67&gt;=BJ$4),1,""))</f>
        <v/>
      </c>
      <c r="BK67" s="64" t="str">
        <f aca="false">IF(OR(BK$4="",$C67="",$D67=""),"",IF(AND($C67&lt;EDATE(BK$4,1),$D67&gt;=BK$4),1,""))</f>
        <v/>
      </c>
      <c r="BL67" s="64" t="str">
        <f aca="false">IF(OR(BL$4="",$C67="",$D67=""),"",IF(AND($C67&lt;EDATE(BL$4,1),$D67&gt;=BL$4),1,""))</f>
        <v/>
      </c>
      <c r="BM67" s="64" t="str">
        <f aca="false">IF(OR(BM$4="",$C67="",$D67=""),"",IF(AND($C67&lt;EDATE(BM$4,1),$D67&gt;=BM$4),1,""))</f>
        <v/>
      </c>
      <c r="BN67" s="64" t="str">
        <f aca="false">IF(OR(BN$4="",$C67="",$D67=""),"",IF(AND($C67&lt;EDATE(BN$4,1),$D67&gt;=BN$4),1,""))</f>
        <v/>
      </c>
      <c r="BO67" s="64" t="str">
        <f aca="false">IF(OR(BO$4="",$C67="",$D67=""),"",IF(AND($C67&lt;EDATE(BO$4,1),$D67&gt;=BO$4),1,""))</f>
        <v/>
      </c>
      <c r="BP67" s="64" t="str">
        <f aca="false">IF(OR(BP$4="",$C67="",$D67=""),"",IF(AND($C67&lt;EDATE(BP$4,1),$D67&gt;=BP$4),1,""))</f>
        <v/>
      </c>
      <c r="BQ67" s="64" t="str">
        <f aca="false">IF(OR(BQ$4="",$C67="",$D67=""),"",IF(AND($C67&lt;EDATE(BQ$4,1),$D67&gt;=BQ$4),1,""))</f>
        <v/>
      </c>
      <c r="BR67" s="64" t="str">
        <f aca="false">IF(OR(BR$4="",$C67="",$D67=""),"",IF(AND($C67&lt;EDATE(BR$4,1),$D67&gt;=BR$4),1,""))</f>
        <v/>
      </c>
      <c r="BS67" s="64" t="str">
        <f aca="false">IF(OR(BS$4="",$C67="",$D67=""),"",IF(AND($C67&lt;EDATE(BS$4,1),$D67&gt;=BS$4),1,""))</f>
        <v/>
      </c>
      <c r="BT67" s="64" t="str">
        <f aca="false">IF(OR(BT$4="",$C67="",$D67=""),"",IF(AND($C67&lt;EDATE(BT$4,1),$D67&gt;=BT$4),1,""))</f>
        <v/>
      </c>
      <c r="BU67" s="64" t="str">
        <f aca="false">IF(OR(BU$4="",$C67="",$D67=""),"",IF(AND($C67&lt;EDATE(BU$4,1),$D67&gt;=BU$4),1,""))</f>
        <v/>
      </c>
      <c r="BV67" s="64" t="str">
        <f aca="false">IF(OR(BV$4="",$C67="",$D67=""),"",IF(AND($C67&lt;EDATE(BV$4,1),$D67&gt;=BV$4),1,""))</f>
        <v/>
      </c>
      <c r="BW67" s="64" t="str">
        <f aca="false">IF(OR(BW$4="",$C67="",$D67=""),"",IF(AND($C67&lt;EDATE(BW$4,1),$D67&gt;=BW$4),1,""))</f>
        <v/>
      </c>
      <c r="BX67" s="64" t="str">
        <f aca="false">IF(OR(BX$4="",$C67="",$D67=""),"",IF(AND($C67&lt;EDATE(BX$4,1),$D67&gt;=BX$4),1,""))</f>
        <v/>
      </c>
      <c r="BY67" s="64" t="str">
        <f aca="false">IF(OR(BY$4="",$C67="",$D67=""),"",IF(AND($C67&lt;EDATE(BY$4,1),$D67&gt;=BY$4),1,""))</f>
        <v/>
      </c>
    </row>
    <row r="68" customFormat="false" ht="15" hidden="false" customHeight="false" outlineLevel="0" collapsed="false">
      <c r="A68" s="53" t="str">
        <f aca="false">IF(BOE!$A37="","",BOE!$A37)</f>
        <v/>
      </c>
      <c r="B68" s="53" t="str">
        <f aca="false">IF(BOE!$A37="","",BOE!$C37)</f>
        <v/>
      </c>
      <c r="C68" s="54" t="str">
        <f aca="false">IF(OR(BOE!$A37="",BOE!$E37&lt;&gt;"Y"),"",BOE!$O37)</f>
        <v/>
      </c>
      <c r="D68" s="54" t="str">
        <f aca="false">IF(OR(BOE!$A37="",BOE!$E37&lt;&gt;"Y"),"",BOE!$P37)</f>
        <v/>
      </c>
      <c r="E68" s="55" t="str">
        <f aca="false">IF(OR(BOE!$A37="",BOE!$E37&lt;&gt;"Y"),"",IF(Inputs!$B$7="P90",BOE!$T37,BOE!$R37))</f>
        <v/>
      </c>
      <c r="F68" s="64" t="str">
        <f aca="false">IF(OR(F$4="",$C68="",$D68=""),"",IF(AND($C68&lt;EDATE(F$4,1),$D68&gt;=F$4),1,""))</f>
        <v/>
      </c>
      <c r="G68" s="64" t="str">
        <f aca="false">IF(OR(G$4="",$C68="",$D68=""),"",IF(AND($C68&lt;EDATE(G$4,1),$D68&gt;=G$4),1,""))</f>
        <v/>
      </c>
      <c r="H68" s="64" t="str">
        <f aca="false">IF(OR(H$4="",$C68="",$D68=""),"",IF(AND($C68&lt;EDATE(H$4,1),$D68&gt;=H$4),1,""))</f>
        <v/>
      </c>
      <c r="I68" s="64" t="str">
        <f aca="false">IF(OR(I$4="",$C68="",$D68=""),"",IF(AND($C68&lt;EDATE(I$4,1),$D68&gt;=I$4),1,""))</f>
        <v/>
      </c>
      <c r="J68" s="64" t="str">
        <f aca="false">IF(OR(J$4="",$C68="",$D68=""),"",IF(AND($C68&lt;EDATE(J$4,1),$D68&gt;=J$4),1,""))</f>
        <v/>
      </c>
      <c r="K68" s="64" t="str">
        <f aca="false">IF(OR(K$4="",$C68="",$D68=""),"",IF(AND($C68&lt;EDATE(K$4,1),$D68&gt;=K$4),1,""))</f>
        <v/>
      </c>
      <c r="L68" s="64" t="str">
        <f aca="false">IF(OR(L$4="",$C68="",$D68=""),"",IF(AND($C68&lt;EDATE(L$4,1),$D68&gt;=L$4),1,""))</f>
        <v/>
      </c>
      <c r="M68" s="64" t="str">
        <f aca="false">IF(OR(M$4="",$C68="",$D68=""),"",IF(AND($C68&lt;EDATE(M$4,1),$D68&gt;=M$4),1,""))</f>
        <v/>
      </c>
      <c r="N68" s="64" t="str">
        <f aca="false">IF(OR(N$4="",$C68="",$D68=""),"",IF(AND($C68&lt;EDATE(N$4,1),$D68&gt;=N$4),1,""))</f>
        <v/>
      </c>
      <c r="O68" s="64" t="str">
        <f aca="false">IF(OR(O$4="",$C68="",$D68=""),"",IF(AND($C68&lt;EDATE(O$4,1),$D68&gt;=O$4),1,""))</f>
        <v/>
      </c>
      <c r="P68" s="64" t="str">
        <f aca="false">IF(OR(P$4="",$C68="",$D68=""),"",IF(AND($C68&lt;EDATE(P$4,1),$D68&gt;=P$4),1,""))</f>
        <v/>
      </c>
      <c r="Q68" s="64" t="str">
        <f aca="false">IF(OR(Q$4="",$C68="",$D68=""),"",IF(AND($C68&lt;EDATE(Q$4,1),$D68&gt;=Q$4),1,""))</f>
        <v/>
      </c>
      <c r="R68" s="64" t="str">
        <f aca="false">IF(OR(R$4="",$C68="",$D68=""),"",IF(AND($C68&lt;EDATE(R$4,1),$D68&gt;=R$4),1,""))</f>
        <v/>
      </c>
      <c r="S68" s="64" t="str">
        <f aca="false">IF(OR(S$4="",$C68="",$D68=""),"",IF(AND($C68&lt;EDATE(S$4,1),$D68&gt;=S$4),1,""))</f>
        <v/>
      </c>
      <c r="T68" s="64" t="str">
        <f aca="false">IF(OR(T$4="",$C68="",$D68=""),"",IF(AND($C68&lt;EDATE(T$4,1),$D68&gt;=T$4),1,""))</f>
        <v/>
      </c>
      <c r="U68" s="64" t="str">
        <f aca="false">IF(OR(U$4="",$C68="",$D68=""),"",IF(AND($C68&lt;EDATE(U$4,1),$D68&gt;=U$4),1,""))</f>
        <v/>
      </c>
      <c r="V68" s="64" t="str">
        <f aca="false">IF(OR(V$4="",$C68="",$D68=""),"",IF(AND($C68&lt;EDATE(V$4,1),$D68&gt;=V$4),1,""))</f>
        <v/>
      </c>
      <c r="W68" s="64" t="str">
        <f aca="false">IF(OR(W$4="",$C68="",$D68=""),"",IF(AND($C68&lt;EDATE(W$4,1),$D68&gt;=W$4),1,""))</f>
        <v/>
      </c>
      <c r="X68" s="64" t="str">
        <f aca="false">IF(OR(X$4="",$C68="",$D68=""),"",IF(AND($C68&lt;EDATE(X$4,1),$D68&gt;=X$4),1,""))</f>
        <v/>
      </c>
      <c r="Y68" s="64" t="str">
        <f aca="false">IF(OR(Y$4="",$C68="",$D68=""),"",IF(AND($C68&lt;EDATE(Y$4,1),$D68&gt;=Y$4),1,""))</f>
        <v/>
      </c>
      <c r="Z68" s="64" t="str">
        <f aca="false">IF(OR(Z$4="",$C68="",$D68=""),"",IF(AND($C68&lt;EDATE(Z$4,1),$D68&gt;=Z$4),1,""))</f>
        <v/>
      </c>
      <c r="AA68" s="64" t="str">
        <f aca="false">IF(OR(AA$4="",$C68="",$D68=""),"",IF(AND($C68&lt;EDATE(AA$4,1),$D68&gt;=AA$4),1,""))</f>
        <v/>
      </c>
      <c r="AB68" s="64" t="str">
        <f aca="false">IF(OR(AB$4="",$C68="",$D68=""),"",IF(AND($C68&lt;EDATE(AB$4,1),$D68&gt;=AB$4),1,""))</f>
        <v/>
      </c>
      <c r="AC68" s="64" t="str">
        <f aca="false">IF(OR(AC$4="",$C68="",$D68=""),"",IF(AND($C68&lt;EDATE(AC$4,1),$D68&gt;=AC$4),1,""))</f>
        <v/>
      </c>
      <c r="AD68" s="64" t="str">
        <f aca="false">IF(OR(AD$4="",$C68="",$D68=""),"",IF(AND($C68&lt;EDATE(AD$4,1),$D68&gt;=AD$4),1,""))</f>
        <v/>
      </c>
      <c r="AE68" s="64" t="str">
        <f aca="false">IF(OR(AE$4="",$C68="",$D68=""),"",IF(AND($C68&lt;EDATE(AE$4,1),$D68&gt;=AE$4),1,""))</f>
        <v/>
      </c>
      <c r="AF68" s="64" t="str">
        <f aca="false">IF(OR(AF$4="",$C68="",$D68=""),"",IF(AND($C68&lt;EDATE(AF$4,1),$D68&gt;=AF$4),1,""))</f>
        <v/>
      </c>
      <c r="AG68" s="64" t="str">
        <f aca="false">IF(OR(AG$4="",$C68="",$D68=""),"",IF(AND($C68&lt;EDATE(AG$4,1),$D68&gt;=AG$4),1,""))</f>
        <v/>
      </c>
      <c r="AH68" s="64" t="str">
        <f aca="false">IF(OR(AH$4="",$C68="",$D68=""),"",IF(AND($C68&lt;EDATE(AH$4,1),$D68&gt;=AH$4),1,""))</f>
        <v/>
      </c>
      <c r="AI68" s="64" t="str">
        <f aca="false">IF(OR(AI$4="",$C68="",$D68=""),"",IF(AND($C68&lt;EDATE(AI$4,1),$D68&gt;=AI$4),1,""))</f>
        <v/>
      </c>
      <c r="AJ68" s="64" t="str">
        <f aca="false">IF(OR(AJ$4="",$C68="",$D68=""),"",IF(AND($C68&lt;EDATE(AJ$4,1),$D68&gt;=AJ$4),1,""))</f>
        <v/>
      </c>
      <c r="AK68" s="64" t="str">
        <f aca="false">IF(OR(AK$4="",$C68="",$D68=""),"",IF(AND($C68&lt;EDATE(AK$4,1),$D68&gt;=AK$4),1,""))</f>
        <v/>
      </c>
      <c r="AL68" s="64" t="str">
        <f aca="false">IF(OR(AL$4="",$C68="",$D68=""),"",IF(AND($C68&lt;EDATE(AL$4,1),$D68&gt;=AL$4),1,""))</f>
        <v/>
      </c>
      <c r="AM68" s="64" t="str">
        <f aca="false">IF(OR(AM$4="",$C68="",$D68=""),"",IF(AND($C68&lt;EDATE(AM$4,1),$D68&gt;=AM$4),1,""))</f>
        <v/>
      </c>
      <c r="AN68" s="64" t="str">
        <f aca="false">IF(OR(AN$4="",$C68="",$D68=""),"",IF(AND($C68&lt;EDATE(AN$4,1),$D68&gt;=AN$4),1,""))</f>
        <v/>
      </c>
      <c r="AO68" s="64" t="str">
        <f aca="false">IF(OR(AO$4="",$C68="",$D68=""),"",IF(AND($C68&lt;EDATE(AO$4,1),$D68&gt;=AO$4),1,""))</f>
        <v/>
      </c>
      <c r="AP68" s="64" t="str">
        <f aca="false">IF(OR(AP$4="",$C68="",$D68=""),"",IF(AND($C68&lt;EDATE(AP$4,1),$D68&gt;=AP$4),1,""))</f>
        <v/>
      </c>
      <c r="AQ68" s="64" t="str">
        <f aca="false">IF(OR(AQ$4="",$C68="",$D68=""),"",IF(AND($C68&lt;EDATE(AQ$4,1),$D68&gt;=AQ$4),1,""))</f>
        <v/>
      </c>
      <c r="AR68" s="64" t="str">
        <f aca="false">IF(OR(AR$4="",$C68="",$D68=""),"",IF(AND($C68&lt;EDATE(AR$4,1),$D68&gt;=AR$4),1,""))</f>
        <v/>
      </c>
      <c r="AS68" s="64" t="str">
        <f aca="false">IF(OR(AS$4="",$C68="",$D68=""),"",IF(AND($C68&lt;EDATE(AS$4,1),$D68&gt;=AS$4),1,""))</f>
        <v/>
      </c>
      <c r="AT68" s="64" t="str">
        <f aca="false">IF(OR(AT$4="",$C68="",$D68=""),"",IF(AND($C68&lt;EDATE(AT$4,1),$D68&gt;=AT$4),1,""))</f>
        <v/>
      </c>
      <c r="AU68" s="64" t="str">
        <f aca="false">IF(OR(AU$4="",$C68="",$D68=""),"",IF(AND($C68&lt;EDATE(AU$4,1),$D68&gt;=AU$4),1,""))</f>
        <v/>
      </c>
      <c r="AV68" s="64" t="str">
        <f aca="false">IF(OR(AV$4="",$C68="",$D68=""),"",IF(AND($C68&lt;EDATE(AV$4,1),$D68&gt;=AV$4),1,""))</f>
        <v/>
      </c>
      <c r="AW68" s="64" t="str">
        <f aca="false">IF(OR(AW$4="",$C68="",$D68=""),"",IF(AND($C68&lt;EDATE(AW$4,1),$D68&gt;=AW$4),1,""))</f>
        <v/>
      </c>
      <c r="AX68" s="64" t="str">
        <f aca="false">IF(OR(AX$4="",$C68="",$D68=""),"",IF(AND($C68&lt;EDATE(AX$4,1),$D68&gt;=AX$4),1,""))</f>
        <v/>
      </c>
      <c r="AY68" s="64" t="str">
        <f aca="false">IF(OR(AY$4="",$C68="",$D68=""),"",IF(AND($C68&lt;EDATE(AY$4,1),$D68&gt;=AY$4),1,""))</f>
        <v/>
      </c>
      <c r="AZ68" s="64" t="str">
        <f aca="false">IF(OR(AZ$4="",$C68="",$D68=""),"",IF(AND($C68&lt;EDATE(AZ$4,1),$D68&gt;=AZ$4),1,""))</f>
        <v/>
      </c>
      <c r="BA68" s="64" t="str">
        <f aca="false">IF(OR(BA$4="",$C68="",$D68=""),"",IF(AND($C68&lt;EDATE(BA$4,1),$D68&gt;=BA$4),1,""))</f>
        <v/>
      </c>
      <c r="BB68" s="64" t="str">
        <f aca="false">IF(OR(BB$4="",$C68="",$D68=""),"",IF(AND($C68&lt;EDATE(BB$4,1),$D68&gt;=BB$4),1,""))</f>
        <v/>
      </c>
      <c r="BC68" s="64" t="str">
        <f aca="false">IF(OR(BC$4="",$C68="",$D68=""),"",IF(AND($C68&lt;EDATE(BC$4,1),$D68&gt;=BC$4),1,""))</f>
        <v/>
      </c>
      <c r="BD68" s="64" t="str">
        <f aca="false">IF(OR(BD$4="",$C68="",$D68=""),"",IF(AND($C68&lt;EDATE(BD$4,1),$D68&gt;=BD$4),1,""))</f>
        <v/>
      </c>
      <c r="BE68" s="64" t="str">
        <f aca="false">IF(OR(BE$4="",$C68="",$D68=""),"",IF(AND($C68&lt;EDATE(BE$4,1),$D68&gt;=BE$4),1,""))</f>
        <v/>
      </c>
      <c r="BF68" s="64" t="str">
        <f aca="false">IF(OR(BF$4="",$C68="",$D68=""),"",IF(AND($C68&lt;EDATE(BF$4,1),$D68&gt;=BF$4),1,""))</f>
        <v/>
      </c>
      <c r="BG68" s="64" t="str">
        <f aca="false">IF(OR(BG$4="",$C68="",$D68=""),"",IF(AND($C68&lt;EDATE(BG$4,1),$D68&gt;=BG$4),1,""))</f>
        <v/>
      </c>
      <c r="BH68" s="64" t="str">
        <f aca="false">IF(OR(BH$4="",$C68="",$D68=""),"",IF(AND($C68&lt;EDATE(BH$4,1),$D68&gt;=BH$4),1,""))</f>
        <v/>
      </c>
      <c r="BI68" s="64" t="str">
        <f aca="false">IF(OR(BI$4="",$C68="",$D68=""),"",IF(AND($C68&lt;EDATE(BI$4,1),$D68&gt;=BI$4),1,""))</f>
        <v/>
      </c>
      <c r="BJ68" s="64" t="str">
        <f aca="false">IF(OR(BJ$4="",$C68="",$D68=""),"",IF(AND($C68&lt;EDATE(BJ$4,1),$D68&gt;=BJ$4),1,""))</f>
        <v/>
      </c>
      <c r="BK68" s="64" t="str">
        <f aca="false">IF(OR(BK$4="",$C68="",$D68=""),"",IF(AND($C68&lt;EDATE(BK$4,1),$D68&gt;=BK$4),1,""))</f>
        <v/>
      </c>
      <c r="BL68" s="64" t="str">
        <f aca="false">IF(OR(BL$4="",$C68="",$D68=""),"",IF(AND($C68&lt;EDATE(BL$4,1),$D68&gt;=BL$4),1,""))</f>
        <v/>
      </c>
      <c r="BM68" s="64" t="str">
        <f aca="false">IF(OR(BM$4="",$C68="",$D68=""),"",IF(AND($C68&lt;EDATE(BM$4,1),$D68&gt;=BM$4),1,""))</f>
        <v/>
      </c>
      <c r="BN68" s="64" t="str">
        <f aca="false">IF(OR(BN$4="",$C68="",$D68=""),"",IF(AND($C68&lt;EDATE(BN$4,1),$D68&gt;=BN$4),1,""))</f>
        <v/>
      </c>
      <c r="BO68" s="64" t="str">
        <f aca="false">IF(OR(BO$4="",$C68="",$D68=""),"",IF(AND($C68&lt;EDATE(BO$4,1),$D68&gt;=BO$4),1,""))</f>
        <v/>
      </c>
      <c r="BP68" s="64" t="str">
        <f aca="false">IF(OR(BP$4="",$C68="",$D68=""),"",IF(AND($C68&lt;EDATE(BP$4,1),$D68&gt;=BP$4),1,""))</f>
        <v/>
      </c>
      <c r="BQ68" s="64" t="str">
        <f aca="false">IF(OR(BQ$4="",$C68="",$D68=""),"",IF(AND($C68&lt;EDATE(BQ$4,1),$D68&gt;=BQ$4),1,""))</f>
        <v/>
      </c>
      <c r="BR68" s="64" t="str">
        <f aca="false">IF(OR(BR$4="",$C68="",$D68=""),"",IF(AND($C68&lt;EDATE(BR$4,1),$D68&gt;=BR$4),1,""))</f>
        <v/>
      </c>
      <c r="BS68" s="64" t="str">
        <f aca="false">IF(OR(BS$4="",$C68="",$D68=""),"",IF(AND($C68&lt;EDATE(BS$4,1),$D68&gt;=BS$4),1,""))</f>
        <v/>
      </c>
      <c r="BT68" s="64" t="str">
        <f aca="false">IF(OR(BT$4="",$C68="",$D68=""),"",IF(AND($C68&lt;EDATE(BT$4,1),$D68&gt;=BT$4),1,""))</f>
        <v/>
      </c>
      <c r="BU68" s="64" t="str">
        <f aca="false">IF(OR(BU$4="",$C68="",$D68=""),"",IF(AND($C68&lt;EDATE(BU$4,1),$D68&gt;=BU$4),1,""))</f>
        <v/>
      </c>
      <c r="BV68" s="64" t="str">
        <f aca="false">IF(OR(BV$4="",$C68="",$D68=""),"",IF(AND($C68&lt;EDATE(BV$4,1),$D68&gt;=BV$4),1,""))</f>
        <v/>
      </c>
      <c r="BW68" s="64" t="str">
        <f aca="false">IF(OR(BW$4="",$C68="",$D68=""),"",IF(AND($C68&lt;EDATE(BW$4,1),$D68&gt;=BW$4),1,""))</f>
        <v/>
      </c>
      <c r="BX68" s="64" t="str">
        <f aca="false">IF(OR(BX$4="",$C68="",$D68=""),"",IF(AND($C68&lt;EDATE(BX$4,1),$D68&gt;=BX$4),1,""))</f>
        <v/>
      </c>
      <c r="BY68" s="64" t="str">
        <f aca="false">IF(OR(BY$4="",$C68="",$D68=""),"",IF(AND($C68&lt;EDATE(BY$4,1),$D68&gt;=BY$4),1,""))</f>
        <v/>
      </c>
    </row>
    <row r="69" customFormat="false" ht="15" hidden="false" customHeight="false" outlineLevel="0" collapsed="false">
      <c r="A69" s="53" t="str">
        <f aca="false">IF(BOE!$A38="","",BOE!$A38)</f>
        <v/>
      </c>
      <c r="B69" s="53" t="str">
        <f aca="false">IF(BOE!$A38="","",BOE!$C38)</f>
        <v/>
      </c>
      <c r="C69" s="54" t="str">
        <f aca="false">IF(OR(BOE!$A38="",BOE!$E38&lt;&gt;"Y"),"",BOE!$O38)</f>
        <v/>
      </c>
      <c r="D69" s="54" t="str">
        <f aca="false">IF(OR(BOE!$A38="",BOE!$E38&lt;&gt;"Y"),"",BOE!$P38)</f>
        <v/>
      </c>
      <c r="E69" s="55" t="str">
        <f aca="false">IF(OR(BOE!$A38="",BOE!$E38&lt;&gt;"Y"),"",IF(Inputs!$B$7="P90",BOE!$T38,BOE!$R38))</f>
        <v/>
      </c>
      <c r="F69" s="64" t="str">
        <f aca="false">IF(OR(F$4="",$C69="",$D69=""),"",IF(AND($C69&lt;EDATE(F$4,1),$D69&gt;=F$4),1,""))</f>
        <v/>
      </c>
      <c r="G69" s="64" t="str">
        <f aca="false">IF(OR(G$4="",$C69="",$D69=""),"",IF(AND($C69&lt;EDATE(G$4,1),$D69&gt;=G$4),1,""))</f>
        <v/>
      </c>
      <c r="H69" s="64" t="str">
        <f aca="false">IF(OR(H$4="",$C69="",$D69=""),"",IF(AND($C69&lt;EDATE(H$4,1),$D69&gt;=H$4),1,""))</f>
        <v/>
      </c>
      <c r="I69" s="64" t="str">
        <f aca="false">IF(OR(I$4="",$C69="",$D69=""),"",IF(AND($C69&lt;EDATE(I$4,1),$D69&gt;=I$4),1,""))</f>
        <v/>
      </c>
      <c r="J69" s="64" t="str">
        <f aca="false">IF(OR(J$4="",$C69="",$D69=""),"",IF(AND($C69&lt;EDATE(J$4,1),$D69&gt;=J$4),1,""))</f>
        <v/>
      </c>
      <c r="K69" s="64" t="str">
        <f aca="false">IF(OR(K$4="",$C69="",$D69=""),"",IF(AND($C69&lt;EDATE(K$4,1),$D69&gt;=K$4),1,""))</f>
        <v/>
      </c>
      <c r="L69" s="64" t="str">
        <f aca="false">IF(OR(L$4="",$C69="",$D69=""),"",IF(AND($C69&lt;EDATE(L$4,1),$D69&gt;=L$4),1,""))</f>
        <v/>
      </c>
      <c r="M69" s="64" t="str">
        <f aca="false">IF(OR(M$4="",$C69="",$D69=""),"",IF(AND($C69&lt;EDATE(M$4,1),$D69&gt;=M$4),1,""))</f>
        <v/>
      </c>
      <c r="N69" s="64" t="str">
        <f aca="false">IF(OR(N$4="",$C69="",$D69=""),"",IF(AND($C69&lt;EDATE(N$4,1),$D69&gt;=N$4),1,""))</f>
        <v/>
      </c>
      <c r="O69" s="64" t="str">
        <f aca="false">IF(OR(O$4="",$C69="",$D69=""),"",IF(AND($C69&lt;EDATE(O$4,1),$D69&gt;=O$4),1,""))</f>
        <v/>
      </c>
      <c r="P69" s="64" t="str">
        <f aca="false">IF(OR(P$4="",$C69="",$D69=""),"",IF(AND($C69&lt;EDATE(P$4,1),$D69&gt;=P$4),1,""))</f>
        <v/>
      </c>
      <c r="Q69" s="64" t="str">
        <f aca="false">IF(OR(Q$4="",$C69="",$D69=""),"",IF(AND($C69&lt;EDATE(Q$4,1),$D69&gt;=Q$4),1,""))</f>
        <v/>
      </c>
      <c r="R69" s="64" t="str">
        <f aca="false">IF(OR(R$4="",$C69="",$D69=""),"",IF(AND($C69&lt;EDATE(R$4,1),$D69&gt;=R$4),1,""))</f>
        <v/>
      </c>
      <c r="S69" s="64" t="str">
        <f aca="false">IF(OR(S$4="",$C69="",$D69=""),"",IF(AND($C69&lt;EDATE(S$4,1),$D69&gt;=S$4),1,""))</f>
        <v/>
      </c>
      <c r="T69" s="64" t="str">
        <f aca="false">IF(OR(T$4="",$C69="",$D69=""),"",IF(AND($C69&lt;EDATE(T$4,1),$D69&gt;=T$4),1,""))</f>
        <v/>
      </c>
      <c r="U69" s="64" t="str">
        <f aca="false">IF(OR(U$4="",$C69="",$D69=""),"",IF(AND($C69&lt;EDATE(U$4,1),$D69&gt;=U$4),1,""))</f>
        <v/>
      </c>
      <c r="V69" s="64" t="str">
        <f aca="false">IF(OR(V$4="",$C69="",$D69=""),"",IF(AND($C69&lt;EDATE(V$4,1),$D69&gt;=V$4),1,""))</f>
        <v/>
      </c>
      <c r="W69" s="64" t="str">
        <f aca="false">IF(OR(W$4="",$C69="",$D69=""),"",IF(AND($C69&lt;EDATE(W$4,1),$D69&gt;=W$4),1,""))</f>
        <v/>
      </c>
      <c r="X69" s="64" t="str">
        <f aca="false">IF(OR(X$4="",$C69="",$D69=""),"",IF(AND($C69&lt;EDATE(X$4,1),$D69&gt;=X$4),1,""))</f>
        <v/>
      </c>
      <c r="Y69" s="64" t="str">
        <f aca="false">IF(OR(Y$4="",$C69="",$D69=""),"",IF(AND($C69&lt;EDATE(Y$4,1),$D69&gt;=Y$4),1,""))</f>
        <v/>
      </c>
      <c r="Z69" s="64" t="str">
        <f aca="false">IF(OR(Z$4="",$C69="",$D69=""),"",IF(AND($C69&lt;EDATE(Z$4,1),$D69&gt;=Z$4),1,""))</f>
        <v/>
      </c>
      <c r="AA69" s="64" t="str">
        <f aca="false">IF(OR(AA$4="",$C69="",$D69=""),"",IF(AND($C69&lt;EDATE(AA$4,1),$D69&gt;=AA$4),1,""))</f>
        <v/>
      </c>
      <c r="AB69" s="64" t="str">
        <f aca="false">IF(OR(AB$4="",$C69="",$D69=""),"",IF(AND($C69&lt;EDATE(AB$4,1),$D69&gt;=AB$4),1,""))</f>
        <v/>
      </c>
      <c r="AC69" s="64" t="str">
        <f aca="false">IF(OR(AC$4="",$C69="",$D69=""),"",IF(AND($C69&lt;EDATE(AC$4,1),$D69&gt;=AC$4),1,""))</f>
        <v/>
      </c>
      <c r="AD69" s="64" t="str">
        <f aca="false">IF(OR(AD$4="",$C69="",$D69=""),"",IF(AND($C69&lt;EDATE(AD$4,1),$D69&gt;=AD$4),1,""))</f>
        <v/>
      </c>
      <c r="AE69" s="64" t="str">
        <f aca="false">IF(OR(AE$4="",$C69="",$D69=""),"",IF(AND($C69&lt;EDATE(AE$4,1),$D69&gt;=AE$4),1,""))</f>
        <v/>
      </c>
      <c r="AF69" s="64" t="str">
        <f aca="false">IF(OR(AF$4="",$C69="",$D69=""),"",IF(AND($C69&lt;EDATE(AF$4,1),$D69&gt;=AF$4),1,""))</f>
        <v/>
      </c>
      <c r="AG69" s="64" t="str">
        <f aca="false">IF(OR(AG$4="",$C69="",$D69=""),"",IF(AND($C69&lt;EDATE(AG$4,1),$D69&gt;=AG$4),1,""))</f>
        <v/>
      </c>
      <c r="AH69" s="64" t="str">
        <f aca="false">IF(OR(AH$4="",$C69="",$D69=""),"",IF(AND($C69&lt;EDATE(AH$4,1),$D69&gt;=AH$4),1,""))</f>
        <v/>
      </c>
      <c r="AI69" s="64" t="str">
        <f aca="false">IF(OR(AI$4="",$C69="",$D69=""),"",IF(AND($C69&lt;EDATE(AI$4,1),$D69&gt;=AI$4),1,""))</f>
        <v/>
      </c>
      <c r="AJ69" s="64" t="str">
        <f aca="false">IF(OR(AJ$4="",$C69="",$D69=""),"",IF(AND($C69&lt;EDATE(AJ$4,1),$D69&gt;=AJ$4),1,""))</f>
        <v/>
      </c>
      <c r="AK69" s="64" t="str">
        <f aca="false">IF(OR(AK$4="",$C69="",$D69=""),"",IF(AND($C69&lt;EDATE(AK$4,1),$D69&gt;=AK$4),1,""))</f>
        <v/>
      </c>
      <c r="AL69" s="64" t="str">
        <f aca="false">IF(OR(AL$4="",$C69="",$D69=""),"",IF(AND($C69&lt;EDATE(AL$4,1),$D69&gt;=AL$4),1,""))</f>
        <v/>
      </c>
      <c r="AM69" s="64" t="str">
        <f aca="false">IF(OR(AM$4="",$C69="",$D69=""),"",IF(AND($C69&lt;EDATE(AM$4,1),$D69&gt;=AM$4),1,""))</f>
        <v/>
      </c>
      <c r="AN69" s="64" t="str">
        <f aca="false">IF(OR(AN$4="",$C69="",$D69=""),"",IF(AND($C69&lt;EDATE(AN$4,1),$D69&gt;=AN$4),1,""))</f>
        <v/>
      </c>
      <c r="AO69" s="64" t="str">
        <f aca="false">IF(OR(AO$4="",$C69="",$D69=""),"",IF(AND($C69&lt;EDATE(AO$4,1),$D69&gt;=AO$4),1,""))</f>
        <v/>
      </c>
      <c r="AP69" s="64" t="str">
        <f aca="false">IF(OR(AP$4="",$C69="",$D69=""),"",IF(AND($C69&lt;EDATE(AP$4,1),$D69&gt;=AP$4),1,""))</f>
        <v/>
      </c>
      <c r="AQ69" s="64" t="str">
        <f aca="false">IF(OR(AQ$4="",$C69="",$D69=""),"",IF(AND($C69&lt;EDATE(AQ$4,1),$D69&gt;=AQ$4),1,""))</f>
        <v/>
      </c>
      <c r="AR69" s="64" t="str">
        <f aca="false">IF(OR(AR$4="",$C69="",$D69=""),"",IF(AND($C69&lt;EDATE(AR$4,1),$D69&gt;=AR$4),1,""))</f>
        <v/>
      </c>
      <c r="AS69" s="64" t="str">
        <f aca="false">IF(OR(AS$4="",$C69="",$D69=""),"",IF(AND($C69&lt;EDATE(AS$4,1),$D69&gt;=AS$4),1,""))</f>
        <v/>
      </c>
      <c r="AT69" s="64" t="str">
        <f aca="false">IF(OR(AT$4="",$C69="",$D69=""),"",IF(AND($C69&lt;EDATE(AT$4,1),$D69&gt;=AT$4),1,""))</f>
        <v/>
      </c>
      <c r="AU69" s="64" t="str">
        <f aca="false">IF(OR(AU$4="",$C69="",$D69=""),"",IF(AND($C69&lt;EDATE(AU$4,1),$D69&gt;=AU$4),1,""))</f>
        <v/>
      </c>
      <c r="AV69" s="64" t="str">
        <f aca="false">IF(OR(AV$4="",$C69="",$D69=""),"",IF(AND($C69&lt;EDATE(AV$4,1),$D69&gt;=AV$4),1,""))</f>
        <v/>
      </c>
      <c r="AW69" s="64" t="str">
        <f aca="false">IF(OR(AW$4="",$C69="",$D69=""),"",IF(AND($C69&lt;EDATE(AW$4,1),$D69&gt;=AW$4),1,""))</f>
        <v/>
      </c>
      <c r="AX69" s="64" t="str">
        <f aca="false">IF(OR(AX$4="",$C69="",$D69=""),"",IF(AND($C69&lt;EDATE(AX$4,1),$D69&gt;=AX$4),1,""))</f>
        <v/>
      </c>
      <c r="AY69" s="64" t="str">
        <f aca="false">IF(OR(AY$4="",$C69="",$D69=""),"",IF(AND($C69&lt;EDATE(AY$4,1),$D69&gt;=AY$4),1,""))</f>
        <v/>
      </c>
      <c r="AZ69" s="64" t="str">
        <f aca="false">IF(OR(AZ$4="",$C69="",$D69=""),"",IF(AND($C69&lt;EDATE(AZ$4,1),$D69&gt;=AZ$4),1,""))</f>
        <v/>
      </c>
      <c r="BA69" s="64" t="str">
        <f aca="false">IF(OR(BA$4="",$C69="",$D69=""),"",IF(AND($C69&lt;EDATE(BA$4,1),$D69&gt;=BA$4),1,""))</f>
        <v/>
      </c>
      <c r="BB69" s="64" t="str">
        <f aca="false">IF(OR(BB$4="",$C69="",$D69=""),"",IF(AND($C69&lt;EDATE(BB$4,1),$D69&gt;=BB$4),1,""))</f>
        <v/>
      </c>
      <c r="BC69" s="64" t="str">
        <f aca="false">IF(OR(BC$4="",$C69="",$D69=""),"",IF(AND($C69&lt;EDATE(BC$4,1),$D69&gt;=BC$4),1,""))</f>
        <v/>
      </c>
      <c r="BD69" s="64" t="str">
        <f aca="false">IF(OR(BD$4="",$C69="",$D69=""),"",IF(AND($C69&lt;EDATE(BD$4,1),$D69&gt;=BD$4),1,""))</f>
        <v/>
      </c>
      <c r="BE69" s="64" t="str">
        <f aca="false">IF(OR(BE$4="",$C69="",$D69=""),"",IF(AND($C69&lt;EDATE(BE$4,1),$D69&gt;=BE$4),1,""))</f>
        <v/>
      </c>
      <c r="BF69" s="64" t="str">
        <f aca="false">IF(OR(BF$4="",$C69="",$D69=""),"",IF(AND($C69&lt;EDATE(BF$4,1),$D69&gt;=BF$4),1,""))</f>
        <v/>
      </c>
      <c r="BG69" s="64" t="str">
        <f aca="false">IF(OR(BG$4="",$C69="",$D69=""),"",IF(AND($C69&lt;EDATE(BG$4,1),$D69&gt;=BG$4),1,""))</f>
        <v/>
      </c>
      <c r="BH69" s="64" t="str">
        <f aca="false">IF(OR(BH$4="",$C69="",$D69=""),"",IF(AND($C69&lt;EDATE(BH$4,1),$D69&gt;=BH$4),1,""))</f>
        <v/>
      </c>
      <c r="BI69" s="64" t="str">
        <f aca="false">IF(OR(BI$4="",$C69="",$D69=""),"",IF(AND($C69&lt;EDATE(BI$4,1),$D69&gt;=BI$4),1,""))</f>
        <v/>
      </c>
      <c r="BJ69" s="64" t="str">
        <f aca="false">IF(OR(BJ$4="",$C69="",$D69=""),"",IF(AND($C69&lt;EDATE(BJ$4,1),$D69&gt;=BJ$4),1,""))</f>
        <v/>
      </c>
      <c r="BK69" s="64" t="str">
        <f aca="false">IF(OR(BK$4="",$C69="",$D69=""),"",IF(AND($C69&lt;EDATE(BK$4,1),$D69&gt;=BK$4),1,""))</f>
        <v/>
      </c>
      <c r="BL69" s="64" t="str">
        <f aca="false">IF(OR(BL$4="",$C69="",$D69=""),"",IF(AND($C69&lt;EDATE(BL$4,1),$D69&gt;=BL$4),1,""))</f>
        <v/>
      </c>
      <c r="BM69" s="64" t="str">
        <f aca="false">IF(OR(BM$4="",$C69="",$D69=""),"",IF(AND($C69&lt;EDATE(BM$4,1),$D69&gt;=BM$4),1,""))</f>
        <v/>
      </c>
      <c r="BN69" s="64" t="str">
        <f aca="false">IF(OR(BN$4="",$C69="",$D69=""),"",IF(AND($C69&lt;EDATE(BN$4,1),$D69&gt;=BN$4),1,""))</f>
        <v/>
      </c>
      <c r="BO69" s="64" t="str">
        <f aca="false">IF(OR(BO$4="",$C69="",$D69=""),"",IF(AND($C69&lt;EDATE(BO$4,1),$D69&gt;=BO$4),1,""))</f>
        <v/>
      </c>
      <c r="BP69" s="64" t="str">
        <f aca="false">IF(OR(BP$4="",$C69="",$D69=""),"",IF(AND($C69&lt;EDATE(BP$4,1),$D69&gt;=BP$4),1,""))</f>
        <v/>
      </c>
      <c r="BQ69" s="64" t="str">
        <f aca="false">IF(OR(BQ$4="",$C69="",$D69=""),"",IF(AND($C69&lt;EDATE(BQ$4,1),$D69&gt;=BQ$4),1,""))</f>
        <v/>
      </c>
      <c r="BR69" s="64" t="str">
        <f aca="false">IF(OR(BR$4="",$C69="",$D69=""),"",IF(AND($C69&lt;EDATE(BR$4,1),$D69&gt;=BR$4),1,""))</f>
        <v/>
      </c>
      <c r="BS69" s="64" t="str">
        <f aca="false">IF(OR(BS$4="",$C69="",$D69=""),"",IF(AND($C69&lt;EDATE(BS$4,1),$D69&gt;=BS$4),1,""))</f>
        <v/>
      </c>
      <c r="BT69" s="64" t="str">
        <f aca="false">IF(OR(BT$4="",$C69="",$D69=""),"",IF(AND($C69&lt;EDATE(BT$4,1),$D69&gt;=BT$4),1,""))</f>
        <v/>
      </c>
      <c r="BU69" s="64" t="str">
        <f aca="false">IF(OR(BU$4="",$C69="",$D69=""),"",IF(AND($C69&lt;EDATE(BU$4,1),$D69&gt;=BU$4),1,""))</f>
        <v/>
      </c>
      <c r="BV69" s="64" t="str">
        <f aca="false">IF(OR(BV$4="",$C69="",$D69=""),"",IF(AND($C69&lt;EDATE(BV$4,1),$D69&gt;=BV$4),1,""))</f>
        <v/>
      </c>
      <c r="BW69" s="64" t="str">
        <f aca="false">IF(OR(BW$4="",$C69="",$D69=""),"",IF(AND($C69&lt;EDATE(BW$4,1),$D69&gt;=BW$4),1,""))</f>
        <v/>
      </c>
      <c r="BX69" s="64" t="str">
        <f aca="false">IF(OR(BX$4="",$C69="",$D69=""),"",IF(AND($C69&lt;EDATE(BX$4,1),$D69&gt;=BX$4),1,""))</f>
        <v/>
      </c>
      <c r="BY69" s="64" t="str">
        <f aca="false">IF(OR(BY$4="",$C69="",$D69=""),"",IF(AND($C69&lt;EDATE(BY$4,1),$D69&gt;=BY$4),1,""))</f>
        <v/>
      </c>
    </row>
    <row r="70" customFormat="false" ht="15" hidden="false" customHeight="false" outlineLevel="0" collapsed="false">
      <c r="A70" s="53" t="str">
        <f aca="false">IF(BOE!$A39="","",BOE!$A39)</f>
        <v/>
      </c>
      <c r="B70" s="53" t="str">
        <f aca="false">IF(BOE!$A39="","",BOE!$C39)</f>
        <v/>
      </c>
      <c r="C70" s="54" t="str">
        <f aca="false">IF(OR(BOE!$A39="",BOE!$E39&lt;&gt;"Y"),"",BOE!$O39)</f>
        <v/>
      </c>
      <c r="D70" s="54" t="str">
        <f aca="false">IF(OR(BOE!$A39="",BOE!$E39&lt;&gt;"Y"),"",BOE!$P39)</f>
        <v/>
      </c>
      <c r="E70" s="55" t="str">
        <f aca="false">IF(OR(BOE!$A39="",BOE!$E39&lt;&gt;"Y"),"",IF(Inputs!$B$7="P90",BOE!$T39,BOE!$R39))</f>
        <v/>
      </c>
      <c r="F70" s="64" t="str">
        <f aca="false">IF(OR(F$4="",$C70="",$D70=""),"",IF(AND($C70&lt;EDATE(F$4,1),$D70&gt;=F$4),1,""))</f>
        <v/>
      </c>
      <c r="G70" s="64" t="str">
        <f aca="false">IF(OR(G$4="",$C70="",$D70=""),"",IF(AND($C70&lt;EDATE(G$4,1),$D70&gt;=G$4),1,""))</f>
        <v/>
      </c>
      <c r="H70" s="64" t="str">
        <f aca="false">IF(OR(H$4="",$C70="",$D70=""),"",IF(AND($C70&lt;EDATE(H$4,1),$D70&gt;=H$4),1,""))</f>
        <v/>
      </c>
      <c r="I70" s="64" t="str">
        <f aca="false">IF(OR(I$4="",$C70="",$D70=""),"",IF(AND($C70&lt;EDATE(I$4,1),$D70&gt;=I$4),1,""))</f>
        <v/>
      </c>
      <c r="J70" s="64" t="str">
        <f aca="false">IF(OR(J$4="",$C70="",$D70=""),"",IF(AND($C70&lt;EDATE(J$4,1),$D70&gt;=J$4),1,""))</f>
        <v/>
      </c>
      <c r="K70" s="64" t="str">
        <f aca="false">IF(OR(K$4="",$C70="",$D70=""),"",IF(AND($C70&lt;EDATE(K$4,1),$D70&gt;=K$4),1,""))</f>
        <v/>
      </c>
      <c r="L70" s="64" t="str">
        <f aca="false">IF(OR(L$4="",$C70="",$D70=""),"",IF(AND($C70&lt;EDATE(L$4,1),$D70&gt;=L$4),1,""))</f>
        <v/>
      </c>
      <c r="M70" s="64" t="str">
        <f aca="false">IF(OR(M$4="",$C70="",$D70=""),"",IF(AND($C70&lt;EDATE(M$4,1),$D70&gt;=M$4),1,""))</f>
        <v/>
      </c>
      <c r="N70" s="64" t="str">
        <f aca="false">IF(OR(N$4="",$C70="",$D70=""),"",IF(AND($C70&lt;EDATE(N$4,1),$D70&gt;=N$4),1,""))</f>
        <v/>
      </c>
      <c r="O70" s="64" t="str">
        <f aca="false">IF(OR(O$4="",$C70="",$D70=""),"",IF(AND($C70&lt;EDATE(O$4,1),$D70&gt;=O$4),1,""))</f>
        <v/>
      </c>
      <c r="P70" s="64" t="str">
        <f aca="false">IF(OR(P$4="",$C70="",$D70=""),"",IF(AND($C70&lt;EDATE(P$4,1),$D70&gt;=P$4),1,""))</f>
        <v/>
      </c>
      <c r="Q70" s="64" t="str">
        <f aca="false">IF(OR(Q$4="",$C70="",$D70=""),"",IF(AND($C70&lt;EDATE(Q$4,1),$D70&gt;=Q$4),1,""))</f>
        <v/>
      </c>
      <c r="R70" s="64" t="str">
        <f aca="false">IF(OR(R$4="",$C70="",$D70=""),"",IF(AND($C70&lt;EDATE(R$4,1),$D70&gt;=R$4),1,""))</f>
        <v/>
      </c>
      <c r="S70" s="64" t="str">
        <f aca="false">IF(OR(S$4="",$C70="",$D70=""),"",IF(AND($C70&lt;EDATE(S$4,1),$D70&gt;=S$4),1,""))</f>
        <v/>
      </c>
      <c r="T70" s="64" t="str">
        <f aca="false">IF(OR(T$4="",$C70="",$D70=""),"",IF(AND($C70&lt;EDATE(T$4,1),$D70&gt;=T$4),1,""))</f>
        <v/>
      </c>
      <c r="U70" s="64" t="str">
        <f aca="false">IF(OR(U$4="",$C70="",$D70=""),"",IF(AND($C70&lt;EDATE(U$4,1),$D70&gt;=U$4),1,""))</f>
        <v/>
      </c>
      <c r="V70" s="64" t="str">
        <f aca="false">IF(OR(V$4="",$C70="",$D70=""),"",IF(AND($C70&lt;EDATE(V$4,1),$D70&gt;=V$4),1,""))</f>
        <v/>
      </c>
      <c r="W70" s="64" t="str">
        <f aca="false">IF(OR(W$4="",$C70="",$D70=""),"",IF(AND($C70&lt;EDATE(W$4,1),$D70&gt;=W$4),1,""))</f>
        <v/>
      </c>
      <c r="X70" s="64" t="str">
        <f aca="false">IF(OR(X$4="",$C70="",$D70=""),"",IF(AND($C70&lt;EDATE(X$4,1),$D70&gt;=X$4),1,""))</f>
        <v/>
      </c>
      <c r="Y70" s="64" t="str">
        <f aca="false">IF(OR(Y$4="",$C70="",$D70=""),"",IF(AND($C70&lt;EDATE(Y$4,1),$D70&gt;=Y$4),1,""))</f>
        <v/>
      </c>
      <c r="Z70" s="64" t="str">
        <f aca="false">IF(OR(Z$4="",$C70="",$D70=""),"",IF(AND($C70&lt;EDATE(Z$4,1),$D70&gt;=Z$4),1,""))</f>
        <v/>
      </c>
      <c r="AA70" s="64" t="str">
        <f aca="false">IF(OR(AA$4="",$C70="",$D70=""),"",IF(AND($C70&lt;EDATE(AA$4,1),$D70&gt;=AA$4),1,""))</f>
        <v/>
      </c>
      <c r="AB70" s="64" t="str">
        <f aca="false">IF(OR(AB$4="",$C70="",$D70=""),"",IF(AND($C70&lt;EDATE(AB$4,1),$D70&gt;=AB$4),1,""))</f>
        <v/>
      </c>
      <c r="AC70" s="64" t="str">
        <f aca="false">IF(OR(AC$4="",$C70="",$D70=""),"",IF(AND($C70&lt;EDATE(AC$4,1),$D70&gt;=AC$4),1,""))</f>
        <v/>
      </c>
      <c r="AD70" s="64" t="str">
        <f aca="false">IF(OR(AD$4="",$C70="",$D70=""),"",IF(AND($C70&lt;EDATE(AD$4,1),$D70&gt;=AD$4),1,""))</f>
        <v/>
      </c>
      <c r="AE70" s="64" t="str">
        <f aca="false">IF(OR(AE$4="",$C70="",$D70=""),"",IF(AND($C70&lt;EDATE(AE$4,1),$D70&gt;=AE$4),1,""))</f>
        <v/>
      </c>
      <c r="AF70" s="64" t="str">
        <f aca="false">IF(OR(AF$4="",$C70="",$D70=""),"",IF(AND($C70&lt;EDATE(AF$4,1),$D70&gt;=AF$4),1,""))</f>
        <v/>
      </c>
      <c r="AG70" s="64" t="str">
        <f aca="false">IF(OR(AG$4="",$C70="",$D70=""),"",IF(AND($C70&lt;EDATE(AG$4,1),$D70&gt;=AG$4),1,""))</f>
        <v/>
      </c>
      <c r="AH70" s="64" t="str">
        <f aca="false">IF(OR(AH$4="",$C70="",$D70=""),"",IF(AND($C70&lt;EDATE(AH$4,1),$D70&gt;=AH$4),1,""))</f>
        <v/>
      </c>
      <c r="AI70" s="64" t="str">
        <f aca="false">IF(OR(AI$4="",$C70="",$D70=""),"",IF(AND($C70&lt;EDATE(AI$4,1),$D70&gt;=AI$4),1,""))</f>
        <v/>
      </c>
      <c r="AJ70" s="64" t="str">
        <f aca="false">IF(OR(AJ$4="",$C70="",$D70=""),"",IF(AND($C70&lt;EDATE(AJ$4,1),$D70&gt;=AJ$4),1,""))</f>
        <v/>
      </c>
      <c r="AK70" s="64" t="str">
        <f aca="false">IF(OR(AK$4="",$C70="",$D70=""),"",IF(AND($C70&lt;EDATE(AK$4,1),$D70&gt;=AK$4),1,""))</f>
        <v/>
      </c>
      <c r="AL70" s="64" t="str">
        <f aca="false">IF(OR(AL$4="",$C70="",$D70=""),"",IF(AND($C70&lt;EDATE(AL$4,1),$D70&gt;=AL$4),1,""))</f>
        <v/>
      </c>
      <c r="AM70" s="64" t="str">
        <f aca="false">IF(OR(AM$4="",$C70="",$D70=""),"",IF(AND($C70&lt;EDATE(AM$4,1),$D70&gt;=AM$4),1,""))</f>
        <v/>
      </c>
      <c r="AN70" s="64" t="str">
        <f aca="false">IF(OR(AN$4="",$C70="",$D70=""),"",IF(AND($C70&lt;EDATE(AN$4,1),$D70&gt;=AN$4),1,""))</f>
        <v/>
      </c>
      <c r="AO70" s="64" t="str">
        <f aca="false">IF(OR(AO$4="",$C70="",$D70=""),"",IF(AND($C70&lt;EDATE(AO$4,1),$D70&gt;=AO$4),1,""))</f>
        <v/>
      </c>
      <c r="AP70" s="64" t="str">
        <f aca="false">IF(OR(AP$4="",$C70="",$D70=""),"",IF(AND($C70&lt;EDATE(AP$4,1),$D70&gt;=AP$4),1,""))</f>
        <v/>
      </c>
      <c r="AQ70" s="64" t="str">
        <f aca="false">IF(OR(AQ$4="",$C70="",$D70=""),"",IF(AND($C70&lt;EDATE(AQ$4,1),$D70&gt;=AQ$4),1,""))</f>
        <v/>
      </c>
      <c r="AR70" s="64" t="str">
        <f aca="false">IF(OR(AR$4="",$C70="",$D70=""),"",IF(AND($C70&lt;EDATE(AR$4,1),$D70&gt;=AR$4),1,""))</f>
        <v/>
      </c>
      <c r="AS70" s="64" t="str">
        <f aca="false">IF(OR(AS$4="",$C70="",$D70=""),"",IF(AND($C70&lt;EDATE(AS$4,1),$D70&gt;=AS$4),1,""))</f>
        <v/>
      </c>
      <c r="AT70" s="64" t="str">
        <f aca="false">IF(OR(AT$4="",$C70="",$D70=""),"",IF(AND($C70&lt;EDATE(AT$4,1),$D70&gt;=AT$4),1,""))</f>
        <v/>
      </c>
      <c r="AU70" s="64" t="str">
        <f aca="false">IF(OR(AU$4="",$C70="",$D70=""),"",IF(AND($C70&lt;EDATE(AU$4,1),$D70&gt;=AU$4),1,""))</f>
        <v/>
      </c>
      <c r="AV70" s="64" t="str">
        <f aca="false">IF(OR(AV$4="",$C70="",$D70=""),"",IF(AND($C70&lt;EDATE(AV$4,1),$D70&gt;=AV$4),1,""))</f>
        <v/>
      </c>
      <c r="AW70" s="64" t="str">
        <f aca="false">IF(OR(AW$4="",$C70="",$D70=""),"",IF(AND($C70&lt;EDATE(AW$4,1),$D70&gt;=AW$4),1,""))</f>
        <v/>
      </c>
      <c r="AX70" s="64" t="str">
        <f aca="false">IF(OR(AX$4="",$C70="",$D70=""),"",IF(AND($C70&lt;EDATE(AX$4,1),$D70&gt;=AX$4),1,""))</f>
        <v/>
      </c>
      <c r="AY70" s="64" t="str">
        <f aca="false">IF(OR(AY$4="",$C70="",$D70=""),"",IF(AND($C70&lt;EDATE(AY$4,1),$D70&gt;=AY$4),1,""))</f>
        <v/>
      </c>
      <c r="AZ70" s="64" t="str">
        <f aca="false">IF(OR(AZ$4="",$C70="",$D70=""),"",IF(AND($C70&lt;EDATE(AZ$4,1),$D70&gt;=AZ$4),1,""))</f>
        <v/>
      </c>
      <c r="BA70" s="64" t="str">
        <f aca="false">IF(OR(BA$4="",$C70="",$D70=""),"",IF(AND($C70&lt;EDATE(BA$4,1),$D70&gt;=BA$4),1,""))</f>
        <v/>
      </c>
      <c r="BB70" s="64" t="str">
        <f aca="false">IF(OR(BB$4="",$C70="",$D70=""),"",IF(AND($C70&lt;EDATE(BB$4,1),$D70&gt;=BB$4),1,""))</f>
        <v/>
      </c>
      <c r="BC70" s="64" t="str">
        <f aca="false">IF(OR(BC$4="",$C70="",$D70=""),"",IF(AND($C70&lt;EDATE(BC$4,1),$D70&gt;=BC$4),1,""))</f>
        <v/>
      </c>
      <c r="BD70" s="64" t="str">
        <f aca="false">IF(OR(BD$4="",$C70="",$D70=""),"",IF(AND($C70&lt;EDATE(BD$4,1),$D70&gt;=BD$4),1,""))</f>
        <v/>
      </c>
      <c r="BE70" s="64" t="str">
        <f aca="false">IF(OR(BE$4="",$C70="",$D70=""),"",IF(AND($C70&lt;EDATE(BE$4,1),$D70&gt;=BE$4),1,""))</f>
        <v/>
      </c>
      <c r="BF70" s="64" t="str">
        <f aca="false">IF(OR(BF$4="",$C70="",$D70=""),"",IF(AND($C70&lt;EDATE(BF$4,1),$D70&gt;=BF$4),1,""))</f>
        <v/>
      </c>
      <c r="BG70" s="64" t="str">
        <f aca="false">IF(OR(BG$4="",$C70="",$D70=""),"",IF(AND($C70&lt;EDATE(BG$4,1),$D70&gt;=BG$4),1,""))</f>
        <v/>
      </c>
      <c r="BH70" s="64" t="str">
        <f aca="false">IF(OR(BH$4="",$C70="",$D70=""),"",IF(AND($C70&lt;EDATE(BH$4,1),$D70&gt;=BH$4),1,""))</f>
        <v/>
      </c>
      <c r="BI70" s="64" t="str">
        <f aca="false">IF(OR(BI$4="",$C70="",$D70=""),"",IF(AND($C70&lt;EDATE(BI$4,1),$D70&gt;=BI$4),1,""))</f>
        <v/>
      </c>
      <c r="BJ70" s="64" t="str">
        <f aca="false">IF(OR(BJ$4="",$C70="",$D70=""),"",IF(AND($C70&lt;EDATE(BJ$4,1),$D70&gt;=BJ$4),1,""))</f>
        <v/>
      </c>
      <c r="BK70" s="64" t="str">
        <f aca="false">IF(OR(BK$4="",$C70="",$D70=""),"",IF(AND($C70&lt;EDATE(BK$4,1),$D70&gt;=BK$4),1,""))</f>
        <v/>
      </c>
      <c r="BL70" s="64" t="str">
        <f aca="false">IF(OR(BL$4="",$C70="",$D70=""),"",IF(AND($C70&lt;EDATE(BL$4,1),$D70&gt;=BL$4),1,""))</f>
        <v/>
      </c>
      <c r="BM70" s="64" t="str">
        <f aca="false">IF(OR(BM$4="",$C70="",$D70=""),"",IF(AND($C70&lt;EDATE(BM$4,1),$D70&gt;=BM$4),1,""))</f>
        <v/>
      </c>
      <c r="BN70" s="64" t="str">
        <f aca="false">IF(OR(BN$4="",$C70="",$D70=""),"",IF(AND($C70&lt;EDATE(BN$4,1),$D70&gt;=BN$4),1,""))</f>
        <v/>
      </c>
      <c r="BO70" s="64" t="str">
        <f aca="false">IF(OR(BO$4="",$C70="",$D70=""),"",IF(AND($C70&lt;EDATE(BO$4,1),$D70&gt;=BO$4),1,""))</f>
        <v/>
      </c>
      <c r="BP70" s="64" t="str">
        <f aca="false">IF(OR(BP$4="",$C70="",$D70=""),"",IF(AND($C70&lt;EDATE(BP$4,1),$D70&gt;=BP$4),1,""))</f>
        <v/>
      </c>
      <c r="BQ70" s="64" t="str">
        <f aca="false">IF(OR(BQ$4="",$C70="",$D70=""),"",IF(AND($C70&lt;EDATE(BQ$4,1),$D70&gt;=BQ$4),1,""))</f>
        <v/>
      </c>
      <c r="BR70" s="64" t="str">
        <f aca="false">IF(OR(BR$4="",$C70="",$D70=""),"",IF(AND($C70&lt;EDATE(BR$4,1),$D70&gt;=BR$4),1,""))</f>
        <v/>
      </c>
      <c r="BS70" s="64" t="str">
        <f aca="false">IF(OR(BS$4="",$C70="",$D70=""),"",IF(AND($C70&lt;EDATE(BS$4,1),$D70&gt;=BS$4),1,""))</f>
        <v/>
      </c>
      <c r="BT70" s="64" t="str">
        <f aca="false">IF(OR(BT$4="",$C70="",$D70=""),"",IF(AND($C70&lt;EDATE(BT$4,1),$D70&gt;=BT$4),1,""))</f>
        <v/>
      </c>
      <c r="BU70" s="64" t="str">
        <f aca="false">IF(OR(BU$4="",$C70="",$D70=""),"",IF(AND($C70&lt;EDATE(BU$4,1),$D70&gt;=BU$4),1,""))</f>
        <v/>
      </c>
      <c r="BV70" s="64" t="str">
        <f aca="false">IF(OR(BV$4="",$C70="",$D70=""),"",IF(AND($C70&lt;EDATE(BV$4,1),$D70&gt;=BV$4),1,""))</f>
        <v/>
      </c>
      <c r="BW70" s="64" t="str">
        <f aca="false">IF(OR(BW$4="",$C70="",$D70=""),"",IF(AND($C70&lt;EDATE(BW$4,1),$D70&gt;=BW$4),1,""))</f>
        <v/>
      </c>
      <c r="BX70" s="64" t="str">
        <f aca="false">IF(OR(BX$4="",$C70="",$D70=""),"",IF(AND($C70&lt;EDATE(BX$4,1),$D70&gt;=BX$4),1,""))</f>
        <v/>
      </c>
      <c r="BY70" s="64" t="str">
        <f aca="false">IF(OR(BY$4="",$C70="",$D70=""),"",IF(AND($C70&lt;EDATE(BY$4,1),$D70&gt;=BY$4),1,""))</f>
        <v/>
      </c>
    </row>
    <row r="71" customFormat="false" ht="15" hidden="false" customHeight="false" outlineLevel="0" collapsed="false">
      <c r="A71" s="53" t="str">
        <f aca="false">IF(BOE!$A40="","",BOE!$A40)</f>
        <v/>
      </c>
      <c r="B71" s="53" t="str">
        <f aca="false">IF(BOE!$A40="","",BOE!$C40)</f>
        <v/>
      </c>
      <c r="C71" s="54" t="str">
        <f aca="false">IF(OR(BOE!$A40="",BOE!$E40&lt;&gt;"Y"),"",BOE!$O40)</f>
        <v/>
      </c>
      <c r="D71" s="54" t="str">
        <f aca="false">IF(OR(BOE!$A40="",BOE!$E40&lt;&gt;"Y"),"",BOE!$P40)</f>
        <v/>
      </c>
      <c r="E71" s="55" t="str">
        <f aca="false">IF(OR(BOE!$A40="",BOE!$E40&lt;&gt;"Y"),"",IF(Inputs!$B$7="P90",BOE!$T40,BOE!$R40))</f>
        <v/>
      </c>
      <c r="F71" s="64" t="str">
        <f aca="false">IF(OR(F$4="",$C71="",$D71=""),"",IF(AND($C71&lt;EDATE(F$4,1),$D71&gt;=F$4),1,""))</f>
        <v/>
      </c>
      <c r="G71" s="64" t="str">
        <f aca="false">IF(OR(G$4="",$C71="",$D71=""),"",IF(AND($C71&lt;EDATE(G$4,1),$D71&gt;=G$4),1,""))</f>
        <v/>
      </c>
      <c r="H71" s="64" t="str">
        <f aca="false">IF(OR(H$4="",$C71="",$D71=""),"",IF(AND($C71&lt;EDATE(H$4,1),$D71&gt;=H$4),1,""))</f>
        <v/>
      </c>
      <c r="I71" s="64" t="str">
        <f aca="false">IF(OR(I$4="",$C71="",$D71=""),"",IF(AND($C71&lt;EDATE(I$4,1),$D71&gt;=I$4),1,""))</f>
        <v/>
      </c>
      <c r="J71" s="64" t="str">
        <f aca="false">IF(OR(J$4="",$C71="",$D71=""),"",IF(AND($C71&lt;EDATE(J$4,1),$D71&gt;=J$4),1,""))</f>
        <v/>
      </c>
      <c r="K71" s="64" t="str">
        <f aca="false">IF(OR(K$4="",$C71="",$D71=""),"",IF(AND($C71&lt;EDATE(K$4,1),$D71&gt;=K$4),1,""))</f>
        <v/>
      </c>
      <c r="L71" s="64" t="str">
        <f aca="false">IF(OR(L$4="",$C71="",$D71=""),"",IF(AND($C71&lt;EDATE(L$4,1),$D71&gt;=L$4),1,""))</f>
        <v/>
      </c>
      <c r="M71" s="64" t="str">
        <f aca="false">IF(OR(M$4="",$C71="",$D71=""),"",IF(AND($C71&lt;EDATE(M$4,1),$D71&gt;=M$4),1,""))</f>
        <v/>
      </c>
      <c r="N71" s="64" t="str">
        <f aca="false">IF(OR(N$4="",$C71="",$D71=""),"",IF(AND($C71&lt;EDATE(N$4,1),$D71&gt;=N$4),1,""))</f>
        <v/>
      </c>
      <c r="O71" s="64" t="str">
        <f aca="false">IF(OR(O$4="",$C71="",$D71=""),"",IF(AND($C71&lt;EDATE(O$4,1),$D71&gt;=O$4),1,""))</f>
        <v/>
      </c>
      <c r="P71" s="64" t="str">
        <f aca="false">IF(OR(P$4="",$C71="",$D71=""),"",IF(AND($C71&lt;EDATE(P$4,1),$D71&gt;=P$4),1,""))</f>
        <v/>
      </c>
      <c r="Q71" s="64" t="str">
        <f aca="false">IF(OR(Q$4="",$C71="",$D71=""),"",IF(AND($C71&lt;EDATE(Q$4,1),$D71&gt;=Q$4),1,""))</f>
        <v/>
      </c>
      <c r="R71" s="64" t="str">
        <f aca="false">IF(OR(R$4="",$C71="",$D71=""),"",IF(AND($C71&lt;EDATE(R$4,1),$D71&gt;=R$4),1,""))</f>
        <v/>
      </c>
      <c r="S71" s="64" t="str">
        <f aca="false">IF(OR(S$4="",$C71="",$D71=""),"",IF(AND($C71&lt;EDATE(S$4,1),$D71&gt;=S$4),1,""))</f>
        <v/>
      </c>
      <c r="T71" s="64" t="str">
        <f aca="false">IF(OR(T$4="",$C71="",$D71=""),"",IF(AND($C71&lt;EDATE(T$4,1),$D71&gt;=T$4),1,""))</f>
        <v/>
      </c>
      <c r="U71" s="64" t="str">
        <f aca="false">IF(OR(U$4="",$C71="",$D71=""),"",IF(AND($C71&lt;EDATE(U$4,1),$D71&gt;=U$4),1,""))</f>
        <v/>
      </c>
      <c r="V71" s="64" t="str">
        <f aca="false">IF(OR(V$4="",$C71="",$D71=""),"",IF(AND($C71&lt;EDATE(V$4,1),$D71&gt;=V$4),1,""))</f>
        <v/>
      </c>
      <c r="W71" s="64" t="str">
        <f aca="false">IF(OR(W$4="",$C71="",$D71=""),"",IF(AND($C71&lt;EDATE(W$4,1),$D71&gt;=W$4),1,""))</f>
        <v/>
      </c>
      <c r="X71" s="64" t="str">
        <f aca="false">IF(OR(X$4="",$C71="",$D71=""),"",IF(AND($C71&lt;EDATE(X$4,1),$D71&gt;=X$4),1,""))</f>
        <v/>
      </c>
      <c r="Y71" s="64" t="str">
        <f aca="false">IF(OR(Y$4="",$C71="",$D71=""),"",IF(AND($C71&lt;EDATE(Y$4,1),$D71&gt;=Y$4),1,""))</f>
        <v/>
      </c>
      <c r="Z71" s="64" t="str">
        <f aca="false">IF(OR(Z$4="",$C71="",$D71=""),"",IF(AND($C71&lt;EDATE(Z$4,1),$D71&gt;=Z$4),1,""))</f>
        <v/>
      </c>
      <c r="AA71" s="64" t="str">
        <f aca="false">IF(OR(AA$4="",$C71="",$D71=""),"",IF(AND($C71&lt;EDATE(AA$4,1),$D71&gt;=AA$4),1,""))</f>
        <v/>
      </c>
      <c r="AB71" s="64" t="str">
        <f aca="false">IF(OR(AB$4="",$C71="",$D71=""),"",IF(AND($C71&lt;EDATE(AB$4,1),$D71&gt;=AB$4),1,""))</f>
        <v/>
      </c>
      <c r="AC71" s="64" t="str">
        <f aca="false">IF(OR(AC$4="",$C71="",$D71=""),"",IF(AND($C71&lt;EDATE(AC$4,1),$D71&gt;=AC$4),1,""))</f>
        <v/>
      </c>
      <c r="AD71" s="64" t="str">
        <f aca="false">IF(OR(AD$4="",$C71="",$D71=""),"",IF(AND($C71&lt;EDATE(AD$4,1),$D71&gt;=AD$4),1,""))</f>
        <v/>
      </c>
      <c r="AE71" s="64" t="str">
        <f aca="false">IF(OR(AE$4="",$C71="",$D71=""),"",IF(AND($C71&lt;EDATE(AE$4,1),$D71&gt;=AE$4),1,""))</f>
        <v/>
      </c>
      <c r="AF71" s="64" t="str">
        <f aca="false">IF(OR(AF$4="",$C71="",$D71=""),"",IF(AND($C71&lt;EDATE(AF$4,1),$D71&gt;=AF$4),1,""))</f>
        <v/>
      </c>
      <c r="AG71" s="64" t="str">
        <f aca="false">IF(OR(AG$4="",$C71="",$D71=""),"",IF(AND($C71&lt;EDATE(AG$4,1),$D71&gt;=AG$4),1,""))</f>
        <v/>
      </c>
      <c r="AH71" s="64" t="str">
        <f aca="false">IF(OR(AH$4="",$C71="",$D71=""),"",IF(AND($C71&lt;EDATE(AH$4,1),$D71&gt;=AH$4),1,""))</f>
        <v/>
      </c>
      <c r="AI71" s="64" t="str">
        <f aca="false">IF(OR(AI$4="",$C71="",$D71=""),"",IF(AND($C71&lt;EDATE(AI$4,1),$D71&gt;=AI$4),1,""))</f>
        <v/>
      </c>
      <c r="AJ71" s="64" t="str">
        <f aca="false">IF(OR(AJ$4="",$C71="",$D71=""),"",IF(AND($C71&lt;EDATE(AJ$4,1),$D71&gt;=AJ$4),1,""))</f>
        <v/>
      </c>
      <c r="AK71" s="64" t="str">
        <f aca="false">IF(OR(AK$4="",$C71="",$D71=""),"",IF(AND($C71&lt;EDATE(AK$4,1),$D71&gt;=AK$4),1,""))</f>
        <v/>
      </c>
      <c r="AL71" s="64" t="str">
        <f aca="false">IF(OR(AL$4="",$C71="",$D71=""),"",IF(AND($C71&lt;EDATE(AL$4,1),$D71&gt;=AL$4),1,""))</f>
        <v/>
      </c>
      <c r="AM71" s="64" t="str">
        <f aca="false">IF(OR(AM$4="",$C71="",$D71=""),"",IF(AND($C71&lt;EDATE(AM$4,1),$D71&gt;=AM$4),1,""))</f>
        <v/>
      </c>
      <c r="AN71" s="64" t="str">
        <f aca="false">IF(OR(AN$4="",$C71="",$D71=""),"",IF(AND($C71&lt;EDATE(AN$4,1),$D71&gt;=AN$4),1,""))</f>
        <v/>
      </c>
      <c r="AO71" s="64" t="str">
        <f aca="false">IF(OR(AO$4="",$C71="",$D71=""),"",IF(AND($C71&lt;EDATE(AO$4,1),$D71&gt;=AO$4),1,""))</f>
        <v/>
      </c>
      <c r="AP71" s="64" t="str">
        <f aca="false">IF(OR(AP$4="",$C71="",$D71=""),"",IF(AND($C71&lt;EDATE(AP$4,1),$D71&gt;=AP$4),1,""))</f>
        <v/>
      </c>
      <c r="AQ71" s="64" t="str">
        <f aca="false">IF(OR(AQ$4="",$C71="",$D71=""),"",IF(AND($C71&lt;EDATE(AQ$4,1),$D71&gt;=AQ$4),1,""))</f>
        <v/>
      </c>
      <c r="AR71" s="64" t="str">
        <f aca="false">IF(OR(AR$4="",$C71="",$D71=""),"",IF(AND($C71&lt;EDATE(AR$4,1),$D71&gt;=AR$4),1,""))</f>
        <v/>
      </c>
      <c r="AS71" s="64" t="str">
        <f aca="false">IF(OR(AS$4="",$C71="",$D71=""),"",IF(AND($C71&lt;EDATE(AS$4,1),$D71&gt;=AS$4),1,""))</f>
        <v/>
      </c>
      <c r="AT71" s="64" t="str">
        <f aca="false">IF(OR(AT$4="",$C71="",$D71=""),"",IF(AND($C71&lt;EDATE(AT$4,1),$D71&gt;=AT$4),1,""))</f>
        <v/>
      </c>
      <c r="AU71" s="64" t="str">
        <f aca="false">IF(OR(AU$4="",$C71="",$D71=""),"",IF(AND($C71&lt;EDATE(AU$4,1),$D71&gt;=AU$4),1,""))</f>
        <v/>
      </c>
      <c r="AV71" s="64" t="str">
        <f aca="false">IF(OR(AV$4="",$C71="",$D71=""),"",IF(AND($C71&lt;EDATE(AV$4,1),$D71&gt;=AV$4),1,""))</f>
        <v/>
      </c>
      <c r="AW71" s="64" t="str">
        <f aca="false">IF(OR(AW$4="",$C71="",$D71=""),"",IF(AND($C71&lt;EDATE(AW$4,1),$D71&gt;=AW$4),1,""))</f>
        <v/>
      </c>
      <c r="AX71" s="64" t="str">
        <f aca="false">IF(OR(AX$4="",$C71="",$D71=""),"",IF(AND($C71&lt;EDATE(AX$4,1),$D71&gt;=AX$4),1,""))</f>
        <v/>
      </c>
      <c r="AY71" s="64" t="str">
        <f aca="false">IF(OR(AY$4="",$C71="",$D71=""),"",IF(AND($C71&lt;EDATE(AY$4,1),$D71&gt;=AY$4),1,""))</f>
        <v/>
      </c>
      <c r="AZ71" s="64" t="str">
        <f aca="false">IF(OR(AZ$4="",$C71="",$D71=""),"",IF(AND($C71&lt;EDATE(AZ$4,1),$D71&gt;=AZ$4),1,""))</f>
        <v/>
      </c>
      <c r="BA71" s="64" t="str">
        <f aca="false">IF(OR(BA$4="",$C71="",$D71=""),"",IF(AND($C71&lt;EDATE(BA$4,1),$D71&gt;=BA$4),1,""))</f>
        <v/>
      </c>
      <c r="BB71" s="64" t="str">
        <f aca="false">IF(OR(BB$4="",$C71="",$D71=""),"",IF(AND($C71&lt;EDATE(BB$4,1),$D71&gt;=BB$4),1,""))</f>
        <v/>
      </c>
      <c r="BC71" s="64" t="str">
        <f aca="false">IF(OR(BC$4="",$C71="",$D71=""),"",IF(AND($C71&lt;EDATE(BC$4,1),$D71&gt;=BC$4),1,""))</f>
        <v/>
      </c>
      <c r="BD71" s="64" t="str">
        <f aca="false">IF(OR(BD$4="",$C71="",$D71=""),"",IF(AND($C71&lt;EDATE(BD$4,1),$D71&gt;=BD$4),1,""))</f>
        <v/>
      </c>
      <c r="BE71" s="64" t="str">
        <f aca="false">IF(OR(BE$4="",$C71="",$D71=""),"",IF(AND($C71&lt;EDATE(BE$4,1),$D71&gt;=BE$4),1,""))</f>
        <v/>
      </c>
      <c r="BF71" s="64" t="str">
        <f aca="false">IF(OR(BF$4="",$C71="",$D71=""),"",IF(AND($C71&lt;EDATE(BF$4,1),$D71&gt;=BF$4),1,""))</f>
        <v/>
      </c>
      <c r="BG71" s="64" t="str">
        <f aca="false">IF(OR(BG$4="",$C71="",$D71=""),"",IF(AND($C71&lt;EDATE(BG$4,1),$D71&gt;=BG$4),1,""))</f>
        <v/>
      </c>
      <c r="BH71" s="64" t="str">
        <f aca="false">IF(OR(BH$4="",$C71="",$D71=""),"",IF(AND($C71&lt;EDATE(BH$4,1),$D71&gt;=BH$4),1,""))</f>
        <v/>
      </c>
      <c r="BI71" s="64" t="str">
        <f aca="false">IF(OR(BI$4="",$C71="",$D71=""),"",IF(AND($C71&lt;EDATE(BI$4,1),$D71&gt;=BI$4),1,""))</f>
        <v/>
      </c>
      <c r="BJ71" s="64" t="str">
        <f aca="false">IF(OR(BJ$4="",$C71="",$D71=""),"",IF(AND($C71&lt;EDATE(BJ$4,1),$D71&gt;=BJ$4),1,""))</f>
        <v/>
      </c>
      <c r="BK71" s="64" t="str">
        <f aca="false">IF(OR(BK$4="",$C71="",$D71=""),"",IF(AND($C71&lt;EDATE(BK$4,1),$D71&gt;=BK$4),1,""))</f>
        <v/>
      </c>
      <c r="BL71" s="64" t="str">
        <f aca="false">IF(OR(BL$4="",$C71="",$D71=""),"",IF(AND($C71&lt;EDATE(BL$4,1),$D71&gt;=BL$4),1,""))</f>
        <v/>
      </c>
      <c r="BM71" s="64" t="str">
        <f aca="false">IF(OR(BM$4="",$C71="",$D71=""),"",IF(AND($C71&lt;EDATE(BM$4,1),$D71&gt;=BM$4),1,""))</f>
        <v/>
      </c>
      <c r="BN71" s="64" t="str">
        <f aca="false">IF(OR(BN$4="",$C71="",$D71=""),"",IF(AND($C71&lt;EDATE(BN$4,1),$D71&gt;=BN$4),1,""))</f>
        <v/>
      </c>
      <c r="BO71" s="64" t="str">
        <f aca="false">IF(OR(BO$4="",$C71="",$D71=""),"",IF(AND($C71&lt;EDATE(BO$4,1),$D71&gt;=BO$4),1,""))</f>
        <v/>
      </c>
      <c r="BP71" s="64" t="str">
        <f aca="false">IF(OR(BP$4="",$C71="",$D71=""),"",IF(AND($C71&lt;EDATE(BP$4,1),$D71&gt;=BP$4),1,""))</f>
        <v/>
      </c>
      <c r="BQ71" s="64" t="str">
        <f aca="false">IF(OR(BQ$4="",$C71="",$D71=""),"",IF(AND($C71&lt;EDATE(BQ$4,1),$D71&gt;=BQ$4),1,""))</f>
        <v/>
      </c>
      <c r="BR71" s="64" t="str">
        <f aca="false">IF(OR(BR$4="",$C71="",$D71=""),"",IF(AND($C71&lt;EDATE(BR$4,1),$D71&gt;=BR$4),1,""))</f>
        <v/>
      </c>
      <c r="BS71" s="64" t="str">
        <f aca="false">IF(OR(BS$4="",$C71="",$D71=""),"",IF(AND($C71&lt;EDATE(BS$4,1),$D71&gt;=BS$4),1,""))</f>
        <v/>
      </c>
      <c r="BT71" s="64" t="str">
        <f aca="false">IF(OR(BT$4="",$C71="",$D71=""),"",IF(AND($C71&lt;EDATE(BT$4,1),$D71&gt;=BT$4),1,""))</f>
        <v/>
      </c>
      <c r="BU71" s="64" t="str">
        <f aca="false">IF(OR(BU$4="",$C71="",$D71=""),"",IF(AND($C71&lt;EDATE(BU$4,1),$D71&gt;=BU$4),1,""))</f>
        <v/>
      </c>
      <c r="BV71" s="64" t="str">
        <f aca="false">IF(OR(BV$4="",$C71="",$D71=""),"",IF(AND($C71&lt;EDATE(BV$4,1),$D71&gt;=BV$4),1,""))</f>
        <v/>
      </c>
      <c r="BW71" s="64" t="str">
        <f aca="false">IF(OR(BW$4="",$C71="",$D71=""),"",IF(AND($C71&lt;EDATE(BW$4,1),$D71&gt;=BW$4),1,""))</f>
        <v/>
      </c>
      <c r="BX71" s="64" t="str">
        <f aca="false">IF(OR(BX$4="",$C71="",$D71=""),"",IF(AND($C71&lt;EDATE(BX$4,1),$D71&gt;=BX$4),1,""))</f>
        <v/>
      </c>
      <c r="BY71" s="64" t="str">
        <f aca="false">IF(OR(BY$4="",$C71="",$D71=""),"",IF(AND($C71&lt;EDATE(BY$4,1),$D71&gt;=BY$4),1,""))</f>
        <v/>
      </c>
    </row>
    <row r="72" customFormat="false" ht="15" hidden="false" customHeight="false" outlineLevel="0" collapsed="false">
      <c r="A72" s="53" t="str">
        <f aca="false">IF(BOE!$A41="","",BOE!$A41)</f>
        <v/>
      </c>
      <c r="B72" s="53" t="str">
        <f aca="false">IF(BOE!$A41="","",BOE!$C41)</f>
        <v/>
      </c>
      <c r="C72" s="54" t="str">
        <f aca="false">IF(OR(BOE!$A41="",BOE!$E41&lt;&gt;"Y"),"",BOE!$O41)</f>
        <v/>
      </c>
      <c r="D72" s="54" t="str">
        <f aca="false">IF(OR(BOE!$A41="",BOE!$E41&lt;&gt;"Y"),"",BOE!$P41)</f>
        <v/>
      </c>
      <c r="E72" s="55" t="str">
        <f aca="false">IF(OR(BOE!$A41="",BOE!$E41&lt;&gt;"Y"),"",IF(Inputs!$B$7="P90",BOE!$T41,BOE!$R41))</f>
        <v/>
      </c>
      <c r="F72" s="64" t="str">
        <f aca="false">IF(OR(F$4="",$C72="",$D72=""),"",IF(AND($C72&lt;EDATE(F$4,1),$D72&gt;=F$4),1,""))</f>
        <v/>
      </c>
      <c r="G72" s="64" t="str">
        <f aca="false">IF(OR(G$4="",$C72="",$D72=""),"",IF(AND($C72&lt;EDATE(G$4,1),$D72&gt;=G$4),1,""))</f>
        <v/>
      </c>
      <c r="H72" s="64" t="str">
        <f aca="false">IF(OR(H$4="",$C72="",$D72=""),"",IF(AND($C72&lt;EDATE(H$4,1),$D72&gt;=H$4),1,""))</f>
        <v/>
      </c>
      <c r="I72" s="64" t="str">
        <f aca="false">IF(OR(I$4="",$C72="",$D72=""),"",IF(AND($C72&lt;EDATE(I$4,1),$D72&gt;=I$4),1,""))</f>
        <v/>
      </c>
      <c r="J72" s="64" t="str">
        <f aca="false">IF(OR(J$4="",$C72="",$D72=""),"",IF(AND($C72&lt;EDATE(J$4,1),$D72&gt;=J$4),1,""))</f>
        <v/>
      </c>
      <c r="K72" s="64" t="str">
        <f aca="false">IF(OR(K$4="",$C72="",$D72=""),"",IF(AND($C72&lt;EDATE(K$4,1),$D72&gt;=K$4),1,""))</f>
        <v/>
      </c>
      <c r="L72" s="64" t="str">
        <f aca="false">IF(OR(L$4="",$C72="",$D72=""),"",IF(AND($C72&lt;EDATE(L$4,1),$D72&gt;=L$4),1,""))</f>
        <v/>
      </c>
      <c r="M72" s="64" t="str">
        <f aca="false">IF(OR(M$4="",$C72="",$D72=""),"",IF(AND($C72&lt;EDATE(M$4,1),$D72&gt;=M$4),1,""))</f>
        <v/>
      </c>
      <c r="N72" s="64" t="str">
        <f aca="false">IF(OR(N$4="",$C72="",$D72=""),"",IF(AND($C72&lt;EDATE(N$4,1),$D72&gt;=N$4),1,""))</f>
        <v/>
      </c>
      <c r="O72" s="64" t="str">
        <f aca="false">IF(OR(O$4="",$C72="",$D72=""),"",IF(AND($C72&lt;EDATE(O$4,1),$D72&gt;=O$4),1,""))</f>
        <v/>
      </c>
      <c r="P72" s="64" t="str">
        <f aca="false">IF(OR(P$4="",$C72="",$D72=""),"",IF(AND($C72&lt;EDATE(P$4,1),$D72&gt;=P$4),1,""))</f>
        <v/>
      </c>
      <c r="Q72" s="64" t="str">
        <f aca="false">IF(OR(Q$4="",$C72="",$D72=""),"",IF(AND($C72&lt;EDATE(Q$4,1),$D72&gt;=Q$4),1,""))</f>
        <v/>
      </c>
      <c r="R72" s="64" t="str">
        <f aca="false">IF(OR(R$4="",$C72="",$D72=""),"",IF(AND($C72&lt;EDATE(R$4,1),$D72&gt;=R$4),1,""))</f>
        <v/>
      </c>
      <c r="S72" s="64" t="str">
        <f aca="false">IF(OR(S$4="",$C72="",$D72=""),"",IF(AND($C72&lt;EDATE(S$4,1),$D72&gt;=S$4),1,""))</f>
        <v/>
      </c>
      <c r="T72" s="64" t="str">
        <f aca="false">IF(OR(T$4="",$C72="",$D72=""),"",IF(AND($C72&lt;EDATE(T$4,1),$D72&gt;=T$4),1,""))</f>
        <v/>
      </c>
      <c r="U72" s="64" t="str">
        <f aca="false">IF(OR(U$4="",$C72="",$D72=""),"",IF(AND($C72&lt;EDATE(U$4,1),$D72&gt;=U$4),1,""))</f>
        <v/>
      </c>
      <c r="V72" s="64" t="str">
        <f aca="false">IF(OR(V$4="",$C72="",$D72=""),"",IF(AND($C72&lt;EDATE(V$4,1),$D72&gt;=V$4),1,""))</f>
        <v/>
      </c>
      <c r="W72" s="64" t="str">
        <f aca="false">IF(OR(W$4="",$C72="",$D72=""),"",IF(AND($C72&lt;EDATE(W$4,1),$D72&gt;=W$4),1,""))</f>
        <v/>
      </c>
      <c r="X72" s="64" t="str">
        <f aca="false">IF(OR(X$4="",$C72="",$D72=""),"",IF(AND($C72&lt;EDATE(X$4,1),$D72&gt;=X$4),1,""))</f>
        <v/>
      </c>
      <c r="Y72" s="64" t="str">
        <f aca="false">IF(OR(Y$4="",$C72="",$D72=""),"",IF(AND($C72&lt;EDATE(Y$4,1),$D72&gt;=Y$4),1,""))</f>
        <v/>
      </c>
      <c r="Z72" s="64" t="str">
        <f aca="false">IF(OR(Z$4="",$C72="",$D72=""),"",IF(AND($C72&lt;EDATE(Z$4,1),$D72&gt;=Z$4),1,""))</f>
        <v/>
      </c>
      <c r="AA72" s="64" t="str">
        <f aca="false">IF(OR(AA$4="",$C72="",$D72=""),"",IF(AND($C72&lt;EDATE(AA$4,1),$D72&gt;=AA$4),1,""))</f>
        <v/>
      </c>
      <c r="AB72" s="64" t="str">
        <f aca="false">IF(OR(AB$4="",$C72="",$D72=""),"",IF(AND($C72&lt;EDATE(AB$4,1),$D72&gt;=AB$4),1,""))</f>
        <v/>
      </c>
      <c r="AC72" s="64" t="str">
        <f aca="false">IF(OR(AC$4="",$C72="",$D72=""),"",IF(AND($C72&lt;EDATE(AC$4,1),$D72&gt;=AC$4),1,""))</f>
        <v/>
      </c>
      <c r="AD72" s="64" t="str">
        <f aca="false">IF(OR(AD$4="",$C72="",$D72=""),"",IF(AND($C72&lt;EDATE(AD$4,1),$D72&gt;=AD$4),1,""))</f>
        <v/>
      </c>
      <c r="AE72" s="64" t="str">
        <f aca="false">IF(OR(AE$4="",$C72="",$D72=""),"",IF(AND($C72&lt;EDATE(AE$4,1),$D72&gt;=AE$4),1,""))</f>
        <v/>
      </c>
      <c r="AF72" s="64" t="str">
        <f aca="false">IF(OR(AF$4="",$C72="",$D72=""),"",IF(AND($C72&lt;EDATE(AF$4,1),$D72&gt;=AF$4),1,""))</f>
        <v/>
      </c>
      <c r="AG72" s="64" t="str">
        <f aca="false">IF(OR(AG$4="",$C72="",$D72=""),"",IF(AND($C72&lt;EDATE(AG$4,1),$D72&gt;=AG$4),1,""))</f>
        <v/>
      </c>
      <c r="AH72" s="64" t="str">
        <f aca="false">IF(OR(AH$4="",$C72="",$D72=""),"",IF(AND($C72&lt;EDATE(AH$4,1),$D72&gt;=AH$4),1,""))</f>
        <v/>
      </c>
      <c r="AI72" s="64" t="str">
        <f aca="false">IF(OR(AI$4="",$C72="",$D72=""),"",IF(AND($C72&lt;EDATE(AI$4,1),$D72&gt;=AI$4),1,""))</f>
        <v/>
      </c>
      <c r="AJ72" s="64" t="str">
        <f aca="false">IF(OR(AJ$4="",$C72="",$D72=""),"",IF(AND($C72&lt;EDATE(AJ$4,1),$D72&gt;=AJ$4),1,""))</f>
        <v/>
      </c>
      <c r="AK72" s="64" t="str">
        <f aca="false">IF(OR(AK$4="",$C72="",$D72=""),"",IF(AND($C72&lt;EDATE(AK$4,1),$D72&gt;=AK$4),1,""))</f>
        <v/>
      </c>
      <c r="AL72" s="64" t="str">
        <f aca="false">IF(OR(AL$4="",$C72="",$D72=""),"",IF(AND($C72&lt;EDATE(AL$4,1),$D72&gt;=AL$4),1,""))</f>
        <v/>
      </c>
      <c r="AM72" s="64" t="str">
        <f aca="false">IF(OR(AM$4="",$C72="",$D72=""),"",IF(AND($C72&lt;EDATE(AM$4,1),$D72&gt;=AM$4),1,""))</f>
        <v/>
      </c>
      <c r="AN72" s="64" t="str">
        <f aca="false">IF(OR(AN$4="",$C72="",$D72=""),"",IF(AND($C72&lt;EDATE(AN$4,1),$D72&gt;=AN$4),1,""))</f>
        <v/>
      </c>
      <c r="AO72" s="64" t="str">
        <f aca="false">IF(OR(AO$4="",$C72="",$D72=""),"",IF(AND($C72&lt;EDATE(AO$4,1),$D72&gt;=AO$4),1,""))</f>
        <v/>
      </c>
      <c r="AP72" s="64" t="str">
        <f aca="false">IF(OR(AP$4="",$C72="",$D72=""),"",IF(AND($C72&lt;EDATE(AP$4,1),$D72&gt;=AP$4),1,""))</f>
        <v/>
      </c>
      <c r="AQ72" s="64" t="str">
        <f aca="false">IF(OR(AQ$4="",$C72="",$D72=""),"",IF(AND($C72&lt;EDATE(AQ$4,1),$D72&gt;=AQ$4),1,""))</f>
        <v/>
      </c>
      <c r="AR72" s="64" t="str">
        <f aca="false">IF(OR(AR$4="",$C72="",$D72=""),"",IF(AND($C72&lt;EDATE(AR$4,1),$D72&gt;=AR$4),1,""))</f>
        <v/>
      </c>
      <c r="AS72" s="64" t="str">
        <f aca="false">IF(OR(AS$4="",$C72="",$D72=""),"",IF(AND($C72&lt;EDATE(AS$4,1),$D72&gt;=AS$4),1,""))</f>
        <v/>
      </c>
      <c r="AT72" s="64" t="str">
        <f aca="false">IF(OR(AT$4="",$C72="",$D72=""),"",IF(AND($C72&lt;EDATE(AT$4,1),$D72&gt;=AT$4),1,""))</f>
        <v/>
      </c>
      <c r="AU72" s="64" t="str">
        <f aca="false">IF(OR(AU$4="",$C72="",$D72=""),"",IF(AND($C72&lt;EDATE(AU$4,1),$D72&gt;=AU$4),1,""))</f>
        <v/>
      </c>
      <c r="AV72" s="64" t="str">
        <f aca="false">IF(OR(AV$4="",$C72="",$D72=""),"",IF(AND($C72&lt;EDATE(AV$4,1),$D72&gt;=AV$4),1,""))</f>
        <v/>
      </c>
      <c r="AW72" s="64" t="str">
        <f aca="false">IF(OR(AW$4="",$C72="",$D72=""),"",IF(AND($C72&lt;EDATE(AW$4,1),$D72&gt;=AW$4),1,""))</f>
        <v/>
      </c>
      <c r="AX72" s="64" t="str">
        <f aca="false">IF(OR(AX$4="",$C72="",$D72=""),"",IF(AND($C72&lt;EDATE(AX$4,1),$D72&gt;=AX$4),1,""))</f>
        <v/>
      </c>
      <c r="AY72" s="64" t="str">
        <f aca="false">IF(OR(AY$4="",$C72="",$D72=""),"",IF(AND($C72&lt;EDATE(AY$4,1),$D72&gt;=AY$4),1,""))</f>
        <v/>
      </c>
      <c r="AZ72" s="64" t="str">
        <f aca="false">IF(OR(AZ$4="",$C72="",$D72=""),"",IF(AND($C72&lt;EDATE(AZ$4,1),$D72&gt;=AZ$4),1,""))</f>
        <v/>
      </c>
      <c r="BA72" s="64" t="str">
        <f aca="false">IF(OR(BA$4="",$C72="",$D72=""),"",IF(AND($C72&lt;EDATE(BA$4,1),$D72&gt;=BA$4),1,""))</f>
        <v/>
      </c>
      <c r="BB72" s="64" t="str">
        <f aca="false">IF(OR(BB$4="",$C72="",$D72=""),"",IF(AND($C72&lt;EDATE(BB$4,1),$D72&gt;=BB$4),1,""))</f>
        <v/>
      </c>
      <c r="BC72" s="64" t="str">
        <f aca="false">IF(OR(BC$4="",$C72="",$D72=""),"",IF(AND($C72&lt;EDATE(BC$4,1),$D72&gt;=BC$4),1,""))</f>
        <v/>
      </c>
      <c r="BD72" s="64" t="str">
        <f aca="false">IF(OR(BD$4="",$C72="",$D72=""),"",IF(AND($C72&lt;EDATE(BD$4,1),$D72&gt;=BD$4),1,""))</f>
        <v/>
      </c>
      <c r="BE72" s="64" t="str">
        <f aca="false">IF(OR(BE$4="",$C72="",$D72=""),"",IF(AND($C72&lt;EDATE(BE$4,1),$D72&gt;=BE$4),1,""))</f>
        <v/>
      </c>
      <c r="BF72" s="64" t="str">
        <f aca="false">IF(OR(BF$4="",$C72="",$D72=""),"",IF(AND($C72&lt;EDATE(BF$4,1),$D72&gt;=BF$4),1,""))</f>
        <v/>
      </c>
      <c r="BG72" s="64" t="str">
        <f aca="false">IF(OR(BG$4="",$C72="",$D72=""),"",IF(AND($C72&lt;EDATE(BG$4,1),$D72&gt;=BG$4),1,""))</f>
        <v/>
      </c>
      <c r="BH72" s="64" t="str">
        <f aca="false">IF(OR(BH$4="",$C72="",$D72=""),"",IF(AND($C72&lt;EDATE(BH$4,1),$D72&gt;=BH$4),1,""))</f>
        <v/>
      </c>
      <c r="BI72" s="64" t="str">
        <f aca="false">IF(OR(BI$4="",$C72="",$D72=""),"",IF(AND($C72&lt;EDATE(BI$4,1),$D72&gt;=BI$4),1,""))</f>
        <v/>
      </c>
      <c r="BJ72" s="64" t="str">
        <f aca="false">IF(OR(BJ$4="",$C72="",$D72=""),"",IF(AND($C72&lt;EDATE(BJ$4,1),$D72&gt;=BJ$4),1,""))</f>
        <v/>
      </c>
      <c r="BK72" s="64" t="str">
        <f aca="false">IF(OR(BK$4="",$C72="",$D72=""),"",IF(AND($C72&lt;EDATE(BK$4,1),$D72&gt;=BK$4),1,""))</f>
        <v/>
      </c>
      <c r="BL72" s="64" t="str">
        <f aca="false">IF(OR(BL$4="",$C72="",$D72=""),"",IF(AND($C72&lt;EDATE(BL$4,1),$D72&gt;=BL$4),1,""))</f>
        <v/>
      </c>
      <c r="BM72" s="64" t="str">
        <f aca="false">IF(OR(BM$4="",$C72="",$D72=""),"",IF(AND($C72&lt;EDATE(BM$4,1),$D72&gt;=BM$4),1,""))</f>
        <v/>
      </c>
      <c r="BN72" s="64" t="str">
        <f aca="false">IF(OR(BN$4="",$C72="",$D72=""),"",IF(AND($C72&lt;EDATE(BN$4,1),$D72&gt;=BN$4),1,""))</f>
        <v/>
      </c>
      <c r="BO72" s="64" t="str">
        <f aca="false">IF(OR(BO$4="",$C72="",$D72=""),"",IF(AND($C72&lt;EDATE(BO$4,1),$D72&gt;=BO$4),1,""))</f>
        <v/>
      </c>
      <c r="BP72" s="64" t="str">
        <f aca="false">IF(OR(BP$4="",$C72="",$D72=""),"",IF(AND($C72&lt;EDATE(BP$4,1),$D72&gt;=BP$4),1,""))</f>
        <v/>
      </c>
      <c r="BQ72" s="64" t="str">
        <f aca="false">IF(OR(BQ$4="",$C72="",$D72=""),"",IF(AND($C72&lt;EDATE(BQ$4,1),$D72&gt;=BQ$4),1,""))</f>
        <v/>
      </c>
      <c r="BR72" s="64" t="str">
        <f aca="false">IF(OR(BR$4="",$C72="",$D72=""),"",IF(AND($C72&lt;EDATE(BR$4,1),$D72&gt;=BR$4),1,""))</f>
        <v/>
      </c>
      <c r="BS72" s="64" t="str">
        <f aca="false">IF(OR(BS$4="",$C72="",$D72=""),"",IF(AND($C72&lt;EDATE(BS$4,1),$D72&gt;=BS$4),1,""))</f>
        <v/>
      </c>
      <c r="BT72" s="64" t="str">
        <f aca="false">IF(OR(BT$4="",$C72="",$D72=""),"",IF(AND($C72&lt;EDATE(BT$4,1),$D72&gt;=BT$4),1,""))</f>
        <v/>
      </c>
      <c r="BU72" s="64" t="str">
        <f aca="false">IF(OR(BU$4="",$C72="",$D72=""),"",IF(AND($C72&lt;EDATE(BU$4,1),$D72&gt;=BU$4),1,""))</f>
        <v/>
      </c>
      <c r="BV72" s="64" t="str">
        <f aca="false">IF(OR(BV$4="",$C72="",$D72=""),"",IF(AND($C72&lt;EDATE(BV$4,1),$D72&gt;=BV$4),1,""))</f>
        <v/>
      </c>
      <c r="BW72" s="64" t="str">
        <f aca="false">IF(OR(BW$4="",$C72="",$D72=""),"",IF(AND($C72&lt;EDATE(BW$4,1),$D72&gt;=BW$4),1,""))</f>
        <v/>
      </c>
      <c r="BX72" s="64" t="str">
        <f aca="false">IF(OR(BX$4="",$C72="",$D72=""),"",IF(AND($C72&lt;EDATE(BX$4,1),$D72&gt;=BX$4),1,""))</f>
        <v/>
      </c>
      <c r="BY72" s="64" t="str">
        <f aca="false">IF(OR(BY$4="",$C72="",$D72=""),"",IF(AND($C72&lt;EDATE(BY$4,1),$D72&gt;=BY$4),1,""))</f>
        <v/>
      </c>
    </row>
    <row r="73" customFormat="false" ht="15" hidden="false" customHeight="false" outlineLevel="0" collapsed="false">
      <c r="A73" s="53" t="str">
        <f aca="false">IF(BOE!$A42="","",BOE!$A42)</f>
        <v/>
      </c>
      <c r="B73" s="53" t="str">
        <f aca="false">IF(BOE!$A42="","",BOE!$C42)</f>
        <v/>
      </c>
      <c r="C73" s="54" t="str">
        <f aca="false">IF(OR(BOE!$A42="",BOE!$E42&lt;&gt;"Y"),"",BOE!$O42)</f>
        <v/>
      </c>
      <c r="D73" s="54" t="str">
        <f aca="false">IF(OR(BOE!$A42="",BOE!$E42&lt;&gt;"Y"),"",BOE!$P42)</f>
        <v/>
      </c>
      <c r="E73" s="55" t="str">
        <f aca="false">IF(OR(BOE!$A42="",BOE!$E42&lt;&gt;"Y"),"",IF(Inputs!$B$7="P90",BOE!$T42,BOE!$R42))</f>
        <v/>
      </c>
      <c r="F73" s="64" t="str">
        <f aca="false">IF(OR(F$4="",$C73="",$D73=""),"",IF(AND($C73&lt;EDATE(F$4,1),$D73&gt;=F$4),1,""))</f>
        <v/>
      </c>
      <c r="G73" s="64" t="str">
        <f aca="false">IF(OR(G$4="",$C73="",$D73=""),"",IF(AND($C73&lt;EDATE(G$4,1),$D73&gt;=G$4),1,""))</f>
        <v/>
      </c>
      <c r="H73" s="64" t="str">
        <f aca="false">IF(OR(H$4="",$C73="",$D73=""),"",IF(AND($C73&lt;EDATE(H$4,1),$D73&gt;=H$4),1,""))</f>
        <v/>
      </c>
      <c r="I73" s="64" t="str">
        <f aca="false">IF(OR(I$4="",$C73="",$D73=""),"",IF(AND($C73&lt;EDATE(I$4,1),$D73&gt;=I$4),1,""))</f>
        <v/>
      </c>
      <c r="J73" s="64" t="str">
        <f aca="false">IF(OR(J$4="",$C73="",$D73=""),"",IF(AND($C73&lt;EDATE(J$4,1),$D73&gt;=J$4),1,""))</f>
        <v/>
      </c>
      <c r="K73" s="64" t="str">
        <f aca="false">IF(OR(K$4="",$C73="",$D73=""),"",IF(AND($C73&lt;EDATE(K$4,1),$D73&gt;=K$4),1,""))</f>
        <v/>
      </c>
      <c r="L73" s="64" t="str">
        <f aca="false">IF(OR(L$4="",$C73="",$D73=""),"",IF(AND($C73&lt;EDATE(L$4,1),$D73&gt;=L$4),1,""))</f>
        <v/>
      </c>
      <c r="M73" s="64" t="str">
        <f aca="false">IF(OR(M$4="",$C73="",$D73=""),"",IF(AND($C73&lt;EDATE(M$4,1),$D73&gt;=M$4),1,""))</f>
        <v/>
      </c>
      <c r="N73" s="64" t="str">
        <f aca="false">IF(OR(N$4="",$C73="",$D73=""),"",IF(AND($C73&lt;EDATE(N$4,1),$D73&gt;=N$4),1,""))</f>
        <v/>
      </c>
      <c r="O73" s="64" t="str">
        <f aca="false">IF(OR(O$4="",$C73="",$D73=""),"",IF(AND($C73&lt;EDATE(O$4,1),$D73&gt;=O$4),1,""))</f>
        <v/>
      </c>
      <c r="P73" s="64" t="str">
        <f aca="false">IF(OR(P$4="",$C73="",$D73=""),"",IF(AND($C73&lt;EDATE(P$4,1),$D73&gt;=P$4),1,""))</f>
        <v/>
      </c>
      <c r="Q73" s="64" t="str">
        <f aca="false">IF(OR(Q$4="",$C73="",$D73=""),"",IF(AND($C73&lt;EDATE(Q$4,1),$D73&gt;=Q$4),1,""))</f>
        <v/>
      </c>
      <c r="R73" s="64" t="str">
        <f aca="false">IF(OR(R$4="",$C73="",$D73=""),"",IF(AND($C73&lt;EDATE(R$4,1),$D73&gt;=R$4),1,""))</f>
        <v/>
      </c>
      <c r="S73" s="64" t="str">
        <f aca="false">IF(OR(S$4="",$C73="",$D73=""),"",IF(AND($C73&lt;EDATE(S$4,1),$D73&gt;=S$4),1,""))</f>
        <v/>
      </c>
      <c r="T73" s="64" t="str">
        <f aca="false">IF(OR(T$4="",$C73="",$D73=""),"",IF(AND($C73&lt;EDATE(T$4,1),$D73&gt;=T$4),1,""))</f>
        <v/>
      </c>
      <c r="U73" s="64" t="str">
        <f aca="false">IF(OR(U$4="",$C73="",$D73=""),"",IF(AND($C73&lt;EDATE(U$4,1),$D73&gt;=U$4),1,""))</f>
        <v/>
      </c>
      <c r="V73" s="64" t="str">
        <f aca="false">IF(OR(V$4="",$C73="",$D73=""),"",IF(AND($C73&lt;EDATE(V$4,1),$D73&gt;=V$4),1,""))</f>
        <v/>
      </c>
      <c r="W73" s="64" t="str">
        <f aca="false">IF(OR(W$4="",$C73="",$D73=""),"",IF(AND($C73&lt;EDATE(W$4,1),$D73&gt;=W$4),1,""))</f>
        <v/>
      </c>
      <c r="X73" s="64" t="str">
        <f aca="false">IF(OR(X$4="",$C73="",$D73=""),"",IF(AND($C73&lt;EDATE(X$4,1),$D73&gt;=X$4),1,""))</f>
        <v/>
      </c>
      <c r="Y73" s="64" t="str">
        <f aca="false">IF(OR(Y$4="",$C73="",$D73=""),"",IF(AND($C73&lt;EDATE(Y$4,1),$D73&gt;=Y$4),1,""))</f>
        <v/>
      </c>
      <c r="Z73" s="64" t="str">
        <f aca="false">IF(OR(Z$4="",$C73="",$D73=""),"",IF(AND($C73&lt;EDATE(Z$4,1),$D73&gt;=Z$4),1,""))</f>
        <v/>
      </c>
      <c r="AA73" s="64" t="str">
        <f aca="false">IF(OR(AA$4="",$C73="",$D73=""),"",IF(AND($C73&lt;EDATE(AA$4,1),$D73&gt;=AA$4),1,""))</f>
        <v/>
      </c>
      <c r="AB73" s="64" t="str">
        <f aca="false">IF(OR(AB$4="",$C73="",$D73=""),"",IF(AND($C73&lt;EDATE(AB$4,1),$D73&gt;=AB$4),1,""))</f>
        <v/>
      </c>
      <c r="AC73" s="64" t="str">
        <f aca="false">IF(OR(AC$4="",$C73="",$D73=""),"",IF(AND($C73&lt;EDATE(AC$4,1),$D73&gt;=AC$4),1,""))</f>
        <v/>
      </c>
      <c r="AD73" s="64" t="str">
        <f aca="false">IF(OR(AD$4="",$C73="",$D73=""),"",IF(AND($C73&lt;EDATE(AD$4,1),$D73&gt;=AD$4),1,""))</f>
        <v/>
      </c>
      <c r="AE73" s="64" t="str">
        <f aca="false">IF(OR(AE$4="",$C73="",$D73=""),"",IF(AND($C73&lt;EDATE(AE$4,1),$D73&gt;=AE$4),1,""))</f>
        <v/>
      </c>
      <c r="AF73" s="64" t="str">
        <f aca="false">IF(OR(AF$4="",$C73="",$D73=""),"",IF(AND($C73&lt;EDATE(AF$4,1),$D73&gt;=AF$4),1,""))</f>
        <v/>
      </c>
      <c r="AG73" s="64" t="str">
        <f aca="false">IF(OR(AG$4="",$C73="",$D73=""),"",IF(AND($C73&lt;EDATE(AG$4,1),$D73&gt;=AG$4),1,""))</f>
        <v/>
      </c>
      <c r="AH73" s="64" t="str">
        <f aca="false">IF(OR(AH$4="",$C73="",$D73=""),"",IF(AND($C73&lt;EDATE(AH$4,1),$D73&gt;=AH$4),1,""))</f>
        <v/>
      </c>
      <c r="AI73" s="64" t="str">
        <f aca="false">IF(OR(AI$4="",$C73="",$D73=""),"",IF(AND($C73&lt;EDATE(AI$4,1),$D73&gt;=AI$4),1,""))</f>
        <v/>
      </c>
      <c r="AJ73" s="64" t="str">
        <f aca="false">IF(OR(AJ$4="",$C73="",$D73=""),"",IF(AND($C73&lt;EDATE(AJ$4,1),$D73&gt;=AJ$4),1,""))</f>
        <v/>
      </c>
      <c r="AK73" s="64" t="str">
        <f aca="false">IF(OR(AK$4="",$C73="",$D73=""),"",IF(AND($C73&lt;EDATE(AK$4,1),$D73&gt;=AK$4),1,""))</f>
        <v/>
      </c>
      <c r="AL73" s="64" t="str">
        <f aca="false">IF(OR(AL$4="",$C73="",$D73=""),"",IF(AND($C73&lt;EDATE(AL$4,1),$D73&gt;=AL$4),1,""))</f>
        <v/>
      </c>
      <c r="AM73" s="64" t="str">
        <f aca="false">IF(OR(AM$4="",$C73="",$D73=""),"",IF(AND($C73&lt;EDATE(AM$4,1),$D73&gt;=AM$4),1,""))</f>
        <v/>
      </c>
      <c r="AN73" s="64" t="str">
        <f aca="false">IF(OR(AN$4="",$C73="",$D73=""),"",IF(AND($C73&lt;EDATE(AN$4,1),$D73&gt;=AN$4),1,""))</f>
        <v/>
      </c>
      <c r="AO73" s="64" t="str">
        <f aca="false">IF(OR(AO$4="",$C73="",$D73=""),"",IF(AND($C73&lt;EDATE(AO$4,1),$D73&gt;=AO$4),1,""))</f>
        <v/>
      </c>
      <c r="AP73" s="64" t="str">
        <f aca="false">IF(OR(AP$4="",$C73="",$D73=""),"",IF(AND($C73&lt;EDATE(AP$4,1),$D73&gt;=AP$4),1,""))</f>
        <v/>
      </c>
      <c r="AQ73" s="64" t="str">
        <f aca="false">IF(OR(AQ$4="",$C73="",$D73=""),"",IF(AND($C73&lt;EDATE(AQ$4,1),$D73&gt;=AQ$4),1,""))</f>
        <v/>
      </c>
      <c r="AR73" s="64" t="str">
        <f aca="false">IF(OR(AR$4="",$C73="",$D73=""),"",IF(AND($C73&lt;EDATE(AR$4,1),$D73&gt;=AR$4),1,""))</f>
        <v/>
      </c>
      <c r="AS73" s="64" t="str">
        <f aca="false">IF(OR(AS$4="",$C73="",$D73=""),"",IF(AND($C73&lt;EDATE(AS$4,1),$D73&gt;=AS$4),1,""))</f>
        <v/>
      </c>
      <c r="AT73" s="64" t="str">
        <f aca="false">IF(OR(AT$4="",$C73="",$D73=""),"",IF(AND($C73&lt;EDATE(AT$4,1),$D73&gt;=AT$4),1,""))</f>
        <v/>
      </c>
      <c r="AU73" s="64" t="str">
        <f aca="false">IF(OR(AU$4="",$C73="",$D73=""),"",IF(AND($C73&lt;EDATE(AU$4,1),$D73&gt;=AU$4),1,""))</f>
        <v/>
      </c>
      <c r="AV73" s="64" t="str">
        <f aca="false">IF(OR(AV$4="",$C73="",$D73=""),"",IF(AND($C73&lt;EDATE(AV$4,1),$D73&gt;=AV$4),1,""))</f>
        <v/>
      </c>
      <c r="AW73" s="64" t="str">
        <f aca="false">IF(OR(AW$4="",$C73="",$D73=""),"",IF(AND($C73&lt;EDATE(AW$4,1),$D73&gt;=AW$4),1,""))</f>
        <v/>
      </c>
      <c r="AX73" s="64" t="str">
        <f aca="false">IF(OR(AX$4="",$C73="",$D73=""),"",IF(AND($C73&lt;EDATE(AX$4,1),$D73&gt;=AX$4),1,""))</f>
        <v/>
      </c>
      <c r="AY73" s="64" t="str">
        <f aca="false">IF(OR(AY$4="",$C73="",$D73=""),"",IF(AND($C73&lt;EDATE(AY$4,1),$D73&gt;=AY$4),1,""))</f>
        <v/>
      </c>
      <c r="AZ73" s="64" t="str">
        <f aca="false">IF(OR(AZ$4="",$C73="",$D73=""),"",IF(AND($C73&lt;EDATE(AZ$4,1),$D73&gt;=AZ$4),1,""))</f>
        <v/>
      </c>
      <c r="BA73" s="64" t="str">
        <f aca="false">IF(OR(BA$4="",$C73="",$D73=""),"",IF(AND($C73&lt;EDATE(BA$4,1),$D73&gt;=BA$4),1,""))</f>
        <v/>
      </c>
      <c r="BB73" s="64" t="str">
        <f aca="false">IF(OR(BB$4="",$C73="",$D73=""),"",IF(AND($C73&lt;EDATE(BB$4,1),$D73&gt;=BB$4),1,""))</f>
        <v/>
      </c>
      <c r="BC73" s="64" t="str">
        <f aca="false">IF(OR(BC$4="",$C73="",$D73=""),"",IF(AND($C73&lt;EDATE(BC$4,1),$D73&gt;=BC$4),1,""))</f>
        <v/>
      </c>
      <c r="BD73" s="64" t="str">
        <f aca="false">IF(OR(BD$4="",$C73="",$D73=""),"",IF(AND($C73&lt;EDATE(BD$4,1),$D73&gt;=BD$4),1,""))</f>
        <v/>
      </c>
      <c r="BE73" s="64" t="str">
        <f aca="false">IF(OR(BE$4="",$C73="",$D73=""),"",IF(AND($C73&lt;EDATE(BE$4,1),$D73&gt;=BE$4),1,""))</f>
        <v/>
      </c>
      <c r="BF73" s="64" t="str">
        <f aca="false">IF(OR(BF$4="",$C73="",$D73=""),"",IF(AND($C73&lt;EDATE(BF$4,1),$D73&gt;=BF$4),1,""))</f>
        <v/>
      </c>
      <c r="BG73" s="64" t="str">
        <f aca="false">IF(OR(BG$4="",$C73="",$D73=""),"",IF(AND($C73&lt;EDATE(BG$4,1),$D73&gt;=BG$4),1,""))</f>
        <v/>
      </c>
      <c r="BH73" s="64" t="str">
        <f aca="false">IF(OR(BH$4="",$C73="",$D73=""),"",IF(AND($C73&lt;EDATE(BH$4,1),$D73&gt;=BH$4),1,""))</f>
        <v/>
      </c>
      <c r="BI73" s="64" t="str">
        <f aca="false">IF(OR(BI$4="",$C73="",$D73=""),"",IF(AND($C73&lt;EDATE(BI$4,1),$D73&gt;=BI$4),1,""))</f>
        <v/>
      </c>
      <c r="BJ73" s="64" t="str">
        <f aca="false">IF(OR(BJ$4="",$C73="",$D73=""),"",IF(AND($C73&lt;EDATE(BJ$4,1),$D73&gt;=BJ$4),1,""))</f>
        <v/>
      </c>
      <c r="BK73" s="64" t="str">
        <f aca="false">IF(OR(BK$4="",$C73="",$D73=""),"",IF(AND($C73&lt;EDATE(BK$4,1),$D73&gt;=BK$4),1,""))</f>
        <v/>
      </c>
      <c r="BL73" s="64" t="str">
        <f aca="false">IF(OR(BL$4="",$C73="",$D73=""),"",IF(AND($C73&lt;EDATE(BL$4,1),$D73&gt;=BL$4),1,""))</f>
        <v/>
      </c>
      <c r="BM73" s="64" t="str">
        <f aca="false">IF(OR(BM$4="",$C73="",$D73=""),"",IF(AND($C73&lt;EDATE(BM$4,1),$D73&gt;=BM$4),1,""))</f>
        <v/>
      </c>
      <c r="BN73" s="64" t="str">
        <f aca="false">IF(OR(BN$4="",$C73="",$D73=""),"",IF(AND($C73&lt;EDATE(BN$4,1),$D73&gt;=BN$4),1,""))</f>
        <v/>
      </c>
      <c r="BO73" s="64" t="str">
        <f aca="false">IF(OR(BO$4="",$C73="",$D73=""),"",IF(AND($C73&lt;EDATE(BO$4,1),$D73&gt;=BO$4),1,""))</f>
        <v/>
      </c>
      <c r="BP73" s="64" t="str">
        <f aca="false">IF(OR(BP$4="",$C73="",$D73=""),"",IF(AND($C73&lt;EDATE(BP$4,1),$D73&gt;=BP$4),1,""))</f>
        <v/>
      </c>
      <c r="BQ73" s="64" t="str">
        <f aca="false">IF(OR(BQ$4="",$C73="",$D73=""),"",IF(AND($C73&lt;EDATE(BQ$4,1),$D73&gt;=BQ$4),1,""))</f>
        <v/>
      </c>
      <c r="BR73" s="64" t="str">
        <f aca="false">IF(OR(BR$4="",$C73="",$D73=""),"",IF(AND($C73&lt;EDATE(BR$4,1),$D73&gt;=BR$4),1,""))</f>
        <v/>
      </c>
      <c r="BS73" s="64" t="str">
        <f aca="false">IF(OR(BS$4="",$C73="",$D73=""),"",IF(AND($C73&lt;EDATE(BS$4,1),$D73&gt;=BS$4),1,""))</f>
        <v/>
      </c>
      <c r="BT73" s="64" t="str">
        <f aca="false">IF(OR(BT$4="",$C73="",$D73=""),"",IF(AND($C73&lt;EDATE(BT$4,1),$D73&gt;=BT$4),1,""))</f>
        <v/>
      </c>
      <c r="BU73" s="64" t="str">
        <f aca="false">IF(OR(BU$4="",$C73="",$D73=""),"",IF(AND($C73&lt;EDATE(BU$4,1),$D73&gt;=BU$4),1,""))</f>
        <v/>
      </c>
      <c r="BV73" s="64" t="str">
        <f aca="false">IF(OR(BV$4="",$C73="",$D73=""),"",IF(AND($C73&lt;EDATE(BV$4,1),$D73&gt;=BV$4),1,""))</f>
        <v/>
      </c>
      <c r="BW73" s="64" t="str">
        <f aca="false">IF(OR(BW$4="",$C73="",$D73=""),"",IF(AND($C73&lt;EDATE(BW$4,1),$D73&gt;=BW$4),1,""))</f>
        <v/>
      </c>
      <c r="BX73" s="64" t="str">
        <f aca="false">IF(OR(BX$4="",$C73="",$D73=""),"",IF(AND($C73&lt;EDATE(BX$4,1),$D73&gt;=BX$4),1,""))</f>
        <v/>
      </c>
      <c r="BY73" s="64" t="str">
        <f aca="false">IF(OR(BY$4="",$C73="",$D73=""),"",IF(AND($C73&lt;EDATE(BY$4,1),$D73&gt;=BY$4),1,""))</f>
        <v/>
      </c>
    </row>
    <row r="74" customFormat="false" ht="15" hidden="false" customHeight="false" outlineLevel="0" collapsed="false">
      <c r="A74" s="53" t="str">
        <f aca="false">IF(BOE!$A43="","",BOE!$A43)</f>
        <v/>
      </c>
      <c r="B74" s="53" t="str">
        <f aca="false">IF(BOE!$A43="","",BOE!$C43)</f>
        <v/>
      </c>
      <c r="C74" s="54" t="str">
        <f aca="false">IF(OR(BOE!$A43="",BOE!$E43&lt;&gt;"Y"),"",BOE!$O43)</f>
        <v/>
      </c>
      <c r="D74" s="54" t="str">
        <f aca="false">IF(OR(BOE!$A43="",BOE!$E43&lt;&gt;"Y"),"",BOE!$P43)</f>
        <v/>
      </c>
      <c r="E74" s="55" t="str">
        <f aca="false">IF(OR(BOE!$A43="",BOE!$E43&lt;&gt;"Y"),"",IF(Inputs!$B$7="P90",BOE!$T43,BOE!$R43))</f>
        <v/>
      </c>
      <c r="F74" s="64" t="str">
        <f aca="false">IF(OR(F$4="",$C74="",$D74=""),"",IF(AND($C74&lt;EDATE(F$4,1),$D74&gt;=F$4),1,""))</f>
        <v/>
      </c>
      <c r="G74" s="64" t="str">
        <f aca="false">IF(OR(G$4="",$C74="",$D74=""),"",IF(AND($C74&lt;EDATE(G$4,1),$D74&gt;=G$4),1,""))</f>
        <v/>
      </c>
      <c r="H74" s="64" t="str">
        <f aca="false">IF(OR(H$4="",$C74="",$D74=""),"",IF(AND($C74&lt;EDATE(H$4,1),$D74&gt;=H$4),1,""))</f>
        <v/>
      </c>
      <c r="I74" s="64" t="str">
        <f aca="false">IF(OR(I$4="",$C74="",$D74=""),"",IF(AND($C74&lt;EDATE(I$4,1),$D74&gt;=I$4),1,""))</f>
        <v/>
      </c>
      <c r="J74" s="64" t="str">
        <f aca="false">IF(OR(J$4="",$C74="",$D74=""),"",IF(AND($C74&lt;EDATE(J$4,1),$D74&gt;=J$4),1,""))</f>
        <v/>
      </c>
      <c r="K74" s="64" t="str">
        <f aca="false">IF(OR(K$4="",$C74="",$D74=""),"",IF(AND($C74&lt;EDATE(K$4,1),$D74&gt;=K$4),1,""))</f>
        <v/>
      </c>
      <c r="L74" s="64" t="str">
        <f aca="false">IF(OR(L$4="",$C74="",$D74=""),"",IF(AND($C74&lt;EDATE(L$4,1),$D74&gt;=L$4),1,""))</f>
        <v/>
      </c>
      <c r="M74" s="64" t="str">
        <f aca="false">IF(OR(M$4="",$C74="",$D74=""),"",IF(AND($C74&lt;EDATE(M$4,1),$D74&gt;=M$4),1,""))</f>
        <v/>
      </c>
      <c r="N74" s="64" t="str">
        <f aca="false">IF(OR(N$4="",$C74="",$D74=""),"",IF(AND($C74&lt;EDATE(N$4,1),$D74&gt;=N$4),1,""))</f>
        <v/>
      </c>
      <c r="O74" s="64" t="str">
        <f aca="false">IF(OR(O$4="",$C74="",$D74=""),"",IF(AND($C74&lt;EDATE(O$4,1),$D74&gt;=O$4),1,""))</f>
        <v/>
      </c>
      <c r="P74" s="64" t="str">
        <f aca="false">IF(OR(P$4="",$C74="",$D74=""),"",IF(AND($C74&lt;EDATE(P$4,1),$D74&gt;=P$4),1,""))</f>
        <v/>
      </c>
      <c r="Q74" s="64" t="str">
        <f aca="false">IF(OR(Q$4="",$C74="",$D74=""),"",IF(AND($C74&lt;EDATE(Q$4,1),$D74&gt;=Q$4),1,""))</f>
        <v/>
      </c>
      <c r="R74" s="64" t="str">
        <f aca="false">IF(OR(R$4="",$C74="",$D74=""),"",IF(AND($C74&lt;EDATE(R$4,1),$D74&gt;=R$4),1,""))</f>
        <v/>
      </c>
      <c r="S74" s="64" t="str">
        <f aca="false">IF(OR(S$4="",$C74="",$D74=""),"",IF(AND($C74&lt;EDATE(S$4,1),$D74&gt;=S$4),1,""))</f>
        <v/>
      </c>
      <c r="T74" s="64" t="str">
        <f aca="false">IF(OR(T$4="",$C74="",$D74=""),"",IF(AND($C74&lt;EDATE(T$4,1),$D74&gt;=T$4),1,""))</f>
        <v/>
      </c>
      <c r="U74" s="64" t="str">
        <f aca="false">IF(OR(U$4="",$C74="",$D74=""),"",IF(AND($C74&lt;EDATE(U$4,1),$D74&gt;=U$4),1,""))</f>
        <v/>
      </c>
      <c r="V74" s="64" t="str">
        <f aca="false">IF(OR(V$4="",$C74="",$D74=""),"",IF(AND($C74&lt;EDATE(V$4,1),$D74&gt;=V$4),1,""))</f>
        <v/>
      </c>
      <c r="W74" s="64" t="str">
        <f aca="false">IF(OR(W$4="",$C74="",$D74=""),"",IF(AND($C74&lt;EDATE(W$4,1),$D74&gt;=W$4),1,""))</f>
        <v/>
      </c>
      <c r="X74" s="64" t="str">
        <f aca="false">IF(OR(X$4="",$C74="",$D74=""),"",IF(AND($C74&lt;EDATE(X$4,1),$D74&gt;=X$4),1,""))</f>
        <v/>
      </c>
      <c r="Y74" s="64" t="str">
        <f aca="false">IF(OR(Y$4="",$C74="",$D74=""),"",IF(AND($C74&lt;EDATE(Y$4,1),$D74&gt;=Y$4),1,""))</f>
        <v/>
      </c>
      <c r="Z74" s="64" t="str">
        <f aca="false">IF(OR(Z$4="",$C74="",$D74=""),"",IF(AND($C74&lt;EDATE(Z$4,1),$D74&gt;=Z$4),1,""))</f>
        <v/>
      </c>
      <c r="AA74" s="64" t="str">
        <f aca="false">IF(OR(AA$4="",$C74="",$D74=""),"",IF(AND($C74&lt;EDATE(AA$4,1),$D74&gt;=AA$4),1,""))</f>
        <v/>
      </c>
      <c r="AB74" s="64" t="str">
        <f aca="false">IF(OR(AB$4="",$C74="",$D74=""),"",IF(AND($C74&lt;EDATE(AB$4,1),$D74&gt;=AB$4),1,""))</f>
        <v/>
      </c>
      <c r="AC74" s="64" t="str">
        <f aca="false">IF(OR(AC$4="",$C74="",$D74=""),"",IF(AND($C74&lt;EDATE(AC$4,1),$D74&gt;=AC$4),1,""))</f>
        <v/>
      </c>
      <c r="AD74" s="64" t="str">
        <f aca="false">IF(OR(AD$4="",$C74="",$D74=""),"",IF(AND($C74&lt;EDATE(AD$4,1),$D74&gt;=AD$4),1,""))</f>
        <v/>
      </c>
      <c r="AE74" s="64" t="str">
        <f aca="false">IF(OR(AE$4="",$C74="",$D74=""),"",IF(AND($C74&lt;EDATE(AE$4,1),$D74&gt;=AE$4),1,""))</f>
        <v/>
      </c>
      <c r="AF74" s="64" t="str">
        <f aca="false">IF(OR(AF$4="",$C74="",$D74=""),"",IF(AND($C74&lt;EDATE(AF$4,1),$D74&gt;=AF$4),1,""))</f>
        <v/>
      </c>
      <c r="AG74" s="64" t="str">
        <f aca="false">IF(OR(AG$4="",$C74="",$D74=""),"",IF(AND($C74&lt;EDATE(AG$4,1),$D74&gt;=AG$4),1,""))</f>
        <v/>
      </c>
      <c r="AH74" s="64" t="str">
        <f aca="false">IF(OR(AH$4="",$C74="",$D74=""),"",IF(AND($C74&lt;EDATE(AH$4,1),$D74&gt;=AH$4),1,""))</f>
        <v/>
      </c>
      <c r="AI74" s="64" t="str">
        <f aca="false">IF(OR(AI$4="",$C74="",$D74=""),"",IF(AND($C74&lt;EDATE(AI$4,1),$D74&gt;=AI$4),1,""))</f>
        <v/>
      </c>
      <c r="AJ74" s="64" t="str">
        <f aca="false">IF(OR(AJ$4="",$C74="",$D74=""),"",IF(AND($C74&lt;EDATE(AJ$4,1),$D74&gt;=AJ$4),1,""))</f>
        <v/>
      </c>
      <c r="AK74" s="64" t="str">
        <f aca="false">IF(OR(AK$4="",$C74="",$D74=""),"",IF(AND($C74&lt;EDATE(AK$4,1),$D74&gt;=AK$4),1,""))</f>
        <v/>
      </c>
      <c r="AL74" s="64" t="str">
        <f aca="false">IF(OR(AL$4="",$C74="",$D74=""),"",IF(AND($C74&lt;EDATE(AL$4,1),$D74&gt;=AL$4),1,""))</f>
        <v/>
      </c>
      <c r="AM74" s="64" t="str">
        <f aca="false">IF(OR(AM$4="",$C74="",$D74=""),"",IF(AND($C74&lt;EDATE(AM$4,1),$D74&gt;=AM$4),1,""))</f>
        <v/>
      </c>
      <c r="AN74" s="64" t="str">
        <f aca="false">IF(OR(AN$4="",$C74="",$D74=""),"",IF(AND($C74&lt;EDATE(AN$4,1),$D74&gt;=AN$4),1,""))</f>
        <v/>
      </c>
      <c r="AO74" s="64" t="str">
        <f aca="false">IF(OR(AO$4="",$C74="",$D74=""),"",IF(AND($C74&lt;EDATE(AO$4,1),$D74&gt;=AO$4),1,""))</f>
        <v/>
      </c>
      <c r="AP74" s="64" t="str">
        <f aca="false">IF(OR(AP$4="",$C74="",$D74=""),"",IF(AND($C74&lt;EDATE(AP$4,1),$D74&gt;=AP$4),1,""))</f>
        <v/>
      </c>
      <c r="AQ74" s="64" t="str">
        <f aca="false">IF(OR(AQ$4="",$C74="",$D74=""),"",IF(AND($C74&lt;EDATE(AQ$4,1),$D74&gt;=AQ$4),1,""))</f>
        <v/>
      </c>
      <c r="AR74" s="64" t="str">
        <f aca="false">IF(OR(AR$4="",$C74="",$D74=""),"",IF(AND($C74&lt;EDATE(AR$4,1),$D74&gt;=AR$4),1,""))</f>
        <v/>
      </c>
      <c r="AS74" s="64" t="str">
        <f aca="false">IF(OR(AS$4="",$C74="",$D74=""),"",IF(AND($C74&lt;EDATE(AS$4,1),$D74&gt;=AS$4),1,""))</f>
        <v/>
      </c>
      <c r="AT74" s="64" t="str">
        <f aca="false">IF(OR(AT$4="",$C74="",$D74=""),"",IF(AND($C74&lt;EDATE(AT$4,1),$D74&gt;=AT$4),1,""))</f>
        <v/>
      </c>
      <c r="AU74" s="64" t="str">
        <f aca="false">IF(OR(AU$4="",$C74="",$D74=""),"",IF(AND($C74&lt;EDATE(AU$4,1),$D74&gt;=AU$4),1,""))</f>
        <v/>
      </c>
      <c r="AV74" s="64" t="str">
        <f aca="false">IF(OR(AV$4="",$C74="",$D74=""),"",IF(AND($C74&lt;EDATE(AV$4,1),$D74&gt;=AV$4),1,""))</f>
        <v/>
      </c>
      <c r="AW74" s="64" t="str">
        <f aca="false">IF(OR(AW$4="",$C74="",$D74=""),"",IF(AND($C74&lt;EDATE(AW$4,1),$D74&gt;=AW$4),1,""))</f>
        <v/>
      </c>
      <c r="AX74" s="64" t="str">
        <f aca="false">IF(OR(AX$4="",$C74="",$D74=""),"",IF(AND($C74&lt;EDATE(AX$4,1),$D74&gt;=AX$4),1,""))</f>
        <v/>
      </c>
      <c r="AY74" s="64" t="str">
        <f aca="false">IF(OR(AY$4="",$C74="",$D74=""),"",IF(AND($C74&lt;EDATE(AY$4,1),$D74&gt;=AY$4),1,""))</f>
        <v/>
      </c>
      <c r="AZ74" s="64" t="str">
        <f aca="false">IF(OR(AZ$4="",$C74="",$D74=""),"",IF(AND($C74&lt;EDATE(AZ$4,1),$D74&gt;=AZ$4),1,""))</f>
        <v/>
      </c>
      <c r="BA74" s="64" t="str">
        <f aca="false">IF(OR(BA$4="",$C74="",$D74=""),"",IF(AND($C74&lt;EDATE(BA$4,1),$D74&gt;=BA$4),1,""))</f>
        <v/>
      </c>
      <c r="BB74" s="64" t="str">
        <f aca="false">IF(OR(BB$4="",$C74="",$D74=""),"",IF(AND($C74&lt;EDATE(BB$4,1),$D74&gt;=BB$4),1,""))</f>
        <v/>
      </c>
      <c r="BC74" s="64" t="str">
        <f aca="false">IF(OR(BC$4="",$C74="",$D74=""),"",IF(AND($C74&lt;EDATE(BC$4,1),$D74&gt;=BC$4),1,""))</f>
        <v/>
      </c>
      <c r="BD74" s="64" t="str">
        <f aca="false">IF(OR(BD$4="",$C74="",$D74=""),"",IF(AND($C74&lt;EDATE(BD$4,1),$D74&gt;=BD$4),1,""))</f>
        <v/>
      </c>
      <c r="BE74" s="64" t="str">
        <f aca="false">IF(OR(BE$4="",$C74="",$D74=""),"",IF(AND($C74&lt;EDATE(BE$4,1),$D74&gt;=BE$4),1,""))</f>
        <v/>
      </c>
      <c r="BF74" s="64" t="str">
        <f aca="false">IF(OR(BF$4="",$C74="",$D74=""),"",IF(AND($C74&lt;EDATE(BF$4,1),$D74&gt;=BF$4),1,""))</f>
        <v/>
      </c>
      <c r="BG74" s="64" t="str">
        <f aca="false">IF(OR(BG$4="",$C74="",$D74=""),"",IF(AND($C74&lt;EDATE(BG$4,1),$D74&gt;=BG$4),1,""))</f>
        <v/>
      </c>
      <c r="BH74" s="64" t="str">
        <f aca="false">IF(OR(BH$4="",$C74="",$D74=""),"",IF(AND($C74&lt;EDATE(BH$4,1),$D74&gt;=BH$4),1,""))</f>
        <v/>
      </c>
      <c r="BI74" s="64" t="str">
        <f aca="false">IF(OR(BI$4="",$C74="",$D74=""),"",IF(AND($C74&lt;EDATE(BI$4,1),$D74&gt;=BI$4),1,""))</f>
        <v/>
      </c>
      <c r="BJ74" s="64" t="str">
        <f aca="false">IF(OR(BJ$4="",$C74="",$D74=""),"",IF(AND($C74&lt;EDATE(BJ$4,1),$D74&gt;=BJ$4),1,""))</f>
        <v/>
      </c>
      <c r="BK74" s="64" t="str">
        <f aca="false">IF(OR(BK$4="",$C74="",$D74=""),"",IF(AND($C74&lt;EDATE(BK$4,1),$D74&gt;=BK$4),1,""))</f>
        <v/>
      </c>
      <c r="BL74" s="64" t="str">
        <f aca="false">IF(OR(BL$4="",$C74="",$D74=""),"",IF(AND($C74&lt;EDATE(BL$4,1),$D74&gt;=BL$4),1,""))</f>
        <v/>
      </c>
      <c r="BM74" s="64" t="str">
        <f aca="false">IF(OR(BM$4="",$C74="",$D74=""),"",IF(AND($C74&lt;EDATE(BM$4,1),$D74&gt;=BM$4),1,""))</f>
        <v/>
      </c>
      <c r="BN74" s="64" t="str">
        <f aca="false">IF(OR(BN$4="",$C74="",$D74=""),"",IF(AND($C74&lt;EDATE(BN$4,1),$D74&gt;=BN$4),1,""))</f>
        <v/>
      </c>
      <c r="BO74" s="64" t="str">
        <f aca="false">IF(OR(BO$4="",$C74="",$D74=""),"",IF(AND($C74&lt;EDATE(BO$4,1),$D74&gt;=BO$4),1,""))</f>
        <v/>
      </c>
      <c r="BP74" s="64" t="str">
        <f aca="false">IF(OR(BP$4="",$C74="",$D74=""),"",IF(AND($C74&lt;EDATE(BP$4,1),$D74&gt;=BP$4),1,""))</f>
        <v/>
      </c>
      <c r="BQ74" s="64" t="str">
        <f aca="false">IF(OR(BQ$4="",$C74="",$D74=""),"",IF(AND($C74&lt;EDATE(BQ$4,1),$D74&gt;=BQ$4),1,""))</f>
        <v/>
      </c>
      <c r="BR74" s="64" t="str">
        <f aca="false">IF(OR(BR$4="",$C74="",$D74=""),"",IF(AND($C74&lt;EDATE(BR$4,1),$D74&gt;=BR$4),1,""))</f>
        <v/>
      </c>
      <c r="BS74" s="64" t="str">
        <f aca="false">IF(OR(BS$4="",$C74="",$D74=""),"",IF(AND($C74&lt;EDATE(BS$4,1),$D74&gt;=BS$4),1,""))</f>
        <v/>
      </c>
      <c r="BT74" s="64" t="str">
        <f aca="false">IF(OR(BT$4="",$C74="",$D74=""),"",IF(AND($C74&lt;EDATE(BT$4,1),$D74&gt;=BT$4),1,""))</f>
        <v/>
      </c>
      <c r="BU74" s="64" t="str">
        <f aca="false">IF(OR(BU$4="",$C74="",$D74=""),"",IF(AND($C74&lt;EDATE(BU$4,1),$D74&gt;=BU$4),1,""))</f>
        <v/>
      </c>
      <c r="BV74" s="64" t="str">
        <f aca="false">IF(OR(BV$4="",$C74="",$D74=""),"",IF(AND($C74&lt;EDATE(BV$4,1),$D74&gt;=BV$4),1,""))</f>
        <v/>
      </c>
      <c r="BW74" s="64" t="str">
        <f aca="false">IF(OR(BW$4="",$C74="",$D74=""),"",IF(AND($C74&lt;EDATE(BW$4,1),$D74&gt;=BW$4),1,""))</f>
        <v/>
      </c>
      <c r="BX74" s="64" t="str">
        <f aca="false">IF(OR(BX$4="",$C74="",$D74=""),"",IF(AND($C74&lt;EDATE(BX$4,1),$D74&gt;=BX$4),1,""))</f>
        <v/>
      </c>
      <c r="BY74" s="64" t="str">
        <f aca="false">IF(OR(BY$4="",$C74="",$D74=""),"",IF(AND($C74&lt;EDATE(BY$4,1),$D74&gt;=BY$4),1,""))</f>
        <v/>
      </c>
    </row>
    <row r="75" customFormat="false" ht="15" hidden="false" customHeight="false" outlineLevel="0" collapsed="false">
      <c r="A75" s="53" t="str">
        <f aca="false">IF(BOE!$A44="","",BOE!$A44)</f>
        <v/>
      </c>
      <c r="B75" s="53" t="str">
        <f aca="false">IF(BOE!$A44="","",BOE!$C44)</f>
        <v/>
      </c>
      <c r="C75" s="54" t="str">
        <f aca="false">IF(OR(BOE!$A44="",BOE!$E44&lt;&gt;"Y"),"",BOE!$O44)</f>
        <v/>
      </c>
      <c r="D75" s="54" t="str">
        <f aca="false">IF(OR(BOE!$A44="",BOE!$E44&lt;&gt;"Y"),"",BOE!$P44)</f>
        <v/>
      </c>
      <c r="E75" s="55" t="str">
        <f aca="false">IF(OR(BOE!$A44="",BOE!$E44&lt;&gt;"Y"),"",IF(Inputs!$B$7="P90",BOE!$T44,BOE!$R44))</f>
        <v/>
      </c>
      <c r="F75" s="64" t="str">
        <f aca="false">IF(OR(F$4="",$C75="",$D75=""),"",IF(AND($C75&lt;EDATE(F$4,1),$D75&gt;=F$4),1,""))</f>
        <v/>
      </c>
      <c r="G75" s="64" t="str">
        <f aca="false">IF(OR(G$4="",$C75="",$D75=""),"",IF(AND($C75&lt;EDATE(G$4,1),$D75&gt;=G$4),1,""))</f>
        <v/>
      </c>
      <c r="H75" s="64" t="str">
        <f aca="false">IF(OR(H$4="",$C75="",$D75=""),"",IF(AND($C75&lt;EDATE(H$4,1),$D75&gt;=H$4),1,""))</f>
        <v/>
      </c>
      <c r="I75" s="64" t="str">
        <f aca="false">IF(OR(I$4="",$C75="",$D75=""),"",IF(AND($C75&lt;EDATE(I$4,1),$D75&gt;=I$4),1,""))</f>
        <v/>
      </c>
      <c r="J75" s="64" t="str">
        <f aca="false">IF(OR(J$4="",$C75="",$D75=""),"",IF(AND($C75&lt;EDATE(J$4,1),$D75&gt;=J$4),1,""))</f>
        <v/>
      </c>
      <c r="K75" s="64" t="str">
        <f aca="false">IF(OR(K$4="",$C75="",$D75=""),"",IF(AND($C75&lt;EDATE(K$4,1),$D75&gt;=K$4),1,""))</f>
        <v/>
      </c>
      <c r="L75" s="64" t="str">
        <f aca="false">IF(OR(L$4="",$C75="",$D75=""),"",IF(AND($C75&lt;EDATE(L$4,1),$D75&gt;=L$4),1,""))</f>
        <v/>
      </c>
      <c r="M75" s="64" t="str">
        <f aca="false">IF(OR(M$4="",$C75="",$D75=""),"",IF(AND($C75&lt;EDATE(M$4,1),$D75&gt;=M$4),1,""))</f>
        <v/>
      </c>
      <c r="N75" s="64" t="str">
        <f aca="false">IF(OR(N$4="",$C75="",$D75=""),"",IF(AND($C75&lt;EDATE(N$4,1),$D75&gt;=N$4),1,""))</f>
        <v/>
      </c>
      <c r="O75" s="64" t="str">
        <f aca="false">IF(OR(O$4="",$C75="",$D75=""),"",IF(AND($C75&lt;EDATE(O$4,1),$D75&gt;=O$4),1,""))</f>
        <v/>
      </c>
      <c r="P75" s="64" t="str">
        <f aca="false">IF(OR(P$4="",$C75="",$D75=""),"",IF(AND($C75&lt;EDATE(P$4,1),$D75&gt;=P$4),1,""))</f>
        <v/>
      </c>
      <c r="Q75" s="64" t="str">
        <f aca="false">IF(OR(Q$4="",$C75="",$D75=""),"",IF(AND($C75&lt;EDATE(Q$4,1),$D75&gt;=Q$4),1,""))</f>
        <v/>
      </c>
      <c r="R75" s="64" t="str">
        <f aca="false">IF(OR(R$4="",$C75="",$D75=""),"",IF(AND($C75&lt;EDATE(R$4,1),$D75&gt;=R$4),1,""))</f>
        <v/>
      </c>
      <c r="S75" s="64" t="str">
        <f aca="false">IF(OR(S$4="",$C75="",$D75=""),"",IF(AND($C75&lt;EDATE(S$4,1),$D75&gt;=S$4),1,""))</f>
        <v/>
      </c>
      <c r="T75" s="64" t="str">
        <f aca="false">IF(OR(T$4="",$C75="",$D75=""),"",IF(AND($C75&lt;EDATE(T$4,1),$D75&gt;=T$4),1,""))</f>
        <v/>
      </c>
      <c r="U75" s="64" t="str">
        <f aca="false">IF(OR(U$4="",$C75="",$D75=""),"",IF(AND($C75&lt;EDATE(U$4,1),$D75&gt;=U$4),1,""))</f>
        <v/>
      </c>
      <c r="V75" s="64" t="str">
        <f aca="false">IF(OR(V$4="",$C75="",$D75=""),"",IF(AND($C75&lt;EDATE(V$4,1),$D75&gt;=V$4),1,""))</f>
        <v/>
      </c>
      <c r="W75" s="64" t="str">
        <f aca="false">IF(OR(W$4="",$C75="",$D75=""),"",IF(AND($C75&lt;EDATE(W$4,1),$D75&gt;=W$4),1,""))</f>
        <v/>
      </c>
      <c r="X75" s="64" t="str">
        <f aca="false">IF(OR(X$4="",$C75="",$D75=""),"",IF(AND($C75&lt;EDATE(X$4,1),$D75&gt;=X$4),1,""))</f>
        <v/>
      </c>
      <c r="Y75" s="64" t="str">
        <f aca="false">IF(OR(Y$4="",$C75="",$D75=""),"",IF(AND($C75&lt;EDATE(Y$4,1),$D75&gt;=Y$4),1,""))</f>
        <v/>
      </c>
      <c r="Z75" s="64" t="str">
        <f aca="false">IF(OR(Z$4="",$C75="",$D75=""),"",IF(AND($C75&lt;EDATE(Z$4,1),$D75&gt;=Z$4),1,""))</f>
        <v/>
      </c>
      <c r="AA75" s="64" t="str">
        <f aca="false">IF(OR(AA$4="",$C75="",$D75=""),"",IF(AND($C75&lt;EDATE(AA$4,1),$D75&gt;=AA$4),1,""))</f>
        <v/>
      </c>
      <c r="AB75" s="64" t="str">
        <f aca="false">IF(OR(AB$4="",$C75="",$D75=""),"",IF(AND($C75&lt;EDATE(AB$4,1),$D75&gt;=AB$4),1,""))</f>
        <v/>
      </c>
      <c r="AC75" s="64" t="str">
        <f aca="false">IF(OR(AC$4="",$C75="",$D75=""),"",IF(AND($C75&lt;EDATE(AC$4,1),$D75&gt;=AC$4),1,""))</f>
        <v/>
      </c>
      <c r="AD75" s="64" t="str">
        <f aca="false">IF(OR(AD$4="",$C75="",$D75=""),"",IF(AND($C75&lt;EDATE(AD$4,1),$D75&gt;=AD$4),1,""))</f>
        <v/>
      </c>
      <c r="AE75" s="64" t="str">
        <f aca="false">IF(OR(AE$4="",$C75="",$D75=""),"",IF(AND($C75&lt;EDATE(AE$4,1),$D75&gt;=AE$4),1,""))</f>
        <v/>
      </c>
      <c r="AF75" s="64" t="str">
        <f aca="false">IF(OR(AF$4="",$C75="",$D75=""),"",IF(AND($C75&lt;EDATE(AF$4,1),$D75&gt;=AF$4),1,""))</f>
        <v/>
      </c>
      <c r="AG75" s="64" t="str">
        <f aca="false">IF(OR(AG$4="",$C75="",$D75=""),"",IF(AND($C75&lt;EDATE(AG$4,1),$D75&gt;=AG$4),1,""))</f>
        <v/>
      </c>
      <c r="AH75" s="64" t="str">
        <f aca="false">IF(OR(AH$4="",$C75="",$D75=""),"",IF(AND($C75&lt;EDATE(AH$4,1),$D75&gt;=AH$4),1,""))</f>
        <v/>
      </c>
      <c r="AI75" s="64" t="str">
        <f aca="false">IF(OR(AI$4="",$C75="",$D75=""),"",IF(AND($C75&lt;EDATE(AI$4,1),$D75&gt;=AI$4),1,""))</f>
        <v/>
      </c>
      <c r="AJ75" s="64" t="str">
        <f aca="false">IF(OR(AJ$4="",$C75="",$D75=""),"",IF(AND($C75&lt;EDATE(AJ$4,1),$D75&gt;=AJ$4),1,""))</f>
        <v/>
      </c>
      <c r="AK75" s="64" t="str">
        <f aca="false">IF(OR(AK$4="",$C75="",$D75=""),"",IF(AND($C75&lt;EDATE(AK$4,1),$D75&gt;=AK$4),1,""))</f>
        <v/>
      </c>
      <c r="AL75" s="64" t="str">
        <f aca="false">IF(OR(AL$4="",$C75="",$D75=""),"",IF(AND($C75&lt;EDATE(AL$4,1),$D75&gt;=AL$4),1,""))</f>
        <v/>
      </c>
      <c r="AM75" s="64" t="str">
        <f aca="false">IF(OR(AM$4="",$C75="",$D75=""),"",IF(AND($C75&lt;EDATE(AM$4,1),$D75&gt;=AM$4),1,""))</f>
        <v/>
      </c>
      <c r="AN75" s="64" t="str">
        <f aca="false">IF(OR(AN$4="",$C75="",$D75=""),"",IF(AND($C75&lt;EDATE(AN$4,1),$D75&gt;=AN$4),1,""))</f>
        <v/>
      </c>
      <c r="AO75" s="64" t="str">
        <f aca="false">IF(OR(AO$4="",$C75="",$D75=""),"",IF(AND($C75&lt;EDATE(AO$4,1),$D75&gt;=AO$4),1,""))</f>
        <v/>
      </c>
      <c r="AP75" s="64" t="str">
        <f aca="false">IF(OR(AP$4="",$C75="",$D75=""),"",IF(AND($C75&lt;EDATE(AP$4,1),$D75&gt;=AP$4),1,""))</f>
        <v/>
      </c>
      <c r="AQ75" s="64" t="str">
        <f aca="false">IF(OR(AQ$4="",$C75="",$D75=""),"",IF(AND($C75&lt;EDATE(AQ$4,1),$D75&gt;=AQ$4),1,""))</f>
        <v/>
      </c>
      <c r="AR75" s="64" t="str">
        <f aca="false">IF(OR(AR$4="",$C75="",$D75=""),"",IF(AND($C75&lt;EDATE(AR$4,1),$D75&gt;=AR$4),1,""))</f>
        <v/>
      </c>
      <c r="AS75" s="64" t="str">
        <f aca="false">IF(OR(AS$4="",$C75="",$D75=""),"",IF(AND($C75&lt;EDATE(AS$4,1),$D75&gt;=AS$4),1,""))</f>
        <v/>
      </c>
      <c r="AT75" s="64" t="str">
        <f aca="false">IF(OR(AT$4="",$C75="",$D75=""),"",IF(AND($C75&lt;EDATE(AT$4,1),$D75&gt;=AT$4),1,""))</f>
        <v/>
      </c>
      <c r="AU75" s="64" t="str">
        <f aca="false">IF(OR(AU$4="",$C75="",$D75=""),"",IF(AND($C75&lt;EDATE(AU$4,1),$D75&gt;=AU$4),1,""))</f>
        <v/>
      </c>
      <c r="AV75" s="64" t="str">
        <f aca="false">IF(OR(AV$4="",$C75="",$D75=""),"",IF(AND($C75&lt;EDATE(AV$4,1),$D75&gt;=AV$4),1,""))</f>
        <v/>
      </c>
      <c r="AW75" s="64" t="str">
        <f aca="false">IF(OR(AW$4="",$C75="",$D75=""),"",IF(AND($C75&lt;EDATE(AW$4,1),$D75&gt;=AW$4),1,""))</f>
        <v/>
      </c>
      <c r="AX75" s="64" t="str">
        <f aca="false">IF(OR(AX$4="",$C75="",$D75=""),"",IF(AND($C75&lt;EDATE(AX$4,1),$D75&gt;=AX$4),1,""))</f>
        <v/>
      </c>
      <c r="AY75" s="64" t="str">
        <f aca="false">IF(OR(AY$4="",$C75="",$D75=""),"",IF(AND($C75&lt;EDATE(AY$4,1),$D75&gt;=AY$4),1,""))</f>
        <v/>
      </c>
      <c r="AZ75" s="64" t="str">
        <f aca="false">IF(OR(AZ$4="",$C75="",$D75=""),"",IF(AND($C75&lt;EDATE(AZ$4,1),$D75&gt;=AZ$4),1,""))</f>
        <v/>
      </c>
      <c r="BA75" s="64" t="str">
        <f aca="false">IF(OR(BA$4="",$C75="",$D75=""),"",IF(AND($C75&lt;EDATE(BA$4,1),$D75&gt;=BA$4),1,""))</f>
        <v/>
      </c>
      <c r="BB75" s="64" t="str">
        <f aca="false">IF(OR(BB$4="",$C75="",$D75=""),"",IF(AND($C75&lt;EDATE(BB$4,1),$D75&gt;=BB$4),1,""))</f>
        <v/>
      </c>
      <c r="BC75" s="64" t="str">
        <f aca="false">IF(OR(BC$4="",$C75="",$D75=""),"",IF(AND($C75&lt;EDATE(BC$4,1),$D75&gt;=BC$4),1,""))</f>
        <v/>
      </c>
      <c r="BD75" s="64" t="str">
        <f aca="false">IF(OR(BD$4="",$C75="",$D75=""),"",IF(AND($C75&lt;EDATE(BD$4,1),$D75&gt;=BD$4),1,""))</f>
        <v/>
      </c>
      <c r="BE75" s="64" t="str">
        <f aca="false">IF(OR(BE$4="",$C75="",$D75=""),"",IF(AND($C75&lt;EDATE(BE$4,1),$D75&gt;=BE$4),1,""))</f>
        <v/>
      </c>
      <c r="BF75" s="64" t="str">
        <f aca="false">IF(OR(BF$4="",$C75="",$D75=""),"",IF(AND($C75&lt;EDATE(BF$4,1),$D75&gt;=BF$4),1,""))</f>
        <v/>
      </c>
      <c r="BG75" s="64" t="str">
        <f aca="false">IF(OR(BG$4="",$C75="",$D75=""),"",IF(AND($C75&lt;EDATE(BG$4,1),$D75&gt;=BG$4),1,""))</f>
        <v/>
      </c>
      <c r="BH75" s="64" t="str">
        <f aca="false">IF(OR(BH$4="",$C75="",$D75=""),"",IF(AND($C75&lt;EDATE(BH$4,1),$D75&gt;=BH$4),1,""))</f>
        <v/>
      </c>
      <c r="BI75" s="64" t="str">
        <f aca="false">IF(OR(BI$4="",$C75="",$D75=""),"",IF(AND($C75&lt;EDATE(BI$4,1),$D75&gt;=BI$4),1,""))</f>
        <v/>
      </c>
      <c r="BJ75" s="64" t="str">
        <f aca="false">IF(OR(BJ$4="",$C75="",$D75=""),"",IF(AND($C75&lt;EDATE(BJ$4,1),$D75&gt;=BJ$4),1,""))</f>
        <v/>
      </c>
      <c r="BK75" s="64" t="str">
        <f aca="false">IF(OR(BK$4="",$C75="",$D75=""),"",IF(AND($C75&lt;EDATE(BK$4,1),$D75&gt;=BK$4),1,""))</f>
        <v/>
      </c>
      <c r="BL75" s="64" t="str">
        <f aca="false">IF(OR(BL$4="",$C75="",$D75=""),"",IF(AND($C75&lt;EDATE(BL$4,1),$D75&gt;=BL$4),1,""))</f>
        <v/>
      </c>
      <c r="BM75" s="64" t="str">
        <f aca="false">IF(OR(BM$4="",$C75="",$D75=""),"",IF(AND($C75&lt;EDATE(BM$4,1),$D75&gt;=BM$4),1,""))</f>
        <v/>
      </c>
      <c r="BN75" s="64" t="str">
        <f aca="false">IF(OR(BN$4="",$C75="",$D75=""),"",IF(AND($C75&lt;EDATE(BN$4,1),$D75&gt;=BN$4),1,""))</f>
        <v/>
      </c>
      <c r="BO75" s="64" t="str">
        <f aca="false">IF(OR(BO$4="",$C75="",$D75=""),"",IF(AND($C75&lt;EDATE(BO$4,1),$D75&gt;=BO$4),1,""))</f>
        <v/>
      </c>
      <c r="BP75" s="64" t="str">
        <f aca="false">IF(OR(BP$4="",$C75="",$D75=""),"",IF(AND($C75&lt;EDATE(BP$4,1),$D75&gt;=BP$4),1,""))</f>
        <v/>
      </c>
      <c r="BQ75" s="64" t="str">
        <f aca="false">IF(OR(BQ$4="",$C75="",$D75=""),"",IF(AND($C75&lt;EDATE(BQ$4,1),$D75&gt;=BQ$4),1,""))</f>
        <v/>
      </c>
      <c r="BR75" s="64" t="str">
        <f aca="false">IF(OR(BR$4="",$C75="",$D75=""),"",IF(AND($C75&lt;EDATE(BR$4,1),$D75&gt;=BR$4),1,""))</f>
        <v/>
      </c>
      <c r="BS75" s="64" t="str">
        <f aca="false">IF(OR(BS$4="",$C75="",$D75=""),"",IF(AND($C75&lt;EDATE(BS$4,1),$D75&gt;=BS$4),1,""))</f>
        <v/>
      </c>
      <c r="BT75" s="64" t="str">
        <f aca="false">IF(OR(BT$4="",$C75="",$D75=""),"",IF(AND($C75&lt;EDATE(BT$4,1),$D75&gt;=BT$4),1,""))</f>
        <v/>
      </c>
      <c r="BU75" s="64" t="str">
        <f aca="false">IF(OR(BU$4="",$C75="",$D75=""),"",IF(AND($C75&lt;EDATE(BU$4,1),$D75&gt;=BU$4),1,""))</f>
        <v/>
      </c>
      <c r="BV75" s="64" t="str">
        <f aca="false">IF(OR(BV$4="",$C75="",$D75=""),"",IF(AND($C75&lt;EDATE(BV$4,1),$D75&gt;=BV$4),1,""))</f>
        <v/>
      </c>
      <c r="BW75" s="64" t="str">
        <f aca="false">IF(OR(BW$4="",$C75="",$D75=""),"",IF(AND($C75&lt;EDATE(BW$4,1),$D75&gt;=BW$4),1,""))</f>
        <v/>
      </c>
      <c r="BX75" s="64" t="str">
        <f aca="false">IF(OR(BX$4="",$C75="",$D75=""),"",IF(AND($C75&lt;EDATE(BX$4,1),$D75&gt;=BX$4),1,""))</f>
        <v/>
      </c>
      <c r="BY75" s="64" t="str">
        <f aca="false">IF(OR(BY$4="",$C75="",$D75=""),"",IF(AND($C75&lt;EDATE(BY$4,1),$D75&gt;=BY$4),1,""))</f>
        <v/>
      </c>
    </row>
    <row r="76" customFormat="false" ht="15" hidden="false" customHeight="false" outlineLevel="0" collapsed="false">
      <c r="A76" s="53" t="str">
        <f aca="false">IF(BOE!$A45="","",BOE!$A45)</f>
        <v/>
      </c>
      <c r="B76" s="53" t="str">
        <f aca="false">IF(BOE!$A45="","",BOE!$C45)</f>
        <v/>
      </c>
      <c r="C76" s="54" t="str">
        <f aca="false">IF(OR(BOE!$A45="",BOE!$E45&lt;&gt;"Y"),"",BOE!$O45)</f>
        <v/>
      </c>
      <c r="D76" s="54" t="str">
        <f aca="false">IF(OR(BOE!$A45="",BOE!$E45&lt;&gt;"Y"),"",BOE!$P45)</f>
        <v/>
      </c>
      <c r="E76" s="55" t="str">
        <f aca="false">IF(OR(BOE!$A45="",BOE!$E45&lt;&gt;"Y"),"",IF(Inputs!$B$7="P90",BOE!$T45,BOE!$R45))</f>
        <v/>
      </c>
      <c r="F76" s="64" t="str">
        <f aca="false">IF(OR(F$4="",$C76="",$D76=""),"",IF(AND($C76&lt;EDATE(F$4,1),$D76&gt;=F$4),1,""))</f>
        <v/>
      </c>
      <c r="G76" s="64" t="str">
        <f aca="false">IF(OR(G$4="",$C76="",$D76=""),"",IF(AND($C76&lt;EDATE(G$4,1),$D76&gt;=G$4),1,""))</f>
        <v/>
      </c>
      <c r="H76" s="64" t="str">
        <f aca="false">IF(OR(H$4="",$C76="",$D76=""),"",IF(AND($C76&lt;EDATE(H$4,1),$D76&gt;=H$4),1,""))</f>
        <v/>
      </c>
      <c r="I76" s="64" t="str">
        <f aca="false">IF(OR(I$4="",$C76="",$D76=""),"",IF(AND($C76&lt;EDATE(I$4,1),$D76&gt;=I$4),1,""))</f>
        <v/>
      </c>
      <c r="J76" s="64" t="str">
        <f aca="false">IF(OR(J$4="",$C76="",$D76=""),"",IF(AND($C76&lt;EDATE(J$4,1),$D76&gt;=J$4),1,""))</f>
        <v/>
      </c>
      <c r="K76" s="64" t="str">
        <f aca="false">IF(OR(K$4="",$C76="",$D76=""),"",IF(AND($C76&lt;EDATE(K$4,1),$D76&gt;=K$4),1,""))</f>
        <v/>
      </c>
      <c r="L76" s="64" t="str">
        <f aca="false">IF(OR(L$4="",$C76="",$D76=""),"",IF(AND($C76&lt;EDATE(L$4,1),$D76&gt;=L$4),1,""))</f>
        <v/>
      </c>
      <c r="M76" s="64" t="str">
        <f aca="false">IF(OR(M$4="",$C76="",$D76=""),"",IF(AND($C76&lt;EDATE(M$4,1),$D76&gt;=M$4),1,""))</f>
        <v/>
      </c>
      <c r="N76" s="64" t="str">
        <f aca="false">IF(OR(N$4="",$C76="",$D76=""),"",IF(AND($C76&lt;EDATE(N$4,1),$D76&gt;=N$4),1,""))</f>
        <v/>
      </c>
      <c r="O76" s="64" t="str">
        <f aca="false">IF(OR(O$4="",$C76="",$D76=""),"",IF(AND($C76&lt;EDATE(O$4,1),$D76&gt;=O$4),1,""))</f>
        <v/>
      </c>
      <c r="P76" s="64" t="str">
        <f aca="false">IF(OR(P$4="",$C76="",$D76=""),"",IF(AND($C76&lt;EDATE(P$4,1),$D76&gt;=P$4),1,""))</f>
        <v/>
      </c>
      <c r="Q76" s="64" t="str">
        <f aca="false">IF(OR(Q$4="",$C76="",$D76=""),"",IF(AND($C76&lt;EDATE(Q$4,1),$D76&gt;=Q$4),1,""))</f>
        <v/>
      </c>
      <c r="R76" s="64" t="str">
        <f aca="false">IF(OR(R$4="",$C76="",$D76=""),"",IF(AND($C76&lt;EDATE(R$4,1),$D76&gt;=R$4),1,""))</f>
        <v/>
      </c>
      <c r="S76" s="64" t="str">
        <f aca="false">IF(OR(S$4="",$C76="",$D76=""),"",IF(AND($C76&lt;EDATE(S$4,1),$D76&gt;=S$4),1,""))</f>
        <v/>
      </c>
      <c r="T76" s="64" t="str">
        <f aca="false">IF(OR(T$4="",$C76="",$D76=""),"",IF(AND($C76&lt;EDATE(T$4,1),$D76&gt;=T$4),1,""))</f>
        <v/>
      </c>
      <c r="U76" s="64" t="str">
        <f aca="false">IF(OR(U$4="",$C76="",$D76=""),"",IF(AND($C76&lt;EDATE(U$4,1),$D76&gt;=U$4),1,""))</f>
        <v/>
      </c>
      <c r="V76" s="64" t="str">
        <f aca="false">IF(OR(V$4="",$C76="",$D76=""),"",IF(AND($C76&lt;EDATE(V$4,1),$D76&gt;=V$4),1,""))</f>
        <v/>
      </c>
      <c r="W76" s="64" t="str">
        <f aca="false">IF(OR(W$4="",$C76="",$D76=""),"",IF(AND($C76&lt;EDATE(W$4,1),$D76&gt;=W$4),1,""))</f>
        <v/>
      </c>
      <c r="X76" s="64" t="str">
        <f aca="false">IF(OR(X$4="",$C76="",$D76=""),"",IF(AND($C76&lt;EDATE(X$4,1),$D76&gt;=X$4),1,""))</f>
        <v/>
      </c>
      <c r="Y76" s="64" t="str">
        <f aca="false">IF(OR(Y$4="",$C76="",$D76=""),"",IF(AND($C76&lt;EDATE(Y$4,1),$D76&gt;=Y$4),1,""))</f>
        <v/>
      </c>
      <c r="Z76" s="64" t="str">
        <f aca="false">IF(OR(Z$4="",$C76="",$D76=""),"",IF(AND($C76&lt;EDATE(Z$4,1),$D76&gt;=Z$4),1,""))</f>
        <v/>
      </c>
      <c r="AA76" s="64" t="str">
        <f aca="false">IF(OR(AA$4="",$C76="",$D76=""),"",IF(AND($C76&lt;EDATE(AA$4,1),$D76&gt;=AA$4),1,""))</f>
        <v/>
      </c>
      <c r="AB76" s="64" t="str">
        <f aca="false">IF(OR(AB$4="",$C76="",$D76=""),"",IF(AND($C76&lt;EDATE(AB$4,1),$D76&gt;=AB$4),1,""))</f>
        <v/>
      </c>
      <c r="AC76" s="64" t="str">
        <f aca="false">IF(OR(AC$4="",$C76="",$D76=""),"",IF(AND($C76&lt;EDATE(AC$4,1),$D76&gt;=AC$4),1,""))</f>
        <v/>
      </c>
      <c r="AD76" s="64" t="str">
        <f aca="false">IF(OR(AD$4="",$C76="",$D76=""),"",IF(AND($C76&lt;EDATE(AD$4,1),$D76&gt;=AD$4),1,""))</f>
        <v/>
      </c>
      <c r="AE76" s="64" t="str">
        <f aca="false">IF(OR(AE$4="",$C76="",$D76=""),"",IF(AND($C76&lt;EDATE(AE$4,1),$D76&gt;=AE$4),1,""))</f>
        <v/>
      </c>
      <c r="AF76" s="64" t="str">
        <f aca="false">IF(OR(AF$4="",$C76="",$D76=""),"",IF(AND($C76&lt;EDATE(AF$4,1),$D76&gt;=AF$4),1,""))</f>
        <v/>
      </c>
      <c r="AG76" s="64" t="str">
        <f aca="false">IF(OR(AG$4="",$C76="",$D76=""),"",IF(AND($C76&lt;EDATE(AG$4,1),$D76&gt;=AG$4),1,""))</f>
        <v/>
      </c>
      <c r="AH76" s="64" t="str">
        <f aca="false">IF(OR(AH$4="",$C76="",$D76=""),"",IF(AND($C76&lt;EDATE(AH$4,1),$D76&gt;=AH$4),1,""))</f>
        <v/>
      </c>
      <c r="AI76" s="64" t="str">
        <f aca="false">IF(OR(AI$4="",$C76="",$D76=""),"",IF(AND($C76&lt;EDATE(AI$4,1),$D76&gt;=AI$4),1,""))</f>
        <v/>
      </c>
      <c r="AJ76" s="64" t="str">
        <f aca="false">IF(OR(AJ$4="",$C76="",$D76=""),"",IF(AND($C76&lt;EDATE(AJ$4,1),$D76&gt;=AJ$4),1,""))</f>
        <v/>
      </c>
      <c r="AK76" s="64" t="str">
        <f aca="false">IF(OR(AK$4="",$C76="",$D76=""),"",IF(AND($C76&lt;EDATE(AK$4,1),$D76&gt;=AK$4),1,""))</f>
        <v/>
      </c>
      <c r="AL76" s="64" t="str">
        <f aca="false">IF(OR(AL$4="",$C76="",$D76=""),"",IF(AND($C76&lt;EDATE(AL$4,1),$D76&gt;=AL$4),1,""))</f>
        <v/>
      </c>
      <c r="AM76" s="64" t="str">
        <f aca="false">IF(OR(AM$4="",$C76="",$D76=""),"",IF(AND($C76&lt;EDATE(AM$4,1),$D76&gt;=AM$4),1,""))</f>
        <v/>
      </c>
      <c r="AN76" s="64" t="str">
        <f aca="false">IF(OR(AN$4="",$C76="",$D76=""),"",IF(AND($C76&lt;EDATE(AN$4,1),$D76&gt;=AN$4),1,""))</f>
        <v/>
      </c>
      <c r="AO76" s="64" t="str">
        <f aca="false">IF(OR(AO$4="",$C76="",$D76=""),"",IF(AND($C76&lt;EDATE(AO$4,1),$D76&gt;=AO$4),1,""))</f>
        <v/>
      </c>
      <c r="AP76" s="64" t="str">
        <f aca="false">IF(OR(AP$4="",$C76="",$D76=""),"",IF(AND($C76&lt;EDATE(AP$4,1),$D76&gt;=AP$4),1,""))</f>
        <v/>
      </c>
      <c r="AQ76" s="64" t="str">
        <f aca="false">IF(OR(AQ$4="",$C76="",$D76=""),"",IF(AND($C76&lt;EDATE(AQ$4,1),$D76&gt;=AQ$4),1,""))</f>
        <v/>
      </c>
      <c r="AR76" s="64" t="str">
        <f aca="false">IF(OR(AR$4="",$C76="",$D76=""),"",IF(AND($C76&lt;EDATE(AR$4,1),$D76&gt;=AR$4),1,""))</f>
        <v/>
      </c>
      <c r="AS76" s="64" t="str">
        <f aca="false">IF(OR(AS$4="",$C76="",$D76=""),"",IF(AND($C76&lt;EDATE(AS$4,1),$D76&gt;=AS$4),1,""))</f>
        <v/>
      </c>
      <c r="AT76" s="64" t="str">
        <f aca="false">IF(OR(AT$4="",$C76="",$D76=""),"",IF(AND($C76&lt;EDATE(AT$4,1),$D76&gt;=AT$4),1,""))</f>
        <v/>
      </c>
      <c r="AU76" s="64" t="str">
        <f aca="false">IF(OR(AU$4="",$C76="",$D76=""),"",IF(AND($C76&lt;EDATE(AU$4,1),$D76&gt;=AU$4),1,""))</f>
        <v/>
      </c>
      <c r="AV76" s="64" t="str">
        <f aca="false">IF(OR(AV$4="",$C76="",$D76=""),"",IF(AND($C76&lt;EDATE(AV$4,1),$D76&gt;=AV$4),1,""))</f>
        <v/>
      </c>
      <c r="AW76" s="64" t="str">
        <f aca="false">IF(OR(AW$4="",$C76="",$D76=""),"",IF(AND($C76&lt;EDATE(AW$4,1),$D76&gt;=AW$4),1,""))</f>
        <v/>
      </c>
      <c r="AX76" s="64" t="str">
        <f aca="false">IF(OR(AX$4="",$C76="",$D76=""),"",IF(AND($C76&lt;EDATE(AX$4,1),$D76&gt;=AX$4),1,""))</f>
        <v/>
      </c>
      <c r="AY76" s="64" t="str">
        <f aca="false">IF(OR(AY$4="",$C76="",$D76=""),"",IF(AND($C76&lt;EDATE(AY$4,1),$D76&gt;=AY$4),1,""))</f>
        <v/>
      </c>
      <c r="AZ76" s="64" t="str">
        <f aca="false">IF(OR(AZ$4="",$C76="",$D76=""),"",IF(AND($C76&lt;EDATE(AZ$4,1),$D76&gt;=AZ$4),1,""))</f>
        <v/>
      </c>
      <c r="BA76" s="64" t="str">
        <f aca="false">IF(OR(BA$4="",$C76="",$D76=""),"",IF(AND($C76&lt;EDATE(BA$4,1),$D76&gt;=BA$4),1,""))</f>
        <v/>
      </c>
      <c r="BB76" s="64" t="str">
        <f aca="false">IF(OR(BB$4="",$C76="",$D76=""),"",IF(AND($C76&lt;EDATE(BB$4,1),$D76&gt;=BB$4),1,""))</f>
        <v/>
      </c>
      <c r="BC76" s="64" t="str">
        <f aca="false">IF(OR(BC$4="",$C76="",$D76=""),"",IF(AND($C76&lt;EDATE(BC$4,1),$D76&gt;=BC$4),1,""))</f>
        <v/>
      </c>
      <c r="BD76" s="64" t="str">
        <f aca="false">IF(OR(BD$4="",$C76="",$D76=""),"",IF(AND($C76&lt;EDATE(BD$4,1),$D76&gt;=BD$4),1,""))</f>
        <v/>
      </c>
      <c r="BE76" s="64" t="str">
        <f aca="false">IF(OR(BE$4="",$C76="",$D76=""),"",IF(AND($C76&lt;EDATE(BE$4,1),$D76&gt;=BE$4),1,""))</f>
        <v/>
      </c>
      <c r="BF76" s="64" t="str">
        <f aca="false">IF(OR(BF$4="",$C76="",$D76=""),"",IF(AND($C76&lt;EDATE(BF$4,1),$D76&gt;=BF$4),1,""))</f>
        <v/>
      </c>
      <c r="BG76" s="64" t="str">
        <f aca="false">IF(OR(BG$4="",$C76="",$D76=""),"",IF(AND($C76&lt;EDATE(BG$4,1),$D76&gt;=BG$4),1,""))</f>
        <v/>
      </c>
      <c r="BH76" s="64" t="str">
        <f aca="false">IF(OR(BH$4="",$C76="",$D76=""),"",IF(AND($C76&lt;EDATE(BH$4,1),$D76&gt;=BH$4),1,""))</f>
        <v/>
      </c>
      <c r="BI76" s="64" t="str">
        <f aca="false">IF(OR(BI$4="",$C76="",$D76=""),"",IF(AND($C76&lt;EDATE(BI$4,1),$D76&gt;=BI$4),1,""))</f>
        <v/>
      </c>
      <c r="BJ76" s="64" t="str">
        <f aca="false">IF(OR(BJ$4="",$C76="",$D76=""),"",IF(AND($C76&lt;EDATE(BJ$4,1),$D76&gt;=BJ$4),1,""))</f>
        <v/>
      </c>
      <c r="BK76" s="64" t="str">
        <f aca="false">IF(OR(BK$4="",$C76="",$D76=""),"",IF(AND($C76&lt;EDATE(BK$4,1),$D76&gt;=BK$4),1,""))</f>
        <v/>
      </c>
      <c r="BL76" s="64" t="str">
        <f aca="false">IF(OR(BL$4="",$C76="",$D76=""),"",IF(AND($C76&lt;EDATE(BL$4,1),$D76&gt;=BL$4),1,""))</f>
        <v/>
      </c>
      <c r="BM76" s="64" t="str">
        <f aca="false">IF(OR(BM$4="",$C76="",$D76=""),"",IF(AND($C76&lt;EDATE(BM$4,1),$D76&gt;=BM$4),1,""))</f>
        <v/>
      </c>
      <c r="BN76" s="64" t="str">
        <f aca="false">IF(OR(BN$4="",$C76="",$D76=""),"",IF(AND($C76&lt;EDATE(BN$4,1),$D76&gt;=BN$4),1,""))</f>
        <v/>
      </c>
      <c r="BO76" s="64" t="str">
        <f aca="false">IF(OR(BO$4="",$C76="",$D76=""),"",IF(AND($C76&lt;EDATE(BO$4,1),$D76&gt;=BO$4),1,""))</f>
        <v/>
      </c>
      <c r="BP76" s="64" t="str">
        <f aca="false">IF(OR(BP$4="",$C76="",$D76=""),"",IF(AND($C76&lt;EDATE(BP$4,1),$D76&gt;=BP$4),1,""))</f>
        <v/>
      </c>
      <c r="BQ76" s="64" t="str">
        <f aca="false">IF(OR(BQ$4="",$C76="",$D76=""),"",IF(AND($C76&lt;EDATE(BQ$4,1),$D76&gt;=BQ$4),1,""))</f>
        <v/>
      </c>
      <c r="BR76" s="64" t="str">
        <f aca="false">IF(OR(BR$4="",$C76="",$D76=""),"",IF(AND($C76&lt;EDATE(BR$4,1),$D76&gt;=BR$4),1,""))</f>
        <v/>
      </c>
      <c r="BS76" s="64" t="str">
        <f aca="false">IF(OR(BS$4="",$C76="",$D76=""),"",IF(AND($C76&lt;EDATE(BS$4,1),$D76&gt;=BS$4),1,""))</f>
        <v/>
      </c>
      <c r="BT76" s="64" t="str">
        <f aca="false">IF(OR(BT$4="",$C76="",$D76=""),"",IF(AND($C76&lt;EDATE(BT$4,1),$D76&gt;=BT$4),1,""))</f>
        <v/>
      </c>
      <c r="BU76" s="64" t="str">
        <f aca="false">IF(OR(BU$4="",$C76="",$D76=""),"",IF(AND($C76&lt;EDATE(BU$4,1),$D76&gt;=BU$4),1,""))</f>
        <v/>
      </c>
      <c r="BV76" s="64" t="str">
        <f aca="false">IF(OR(BV$4="",$C76="",$D76=""),"",IF(AND($C76&lt;EDATE(BV$4,1),$D76&gt;=BV$4),1,""))</f>
        <v/>
      </c>
      <c r="BW76" s="64" t="str">
        <f aca="false">IF(OR(BW$4="",$C76="",$D76=""),"",IF(AND($C76&lt;EDATE(BW$4,1),$D76&gt;=BW$4),1,""))</f>
        <v/>
      </c>
      <c r="BX76" s="64" t="str">
        <f aca="false">IF(OR(BX$4="",$C76="",$D76=""),"",IF(AND($C76&lt;EDATE(BX$4,1),$D76&gt;=BX$4),1,""))</f>
        <v/>
      </c>
      <c r="BY76" s="64" t="str">
        <f aca="false">IF(OR(BY$4="",$C76="",$D76=""),"",IF(AND($C76&lt;EDATE(BY$4,1),$D76&gt;=BY$4),1,""))</f>
        <v/>
      </c>
    </row>
    <row r="77" customFormat="false" ht="15" hidden="false" customHeight="false" outlineLevel="0" collapsed="false">
      <c r="A77" s="53" t="str">
        <f aca="false">IF(BOE!$A46="","",BOE!$A46)</f>
        <v/>
      </c>
      <c r="B77" s="53" t="str">
        <f aca="false">IF(BOE!$A46="","",BOE!$C46)</f>
        <v/>
      </c>
      <c r="C77" s="54" t="str">
        <f aca="false">IF(OR(BOE!$A46="",BOE!$E46&lt;&gt;"Y"),"",BOE!$O46)</f>
        <v/>
      </c>
      <c r="D77" s="54" t="str">
        <f aca="false">IF(OR(BOE!$A46="",BOE!$E46&lt;&gt;"Y"),"",BOE!$P46)</f>
        <v/>
      </c>
      <c r="E77" s="55" t="str">
        <f aca="false">IF(OR(BOE!$A46="",BOE!$E46&lt;&gt;"Y"),"",IF(Inputs!$B$7="P90",BOE!$T46,BOE!$R46))</f>
        <v/>
      </c>
      <c r="F77" s="64" t="str">
        <f aca="false">IF(OR(F$4="",$C77="",$D77=""),"",IF(AND($C77&lt;EDATE(F$4,1),$D77&gt;=F$4),1,""))</f>
        <v/>
      </c>
      <c r="G77" s="64" t="str">
        <f aca="false">IF(OR(G$4="",$C77="",$D77=""),"",IF(AND($C77&lt;EDATE(G$4,1),$D77&gt;=G$4),1,""))</f>
        <v/>
      </c>
      <c r="H77" s="64" t="str">
        <f aca="false">IF(OR(H$4="",$C77="",$D77=""),"",IF(AND($C77&lt;EDATE(H$4,1),$D77&gt;=H$4),1,""))</f>
        <v/>
      </c>
      <c r="I77" s="64" t="str">
        <f aca="false">IF(OR(I$4="",$C77="",$D77=""),"",IF(AND($C77&lt;EDATE(I$4,1),$D77&gt;=I$4),1,""))</f>
        <v/>
      </c>
      <c r="J77" s="64" t="str">
        <f aca="false">IF(OR(J$4="",$C77="",$D77=""),"",IF(AND($C77&lt;EDATE(J$4,1),$D77&gt;=J$4),1,""))</f>
        <v/>
      </c>
      <c r="K77" s="64" t="str">
        <f aca="false">IF(OR(K$4="",$C77="",$D77=""),"",IF(AND($C77&lt;EDATE(K$4,1),$D77&gt;=K$4),1,""))</f>
        <v/>
      </c>
      <c r="L77" s="64" t="str">
        <f aca="false">IF(OR(L$4="",$C77="",$D77=""),"",IF(AND($C77&lt;EDATE(L$4,1),$D77&gt;=L$4),1,""))</f>
        <v/>
      </c>
      <c r="M77" s="64" t="str">
        <f aca="false">IF(OR(M$4="",$C77="",$D77=""),"",IF(AND($C77&lt;EDATE(M$4,1),$D77&gt;=M$4),1,""))</f>
        <v/>
      </c>
      <c r="N77" s="64" t="str">
        <f aca="false">IF(OR(N$4="",$C77="",$D77=""),"",IF(AND($C77&lt;EDATE(N$4,1),$D77&gt;=N$4),1,""))</f>
        <v/>
      </c>
      <c r="O77" s="64" t="str">
        <f aca="false">IF(OR(O$4="",$C77="",$D77=""),"",IF(AND($C77&lt;EDATE(O$4,1),$D77&gt;=O$4),1,""))</f>
        <v/>
      </c>
      <c r="P77" s="64" t="str">
        <f aca="false">IF(OR(P$4="",$C77="",$D77=""),"",IF(AND($C77&lt;EDATE(P$4,1),$D77&gt;=P$4),1,""))</f>
        <v/>
      </c>
      <c r="Q77" s="64" t="str">
        <f aca="false">IF(OR(Q$4="",$C77="",$D77=""),"",IF(AND($C77&lt;EDATE(Q$4,1),$D77&gt;=Q$4),1,""))</f>
        <v/>
      </c>
      <c r="R77" s="64" t="str">
        <f aca="false">IF(OR(R$4="",$C77="",$D77=""),"",IF(AND($C77&lt;EDATE(R$4,1),$D77&gt;=R$4),1,""))</f>
        <v/>
      </c>
      <c r="S77" s="64" t="str">
        <f aca="false">IF(OR(S$4="",$C77="",$D77=""),"",IF(AND($C77&lt;EDATE(S$4,1),$D77&gt;=S$4),1,""))</f>
        <v/>
      </c>
      <c r="T77" s="64" t="str">
        <f aca="false">IF(OR(T$4="",$C77="",$D77=""),"",IF(AND($C77&lt;EDATE(T$4,1),$D77&gt;=T$4),1,""))</f>
        <v/>
      </c>
      <c r="U77" s="64" t="str">
        <f aca="false">IF(OR(U$4="",$C77="",$D77=""),"",IF(AND($C77&lt;EDATE(U$4,1),$D77&gt;=U$4),1,""))</f>
        <v/>
      </c>
      <c r="V77" s="64" t="str">
        <f aca="false">IF(OR(V$4="",$C77="",$D77=""),"",IF(AND($C77&lt;EDATE(V$4,1),$D77&gt;=V$4),1,""))</f>
        <v/>
      </c>
      <c r="W77" s="64" t="str">
        <f aca="false">IF(OR(W$4="",$C77="",$D77=""),"",IF(AND($C77&lt;EDATE(W$4,1),$D77&gt;=W$4),1,""))</f>
        <v/>
      </c>
      <c r="X77" s="64" t="str">
        <f aca="false">IF(OR(X$4="",$C77="",$D77=""),"",IF(AND($C77&lt;EDATE(X$4,1),$D77&gt;=X$4),1,""))</f>
        <v/>
      </c>
      <c r="Y77" s="64" t="str">
        <f aca="false">IF(OR(Y$4="",$C77="",$D77=""),"",IF(AND($C77&lt;EDATE(Y$4,1),$D77&gt;=Y$4),1,""))</f>
        <v/>
      </c>
      <c r="Z77" s="64" t="str">
        <f aca="false">IF(OR(Z$4="",$C77="",$D77=""),"",IF(AND($C77&lt;EDATE(Z$4,1),$D77&gt;=Z$4),1,""))</f>
        <v/>
      </c>
      <c r="AA77" s="64" t="str">
        <f aca="false">IF(OR(AA$4="",$C77="",$D77=""),"",IF(AND($C77&lt;EDATE(AA$4,1),$D77&gt;=AA$4),1,""))</f>
        <v/>
      </c>
      <c r="AB77" s="64" t="str">
        <f aca="false">IF(OR(AB$4="",$C77="",$D77=""),"",IF(AND($C77&lt;EDATE(AB$4,1),$D77&gt;=AB$4),1,""))</f>
        <v/>
      </c>
      <c r="AC77" s="64" t="str">
        <f aca="false">IF(OR(AC$4="",$C77="",$D77=""),"",IF(AND($C77&lt;EDATE(AC$4,1),$D77&gt;=AC$4),1,""))</f>
        <v/>
      </c>
      <c r="AD77" s="64" t="str">
        <f aca="false">IF(OR(AD$4="",$C77="",$D77=""),"",IF(AND($C77&lt;EDATE(AD$4,1),$D77&gt;=AD$4),1,""))</f>
        <v/>
      </c>
      <c r="AE77" s="64" t="str">
        <f aca="false">IF(OR(AE$4="",$C77="",$D77=""),"",IF(AND($C77&lt;EDATE(AE$4,1),$D77&gt;=AE$4),1,""))</f>
        <v/>
      </c>
      <c r="AF77" s="64" t="str">
        <f aca="false">IF(OR(AF$4="",$C77="",$D77=""),"",IF(AND($C77&lt;EDATE(AF$4,1),$D77&gt;=AF$4),1,""))</f>
        <v/>
      </c>
      <c r="AG77" s="64" t="str">
        <f aca="false">IF(OR(AG$4="",$C77="",$D77=""),"",IF(AND($C77&lt;EDATE(AG$4,1),$D77&gt;=AG$4),1,""))</f>
        <v/>
      </c>
      <c r="AH77" s="64" t="str">
        <f aca="false">IF(OR(AH$4="",$C77="",$D77=""),"",IF(AND($C77&lt;EDATE(AH$4,1),$D77&gt;=AH$4),1,""))</f>
        <v/>
      </c>
      <c r="AI77" s="64" t="str">
        <f aca="false">IF(OR(AI$4="",$C77="",$D77=""),"",IF(AND($C77&lt;EDATE(AI$4,1),$D77&gt;=AI$4),1,""))</f>
        <v/>
      </c>
      <c r="AJ77" s="64" t="str">
        <f aca="false">IF(OR(AJ$4="",$C77="",$D77=""),"",IF(AND($C77&lt;EDATE(AJ$4,1),$D77&gt;=AJ$4),1,""))</f>
        <v/>
      </c>
      <c r="AK77" s="64" t="str">
        <f aca="false">IF(OR(AK$4="",$C77="",$D77=""),"",IF(AND($C77&lt;EDATE(AK$4,1),$D77&gt;=AK$4),1,""))</f>
        <v/>
      </c>
      <c r="AL77" s="64" t="str">
        <f aca="false">IF(OR(AL$4="",$C77="",$D77=""),"",IF(AND($C77&lt;EDATE(AL$4,1),$D77&gt;=AL$4),1,""))</f>
        <v/>
      </c>
      <c r="AM77" s="64" t="str">
        <f aca="false">IF(OR(AM$4="",$C77="",$D77=""),"",IF(AND($C77&lt;EDATE(AM$4,1),$D77&gt;=AM$4),1,""))</f>
        <v/>
      </c>
      <c r="AN77" s="64" t="str">
        <f aca="false">IF(OR(AN$4="",$C77="",$D77=""),"",IF(AND($C77&lt;EDATE(AN$4,1),$D77&gt;=AN$4),1,""))</f>
        <v/>
      </c>
      <c r="AO77" s="64" t="str">
        <f aca="false">IF(OR(AO$4="",$C77="",$D77=""),"",IF(AND($C77&lt;EDATE(AO$4,1),$D77&gt;=AO$4),1,""))</f>
        <v/>
      </c>
      <c r="AP77" s="64" t="str">
        <f aca="false">IF(OR(AP$4="",$C77="",$D77=""),"",IF(AND($C77&lt;EDATE(AP$4,1),$D77&gt;=AP$4),1,""))</f>
        <v/>
      </c>
      <c r="AQ77" s="64" t="str">
        <f aca="false">IF(OR(AQ$4="",$C77="",$D77=""),"",IF(AND($C77&lt;EDATE(AQ$4,1),$D77&gt;=AQ$4),1,""))</f>
        <v/>
      </c>
      <c r="AR77" s="64" t="str">
        <f aca="false">IF(OR(AR$4="",$C77="",$D77=""),"",IF(AND($C77&lt;EDATE(AR$4,1),$D77&gt;=AR$4),1,""))</f>
        <v/>
      </c>
      <c r="AS77" s="64" t="str">
        <f aca="false">IF(OR(AS$4="",$C77="",$D77=""),"",IF(AND($C77&lt;EDATE(AS$4,1),$D77&gt;=AS$4),1,""))</f>
        <v/>
      </c>
      <c r="AT77" s="64" t="str">
        <f aca="false">IF(OR(AT$4="",$C77="",$D77=""),"",IF(AND($C77&lt;EDATE(AT$4,1),$D77&gt;=AT$4),1,""))</f>
        <v/>
      </c>
      <c r="AU77" s="64" t="str">
        <f aca="false">IF(OR(AU$4="",$C77="",$D77=""),"",IF(AND($C77&lt;EDATE(AU$4,1),$D77&gt;=AU$4),1,""))</f>
        <v/>
      </c>
      <c r="AV77" s="64" t="str">
        <f aca="false">IF(OR(AV$4="",$C77="",$D77=""),"",IF(AND($C77&lt;EDATE(AV$4,1),$D77&gt;=AV$4),1,""))</f>
        <v/>
      </c>
      <c r="AW77" s="64" t="str">
        <f aca="false">IF(OR(AW$4="",$C77="",$D77=""),"",IF(AND($C77&lt;EDATE(AW$4,1),$D77&gt;=AW$4),1,""))</f>
        <v/>
      </c>
      <c r="AX77" s="64" t="str">
        <f aca="false">IF(OR(AX$4="",$C77="",$D77=""),"",IF(AND($C77&lt;EDATE(AX$4,1),$D77&gt;=AX$4),1,""))</f>
        <v/>
      </c>
      <c r="AY77" s="64" t="str">
        <f aca="false">IF(OR(AY$4="",$C77="",$D77=""),"",IF(AND($C77&lt;EDATE(AY$4,1),$D77&gt;=AY$4),1,""))</f>
        <v/>
      </c>
      <c r="AZ77" s="64" t="str">
        <f aca="false">IF(OR(AZ$4="",$C77="",$D77=""),"",IF(AND($C77&lt;EDATE(AZ$4,1),$D77&gt;=AZ$4),1,""))</f>
        <v/>
      </c>
      <c r="BA77" s="64" t="str">
        <f aca="false">IF(OR(BA$4="",$C77="",$D77=""),"",IF(AND($C77&lt;EDATE(BA$4,1),$D77&gt;=BA$4),1,""))</f>
        <v/>
      </c>
      <c r="BB77" s="64" t="str">
        <f aca="false">IF(OR(BB$4="",$C77="",$D77=""),"",IF(AND($C77&lt;EDATE(BB$4,1),$D77&gt;=BB$4),1,""))</f>
        <v/>
      </c>
      <c r="BC77" s="64" t="str">
        <f aca="false">IF(OR(BC$4="",$C77="",$D77=""),"",IF(AND($C77&lt;EDATE(BC$4,1),$D77&gt;=BC$4),1,""))</f>
        <v/>
      </c>
      <c r="BD77" s="64" t="str">
        <f aca="false">IF(OR(BD$4="",$C77="",$D77=""),"",IF(AND($C77&lt;EDATE(BD$4,1),$D77&gt;=BD$4),1,""))</f>
        <v/>
      </c>
      <c r="BE77" s="64" t="str">
        <f aca="false">IF(OR(BE$4="",$C77="",$D77=""),"",IF(AND($C77&lt;EDATE(BE$4,1),$D77&gt;=BE$4),1,""))</f>
        <v/>
      </c>
      <c r="BF77" s="64" t="str">
        <f aca="false">IF(OR(BF$4="",$C77="",$D77=""),"",IF(AND($C77&lt;EDATE(BF$4,1),$D77&gt;=BF$4),1,""))</f>
        <v/>
      </c>
      <c r="BG77" s="64" t="str">
        <f aca="false">IF(OR(BG$4="",$C77="",$D77=""),"",IF(AND($C77&lt;EDATE(BG$4,1),$D77&gt;=BG$4),1,""))</f>
        <v/>
      </c>
      <c r="BH77" s="64" t="str">
        <f aca="false">IF(OR(BH$4="",$C77="",$D77=""),"",IF(AND($C77&lt;EDATE(BH$4,1),$D77&gt;=BH$4),1,""))</f>
        <v/>
      </c>
      <c r="BI77" s="64" t="str">
        <f aca="false">IF(OR(BI$4="",$C77="",$D77=""),"",IF(AND($C77&lt;EDATE(BI$4,1),$D77&gt;=BI$4),1,""))</f>
        <v/>
      </c>
      <c r="BJ77" s="64" t="str">
        <f aca="false">IF(OR(BJ$4="",$C77="",$D77=""),"",IF(AND($C77&lt;EDATE(BJ$4,1),$D77&gt;=BJ$4),1,""))</f>
        <v/>
      </c>
      <c r="BK77" s="64" t="str">
        <f aca="false">IF(OR(BK$4="",$C77="",$D77=""),"",IF(AND($C77&lt;EDATE(BK$4,1),$D77&gt;=BK$4),1,""))</f>
        <v/>
      </c>
      <c r="BL77" s="64" t="str">
        <f aca="false">IF(OR(BL$4="",$C77="",$D77=""),"",IF(AND($C77&lt;EDATE(BL$4,1),$D77&gt;=BL$4),1,""))</f>
        <v/>
      </c>
      <c r="BM77" s="64" t="str">
        <f aca="false">IF(OR(BM$4="",$C77="",$D77=""),"",IF(AND($C77&lt;EDATE(BM$4,1),$D77&gt;=BM$4),1,""))</f>
        <v/>
      </c>
      <c r="BN77" s="64" t="str">
        <f aca="false">IF(OR(BN$4="",$C77="",$D77=""),"",IF(AND($C77&lt;EDATE(BN$4,1),$D77&gt;=BN$4),1,""))</f>
        <v/>
      </c>
      <c r="BO77" s="64" t="str">
        <f aca="false">IF(OR(BO$4="",$C77="",$D77=""),"",IF(AND($C77&lt;EDATE(BO$4,1),$D77&gt;=BO$4),1,""))</f>
        <v/>
      </c>
      <c r="BP77" s="64" t="str">
        <f aca="false">IF(OR(BP$4="",$C77="",$D77=""),"",IF(AND($C77&lt;EDATE(BP$4,1),$D77&gt;=BP$4),1,""))</f>
        <v/>
      </c>
      <c r="BQ77" s="64" t="str">
        <f aca="false">IF(OR(BQ$4="",$C77="",$D77=""),"",IF(AND($C77&lt;EDATE(BQ$4,1),$D77&gt;=BQ$4),1,""))</f>
        <v/>
      </c>
      <c r="BR77" s="64" t="str">
        <f aca="false">IF(OR(BR$4="",$C77="",$D77=""),"",IF(AND($C77&lt;EDATE(BR$4,1),$D77&gt;=BR$4),1,""))</f>
        <v/>
      </c>
      <c r="BS77" s="64" t="str">
        <f aca="false">IF(OR(BS$4="",$C77="",$D77=""),"",IF(AND($C77&lt;EDATE(BS$4,1),$D77&gt;=BS$4),1,""))</f>
        <v/>
      </c>
      <c r="BT77" s="64" t="str">
        <f aca="false">IF(OR(BT$4="",$C77="",$D77=""),"",IF(AND($C77&lt;EDATE(BT$4,1),$D77&gt;=BT$4),1,""))</f>
        <v/>
      </c>
      <c r="BU77" s="64" t="str">
        <f aca="false">IF(OR(BU$4="",$C77="",$D77=""),"",IF(AND($C77&lt;EDATE(BU$4,1),$D77&gt;=BU$4),1,""))</f>
        <v/>
      </c>
      <c r="BV77" s="64" t="str">
        <f aca="false">IF(OR(BV$4="",$C77="",$D77=""),"",IF(AND($C77&lt;EDATE(BV$4,1),$D77&gt;=BV$4),1,""))</f>
        <v/>
      </c>
      <c r="BW77" s="64" t="str">
        <f aca="false">IF(OR(BW$4="",$C77="",$D77=""),"",IF(AND($C77&lt;EDATE(BW$4,1),$D77&gt;=BW$4),1,""))</f>
        <v/>
      </c>
      <c r="BX77" s="64" t="str">
        <f aca="false">IF(OR(BX$4="",$C77="",$D77=""),"",IF(AND($C77&lt;EDATE(BX$4,1),$D77&gt;=BX$4),1,""))</f>
        <v/>
      </c>
      <c r="BY77" s="64" t="str">
        <f aca="false">IF(OR(BY$4="",$C77="",$D77=""),"",IF(AND($C77&lt;EDATE(BY$4,1),$D77&gt;=BY$4),1,""))</f>
        <v/>
      </c>
    </row>
    <row r="78" customFormat="false" ht="15" hidden="false" customHeight="false" outlineLevel="0" collapsed="false">
      <c r="A78" s="53" t="str">
        <f aca="false">IF(BOE!$A47="","",BOE!$A47)</f>
        <v/>
      </c>
      <c r="B78" s="53" t="str">
        <f aca="false">IF(BOE!$A47="","",BOE!$C47)</f>
        <v/>
      </c>
      <c r="C78" s="54" t="str">
        <f aca="false">IF(OR(BOE!$A47="",BOE!$E47&lt;&gt;"Y"),"",BOE!$O47)</f>
        <v/>
      </c>
      <c r="D78" s="54" t="str">
        <f aca="false">IF(OR(BOE!$A47="",BOE!$E47&lt;&gt;"Y"),"",BOE!$P47)</f>
        <v/>
      </c>
      <c r="E78" s="55" t="str">
        <f aca="false">IF(OR(BOE!$A47="",BOE!$E47&lt;&gt;"Y"),"",IF(Inputs!$B$7="P90",BOE!$T47,BOE!$R47))</f>
        <v/>
      </c>
      <c r="F78" s="64" t="str">
        <f aca="false">IF(OR(F$4="",$C78="",$D78=""),"",IF(AND($C78&lt;EDATE(F$4,1),$D78&gt;=F$4),1,""))</f>
        <v/>
      </c>
      <c r="G78" s="64" t="str">
        <f aca="false">IF(OR(G$4="",$C78="",$D78=""),"",IF(AND($C78&lt;EDATE(G$4,1),$D78&gt;=G$4),1,""))</f>
        <v/>
      </c>
      <c r="H78" s="64" t="str">
        <f aca="false">IF(OR(H$4="",$C78="",$D78=""),"",IF(AND($C78&lt;EDATE(H$4,1),$D78&gt;=H$4),1,""))</f>
        <v/>
      </c>
      <c r="I78" s="64" t="str">
        <f aca="false">IF(OR(I$4="",$C78="",$D78=""),"",IF(AND($C78&lt;EDATE(I$4,1),$D78&gt;=I$4),1,""))</f>
        <v/>
      </c>
      <c r="J78" s="64" t="str">
        <f aca="false">IF(OR(J$4="",$C78="",$D78=""),"",IF(AND($C78&lt;EDATE(J$4,1),$D78&gt;=J$4),1,""))</f>
        <v/>
      </c>
      <c r="K78" s="64" t="str">
        <f aca="false">IF(OR(K$4="",$C78="",$D78=""),"",IF(AND($C78&lt;EDATE(K$4,1),$D78&gt;=K$4),1,""))</f>
        <v/>
      </c>
      <c r="L78" s="64" t="str">
        <f aca="false">IF(OR(L$4="",$C78="",$D78=""),"",IF(AND($C78&lt;EDATE(L$4,1),$D78&gt;=L$4),1,""))</f>
        <v/>
      </c>
      <c r="M78" s="64" t="str">
        <f aca="false">IF(OR(M$4="",$C78="",$D78=""),"",IF(AND($C78&lt;EDATE(M$4,1),$D78&gt;=M$4),1,""))</f>
        <v/>
      </c>
      <c r="N78" s="64" t="str">
        <f aca="false">IF(OR(N$4="",$C78="",$D78=""),"",IF(AND($C78&lt;EDATE(N$4,1),$D78&gt;=N$4),1,""))</f>
        <v/>
      </c>
      <c r="O78" s="64" t="str">
        <f aca="false">IF(OR(O$4="",$C78="",$D78=""),"",IF(AND($C78&lt;EDATE(O$4,1),$D78&gt;=O$4),1,""))</f>
        <v/>
      </c>
      <c r="P78" s="64" t="str">
        <f aca="false">IF(OR(P$4="",$C78="",$D78=""),"",IF(AND($C78&lt;EDATE(P$4,1),$D78&gt;=P$4),1,""))</f>
        <v/>
      </c>
      <c r="Q78" s="64" t="str">
        <f aca="false">IF(OR(Q$4="",$C78="",$D78=""),"",IF(AND($C78&lt;EDATE(Q$4,1),$D78&gt;=Q$4),1,""))</f>
        <v/>
      </c>
      <c r="R78" s="64" t="str">
        <f aca="false">IF(OR(R$4="",$C78="",$D78=""),"",IF(AND($C78&lt;EDATE(R$4,1),$D78&gt;=R$4),1,""))</f>
        <v/>
      </c>
      <c r="S78" s="64" t="str">
        <f aca="false">IF(OR(S$4="",$C78="",$D78=""),"",IF(AND($C78&lt;EDATE(S$4,1),$D78&gt;=S$4),1,""))</f>
        <v/>
      </c>
      <c r="T78" s="64" t="str">
        <f aca="false">IF(OR(T$4="",$C78="",$D78=""),"",IF(AND($C78&lt;EDATE(T$4,1),$D78&gt;=T$4),1,""))</f>
        <v/>
      </c>
      <c r="U78" s="64" t="str">
        <f aca="false">IF(OR(U$4="",$C78="",$D78=""),"",IF(AND($C78&lt;EDATE(U$4,1),$D78&gt;=U$4),1,""))</f>
        <v/>
      </c>
      <c r="V78" s="64" t="str">
        <f aca="false">IF(OR(V$4="",$C78="",$D78=""),"",IF(AND($C78&lt;EDATE(V$4,1),$D78&gt;=V$4),1,""))</f>
        <v/>
      </c>
      <c r="W78" s="64" t="str">
        <f aca="false">IF(OR(W$4="",$C78="",$D78=""),"",IF(AND($C78&lt;EDATE(W$4,1),$D78&gt;=W$4),1,""))</f>
        <v/>
      </c>
      <c r="X78" s="64" t="str">
        <f aca="false">IF(OR(X$4="",$C78="",$D78=""),"",IF(AND($C78&lt;EDATE(X$4,1),$D78&gt;=X$4),1,""))</f>
        <v/>
      </c>
      <c r="Y78" s="64" t="str">
        <f aca="false">IF(OR(Y$4="",$C78="",$D78=""),"",IF(AND($C78&lt;EDATE(Y$4,1),$D78&gt;=Y$4),1,""))</f>
        <v/>
      </c>
      <c r="Z78" s="64" t="str">
        <f aca="false">IF(OR(Z$4="",$C78="",$D78=""),"",IF(AND($C78&lt;EDATE(Z$4,1),$D78&gt;=Z$4),1,""))</f>
        <v/>
      </c>
      <c r="AA78" s="64" t="str">
        <f aca="false">IF(OR(AA$4="",$C78="",$D78=""),"",IF(AND($C78&lt;EDATE(AA$4,1),$D78&gt;=AA$4),1,""))</f>
        <v/>
      </c>
      <c r="AB78" s="64" t="str">
        <f aca="false">IF(OR(AB$4="",$C78="",$D78=""),"",IF(AND($C78&lt;EDATE(AB$4,1),$D78&gt;=AB$4),1,""))</f>
        <v/>
      </c>
      <c r="AC78" s="64" t="str">
        <f aca="false">IF(OR(AC$4="",$C78="",$D78=""),"",IF(AND($C78&lt;EDATE(AC$4,1),$D78&gt;=AC$4),1,""))</f>
        <v/>
      </c>
      <c r="AD78" s="64" t="str">
        <f aca="false">IF(OR(AD$4="",$C78="",$D78=""),"",IF(AND($C78&lt;EDATE(AD$4,1),$D78&gt;=AD$4),1,""))</f>
        <v/>
      </c>
      <c r="AE78" s="64" t="str">
        <f aca="false">IF(OR(AE$4="",$C78="",$D78=""),"",IF(AND($C78&lt;EDATE(AE$4,1),$D78&gt;=AE$4),1,""))</f>
        <v/>
      </c>
      <c r="AF78" s="64" t="str">
        <f aca="false">IF(OR(AF$4="",$C78="",$D78=""),"",IF(AND($C78&lt;EDATE(AF$4,1),$D78&gt;=AF$4),1,""))</f>
        <v/>
      </c>
      <c r="AG78" s="64" t="str">
        <f aca="false">IF(OR(AG$4="",$C78="",$D78=""),"",IF(AND($C78&lt;EDATE(AG$4,1),$D78&gt;=AG$4),1,""))</f>
        <v/>
      </c>
      <c r="AH78" s="64" t="str">
        <f aca="false">IF(OR(AH$4="",$C78="",$D78=""),"",IF(AND($C78&lt;EDATE(AH$4,1),$D78&gt;=AH$4),1,""))</f>
        <v/>
      </c>
      <c r="AI78" s="64" t="str">
        <f aca="false">IF(OR(AI$4="",$C78="",$D78=""),"",IF(AND($C78&lt;EDATE(AI$4,1),$D78&gt;=AI$4),1,""))</f>
        <v/>
      </c>
      <c r="AJ78" s="64" t="str">
        <f aca="false">IF(OR(AJ$4="",$C78="",$D78=""),"",IF(AND($C78&lt;EDATE(AJ$4,1),$D78&gt;=AJ$4),1,""))</f>
        <v/>
      </c>
      <c r="AK78" s="64" t="str">
        <f aca="false">IF(OR(AK$4="",$C78="",$D78=""),"",IF(AND($C78&lt;EDATE(AK$4,1),$D78&gt;=AK$4),1,""))</f>
        <v/>
      </c>
      <c r="AL78" s="64" t="str">
        <f aca="false">IF(OR(AL$4="",$C78="",$D78=""),"",IF(AND($C78&lt;EDATE(AL$4,1),$D78&gt;=AL$4),1,""))</f>
        <v/>
      </c>
      <c r="AM78" s="64" t="str">
        <f aca="false">IF(OR(AM$4="",$C78="",$D78=""),"",IF(AND($C78&lt;EDATE(AM$4,1),$D78&gt;=AM$4),1,""))</f>
        <v/>
      </c>
      <c r="AN78" s="64" t="str">
        <f aca="false">IF(OR(AN$4="",$C78="",$D78=""),"",IF(AND($C78&lt;EDATE(AN$4,1),$D78&gt;=AN$4),1,""))</f>
        <v/>
      </c>
      <c r="AO78" s="64" t="str">
        <f aca="false">IF(OR(AO$4="",$C78="",$D78=""),"",IF(AND($C78&lt;EDATE(AO$4,1),$D78&gt;=AO$4),1,""))</f>
        <v/>
      </c>
      <c r="AP78" s="64" t="str">
        <f aca="false">IF(OR(AP$4="",$C78="",$D78=""),"",IF(AND($C78&lt;EDATE(AP$4,1),$D78&gt;=AP$4),1,""))</f>
        <v/>
      </c>
      <c r="AQ78" s="64" t="str">
        <f aca="false">IF(OR(AQ$4="",$C78="",$D78=""),"",IF(AND($C78&lt;EDATE(AQ$4,1),$D78&gt;=AQ$4),1,""))</f>
        <v/>
      </c>
      <c r="AR78" s="64" t="str">
        <f aca="false">IF(OR(AR$4="",$C78="",$D78=""),"",IF(AND($C78&lt;EDATE(AR$4,1),$D78&gt;=AR$4),1,""))</f>
        <v/>
      </c>
      <c r="AS78" s="64" t="str">
        <f aca="false">IF(OR(AS$4="",$C78="",$D78=""),"",IF(AND($C78&lt;EDATE(AS$4,1),$D78&gt;=AS$4),1,""))</f>
        <v/>
      </c>
      <c r="AT78" s="64" t="str">
        <f aca="false">IF(OR(AT$4="",$C78="",$D78=""),"",IF(AND($C78&lt;EDATE(AT$4,1),$D78&gt;=AT$4),1,""))</f>
        <v/>
      </c>
      <c r="AU78" s="64" t="str">
        <f aca="false">IF(OR(AU$4="",$C78="",$D78=""),"",IF(AND($C78&lt;EDATE(AU$4,1),$D78&gt;=AU$4),1,""))</f>
        <v/>
      </c>
      <c r="AV78" s="64" t="str">
        <f aca="false">IF(OR(AV$4="",$C78="",$D78=""),"",IF(AND($C78&lt;EDATE(AV$4,1),$D78&gt;=AV$4),1,""))</f>
        <v/>
      </c>
      <c r="AW78" s="64" t="str">
        <f aca="false">IF(OR(AW$4="",$C78="",$D78=""),"",IF(AND($C78&lt;EDATE(AW$4,1),$D78&gt;=AW$4),1,""))</f>
        <v/>
      </c>
      <c r="AX78" s="64" t="str">
        <f aca="false">IF(OR(AX$4="",$C78="",$D78=""),"",IF(AND($C78&lt;EDATE(AX$4,1),$D78&gt;=AX$4),1,""))</f>
        <v/>
      </c>
      <c r="AY78" s="64" t="str">
        <f aca="false">IF(OR(AY$4="",$C78="",$D78=""),"",IF(AND($C78&lt;EDATE(AY$4,1),$D78&gt;=AY$4),1,""))</f>
        <v/>
      </c>
      <c r="AZ78" s="64" t="str">
        <f aca="false">IF(OR(AZ$4="",$C78="",$D78=""),"",IF(AND($C78&lt;EDATE(AZ$4,1),$D78&gt;=AZ$4),1,""))</f>
        <v/>
      </c>
      <c r="BA78" s="64" t="str">
        <f aca="false">IF(OR(BA$4="",$C78="",$D78=""),"",IF(AND($C78&lt;EDATE(BA$4,1),$D78&gt;=BA$4),1,""))</f>
        <v/>
      </c>
      <c r="BB78" s="64" t="str">
        <f aca="false">IF(OR(BB$4="",$C78="",$D78=""),"",IF(AND($C78&lt;EDATE(BB$4,1),$D78&gt;=BB$4),1,""))</f>
        <v/>
      </c>
      <c r="BC78" s="64" t="str">
        <f aca="false">IF(OR(BC$4="",$C78="",$D78=""),"",IF(AND($C78&lt;EDATE(BC$4,1),$D78&gt;=BC$4),1,""))</f>
        <v/>
      </c>
      <c r="BD78" s="64" t="str">
        <f aca="false">IF(OR(BD$4="",$C78="",$D78=""),"",IF(AND($C78&lt;EDATE(BD$4,1),$D78&gt;=BD$4),1,""))</f>
        <v/>
      </c>
      <c r="BE78" s="64" t="str">
        <f aca="false">IF(OR(BE$4="",$C78="",$D78=""),"",IF(AND($C78&lt;EDATE(BE$4,1),$D78&gt;=BE$4),1,""))</f>
        <v/>
      </c>
      <c r="BF78" s="64" t="str">
        <f aca="false">IF(OR(BF$4="",$C78="",$D78=""),"",IF(AND($C78&lt;EDATE(BF$4,1),$D78&gt;=BF$4),1,""))</f>
        <v/>
      </c>
      <c r="BG78" s="64" t="str">
        <f aca="false">IF(OR(BG$4="",$C78="",$D78=""),"",IF(AND($C78&lt;EDATE(BG$4,1),$D78&gt;=BG$4),1,""))</f>
        <v/>
      </c>
      <c r="BH78" s="64" t="str">
        <f aca="false">IF(OR(BH$4="",$C78="",$D78=""),"",IF(AND($C78&lt;EDATE(BH$4,1),$D78&gt;=BH$4),1,""))</f>
        <v/>
      </c>
      <c r="BI78" s="64" t="str">
        <f aca="false">IF(OR(BI$4="",$C78="",$D78=""),"",IF(AND($C78&lt;EDATE(BI$4,1),$D78&gt;=BI$4),1,""))</f>
        <v/>
      </c>
      <c r="BJ78" s="64" t="str">
        <f aca="false">IF(OR(BJ$4="",$C78="",$D78=""),"",IF(AND($C78&lt;EDATE(BJ$4,1),$D78&gt;=BJ$4),1,""))</f>
        <v/>
      </c>
      <c r="BK78" s="64" t="str">
        <f aca="false">IF(OR(BK$4="",$C78="",$D78=""),"",IF(AND($C78&lt;EDATE(BK$4,1),$D78&gt;=BK$4),1,""))</f>
        <v/>
      </c>
      <c r="BL78" s="64" t="str">
        <f aca="false">IF(OR(BL$4="",$C78="",$D78=""),"",IF(AND($C78&lt;EDATE(BL$4,1),$D78&gt;=BL$4),1,""))</f>
        <v/>
      </c>
      <c r="BM78" s="64" t="str">
        <f aca="false">IF(OR(BM$4="",$C78="",$D78=""),"",IF(AND($C78&lt;EDATE(BM$4,1),$D78&gt;=BM$4),1,""))</f>
        <v/>
      </c>
      <c r="BN78" s="64" t="str">
        <f aca="false">IF(OR(BN$4="",$C78="",$D78=""),"",IF(AND($C78&lt;EDATE(BN$4,1),$D78&gt;=BN$4),1,""))</f>
        <v/>
      </c>
      <c r="BO78" s="64" t="str">
        <f aca="false">IF(OR(BO$4="",$C78="",$D78=""),"",IF(AND($C78&lt;EDATE(BO$4,1),$D78&gt;=BO$4),1,""))</f>
        <v/>
      </c>
      <c r="BP78" s="64" t="str">
        <f aca="false">IF(OR(BP$4="",$C78="",$D78=""),"",IF(AND($C78&lt;EDATE(BP$4,1),$D78&gt;=BP$4),1,""))</f>
        <v/>
      </c>
      <c r="BQ78" s="64" t="str">
        <f aca="false">IF(OR(BQ$4="",$C78="",$D78=""),"",IF(AND($C78&lt;EDATE(BQ$4,1),$D78&gt;=BQ$4),1,""))</f>
        <v/>
      </c>
      <c r="BR78" s="64" t="str">
        <f aca="false">IF(OR(BR$4="",$C78="",$D78=""),"",IF(AND($C78&lt;EDATE(BR$4,1),$D78&gt;=BR$4),1,""))</f>
        <v/>
      </c>
      <c r="BS78" s="64" t="str">
        <f aca="false">IF(OR(BS$4="",$C78="",$D78=""),"",IF(AND($C78&lt;EDATE(BS$4,1),$D78&gt;=BS$4),1,""))</f>
        <v/>
      </c>
      <c r="BT78" s="64" t="str">
        <f aca="false">IF(OR(BT$4="",$C78="",$D78=""),"",IF(AND($C78&lt;EDATE(BT$4,1),$D78&gt;=BT$4),1,""))</f>
        <v/>
      </c>
      <c r="BU78" s="64" t="str">
        <f aca="false">IF(OR(BU$4="",$C78="",$D78=""),"",IF(AND($C78&lt;EDATE(BU$4,1),$D78&gt;=BU$4),1,""))</f>
        <v/>
      </c>
      <c r="BV78" s="64" t="str">
        <f aca="false">IF(OR(BV$4="",$C78="",$D78=""),"",IF(AND($C78&lt;EDATE(BV$4,1),$D78&gt;=BV$4),1,""))</f>
        <v/>
      </c>
      <c r="BW78" s="64" t="str">
        <f aca="false">IF(OR(BW$4="",$C78="",$D78=""),"",IF(AND($C78&lt;EDATE(BW$4,1),$D78&gt;=BW$4),1,""))</f>
        <v/>
      </c>
      <c r="BX78" s="64" t="str">
        <f aca="false">IF(OR(BX$4="",$C78="",$D78=""),"",IF(AND($C78&lt;EDATE(BX$4,1),$D78&gt;=BX$4),1,""))</f>
        <v/>
      </c>
      <c r="BY78" s="64" t="str">
        <f aca="false">IF(OR(BY$4="",$C78="",$D78=""),"",IF(AND($C78&lt;EDATE(BY$4,1),$D78&gt;=BY$4),1,""))</f>
        <v/>
      </c>
    </row>
    <row r="79" customFormat="false" ht="15" hidden="false" customHeight="false" outlineLevel="0" collapsed="false">
      <c r="A79" s="53" t="str">
        <f aca="false">IF(BOE!$A48="","",BOE!$A48)</f>
        <v/>
      </c>
      <c r="B79" s="53" t="str">
        <f aca="false">IF(BOE!$A48="","",BOE!$C48)</f>
        <v/>
      </c>
      <c r="C79" s="54" t="str">
        <f aca="false">IF(OR(BOE!$A48="",BOE!$E48&lt;&gt;"Y"),"",BOE!$O48)</f>
        <v/>
      </c>
      <c r="D79" s="54" t="str">
        <f aca="false">IF(OR(BOE!$A48="",BOE!$E48&lt;&gt;"Y"),"",BOE!$P48)</f>
        <v/>
      </c>
      <c r="E79" s="55" t="str">
        <f aca="false">IF(OR(BOE!$A48="",BOE!$E48&lt;&gt;"Y"),"",IF(Inputs!$B$7="P90",BOE!$T48,BOE!$R48))</f>
        <v/>
      </c>
      <c r="F79" s="64" t="str">
        <f aca="false">IF(OR(F$4="",$C79="",$D79=""),"",IF(AND($C79&lt;EDATE(F$4,1),$D79&gt;=F$4),1,""))</f>
        <v/>
      </c>
      <c r="G79" s="64" t="str">
        <f aca="false">IF(OR(G$4="",$C79="",$D79=""),"",IF(AND($C79&lt;EDATE(G$4,1),$D79&gt;=G$4),1,""))</f>
        <v/>
      </c>
      <c r="H79" s="64" t="str">
        <f aca="false">IF(OR(H$4="",$C79="",$D79=""),"",IF(AND($C79&lt;EDATE(H$4,1),$D79&gt;=H$4),1,""))</f>
        <v/>
      </c>
      <c r="I79" s="64" t="str">
        <f aca="false">IF(OR(I$4="",$C79="",$D79=""),"",IF(AND($C79&lt;EDATE(I$4,1),$D79&gt;=I$4),1,""))</f>
        <v/>
      </c>
      <c r="J79" s="64" t="str">
        <f aca="false">IF(OR(J$4="",$C79="",$D79=""),"",IF(AND($C79&lt;EDATE(J$4,1),$D79&gt;=J$4),1,""))</f>
        <v/>
      </c>
      <c r="K79" s="64" t="str">
        <f aca="false">IF(OR(K$4="",$C79="",$D79=""),"",IF(AND($C79&lt;EDATE(K$4,1),$D79&gt;=K$4),1,""))</f>
        <v/>
      </c>
      <c r="L79" s="64" t="str">
        <f aca="false">IF(OR(L$4="",$C79="",$D79=""),"",IF(AND($C79&lt;EDATE(L$4,1),$D79&gt;=L$4),1,""))</f>
        <v/>
      </c>
      <c r="M79" s="64" t="str">
        <f aca="false">IF(OR(M$4="",$C79="",$D79=""),"",IF(AND($C79&lt;EDATE(M$4,1),$D79&gt;=M$4),1,""))</f>
        <v/>
      </c>
      <c r="N79" s="64" t="str">
        <f aca="false">IF(OR(N$4="",$C79="",$D79=""),"",IF(AND($C79&lt;EDATE(N$4,1),$D79&gt;=N$4),1,""))</f>
        <v/>
      </c>
      <c r="O79" s="64" t="str">
        <f aca="false">IF(OR(O$4="",$C79="",$D79=""),"",IF(AND($C79&lt;EDATE(O$4,1),$D79&gt;=O$4),1,""))</f>
        <v/>
      </c>
      <c r="P79" s="64" t="str">
        <f aca="false">IF(OR(P$4="",$C79="",$D79=""),"",IF(AND($C79&lt;EDATE(P$4,1),$D79&gt;=P$4),1,""))</f>
        <v/>
      </c>
      <c r="Q79" s="64" t="str">
        <f aca="false">IF(OR(Q$4="",$C79="",$D79=""),"",IF(AND($C79&lt;EDATE(Q$4,1),$D79&gt;=Q$4),1,""))</f>
        <v/>
      </c>
      <c r="R79" s="64" t="str">
        <f aca="false">IF(OR(R$4="",$C79="",$D79=""),"",IF(AND($C79&lt;EDATE(R$4,1),$D79&gt;=R$4),1,""))</f>
        <v/>
      </c>
      <c r="S79" s="64" t="str">
        <f aca="false">IF(OR(S$4="",$C79="",$D79=""),"",IF(AND($C79&lt;EDATE(S$4,1),$D79&gt;=S$4),1,""))</f>
        <v/>
      </c>
      <c r="T79" s="64" t="str">
        <f aca="false">IF(OR(T$4="",$C79="",$D79=""),"",IF(AND($C79&lt;EDATE(T$4,1),$D79&gt;=T$4),1,""))</f>
        <v/>
      </c>
      <c r="U79" s="64" t="str">
        <f aca="false">IF(OR(U$4="",$C79="",$D79=""),"",IF(AND($C79&lt;EDATE(U$4,1),$D79&gt;=U$4),1,""))</f>
        <v/>
      </c>
      <c r="V79" s="64" t="str">
        <f aca="false">IF(OR(V$4="",$C79="",$D79=""),"",IF(AND($C79&lt;EDATE(V$4,1),$D79&gt;=V$4),1,""))</f>
        <v/>
      </c>
      <c r="W79" s="64" t="str">
        <f aca="false">IF(OR(W$4="",$C79="",$D79=""),"",IF(AND($C79&lt;EDATE(W$4,1),$D79&gt;=W$4),1,""))</f>
        <v/>
      </c>
      <c r="X79" s="64" t="str">
        <f aca="false">IF(OR(X$4="",$C79="",$D79=""),"",IF(AND($C79&lt;EDATE(X$4,1),$D79&gt;=X$4),1,""))</f>
        <v/>
      </c>
      <c r="Y79" s="64" t="str">
        <f aca="false">IF(OR(Y$4="",$C79="",$D79=""),"",IF(AND($C79&lt;EDATE(Y$4,1),$D79&gt;=Y$4),1,""))</f>
        <v/>
      </c>
      <c r="Z79" s="64" t="str">
        <f aca="false">IF(OR(Z$4="",$C79="",$D79=""),"",IF(AND($C79&lt;EDATE(Z$4,1),$D79&gt;=Z$4),1,""))</f>
        <v/>
      </c>
      <c r="AA79" s="64" t="str">
        <f aca="false">IF(OR(AA$4="",$C79="",$D79=""),"",IF(AND($C79&lt;EDATE(AA$4,1),$D79&gt;=AA$4),1,""))</f>
        <v/>
      </c>
      <c r="AB79" s="64" t="str">
        <f aca="false">IF(OR(AB$4="",$C79="",$D79=""),"",IF(AND($C79&lt;EDATE(AB$4,1),$D79&gt;=AB$4),1,""))</f>
        <v/>
      </c>
      <c r="AC79" s="64" t="str">
        <f aca="false">IF(OR(AC$4="",$C79="",$D79=""),"",IF(AND($C79&lt;EDATE(AC$4,1),$D79&gt;=AC$4),1,""))</f>
        <v/>
      </c>
      <c r="AD79" s="64" t="str">
        <f aca="false">IF(OR(AD$4="",$C79="",$D79=""),"",IF(AND($C79&lt;EDATE(AD$4,1),$D79&gt;=AD$4),1,""))</f>
        <v/>
      </c>
      <c r="AE79" s="64" t="str">
        <f aca="false">IF(OR(AE$4="",$C79="",$D79=""),"",IF(AND($C79&lt;EDATE(AE$4,1),$D79&gt;=AE$4),1,""))</f>
        <v/>
      </c>
      <c r="AF79" s="64" t="str">
        <f aca="false">IF(OR(AF$4="",$C79="",$D79=""),"",IF(AND($C79&lt;EDATE(AF$4,1),$D79&gt;=AF$4),1,""))</f>
        <v/>
      </c>
      <c r="AG79" s="64" t="str">
        <f aca="false">IF(OR(AG$4="",$C79="",$D79=""),"",IF(AND($C79&lt;EDATE(AG$4,1),$D79&gt;=AG$4),1,""))</f>
        <v/>
      </c>
      <c r="AH79" s="64" t="str">
        <f aca="false">IF(OR(AH$4="",$C79="",$D79=""),"",IF(AND($C79&lt;EDATE(AH$4,1),$D79&gt;=AH$4),1,""))</f>
        <v/>
      </c>
      <c r="AI79" s="64" t="str">
        <f aca="false">IF(OR(AI$4="",$C79="",$D79=""),"",IF(AND($C79&lt;EDATE(AI$4,1),$D79&gt;=AI$4),1,""))</f>
        <v/>
      </c>
      <c r="AJ79" s="64" t="str">
        <f aca="false">IF(OR(AJ$4="",$C79="",$D79=""),"",IF(AND($C79&lt;EDATE(AJ$4,1),$D79&gt;=AJ$4),1,""))</f>
        <v/>
      </c>
      <c r="AK79" s="64" t="str">
        <f aca="false">IF(OR(AK$4="",$C79="",$D79=""),"",IF(AND($C79&lt;EDATE(AK$4,1),$D79&gt;=AK$4),1,""))</f>
        <v/>
      </c>
      <c r="AL79" s="64" t="str">
        <f aca="false">IF(OR(AL$4="",$C79="",$D79=""),"",IF(AND($C79&lt;EDATE(AL$4,1),$D79&gt;=AL$4),1,""))</f>
        <v/>
      </c>
      <c r="AM79" s="64" t="str">
        <f aca="false">IF(OR(AM$4="",$C79="",$D79=""),"",IF(AND($C79&lt;EDATE(AM$4,1),$D79&gt;=AM$4),1,""))</f>
        <v/>
      </c>
      <c r="AN79" s="64" t="str">
        <f aca="false">IF(OR(AN$4="",$C79="",$D79=""),"",IF(AND($C79&lt;EDATE(AN$4,1),$D79&gt;=AN$4),1,""))</f>
        <v/>
      </c>
      <c r="AO79" s="64" t="str">
        <f aca="false">IF(OR(AO$4="",$C79="",$D79=""),"",IF(AND($C79&lt;EDATE(AO$4,1),$D79&gt;=AO$4),1,""))</f>
        <v/>
      </c>
      <c r="AP79" s="64" t="str">
        <f aca="false">IF(OR(AP$4="",$C79="",$D79=""),"",IF(AND($C79&lt;EDATE(AP$4,1),$D79&gt;=AP$4),1,""))</f>
        <v/>
      </c>
      <c r="AQ79" s="64" t="str">
        <f aca="false">IF(OR(AQ$4="",$C79="",$D79=""),"",IF(AND($C79&lt;EDATE(AQ$4,1),$D79&gt;=AQ$4),1,""))</f>
        <v/>
      </c>
      <c r="AR79" s="64" t="str">
        <f aca="false">IF(OR(AR$4="",$C79="",$D79=""),"",IF(AND($C79&lt;EDATE(AR$4,1),$D79&gt;=AR$4),1,""))</f>
        <v/>
      </c>
      <c r="AS79" s="64" t="str">
        <f aca="false">IF(OR(AS$4="",$C79="",$D79=""),"",IF(AND($C79&lt;EDATE(AS$4,1),$D79&gt;=AS$4),1,""))</f>
        <v/>
      </c>
      <c r="AT79" s="64" t="str">
        <f aca="false">IF(OR(AT$4="",$C79="",$D79=""),"",IF(AND($C79&lt;EDATE(AT$4,1),$D79&gt;=AT$4),1,""))</f>
        <v/>
      </c>
      <c r="AU79" s="64" t="str">
        <f aca="false">IF(OR(AU$4="",$C79="",$D79=""),"",IF(AND($C79&lt;EDATE(AU$4,1),$D79&gt;=AU$4),1,""))</f>
        <v/>
      </c>
      <c r="AV79" s="64" t="str">
        <f aca="false">IF(OR(AV$4="",$C79="",$D79=""),"",IF(AND($C79&lt;EDATE(AV$4,1),$D79&gt;=AV$4),1,""))</f>
        <v/>
      </c>
      <c r="AW79" s="64" t="str">
        <f aca="false">IF(OR(AW$4="",$C79="",$D79=""),"",IF(AND($C79&lt;EDATE(AW$4,1),$D79&gt;=AW$4),1,""))</f>
        <v/>
      </c>
      <c r="AX79" s="64" t="str">
        <f aca="false">IF(OR(AX$4="",$C79="",$D79=""),"",IF(AND($C79&lt;EDATE(AX$4,1),$D79&gt;=AX$4),1,""))</f>
        <v/>
      </c>
      <c r="AY79" s="64" t="str">
        <f aca="false">IF(OR(AY$4="",$C79="",$D79=""),"",IF(AND($C79&lt;EDATE(AY$4,1),$D79&gt;=AY$4),1,""))</f>
        <v/>
      </c>
      <c r="AZ79" s="64" t="str">
        <f aca="false">IF(OR(AZ$4="",$C79="",$D79=""),"",IF(AND($C79&lt;EDATE(AZ$4,1),$D79&gt;=AZ$4),1,""))</f>
        <v/>
      </c>
      <c r="BA79" s="64" t="str">
        <f aca="false">IF(OR(BA$4="",$C79="",$D79=""),"",IF(AND($C79&lt;EDATE(BA$4,1),$D79&gt;=BA$4),1,""))</f>
        <v/>
      </c>
      <c r="BB79" s="64" t="str">
        <f aca="false">IF(OR(BB$4="",$C79="",$D79=""),"",IF(AND($C79&lt;EDATE(BB$4,1),$D79&gt;=BB$4),1,""))</f>
        <v/>
      </c>
      <c r="BC79" s="64" t="str">
        <f aca="false">IF(OR(BC$4="",$C79="",$D79=""),"",IF(AND($C79&lt;EDATE(BC$4,1),$D79&gt;=BC$4),1,""))</f>
        <v/>
      </c>
      <c r="BD79" s="64" t="str">
        <f aca="false">IF(OR(BD$4="",$C79="",$D79=""),"",IF(AND($C79&lt;EDATE(BD$4,1),$D79&gt;=BD$4),1,""))</f>
        <v/>
      </c>
      <c r="BE79" s="64" t="str">
        <f aca="false">IF(OR(BE$4="",$C79="",$D79=""),"",IF(AND($C79&lt;EDATE(BE$4,1),$D79&gt;=BE$4),1,""))</f>
        <v/>
      </c>
      <c r="BF79" s="64" t="str">
        <f aca="false">IF(OR(BF$4="",$C79="",$D79=""),"",IF(AND($C79&lt;EDATE(BF$4,1),$D79&gt;=BF$4),1,""))</f>
        <v/>
      </c>
      <c r="BG79" s="64" t="str">
        <f aca="false">IF(OR(BG$4="",$C79="",$D79=""),"",IF(AND($C79&lt;EDATE(BG$4,1),$D79&gt;=BG$4),1,""))</f>
        <v/>
      </c>
      <c r="BH79" s="64" t="str">
        <f aca="false">IF(OR(BH$4="",$C79="",$D79=""),"",IF(AND($C79&lt;EDATE(BH$4,1),$D79&gt;=BH$4),1,""))</f>
        <v/>
      </c>
      <c r="BI79" s="64" t="str">
        <f aca="false">IF(OR(BI$4="",$C79="",$D79=""),"",IF(AND($C79&lt;EDATE(BI$4,1),$D79&gt;=BI$4),1,""))</f>
        <v/>
      </c>
      <c r="BJ79" s="64" t="str">
        <f aca="false">IF(OR(BJ$4="",$C79="",$D79=""),"",IF(AND($C79&lt;EDATE(BJ$4,1),$D79&gt;=BJ$4),1,""))</f>
        <v/>
      </c>
      <c r="BK79" s="64" t="str">
        <f aca="false">IF(OR(BK$4="",$C79="",$D79=""),"",IF(AND($C79&lt;EDATE(BK$4,1),$D79&gt;=BK$4),1,""))</f>
        <v/>
      </c>
      <c r="BL79" s="64" t="str">
        <f aca="false">IF(OR(BL$4="",$C79="",$D79=""),"",IF(AND($C79&lt;EDATE(BL$4,1),$D79&gt;=BL$4),1,""))</f>
        <v/>
      </c>
      <c r="BM79" s="64" t="str">
        <f aca="false">IF(OR(BM$4="",$C79="",$D79=""),"",IF(AND($C79&lt;EDATE(BM$4,1),$D79&gt;=BM$4),1,""))</f>
        <v/>
      </c>
      <c r="BN79" s="64" t="str">
        <f aca="false">IF(OR(BN$4="",$C79="",$D79=""),"",IF(AND($C79&lt;EDATE(BN$4,1),$D79&gt;=BN$4),1,""))</f>
        <v/>
      </c>
      <c r="BO79" s="64" t="str">
        <f aca="false">IF(OR(BO$4="",$C79="",$D79=""),"",IF(AND($C79&lt;EDATE(BO$4,1),$D79&gt;=BO$4),1,""))</f>
        <v/>
      </c>
      <c r="BP79" s="64" t="str">
        <f aca="false">IF(OR(BP$4="",$C79="",$D79=""),"",IF(AND($C79&lt;EDATE(BP$4,1),$D79&gt;=BP$4),1,""))</f>
        <v/>
      </c>
      <c r="BQ79" s="64" t="str">
        <f aca="false">IF(OR(BQ$4="",$C79="",$D79=""),"",IF(AND($C79&lt;EDATE(BQ$4,1),$D79&gt;=BQ$4),1,""))</f>
        <v/>
      </c>
      <c r="BR79" s="64" t="str">
        <f aca="false">IF(OR(BR$4="",$C79="",$D79=""),"",IF(AND($C79&lt;EDATE(BR$4,1),$D79&gt;=BR$4),1,""))</f>
        <v/>
      </c>
      <c r="BS79" s="64" t="str">
        <f aca="false">IF(OR(BS$4="",$C79="",$D79=""),"",IF(AND($C79&lt;EDATE(BS$4,1),$D79&gt;=BS$4),1,""))</f>
        <v/>
      </c>
      <c r="BT79" s="64" t="str">
        <f aca="false">IF(OR(BT$4="",$C79="",$D79=""),"",IF(AND($C79&lt;EDATE(BT$4,1),$D79&gt;=BT$4),1,""))</f>
        <v/>
      </c>
      <c r="BU79" s="64" t="str">
        <f aca="false">IF(OR(BU$4="",$C79="",$D79=""),"",IF(AND($C79&lt;EDATE(BU$4,1),$D79&gt;=BU$4),1,""))</f>
        <v/>
      </c>
      <c r="BV79" s="64" t="str">
        <f aca="false">IF(OR(BV$4="",$C79="",$D79=""),"",IF(AND($C79&lt;EDATE(BV$4,1),$D79&gt;=BV$4),1,""))</f>
        <v/>
      </c>
      <c r="BW79" s="64" t="str">
        <f aca="false">IF(OR(BW$4="",$C79="",$D79=""),"",IF(AND($C79&lt;EDATE(BW$4,1),$D79&gt;=BW$4),1,""))</f>
        <v/>
      </c>
      <c r="BX79" s="64" t="str">
        <f aca="false">IF(OR(BX$4="",$C79="",$D79=""),"",IF(AND($C79&lt;EDATE(BX$4,1),$D79&gt;=BX$4),1,""))</f>
        <v/>
      </c>
      <c r="BY79" s="64" t="str">
        <f aca="false">IF(OR(BY$4="",$C79="",$D79=""),"",IF(AND($C79&lt;EDATE(BY$4,1),$D79&gt;=BY$4),1,""))</f>
        <v/>
      </c>
    </row>
    <row r="80" customFormat="false" ht="15" hidden="false" customHeight="false" outlineLevel="0" collapsed="false">
      <c r="A80" s="53" t="str">
        <f aca="false">IF(BOE!$A49="","",BOE!$A49)</f>
        <v/>
      </c>
      <c r="B80" s="53" t="str">
        <f aca="false">IF(BOE!$A49="","",BOE!$C49)</f>
        <v/>
      </c>
      <c r="C80" s="54" t="str">
        <f aca="false">IF(OR(BOE!$A49="",BOE!$E49&lt;&gt;"Y"),"",BOE!$O49)</f>
        <v/>
      </c>
      <c r="D80" s="54" t="str">
        <f aca="false">IF(OR(BOE!$A49="",BOE!$E49&lt;&gt;"Y"),"",BOE!$P49)</f>
        <v/>
      </c>
      <c r="E80" s="55" t="str">
        <f aca="false">IF(OR(BOE!$A49="",BOE!$E49&lt;&gt;"Y"),"",IF(Inputs!$B$7="P90",BOE!$T49,BOE!$R49))</f>
        <v/>
      </c>
      <c r="F80" s="64" t="str">
        <f aca="false">IF(OR(F$4="",$C80="",$D80=""),"",IF(AND($C80&lt;EDATE(F$4,1),$D80&gt;=F$4),1,""))</f>
        <v/>
      </c>
      <c r="G80" s="64" t="str">
        <f aca="false">IF(OR(G$4="",$C80="",$D80=""),"",IF(AND($C80&lt;EDATE(G$4,1),$D80&gt;=G$4),1,""))</f>
        <v/>
      </c>
      <c r="H80" s="64" t="str">
        <f aca="false">IF(OR(H$4="",$C80="",$D80=""),"",IF(AND($C80&lt;EDATE(H$4,1),$D80&gt;=H$4),1,""))</f>
        <v/>
      </c>
      <c r="I80" s="64" t="str">
        <f aca="false">IF(OR(I$4="",$C80="",$D80=""),"",IF(AND($C80&lt;EDATE(I$4,1),$D80&gt;=I$4),1,""))</f>
        <v/>
      </c>
      <c r="J80" s="64" t="str">
        <f aca="false">IF(OR(J$4="",$C80="",$D80=""),"",IF(AND($C80&lt;EDATE(J$4,1),$D80&gt;=J$4),1,""))</f>
        <v/>
      </c>
      <c r="K80" s="64" t="str">
        <f aca="false">IF(OR(K$4="",$C80="",$D80=""),"",IF(AND($C80&lt;EDATE(K$4,1),$D80&gt;=K$4),1,""))</f>
        <v/>
      </c>
      <c r="L80" s="64" t="str">
        <f aca="false">IF(OR(L$4="",$C80="",$D80=""),"",IF(AND($C80&lt;EDATE(L$4,1),$D80&gt;=L$4),1,""))</f>
        <v/>
      </c>
      <c r="M80" s="64" t="str">
        <f aca="false">IF(OR(M$4="",$C80="",$D80=""),"",IF(AND($C80&lt;EDATE(M$4,1),$D80&gt;=M$4),1,""))</f>
        <v/>
      </c>
      <c r="N80" s="64" t="str">
        <f aca="false">IF(OR(N$4="",$C80="",$D80=""),"",IF(AND($C80&lt;EDATE(N$4,1),$D80&gt;=N$4),1,""))</f>
        <v/>
      </c>
      <c r="O80" s="64" t="str">
        <f aca="false">IF(OR(O$4="",$C80="",$D80=""),"",IF(AND($C80&lt;EDATE(O$4,1),$D80&gt;=O$4),1,""))</f>
        <v/>
      </c>
      <c r="P80" s="64" t="str">
        <f aca="false">IF(OR(P$4="",$C80="",$D80=""),"",IF(AND($C80&lt;EDATE(P$4,1),$D80&gt;=P$4),1,""))</f>
        <v/>
      </c>
      <c r="Q80" s="64" t="str">
        <f aca="false">IF(OR(Q$4="",$C80="",$D80=""),"",IF(AND($C80&lt;EDATE(Q$4,1),$D80&gt;=Q$4),1,""))</f>
        <v/>
      </c>
      <c r="R80" s="64" t="str">
        <f aca="false">IF(OR(R$4="",$C80="",$D80=""),"",IF(AND($C80&lt;EDATE(R$4,1),$D80&gt;=R$4),1,""))</f>
        <v/>
      </c>
      <c r="S80" s="64" t="str">
        <f aca="false">IF(OR(S$4="",$C80="",$D80=""),"",IF(AND($C80&lt;EDATE(S$4,1),$D80&gt;=S$4),1,""))</f>
        <v/>
      </c>
      <c r="T80" s="64" t="str">
        <f aca="false">IF(OR(T$4="",$C80="",$D80=""),"",IF(AND($C80&lt;EDATE(T$4,1),$D80&gt;=T$4),1,""))</f>
        <v/>
      </c>
      <c r="U80" s="64" t="str">
        <f aca="false">IF(OR(U$4="",$C80="",$D80=""),"",IF(AND($C80&lt;EDATE(U$4,1),$D80&gt;=U$4),1,""))</f>
        <v/>
      </c>
      <c r="V80" s="64" t="str">
        <f aca="false">IF(OR(V$4="",$C80="",$D80=""),"",IF(AND($C80&lt;EDATE(V$4,1),$D80&gt;=V$4),1,""))</f>
        <v/>
      </c>
      <c r="W80" s="64" t="str">
        <f aca="false">IF(OR(W$4="",$C80="",$D80=""),"",IF(AND($C80&lt;EDATE(W$4,1),$D80&gt;=W$4),1,""))</f>
        <v/>
      </c>
      <c r="X80" s="64" t="str">
        <f aca="false">IF(OR(X$4="",$C80="",$D80=""),"",IF(AND($C80&lt;EDATE(X$4,1),$D80&gt;=X$4),1,""))</f>
        <v/>
      </c>
      <c r="Y80" s="64" t="str">
        <f aca="false">IF(OR(Y$4="",$C80="",$D80=""),"",IF(AND($C80&lt;EDATE(Y$4,1),$D80&gt;=Y$4),1,""))</f>
        <v/>
      </c>
      <c r="Z80" s="64" t="str">
        <f aca="false">IF(OR(Z$4="",$C80="",$D80=""),"",IF(AND($C80&lt;EDATE(Z$4,1),$D80&gt;=Z$4),1,""))</f>
        <v/>
      </c>
      <c r="AA80" s="64" t="str">
        <f aca="false">IF(OR(AA$4="",$C80="",$D80=""),"",IF(AND($C80&lt;EDATE(AA$4,1),$D80&gt;=AA$4),1,""))</f>
        <v/>
      </c>
      <c r="AB80" s="64" t="str">
        <f aca="false">IF(OR(AB$4="",$C80="",$D80=""),"",IF(AND($C80&lt;EDATE(AB$4,1),$D80&gt;=AB$4),1,""))</f>
        <v/>
      </c>
      <c r="AC80" s="64" t="str">
        <f aca="false">IF(OR(AC$4="",$C80="",$D80=""),"",IF(AND($C80&lt;EDATE(AC$4,1),$D80&gt;=AC$4),1,""))</f>
        <v/>
      </c>
      <c r="AD80" s="64" t="str">
        <f aca="false">IF(OR(AD$4="",$C80="",$D80=""),"",IF(AND($C80&lt;EDATE(AD$4,1),$D80&gt;=AD$4),1,""))</f>
        <v/>
      </c>
      <c r="AE80" s="64" t="str">
        <f aca="false">IF(OR(AE$4="",$C80="",$D80=""),"",IF(AND($C80&lt;EDATE(AE$4,1),$D80&gt;=AE$4),1,""))</f>
        <v/>
      </c>
      <c r="AF80" s="64" t="str">
        <f aca="false">IF(OR(AF$4="",$C80="",$D80=""),"",IF(AND($C80&lt;EDATE(AF$4,1),$D80&gt;=AF$4),1,""))</f>
        <v/>
      </c>
      <c r="AG80" s="64" t="str">
        <f aca="false">IF(OR(AG$4="",$C80="",$D80=""),"",IF(AND($C80&lt;EDATE(AG$4,1),$D80&gt;=AG$4),1,""))</f>
        <v/>
      </c>
      <c r="AH80" s="64" t="str">
        <f aca="false">IF(OR(AH$4="",$C80="",$D80=""),"",IF(AND($C80&lt;EDATE(AH$4,1),$D80&gt;=AH$4),1,""))</f>
        <v/>
      </c>
      <c r="AI80" s="64" t="str">
        <f aca="false">IF(OR(AI$4="",$C80="",$D80=""),"",IF(AND($C80&lt;EDATE(AI$4,1),$D80&gt;=AI$4),1,""))</f>
        <v/>
      </c>
      <c r="AJ80" s="64" t="str">
        <f aca="false">IF(OR(AJ$4="",$C80="",$D80=""),"",IF(AND($C80&lt;EDATE(AJ$4,1),$D80&gt;=AJ$4),1,""))</f>
        <v/>
      </c>
      <c r="AK80" s="64" t="str">
        <f aca="false">IF(OR(AK$4="",$C80="",$D80=""),"",IF(AND($C80&lt;EDATE(AK$4,1),$D80&gt;=AK$4),1,""))</f>
        <v/>
      </c>
      <c r="AL80" s="64" t="str">
        <f aca="false">IF(OR(AL$4="",$C80="",$D80=""),"",IF(AND($C80&lt;EDATE(AL$4,1),$D80&gt;=AL$4),1,""))</f>
        <v/>
      </c>
      <c r="AM80" s="64" t="str">
        <f aca="false">IF(OR(AM$4="",$C80="",$D80=""),"",IF(AND($C80&lt;EDATE(AM$4,1),$D80&gt;=AM$4),1,""))</f>
        <v/>
      </c>
      <c r="AN80" s="64" t="str">
        <f aca="false">IF(OR(AN$4="",$C80="",$D80=""),"",IF(AND($C80&lt;EDATE(AN$4,1),$D80&gt;=AN$4),1,""))</f>
        <v/>
      </c>
      <c r="AO80" s="64" t="str">
        <f aca="false">IF(OR(AO$4="",$C80="",$D80=""),"",IF(AND($C80&lt;EDATE(AO$4,1),$D80&gt;=AO$4),1,""))</f>
        <v/>
      </c>
      <c r="AP80" s="64" t="str">
        <f aca="false">IF(OR(AP$4="",$C80="",$D80=""),"",IF(AND($C80&lt;EDATE(AP$4,1),$D80&gt;=AP$4),1,""))</f>
        <v/>
      </c>
      <c r="AQ80" s="64" t="str">
        <f aca="false">IF(OR(AQ$4="",$C80="",$D80=""),"",IF(AND($C80&lt;EDATE(AQ$4,1),$D80&gt;=AQ$4),1,""))</f>
        <v/>
      </c>
      <c r="AR80" s="64" t="str">
        <f aca="false">IF(OR(AR$4="",$C80="",$D80=""),"",IF(AND($C80&lt;EDATE(AR$4,1),$D80&gt;=AR$4),1,""))</f>
        <v/>
      </c>
      <c r="AS80" s="64" t="str">
        <f aca="false">IF(OR(AS$4="",$C80="",$D80=""),"",IF(AND($C80&lt;EDATE(AS$4,1),$D80&gt;=AS$4),1,""))</f>
        <v/>
      </c>
      <c r="AT80" s="64" t="str">
        <f aca="false">IF(OR(AT$4="",$C80="",$D80=""),"",IF(AND($C80&lt;EDATE(AT$4,1),$D80&gt;=AT$4),1,""))</f>
        <v/>
      </c>
      <c r="AU80" s="64" t="str">
        <f aca="false">IF(OR(AU$4="",$C80="",$D80=""),"",IF(AND($C80&lt;EDATE(AU$4,1),$D80&gt;=AU$4),1,""))</f>
        <v/>
      </c>
      <c r="AV80" s="64" t="str">
        <f aca="false">IF(OR(AV$4="",$C80="",$D80=""),"",IF(AND($C80&lt;EDATE(AV$4,1),$D80&gt;=AV$4),1,""))</f>
        <v/>
      </c>
      <c r="AW80" s="64" t="str">
        <f aca="false">IF(OR(AW$4="",$C80="",$D80=""),"",IF(AND($C80&lt;EDATE(AW$4,1),$D80&gt;=AW$4),1,""))</f>
        <v/>
      </c>
      <c r="AX80" s="64" t="str">
        <f aca="false">IF(OR(AX$4="",$C80="",$D80=""),"",IF(AND($C80&lt;EDATE(AX$4,1),$D80&gt;=AX$4),1,""))</f>
        <v/>
      </c>
      <c r="AY80" s="64" t="str">
        <f aca="false">IF(OR(AY$4="",$C80="",$D80=""),"",IF(AND($C80&lt;EDATE(AY$4,1),$D80&gt;=AY$4),1,""))</f>
        <v/>
      </c>
      <c r="AZ80" s="64" t="str">
        <f aca="false">IF(OR(AZ$4="",$C80="",$D80=""),"",IF(AND($C80&lt;EDATE(AZ$4,1),$D80&gt;=AZ$4),1,""))</f>
        <v/>
      </c>
      <c r="BA80" s="64" t="str">
        <f aca="false">IF(OR(BA$4="",$C80="",$D80=""),"",IF(AND($C80&lt;EDATE(BA$4,1),$D80&gt;=BA$4),1,""))</f>
        <v/>
      </c>
      <c r="BB80" s="64" t="str">
        <f aca="false">IF(OR(BB$4="",$C80="",$D80=""),"",IF(AND($C80&lt;EDATE(BB$4,1),$D80&gt;=BB$4),1,""))</f>
        <v/>
      </c>
      <c r="BC80" s="64" t="str">
        <f aca="false">IF(OR(BC$4="",$C80="",$D80=""),"",IF(AND($C80&lt;EDATE(BC$4,1),$D80&gt;=BC$4),1,""))</f>
        <v/>
      </c>
      <c r="BD80" s="64" t="str">
        <f aca="false">IF(OR(BD$4="",$C80="",$D80=""),"",IF(AND($C80&lt;EDATE(BD$4,1),$D80&gt;=BD$4),1,""))</f>
        <v/>
      </c>
      <c r="BE80" s="64" t="str">
        <f aca="false">IF(OR(BE$4="",$C80="",$D80=""),"",IF(AND($C80&lt;EDATE(BE$4,1),$D80&gt;=BE$4),1,""))</f>
        <v/>
      </c>
      <c r="BF80" s="64" t="str">
        <f aca="false">IF(OR(BF$4="",$C80="",$D80=""),"",IF(AND($C80&lt;EDATE(BF$4,1),$D80&gt;=BF$4),1,""))</f>
        <v/>
      </c>
      <c r="BG80" s="64" t="str">
        <f aca="false">IF(OR(BG$4="",$C80="",$D80=""),"",IF(AND($C80&lt;EDATE(BG$4,1),$D80&gt;=BG$4),1,""))</f>
        <v/>
      </c>
      <c r="BH80" s="64" t="str">
        <f aca="false">IF(OR(BH$4="",$C80="",$D80=""),"",IF(AND($C80&lt;EDATE(BH$4,1),$D80&gt;=BH$4),1,""))</f>
        <v/>
      </c>
      <c r="BI80" s="64" t="str">
        <f aca="false">IF(OR(BI$4="",$C80="",$D80=""),"",IF(AND($C80&lt;EDATE(BI$4,1),$D80&gt;=BI$4),1,""))</f>
        <v/>
      </c>
      <c r="BJ80" s="64" t="str">
        <f aca="false">IF(OR(BJ$4="",$C80="",$D80=""),"",IF(AND($C80&lt;EDATE(BJ$4,1),$D80&gt;=BJ$4),1,""))</f>
        <v/>
      </c>
      <c r="BK80" s="64" t="str">
        <f aca="false">IF(OR(BK$4="",$C80="",$D80=""),"",IF(AND($C80&lt;EDATE(BK$4,1),$D80&gt;=BK$4),1,""))</f>
        <v/>
      </c>
      <c r="BL80" s="64" t="str">
        <f aca="false">IF(OR(BL$4="",$C80="",$D80=""),"",IF(AND($C80&lt;EDATE(BL$4,1),$D80&gt;=BL$4),1,""))</f>
        <v/>
      </c>
      <c r="BM80" s="64" t="str">
        <f aca="false">IF(OR(BM$4="",$C80="",$D80=""),"",IF(AND($C80&lt;EDATE(BM$4,1),$D80&gt;=BM$4),1,""))</f>
        <v/>
      </c>
      <c r="BN80" s="64" t="str">
        <f aca="false">IF(OR(BN$4="",$C80="",$D80=""),"",IF(AND($C80&lt;EDATE(BN$4,1),$D80&gt;=BN$4),1,""))</f>
        <v/>
      </c>
      <c r="BO80" s="64" t="str">
        <f aca="false">IF(OR(BO$4="",$C80="",$D80=""),"",IF(AND($C80&lt;EDATE(BO$4,1),$D80&gt;=BO$4),1,""))</f>
        <v/>
      </c>
      <c r="BP80" s="64" t="str">
        <f aca="false">IF(OR(BP$4="",$C80="",$D80=""),"",IF(AND($C80&lt;EDATE(BP$4,1),$D80&gt;=BP$4),1,""))</f>
        <v/>
      </c>
      <c r="BQ80" s="64" t="str">
        <f aca="false">IF(OR(BQ$4="",$C80="",$D80=""),"",IF(AND($C80&lt;EDATE(BQ$4,1),$D80&gt;=BQ$4),1,""))</f>
        <v/>
      </c>
      <c r="BR80" s="64" t="str">
        <f aca="false">IF(OR(BR$4="",$C80="",$D80=""),"",IF(AND($C80&lt;EDATE(BR$4,1),$D80&gt;=BR$4),1,""))</f>
        <v/>
      </c>
      <c r="BS80" s="64" t="str">
        <f aca="false">IF(OR(BS$4="",$C80="",$D80=""),"",IF(AND($C80&lt;EDATE(BS$4,1),$D80&gt;=BS$4),1,""))</f>
        <v/>
      </c>
      <c r="BT80" s="64" t="str">
        <f aca="false">IF(OR(BT$4="",$C80="",$D80=""),"",IF(AND($C80&lt;EDATE(BT$4,1),$D80&gt;=BT$4),1,""))</f>
        <v/>
      </c>
      <c r="BU80" s="64" t="str">
        <f aca="false">IF(OR(BU$4="",$C80="",$D80=""),"",IF(AND($C80&lt;EDATE(BU$4,1),$D80&gt;=BU$4),1,""))</f>
        <v/>
      </c>
      <c r="BV80" s="64" t="str">
        <f aca="false">IF(OR(BV$4="",$C80="",$D80=""),"",IF(AND($C80&lt;EDATE(BV$4,1),$D80&gt;=BV$4),1,""))</f>
        <v/>
      </c>
      <c r="BW80" s="64" t="str">
        <f aca="false">IF(OR(BW$4="",$C80="",$D80=""),"",IF(AND($C80&lt;EDATE(BW$4,1),$D80&gt;=BW$4),1,""))</f>
        <v/>
      </c>
      <c r="BX80" s="64" t="str">
        <f aca="false">IF(OR(BX$4="",$C80="",$D80=""),"",IF(AND($C80&lt;EDATE(BX$4,1),$D80&gt;=BX$4),1,""))</f>
        <v/>
      </c>
      <c r="BY80" s="64" t="str">
        <f aca="false">IF(OR(BY$4="",$C80="",$D80=""),"",IF(AND($C80&lt;EDATE(BY$4,1),$D80&gt;=BY$4),1,""))</f>
        <v/>
      </c>
    </row>
    <row r="81" customFormat="false" ht="15" hidden="false" customHeight="false" outlineLevel="0" collapsed="false">
      <c r="A81" s="53" t="str">
        <f aca="false">IF(BOE!$A50="","",BOE!$A50)</f>
        <v/>
      </c>
      <c r="B81" s="53" t="str">
        <f aca="false">IF(BOE!$A50="","",BOE!$C50)</f>
        <v/>
      </c>
      <c r="C81" s="54" t="str">
        <f aca="false">IF(OR(BOE!$A50="",BOE!$E50&lt;&gt;"Y"),"",BOE!$O50)</f>
        <v/>
      </c>
      <c r="D81" s="54" t="str">
        <f aca="false">IF(OR(BOE!$A50="",BOE!$E50&lt;&gt;"Y"),"",BOE!$P50)</f>
        <v/>
      </c>
      <c r="E81" s="55" t="str">
        <f aca="false">IF(OR(BOE!$A50="",BOE!$E50&lt;&gt;"Y"),"",IF(Inputs!$B$7="P90",BOE!$T50,BOE!$R50))</f>
        <v/>
      </c>
      <c r="F81" s="64" t="str">
        <f aca="false">IF(OR(F$4="",$C81="",$D81=""),"",IF(AND($C81&lt;EDATE(F$4,1),$D81&gt;=F$4),1,""))</f>
        <v/>
      </c>
      <c r="G81" s="64" t="str">
        <f aca="false">IF(OR(G$4="",$C81="",$D81=""),"",IF(AND($C81&lt;EDATE(G$4,1),$D81&gt;=G$4),1,""))</f>
        <v/>
      </c>
      <c r="H81" s="64" t="str">
        <f aca="false">IF(OR(H$4="",$C81="",$D81=""),"",IF(AND($C81&lt;EDATE(H$4,1),$D81&gt;=H$4),1,""))</f>
        <v/>
      </c>
      <c r="I81" s="64" t="str">
        <f aca="false">IF(OR(I$4="",$C81="",$D81=""),"",IF(AND($C81&lt;EDATE(I$4,1),$D81&gt;=I$4),1,""))</f>
        <v/>
      </c>
      <c r="J81" s="64" t="str">
        <f aca="false">IF(OR(J$4="",$C81="",$D81=""),"",IF(AND($C81&lt;EDATE(J$4,1),$D81&gt;=J$4),1,""))</f>
        <v/>
      </c>
      <c r="K81" s="64" t="str">
        <f aca="false">IF(OR(K$4="",$C81="",$D81=""),"",IF(AND($C81&lt;EDATE(K$4,1),$D81&gt;=K$4),1,""))</f>
        <v/>
      </c>
      <c r="L81" s="64" t="str">
        <f aca="false">IF(OR(L$4="",$C81="",$D81=""),"",IF(AND($C81&lt;EDATE(L$4,1),$D81&gt;=L$4),1,""))</f>
        <v/>
      </c>
      <c r="M81" s="64" t="str">
        <f aca="false">IF(OR(M$4="",$C81="",$D81=""),"",IF(AND($C81&lt;EDATE(M$4,1),$D81&gt;=M$4),1,""))</f>
        <v/>
      </c>
      <c r="N81" s="64" t="str">
        <f aca="false">IF(OR(N$4="",$C81="",$D81=""),"",IF(AND($C81&lt;EDATE(N$4,1),$D81&gt;=N$4),1,""))</f>
        <v/>
      </c>
      <c r="O81" s="64" t="str">
        <f aca="false">IF(OR(O$4="",$C81="",$D81=""),"",IF(AND($C81&lt;EDATE(O$4,1),$D81&gt;=O$4),1,""))</f>
        <v/>
      </c>
      <c r="P81" s="64" t="str">
        <f aca="false">IF(OR(P$4="",$C81="",$D81=""),"",IF(AND($C81&lt;EDATE(P$4,1),$D81&gt;=P$4),1,""))</f>
        <v/>
      </c>
      <c r="Q81" s="64" t="str">
        <f aca="false">IF(OR(Q$4="",$C81="",$D81=""),"",IF(AND($C81&lt;EDATE(Q$4,1),$D81&gt;=Q$4),1,""))</f>
        <v/>
      </c>
      <c r="R81" s="64" t="str">
        <f aca="false">IF(OR(R$4="",$C81="",$D81=""),"",IF(AND($C81&lt;EDATE(R$4,1),$D81&gt;=R$4),1,""))</f>
        <v/>
      </c>
      <c r="S81" s="64" t="str">
        <f aca="false">IF(OR(S$4="",$C81="",$D81=""),"",IF(AND($C81&lt;EDATE(S$4,1),$D81&gt;=S$4),1,""))</f>
        <v/>
      </c>
      <c r="T81" s="64" t="str">
        <f aca="false">IF(OR(T$4="",$C81="",$D81=""),"",IF(AND($C81&lt;EDATE(T$4,1),$D81&gt;=T$4),1,""))</f>
        <v/>
      </c>
      <c r="U81" s="64" t="str">
        <f aca="false">IF(OR(U$4="",$C81="",$D81=""),"",IF(AND($C81&lt;EDATE(U$4,1),$D81&gt;=U$4),1,""))</f>
        <v/>
      </c>
      <c r="V81" s="64" t="str">
        <f aca="false">IF(OR(V$4="",$C81="",$D81=""),"",IF(AND($C81&lt;EDATE(V$4,1),$D81&gt;=V$4),1,""))</f>
        <v/>
      </c>
      <c r="W81" s="64" t="str">
        <f aca="false">IF(OR(W$4="",$C81="",$D81=""),"",IF(AND($C81&lt;EDATE(W$4,1),$D81&gt;=W$4),1,""))</f>
        <v/>
      </c>
      <c r="X81" s="64" t="str">
        <f aca="false">IF(OR(X$4="",$C81="",$D81=""),"",IF(AND($C81&lt;EDATE(X$4,1),$D81&gt;=X$4),1,""))</f>
        <v/>
      </c>
      <c r="Y81" s="64" t="str">
        <f aca="false">IF(OR(Y$4="",$C81="",$D81=""),"",IF(AND($C81&lt;EDATE(Y$4,1),$D81&gt;=Y$4),1,""))</f>
        <v/>
      </c>
      <c r="Z81" s="64" t="str">
        <f aca="false">IF(OR(Z$4="",$C81="",$D81=""),"",IF(AND($C81&lt;EDATE(Z$4,1),$D81&gt;=Z$4),1,""))</f>
        <v/>
      </c>
      <c r="AA81" s="64" t="str">
        <f aca="false">IF(OR(AA$4="",$C81="",$D81=""),"",IF(AND($C81&lt;EDATE(AA$4,1),$D81&gt;=AA$4),1,""))</f>
        <v/>
      </c>
      <c r="AB81" s="64" t="str">
        <f aca="false">IF(OR(AB$4="",$C81="",$D81=""),"",IF(AND($C81&lt;EDATE(AB$4,1),$D81&gt;=AB$4),1,""))</f>
        <v/>
      </c>
      <c r="AC81" s="64" t="str">
        <f aca="false">IF(OR(AC$4="",$C81="",$D81=""),"",IF(AND($C81&lt;EDATE(AC$4,1),$D81&gt;=AC$4),1,""))</f>
        <v/>
      </c>
      <c r="AD81" s="64" t="str">
        <f aca="false">IF(OR(AD$4="",$C81="",$D81=""),"",IF(AND($C81&lt;EDATE(AD$4,1),$D81&gt;=AD$4),1,""))</f>
        <v/>
      </c>
      <c r="AE81" s="64" t="str">
        <f aca="false">IF(OR(AE$4="",$C81="",$D81=""),"",IF(AND($C81&lt;EDATE(AE$4,1),$D81&gt;=AE$4),1,""))</f>
        <v/>
      </c>
      <c r="AF81" s="64" t="str">
        <f aca="false">IF(OR(AF$4="",$C81="",$D81=""),"",IF(AND($C81&lt;EDATE(AF$4,1),$D81&gt;=AF$4),1,""))</f>
        <v/>
      </c>
      <c r="AG81" s="64" t="str">
        <f aca="false">IF(OR(AG$4="",$C81="",$D81=""),"",IF(AND($C81&lt;EDATE(AG$4,1),$D81&gt;=AG$4),1,""))</f>
        <v/>
      </c>
      <c r="AH81" s="64" t="str">
        <f aca="false">IF(OR(AH$4="",$C81="",$D81=""),"",IF(AND($C81&lt;EDATE(AH$4,1),$D81&gt;=AH$4),1,""))</f>
        <v/>
      </c>
      <c r="AI81" s="64" t="str">
        <f aca="false">IF(OR(AI$4="",$C81="",$D81=""),"",IF(AND($C81&lt;EDATE(AI$4,1),$D81&gt;=AI$4),1,""))</f>
        <v/>
      </c>
      <c r="AJ81" s="64" t="str">
        <f aca="false">IF(OR(AJ$4="",$C81="",$D81=""),"",IF(AND($C81&lt;EDATE(AJ$4,1),$D81&gt;=AJ$4),1,""))</f>
        <v/>
      </c>
      <c r="AK81" s="64" t="str">
        <f aca="false">IF(OR(AK$4="",$C81="",$D81=""),"",IF(AND($C81&lt;EDATE(AK$4,1),$D81&gt;=AK$4),1,""))</f>
        <v/>
      </c>
      <c r="AL81" s="64" t="str">
        <f aca="false">IF(OR(AL$4="",$C81="",$D81=""),"",IF(AND($C81&lt;EDATE(AL$4,1),$D81&gt;=AL$4),1,""))</f>
        <v/>
      </c>
      <c r="AM81" s="64" t="str">
        <f aca="false">IF(OR(AM$4="",$C81="",$D81=""),"",IF(AND($C81&lt;EDATE(AM$4,1),$D81&gt;=AM$4),1,""))</f>
        <v/>
      </c>
      <c r="AN81" s="64" t="str">
        <f aca="false">IF(OR(AN$4="",$C81="",$D81=""),"",IF(AND($C81&lt;EDATE(AN$4,1),$D81&gt;=AN$4),1,""))</f>
        <v/>
      </c>
      <c r="AO81" s="64" t="str">
        <f aca="false">IF(OR(AO$4="",$C81="",$D81=""),"",IF(AND($C81&lt;EDATE(AO$4,1),$D81&gt;=AO$4),1,""))</f>
        <v/>
      </c>
      <c r="AP81" s="64" t="str">
        <f aca="false">IF(OR(AP$4="",$C81="",$D81=""),"",IF(AND($C81&lt;EDATE(AP$4,1),$D81&gt;=AP$4),1,""))</f>
        <v/>
      </c>
      <c r="AQ81" s="64" t="str">
        <f aca="false">IF(OR(AQ$4="",$C81="",$D81=""),"",IF(AND($C81&lt;EDATE(AQ$4,1),$D81&gt;=AQ$4),1,""))</f>
        <v/>
      </c>
      <c r="AR81" s="64" t="str">
        <f aca="false">IF(OR(AR$4="",$C81="",$D81=""),"",IF(AND($C81&lt;EDATE(AR$4,1),$D81&gt;=AR$4),1,""))</f>
        <v/>
      </c>
      <c r="AS81" s="64" t="str">
        <f aca="false">IF(OR(AS$4="",$C81="",$D81=""),"",IF(AND($C81&lt;EDATE(AS$4,1),$D81&gt;=AS$4),1,""))</f>
        <v/>
      </c>
      <c r="AT81" s="64" t="str">
        <f aca="false">IF(OR(AT$4="",$C81="",$D81=""),"",IF(AND($C81&lt;EDATE(AT$4,1),$D81&gt;=AT$4),1,""))</f>
        <v/>
      </c>
      <c r="AU81" s="64" t="str">
        <f aca="false">IF(OR(AU$4="",$C81="",$D81=""),"",IF(AND($C81&lt;EDATE(AU$4,1),$D81&gt;=AU$4),1,""))</f>
        <v/>
      </c>
      <c r="AV81" s="64" t="str">
        <f aca="false">IF(OR(AV$4="",$C81="",$D81=""),"",IF(AND($C81&lt;EDATE(AV$4,1),$D81&gt;=AV$4),1,""))</f>
        <v/>
      </c>
      <c r="AW81" s="64" t="str">
        <f aca="false">IF(OR(AW$4="",$C81="",$D81=""),"",IF(AND($C81&lt;EDATE(AW$4,1),$D81&gt;=AW$4),1,""))</f>
        <v/>
      </c>
      <c r="AX81" s="64" t="str">
        <f aca="false">IF(OR(AX$4="",$C81="",$D81=""),"",IF(AND($C81&lt;EDATE(AX$4,1),$D81&gt;=AX$4),1,""))</f>
        <v/>
      </c>
      <c r="AY81" s="64" t="str">
        <f aca="false">IF(OR(AY$4="",$C81="",$D81=""),"",IF(AND($C81&lt;EDATE(AY$4,1),$D81&gt;=AY$4),1,""))</f>
        <v/>
      </c>
      <c r="AZ81" s="64" t="str">
        <f aca="false">IF(OR(AZ$4="",$C81="",$D81=""),"",IF(AND($C81&lt;EDATE(AZ$4,1),$D81&gt;=AZ$4),1,""))</f>
        <v/>
      </c>
      <c r="BA81" s="64" t="str">
        <f aca="false">IF(OR(BA$4="",$C81="",$D81=""),"",IF(AND($C81&lt;EDATE(BA$4,1),$D81&gt;=BA$4),1,""))</f>
        <v/>
      </c>
      <c r="BB81" s="64" t="str">
        <f aca="false">IF(OR(BB$4="",$C81="",$D81=""),"",IF(AND($C81&lt;EDATE(BB$4,1),$D81&gt;=BB$4),1,""))</f>
        <v/>
      </c>
      <c r="BC81" s="64" t="str">
        <f aca="false">IF(OR(BC$4="",$C81="",$D81=""),"",IF(AND($C81&lt;EDATE(BC$4,1),$D81&gt;=BC$4),1,""))</f>
        <v/>
      </c>
      <c r="BD81" s="64" t="str">
        <f aca="false">IF(OR(BD$4="",$C81="",$D81=""),"",IF(AND($C81&lt;EDATE(BD$4,1),$D81&gt;=BD$4),1,""))</f>
        <v/>
      </c>
      <c r="BE81" s="64" t="str">
        <f aca="false">IF(OR(BE$4="",$C81="",$D81=""),"",IF(AND($C81&lt;EDATE(BE$4,1),$D81&gt;=BE$4),1,""))</f>
        <v/>
      </c>
      <c r="BF81" s="64" t="str">
        <f aca="false">IF(OR(BF$4="",$C81="",$D81=""),"",IF(AND($C81&lt;EDATE(BF$4,1),$D81&gt;=BF$4),1,""))</f>
        <v/>
      </c>
      <c r="BG81" s="64" t="str">
        <f aca="false">IF(OR(BG$4="",$C81="",$D81=""),"",IF(AND($C81&lt;EDATE(BG$4,1),$D81&gt;=BG$4),1,""))</f>
        <v/>
      </c>
      <c r="BH81" s="64" t="str">
        <f aca="false">IF(OR(BH$4="",$C81="",$D81=""),"",IF(AND($C81&lt;EDATE(BH$4,1),$D81&gt;=BH$4),1,""))</f>
        <v/>
      </c>
      <c r="BI81" s="64" t="str">
        <f aca="false">IF(OR(BI$4="",$C81="",$D81=""),"",IF(AND($C81&lt;EDATE(BI$4,1),$D81&gt;=BI$4),1,""))</f>
        <v/>
      </c>
      <c r="BJ81" s="64" t="str">
        <f aca="false">IF(OR(BJ$4="",$C81="",$D81=""),"",IF(AND($C81&lt;EDATE(BJ$4,1),$D81&gt;=BJ$4),1,""))</f>
        <v/>
      </c>
      <c r="BK81" s="64" t="str">
        <f aca="false">IF(OR(BK$4="",$C81="",$D81=""),"",IF(AND($C81&lt;EDATE(BK$4,1),$D81&gt;=BK$4),1,""))</f>
        <v/>
      </c>
      <c r="BL81" s="64" t="str">
        <f aca="false">IF(OR(BL$4="",$C81="",$D81=""),"",IF(AND($C81&lt;EDATE(BL$4,1),$D81&gt;=BL$4),1,""))</f>
        <v/>
      </c>
      <c r="BM81" s="64" t="str">
        <f aca="false">IF(OR(BM$4="",$C81="",$D81=""),"",IF(AND($C81&lt;EDATE(BM$4,1),$D81&gt;=BM$4),1,""))</f>
        <v/>
      </c>
      <c r="BN81" s="64" t="str">
        <f aca="false">IF(OR(BN$4="",$C81="",$D81=""),"",IF(AND($C81&lt;EDATE(BN$4,1),$D81&gt;=BN$4),1,""))</f>
        <v/>
      </c>
      <c r="BO81" s="64" t="str">
        <f aca="false">IF(OR(BO$4="",$C81="",$D81=""),"",IF(AND($C81&lt;EDATE(BO$4,1),$D81&gt;=BO$4),1,""))</f>
        <v/>
      </c>
      <c r="BP81" s="64" t="str">
        <f aca="false">IF(OR(BP$4="",$C81="",$D81=""),"",IF(AND($C81&lt;EDATE(BP$4,1),$D81&gt;=BP$4),1,""))</f>
        <v/>
      </c>
      <c r="BQ81" s="64" t="str">
        <f aca="false">IF(OR(BQ$4="",$C81="",$D81=""),"",IF(AND($C81&lt;EDATE(BQ$4,1),$D81&gt;=BQ$4),1,""))</f>
        <v/>
      </c>
      <c r="BR81" s="64" t="str">
        <f aca="false">IF(OR(BR$4="",$C81="",$D81=""),"",IF(AND($C81&lt;EDATE(BR$4,1),$D81&gt;=BR$4),1,""))</f>
        <v/>
      </c>
      <c r="BS81" s="64" t="str">
        <f aca="false">IF(OR(BS$4="",$C81="",$D81=""),"",IF(AND($C81&lt;EDATE(BS$4,1),$D81&gt;=BS$4),1,""))</f>
        <v/>
      </c>
      <c r="BT81" s="64" t="str">
        <f aca="false">IF(OR(BT$4="",$C81="",$D81=""),"",IF(AND($C81&lt;EDATE(BT$4,1),$D81&gt;=BT$4),1,""))</f>
        <v/>
      </c>
      <c r="BU81" s="64" t="str">
        <f aca="false">IF(OR(BU$4="",$C81="",$D81=""),"",IF(AND($C81&lt;EDATE(BU$4,1),$D81&gt;=BU$4),1,""))</f>
        <v/>
      </c>
      <c r="BV81" s="64" t="str">
        <f aca="false">IF(OR(BV$4="",$C81="",$D81=""),"",IF(AND($C81&lt;EDATE(BV$4,1),$D81&gt;=BV$4),1,""))</f>
        <v/>
      </c>
      <c r="BW81" s="64" t="str">
        <f aca="false">IF(OR(BW$4="",$C81="",$D81=""),"",IF(AND($C81&lt;EDATE(BW$4,1),$D81&gt;=BW$4),1,""))</f>
        <v/>
      </c>
      <c r="BX81" s="64" t="str">
        <f aca="false">IF(OR(BX$4="",$C81="",$D81=""),"",IF(AND($C81&lt;EDATE(BX$4,1),$D81&gt;=BX$4),1,""))</f>
        <v/>
      </c>
      <c r="BY81" s="64" t="str">
        <f aca="false">IF(OR(BY$4="",$C81="",$D81=""),"",IF(AND($C81&lt;EDATE(BY$4,1),$D81&gt;=BY$4),1,""))</f>
        <v/>
      </c>
    </row>
    <row r="82" customFormat="false" ht="15" hidden="false" customHeight="false" outlineLevel="0" collapsed="false">
      <c r="A82" s="53" t="str">
        <f aca="false">IF(BOE!$A51="","",BOE!$A51)</f>
        <v/>
      </c>
      <c r="B82" s="53" t="str">
        <f aca="false">IF(BOE!$A51="","",BOE!$C51)</f>
        <v/>
      </c>
      <c r="C82" s="54" t="str">
        <f aca="false">IF(OR(BOE!$A51="",BOE!$E51&lt;&gt;"Y"),"",BOE!$O51)</f>
        <v/>
      </c>
      <c r="D82" s="54" t="str">
        <f aca="false">IF(OR(BOE!$A51="",BOE!$E51&lt;&gt;"Y"),"",BOE!$P51)</f>
        <v/>
      </c>
      <c r="E82" s="55" t="str">
        <f aca="false">IF(OR(BOE!$A51="",BOE!$E51&lt;&gt;"Y"),"",IF(Inputs!$B$7="P90",BOE!$T51,BOE!$R51))</f>
        <v/>
      </c>
      <c r="F82" s="64" t="str">
        <f aca="false">IF(OR(F$4="",$C82="",$D82=""),"",IF(AND($C82&lt;EDATE(F$4,1),$D82&gt;=F$4),1,""))</f>
        <v/>
      </c>
      <c r="G82" s="64" t="str">
        <f aca="false">IF(OR(G$4="",$C82="",$D82=""),"",IF(AND($C82&lt;EDATE(G$4,1),$D82&gt;=G$4),1,""))</f>
        <v/>
      </c>
      <c r="H82" s="64" t="str">
        <f aca="false">IF(OR(H$4="",$C82="",$D82=""),"",IF(AND($C82&lt;EDATE(H$4,1),$D82&gt;=H$4),1,""))</f>
        <v/>
      </c>
      <c r="I82" s="64" t="str">
        <f aca="false">IF(OR(I$4="",$C82="",$D82=""),"",IF(AND($C82&lt;EDATE(I$4,1),$D82&gt;=I$4),1,""))</f>
        <v/>
      </c>
      <c r="J82" s="64" t="str">
        <f aca="false">IF(OR(J$4="",$C82="",$D82=""),"",IF(AND($C82&lt;EDATE(J$4,1),$D82&gt;=J$4),1,""))</f>
        <v/>
      </c>
      <c r="K82" s="64" t="str">
        <f aca="false">IF(OR(K$4="",$C82="",$D82=""),"",IF(AND($C82&lt;EDATE(K$4,1),$D82&gt;=K$4),1,""))</f>
        <v/>
      </c>
      <c r="L82" s="64" t="str">
        <f aca="false">IF(OR(L$4="",$C82="",$D82=""),"",IF(AND($C82&lt;EDATE(L$4,1),$D82&gt;=L$4),1,""))</f>
        <v/>
      </c>
      <c r="M82" s="64" t="str">
        <f aca="false">IF(OR(M$4="",$C82="",$D82=""),"",IF(AND($C82&lt;EDATE(M$4,1),$D82&gt;=M$4),1,""))</f>
        <v/>
      </c>
      <c r="N82" s="64" t="str">
        <f aca="false">IF(OR(N$4="",$C82="",$D82=""),"",IF(AND($C82&lt;EDATE(N$4,1),$D82&gt;=N$4),1,""))</f>
        <v/>
      </c>
      <c r="O82" s="64" t="str">
        <f aca="false">IF(OR(O$4="",$C82="",$D82=""),"",IF(AND($C82&lt;EDATE(O$4,1),$D82&gt;=O$4),1,""))</f>
        <v/>
      </c>
      <c r="P82" s="64" t="str">
        <f aca="false">IF(OR(P$4="",$C82="",$D82=""),"",IF(AND($C82&lt;EDATE(P$4,1),$D82&gt;=P$4),1,""))</f>
        <v/>
      </c>
      <c r="Q82" s="64" t="str">
        <f aca="false">IF(OR(Q$4="",$C82="",$D82=""),"",IF(AND($C82&lt;EDATE(Q$4,1),$D82&gt;=Q$4),1,""))</f>
        <v/>
      </c>
      <c r="R82" s="64" t="str">
        <f aca="false">IF(OR(R$4="",$C82="",$D82=""),"",IF(AND($C82&lt;EDATE(R$4,1),$D82&gt;=R$4),1,""))</f>
        <v/>
      </c>
      <c r="S82" s="64" t="str">
        <f aca="false">IF(OR(S$4="",$C82="",$D82=""),"",IF(AND($C82&lt;EDATE(S$4,1),$D82&gt;=S$4),1,""))</f>
        <v/>
      </c>
      <c r="T82" s="64" t="str">
        <f aca="false">IF(OR(T$4="",$C82="",$D82=""),"",IF(AND($C82&lt;EDATE(T$4,1),$D82&gt;=T$4),1,""))</f>
        <v/>
      </c>
      <c r="U82" s="64" t="str">
        <f aca="false">IF(OR(U$4="",$C82="",$D82=""),"",IF(AND($C82&lt;EDATE(U$4,1),$D82&gt;=U$4),1,""))</f>
        <v/>
      </c>
      <c r="V82" s="64" t="str">
        <f aca="false">IF(OR(V$4="",$C82="",$D82=""),"",IF(AND($C82&lt;EDATE(V$4,1),$D82&gt;=V$4),1,""))</f>
        <v/>
      </c>
      <c r="W82" s="64" t="str">
        <f aca="false">IF(OR(W$4="",$C82="",$D82=""),"",IF(AND($C82&lt;EDATE(W$4,1),$D82&gt;=W$4),1,""))</f>
        <v/>
      </c>
      <c r="X82" s="64" t="str">
        <f aca="false">IF(OR(X$4="",$C82="",$D82=""),"",IF(AND($C82&lt;EDATE(X$4,1),$D82&gt;=X$4),1,""))</f>
        <v/>
      </c>
      <c r="Y82" s="64" t="str">
        <f aca="false">IF(OR(Y$4="",$C82="",$D82=""),"",IF(AND($C82&lt;EDATE(Y$4,1),$D82&gt;=Y$4),1,""))</f>
        <v/>
      </c>
      <c r="Z82" s="64" t="str">
        <f aca="false">IF(OR(Z$4="",$C82="",$D82=""),"",IF(AND($C82&lt;EDATE(Z$4,1),$D82&gt;=Z$4),1,""))</f>
        <v/>
      </c>
      <c r="AA82" s="64" t="str">
        <f aca="false">IF(OR(AA$4="",$C82="",$D82=""),"",IF(AND($C82&lt;EDATE(AA$4,1),$D82&gt;=AA$4),1,""))</f>
        <v/>
      </c>
      <c r="AB82" s="64" t="str">
        <f aca="false">IF(OR(AB$4="",$C82="",$D82=""),"",IF(AND($C82&lt;EDATE(AB$4,1),$D82&gt;=AB$4),1,""))</f>
        <v/>
      </c>
      <c r="AC82" s="64" t="str">
        <f aca="false">IF(OR(AC$4="",$C82="",$D82=""),"",IF(AND($C82&lt;EDATE(AC$4,1),$D82&gt;=AC$4),1,""))</f>
        <v/>
      </c>
      <c r="AD82" s="64" t="str">
        <f aca="false">IF(OR(AD$4="",$C82="",$D82=""),"",IF(AND($C82&lt;EDATE(AD$4,1),$D82&gt;=AD$4),1,""))</f>
        <v/>
      </c>
      <c r="AE82" s="64" t="str">
        <f aca="false">IF(OR(AE$4="",$C82="",$D82=""),"",IF(AND($C82&lt;EDATE(AE$4,1),$D82&gt;=AE$4),1,""))</f>
        <v/>
      </c>
      <c r="AF82" s="64" t="str">
        <f aca="false">IF(OR(AF$4="",$C82="",$D82=""),"",IF(AND($C82&lt;EDATE(AF$4,1),$D82&gt;=AF$4),1,""))</f>
        <v/>
      </c>
      <c r="AG82" s="64" t="str">
        <f aca="false">IF(OR(AG$4="",$C82="",$D82=""),"",IF(AND($C82&lt;EDATE(AG$4,1),$D82&gt;=AG$4),1,""))</f>
        <v/>
      </c>
      <c r="AH82" s="64" t="str">
        <f aca="false">IF(OR(AH$4="",$C82="",$D82=""),"",IF(AND($C82&lt;EDATE(AH$4,1),$D82&gt;=AH$4),1,""))</f>
        <v/>
      </c>
      <c r="AI82" s="64" t="str">
        <f aca="false">IF(OR(AI$4="",$C82="",$D82=""),"",IF(AND($C82&lt;EDATE(AI$4,1),$D82&gt;=AI$4),1,""))</f>
        <v/>
      </c>
      <c r="AJ82" s="64" t="str">
        <f aca="false">IF(OR(AJ$4="",$C82="",$D82=""),"",IF(AND($C82&lt;EDATE(AJ$4,1),$D82&gt;=AJ$4),1,""))</f>
        <v/>
      </c>
      <c r="AK82" s="64" t="str">
        <f aca="false">IF(OR(AK$4="",$C82="",$D82=""),"",IF(AND($C82&lt;EDATE(AK$4,1),$D82&gt;=AK$4),1,""))</f>
        <v/>
      </c>
      <c r="AL82" s="64" t="str">
        <f aca="false">IF(OR(AL$4="",$C82="",$D82=""),"",IF(AND($C82&lt;EDATE(AL$4,1),$D82&gt;=AL$4),1,""))</f>
        <v/>
      </c>
      <c r="AM82" s="64" t="str">
        <f aca="false">IF(OR(AM$4="",$C82="",$D82=""),"",IF(AND($C82&lt;EDATE(AM$4,1),$D82&gt;=AM$4),1,""))</f>
        <v/>
      </c>
      <c r="AN82" s="64" t="str">
        <f aca="false">IF(OR(AN$4="",$C82="",$D82=""),"",IF(AND($C82&lt;EDATE(AN$4,1),$D82&gt;=AN$4),1,""))</f>
        <v/>
      </c>
      <c r="AO82" s="64" t="str">
        <f aca="false">IF(OR(AO$4="",$C82="",$D82=""),"",IF(AND($C82&lt;EDATE(AO$4,1),$D82&gt;=AO$4),1,""))</f>
        <v/>
      </c>
      <c r="AP82" s="64" t="str">
        <f aca="false">IF(OR(AP$4="",$C82="",$D82=""),"",IF(AND($C82&lt;EDATE(AP$4,1),$D82&gt;=AP$4),1,""))</f>
        <v/>
      </c>
      <c r="AQ82" s="64" t="str">
        <f aca="false">IF(OR(AQ$4="",$C82="",$D82=""),"",IF(AND($C82&lt;EDATE(AQ$4,1),$D82&gt;=AQ$4),1,""))</f>
        <v/>
      </c>
      <c r="AR82" s="64" t="str">
        <f aca="false">IF(OR(AR$4="",$C82="",$D82=""),"",IF(AND($C82&lt;EDATE(AR$4,1),$D82&gt;=AR$4),1,""))</f>
        <v/>
      </c>
      <c r="AS82" s="64" t="str">
        <f aca="false">IF(OR(AS$4="",$C82="",$D82=""),"",IF(AND($C82&lt;EDATE(AS$4,1),$D82&gt;=AS$4),1,""))</f>
        <v/>
      </c>
      <c r="AT82" s="64" t="str">
        <f aca="false">IF(OR(AT$4="",$C82="",$D82=""),"",IF(AND($C82&lt;EDATE(AT$4,1),$D82&gt;=AT$4),1,""))</f>
        <v/>
      </c>
      <c r="AU82" s="64" t="str">
        <f aca="false">IF(OR(AU$4="",$C82="",$D82=""),"",IF(AND($C82&lt;EDATE(AU$4,1),$D82&gt;=AU$4),1,""))</f>
        <v/>
      </c>
      <c r="AV82" s="64" t="str">
        <f aca="false">IF(OR(AV$4="",$C82="",$D82=""),"",IF(AND($C82&lt;EDATE(AV$4,1),$D82&gt;=AV$4),1,""))</f>
        <v/>
      </c>
      <c r="AW82" s="64" t="str">
        <f aca="false">IF(OR(AW$4="",$C82="",$D82=""),"",IF(AND($C82&lt;EDATE(AW$4,1),$D82&gt;=AW$4),1,""))</f>
        <v/>
      </c>
      <c r="AX82" s="64" t="str">
        <f aca="false">IF(OR(AX$4="",$C82="",$D82=""),"",IF(AND($C82&lt;EDATE(AX$4,1),$D82&gt;=AX$4),1,""))</f>
        <v/>
      </c>
      <c r="AY82" s="64" t="str">
        <f aca="false">IF(OR(AY$4="",$C82="",$D82=""),"",IF(AND($C82&lt;EDATE(AY$4,1),$D82&gt;=AY$4),1,""))</f>
        <v/>
      </c>
      <c r="AZ82" s="64" t="str">
        <f aca="false">IF(OR(AZ$4="",$C82="",$D82=""),"",IF(AND($C82&lt;EDATE(AZ$4,1),$D82&gt;=AZ$4),1,""))</f>
        <v/>
      </c>
      <c r="BA82" s="64" t="str">
        <f aca="false">IF(OR(BA$4="",$C82="",$D82=""),"",IF(AND($C82&lt;EDATE(BA$4,1),$D82&gt;=BA$4),1,""))</f>
        <v/>
      </c>
      <c r="BB82" s="64" t="str">
        <f aca="false">IF(OR(BB$4="",$C82="",$D82=""),"",IF(AND($C82&lt;EDATE(BB$4,1),$D82&gt;=BB$4),1,""))</f>
        <v/>
      </c>
      <c r="BC82" s="64" t="str">
        <f aca="false">IF(OR(BC$4="",$C82="",$D82=""),"",IF(AND($C82&lt;EDATE(BC$4,1),$D82&gt;=BC$4),1,""))</f>
        <v/>
      </c>
      <c r="BD82" s="64" t="str">
        <f aca="false">IF(OR(BD$4="",$C82="",$D82=""),"",IF(AND($C82&lt;EDATE(BD$4,1),$D82&gt;=BD$4),1,""))</f>
        <v/>
      </c>
      <c r="BE82" s="64" t="str">
        <f aca="false">IF(OR(BE$4="",$C82="",$D82=""),"",IF(AND($C82&lt;EDATE(BE$4,1),$D82&gt;=BE$4),1,""))</f>
        <v/>
      </c>
      <c r="BF82" s="64" t="str">
        <f aca="false">IF(OR(BF$4="",$C82="",$D82=""),"",IF(AND($C82&lt;EDATE(BF$4,1),$D82&gt;=BF$4),1,""))</f>
        <v/>
      </c>
      <c r="BG82" s="64" t="str">
        <f aca="false">IF(OR(BG$4="",$C82="",$D82=""),"",IF(AND($C82&lt;EDATE(BG$4,1),$D82&gt;=BG$4),1,""))</f>
        <v/>
      </c>
      <c r="BH82" s="64" t="str">
        <f aca="false">IF(OR(BH$4="",$C82="",$D82=""),"",IF(AND($C82&lt;EDATE(BH$4,1),$D82&gt;=BH$4),1,""))</f>
        <v/>
      </c>
      <c r="BI82" s="64" t="str">
        <f aca="false">IF(OR(BI$4="",$C82="",$D82=""),"",IF(AND($C82&lt;EDATE(BI$4,1),$D82&gt;=BI$4),1,""))</f>
        <v/>
      </c>
      <c r="BJ82" s="64" t="str">
        <f aca="false">IF(OR(BJ$4="",$C82="",$D82=""),"",IF(AND($C82&lt;EDATE(BJ$4,1),$D82&gt;=BJ$4),1,""))</f>
        <v/>
      </c>
      <c r="BK82" s="64" t="str">
        <f aca="false">IF(OR(BK$4="",$C82="",$D82=""),"",IF(AND($C82&lt;EDATE(BK$4,1),$D82&gt;=BK$4),1,""))</f>
        <v/>
      </c>
      <c r="BL82" s="64" t="str">
        <f aca="false">IF(OR(BL$4="",$C82="",$D82=""),"",IF(AND($C82&lt;EDATE(BL$4,1),$D82&gt;=BL$4),1,""))</f>
        <v/>
      </c>
      <c r="BM82" s="64" t="str">
        <f aca="false">IF(OR(BM$4="",$C82="",$D82=""),"",IF(AND($C82&lt;EDATE(BM$4,1),$D82&gt;=BM$4),1,""))</f>
        <v/>
      </c>
      <c r="BN82" s="64" t="str">
        <f aca="false">IF(OR(BN$4="",$C82="",$D82=""),"",IF(AND($C82&lt;EDATE(BN$4,1),$D82&gt;=BN$4),1,""))</f>
        <v/>
      </c>
      <c r="BO82" s="64" t="str">
        <f aca="false">IF(OR(BO$4="",$C82="",$D82=""),"",IF(AND($C82&lt;EDATE(BO$4,1),$D82&gt;=BO$4),1,""))</f>
        <v/>
      </c>
      <c r="BP82" s="64" t="str">
        <f aca="false">IF(OR(BP$4="",$C82="",$D82=""),"",IF(AND($C82&lt;EDATE(BP$4,1),$D82&gt;=BP$4),1,""))</f>
        <v/>
      </c>
      <c r="BQ82" s="64" t="str">
        <f aca="false">IF(OR(BQ$4="",$C82="",$D82=""),"",IF(AND($C82&lt;EDATE(BQ$4,1),$D82&gt;=BQ$4),1,""))</f>
        <v/>
      </c>
      <c r="BR82" s="64" t="str">
        <f aca="false">IF(OR(BR$4="",$C82="",$D82=""),"",IF(AND($C82&lt;EDATE(BR$4,1),$D82&gt;=BR$4),1,""))</f>
        <v/>
      </c>
      <c r="BS82" s="64" t="str">
        <f aca="false">IF(OR(BS$4="",$C82="",$D82=""),"",IF(AND($C82&lt;EDATE(BS$4,1),$D82&gt;=BS$4),1,""))</f>
        <v/>
      </c>
      <c r="BT82" s="64" t="str">
        <f aca="false">IF(OR(BT$4="",$C82="",$D82=""),"",IF(AND($C82&lt;EDATE(BT$4,1),$D82&gt;=BT$4),1,""))</f>
        <v/>
      </c>
      <c r="BU82" s="64" t="str">
        <f aca="false">IF(OR(BU$4="",$C82="",$D82=""),"",IF(AND($C82&lt;EDATE(BU$4,1),$D82&gt;=BU$4),1,""))</f>
        <v/>
      </c>
      <c r="BV82" s="64" t="str">
        <f aca="false">IF(OR(BV$4="",$C82="",$D82=""),"",IF(AND($C82&lt;EDATE(BV$4,1),$D82&gt;=BV$4),1,""))</f>
        <v/>
      </c>
      <c r="BW82" s="64" t="str">
        <f aca="false">IF(OR(BW$4="",$C82="",$D82=""),"",IF(AND($C82&lt;EDATE(BW$4,1),$D82&gt;=BW$4),1,""))</f>
        <v/>
      </c>
      <c r="BX82" s="64" t="str">
        <f aca="false">IF(OR(BX$4="",$C82="",$D82=""),"",IF(AND($C82&lt;EDATE(BX$4,1),$D82&gt;=BX$4),1,""))</f>
        <v/>
      </c>
      <c r="BY82" s="64" t="str">
        <f aca="false">IF(OR(BY$4="",$C82="",$D82=""),"",IF(AND($C82&lt;EDATE(BY$4,1),$D82&gt;=BY$4),1,""))</f>
        <v/>
      </c>
    </row>
    <row r="83" customFormat="false" ht="15" hidden="false" customHeight="false" outlineLevel="0" collapsed="false">
      <c r="A83" s="53" t="str">
        <f aca="false">IF(BOE!$A52="","",BOE!$A52)</f>
        <v/>
      </c>
      <c r="B83" s="53" t="str">
        <f aca="false">IF(BOE!$A52="","",BOE!$C52)</f>
        <v/>
      </c>
      <c r="C83" s="54" t="str">
        <f aca="false">IF(OR(BOE!$A52="",BOE!$E52&lt;&gt;"Y"),"",BOE!$O52)</f>
        <v/>
      </c>
      <c r="D83" s="54" t="str">
        <f aca="false">IF(OR(BOE!$A52="",BOE!$E52&lt;&gt;"Y"),"",BOE!$P52)</f>
        <v/>
      </c>
      <c r="E83" s="55" t="str">
        <f aca="false">IF(OR(BOE!$A52="",BOE!$E52&lt;&gt;"Y"),"",IF(Inputs!$B$7="P90",BOE!$T52,BOE!$R52))</f>
        <v/>
      </c>
      <c r="F83" s="64" t="str">
        <f aca="false">IF(OR(F$4="",$C83="",$D83=""),"",IF(AND($C83&lt;EDATE(F$4,1),$D83&gt;=F$4),1,""))</f>
        <v/>
      </c>
      <c r="G83" s="64" t="str">
        <f aca="false">IF(OR(G$4="",$C83="",$D83=""),"",IF(AND($C83&lt;EDATE(G$4,1),$D83&gt;=G$4),1,""))</f>
        <v/>
      </c>
      <c r="H83" s="64" t="str">
        <f aca="false">IF(OR(H$4="",$C83="",$D83=""),"",IF(AND($C83&lt;EDATE(H$4,1),$D83&gt;=H$4),1,""))</f>
        <v/>
      </c>
      <c r="I83" s="64" t="str">
        <f aca="false">IF(OR(I$4="",$C83="",$D83=""),"",IF(AND($C83&lt;EDATE(I$4,1),$D83&gt;=I$4),1,""))</f>
        <v/>
      </c>
      <c r="J83" s="64" t="str">
        <f aca="false">IF(OR(J$4="",$C83="",$D83=""),"",IF(AND($C83&lt;EDATE(J$4,1),$D83&gt;=J$4),1,""))</f>
        <v/>
      </c>
      <c r="K83" s="64" t="str">
        <f aca="false">IF(OR(K$4="",$C83="",$D83=""),"",IF(AND($C83&lt;EDATE(K$4,1),$D83&gt;=K$4),1,""))</f>
        <v/>
      </c>
      <c r="L83" s="64" t="str">
        <f aca="false">IF(OR(L$4="",$C83="",$D83=""),"",IF(AND($C83&lt;EDATE(L$4,1),$D83&gt;=L$4),1,""))</f>
        <v/>
      </c>
      <c r="M83" s="64" t="str">
        <f aca="false">IF(OR(M$4="",$C83="",$D83=""),"",IF(AND($C83&lt;EDATE(M$4,1),$D83&gt;=M$4),1,""))</f>
        <v/>
      </c>
      <c r="N83" s="64" t="str">
        <f aca="false">IF(OR(N$4="",$C83="",$D83=""),"",IF(AND($C83&lt;EDATE(N$4,1),$D83&gt;=N$4),1,""))</f>
        <v/>
      </c>
      <c r="O83" s="64" t="str">
        <f aca="false">IF(OR(O$4="",$C83="",$D83=""),"",IF(AND($C83&lt;EDATE(O$4,1),$D83&gt;=O$4),1,""))</f>
        <v/>
      </c>
      <c r="P83" s="64" t="str">
        <f aca="false">IF(OR(P$4="",$C83="",$D83=""),"",IF(AND($C83&lt;EDATE(P$4,1),$D83&gt;=P$4),1,""))</f>
        <v/>
      </c>
      <c r="Q83" s="64" t="str">
        <f aca="false">IF(OR(Q$4="",$C83="",$D83=""),"",IF(AND($C83&lt;EDATE(Q$4,1),$D83&gt;=Q$4),1,""))</f>
        <v/>
      </c>
      <c r="R83" s="64" t="str">
        <f aca="false">IF(OR(R$4="",$C83="",$D83=""),"",IF(AND($C83&lt;EDATE(R$4,1),$D83&gt;=R$4),1,""))</f>
        <v/>
      </c>
      <c r="S83" s="64" t="str">
        <f aca="false">IF(OR(S$4="",$C83="",$D83=""),"",IF(AND($C83&lt;EDATE(S$4,1),$D83&gt;=S$4),1,""))</f>
        <v/>
      </c>
      <c r="T83" s="64" t="str">
        <f aca="false">IF(OR(T$4="",$C83="",$D83=""),"",IF(AND($C83&lt;EDATE(T$4,1),$D83&gt;=T$4),1,""))</f>
        <v/>
      </c>
      <c r="U83" s="64" t="str">
        <f aca="false">IF(OR(U$4="",$C83="",$D83=""),"",IF(AND($C83&lt;EDATE(U$4,1),$D83&gt;=U$4),1,""))</f>
        <v/>
      </c>
      <c r="V83" s="64" t="str">
        <f aca="false">IF(OR(V$4="",$C83="",$D83=""),"",IF(AND($C83&lt;EDATE(V$4,1),$D83&gt;=V$4),1,""))</f>
        <v/>
      </c>
      <c r="W83" s="64" t="str">
        <f aca="false">IF(OR(W$4="",$C83="",$D83=""),"",IF(AND($C83&lt;EDATE(W$4,1),$D83&gt;=W$4),1,""))</f>
        <v/>
      </c>
      <c r="X83" s="64" t="str">
        <f aca="false">IF(OR(X$4="",$C83="",$D83=""),"",IF(AND($C83&lt;EDATE(X$4,1),$D83&gt;=X$4),1,""))</f>
        <v/>
      </c>
      <c r="Y83" s="64" t="str">
        <f aca="false">IF(OR(Y$4="",$C83="",$D83=""),"",IF(AND($C83&lt;EDATE(Y$4,1),$D83&gt;=Y$4),1,""))</f>
        <v/>
      </c>
      <c r="Z83" s="64" t="str">
        <f aca="false">IF(OR(Z$4="",$C83="",$D83=""),"",IF(AND($C83&lt;EDATE(Z$4,1),$D83&gt;=Z$4),1,""))</f>
        <v/>
      </c>
      <c r="AA83" s="64" t="str">
        <f aca="false">IF(OR(AA$4="",$C83="",$D83=""),"",IF(AND($C83&lt;EDATE(AA$4,1),$D83&gt;=AA$4),1,""))</f>
        <v/>
      </c>
      <c r="AB83" s="64" t="str">
        <f aca="false">IF(OR(AB$4="",$C83="",$D83=""),"",IF(AND($C83&lt;EDATE(AB$4,1),$D83&gt;=AB$4),1,""))</f>
        <v/>
      </c>
      <c r="AC83" s="64" t="str">
        <f aca="false">IF(OR(AC$4="",$C83="",$D83=""),"",IF(AND($C83&lt;EDATE(AC$4,1),$D83&gt;=AC$4),1,""))</f>
        <v/>
      </c>
      <c r="AD83" s="64" t="str">
        <f aca="false">IF(OR(AD$4="",$C83="",$D83=""),"",IF(AND($C83&lt;EDATE(AD$4,1),$D83&gt;=AD$4),1,""))</f>
        <v/>
      </c>
      <c r="AE83" s="64" t="str">
        <f aca="false">IF(OR(AE$4="",$C83="",$D83=""),"",IF(AND($C83&lt;EDATE(AE$4,1),$D83&gt;=AE$4),1,""))</f>
        <v/>
      </c>
      <c r="AF83" s="64" t="str">
        <f aca="false">IF(OR(AF$4="",$C83="",$D83=""),"",IF(AND($C83&lt;EDATE(AF$4,1),$D83&gt;=AF$4),1,""))</f>
        <v/>
      </c>
      <c r="AG83" s="64" t="str">
        <f aca="false">IF(OR(AG$4="",$C83="",$D83=""),"",IF(AND($C83&lt;EDATE(AG$4,1),$D83&gt;=AG$4),1,""))</f>
        <v/>
      </c>
      <c r="AH83" s="64" t="str">
        <f aca="false">IF(OR(AH$4="",$C83="",$D83=""),"",IF(AND($C83&lt;EDATE(AH$4,1),$D83&gt;=AH$4),1,""))</f>
        <v/>
      </c>
      <c r="AI83" s="64" t="str">
        <f aca="false">IF(OR(AI$4="",$C83="",$D83=""),"",IF(AND($C83&lt;EDATE(AI$4,1),$D83&gt;=AI$4),1,""))</f>
        <v/>
      </c>
      <c r="AJ83" s="64" t="str">
        <f aca="false">IF(OR(AJ$4="",$C83="",$D83=""),"",IF(AND($C83&lt;EDATE(AJ$4,1),$D83&gt;=AJ$4),1,""))</f>
        <v/>
      </c>
      <c r="AK83" s="64" t="str">
        <f aca="false">IF(OR(AK$4="",$C83="",$D83=""),"",IF(AND($C83&lt;EDATE(AK$4,1),$D83&gt;=AK$4),1,""))</f>
        <v/>
      </c>
      <c r="AL83" s="64" t="str">
        <f aca="false">IF(OR(AL$4="",$C83="",$D83=""),"",IF(AND($C83&lt;EDATE(AL$4,1),$D83&gt;=AL$4),1,""))</f>
        <v/>
      </c>
      <c r="AM83" s="64" t="str">
        <f aca="false">IF(OR(AM$4="",$C83="",$D83=""),"",IF(AND($C83&lt;EDATE(AM$4,1),$D83&gt;=AM$4),1,""))</f>
        <v/>
      </c>
      <c r="AN83" s="64" t="str">
        <f aca="false">IF(OR(AN$4="",$C83="",$D83=""),"",IF(AND($C83&lt;EDATE(AN$4,1),$D83&gt;=AN$4),1,""))</f>
        <v/>
      </c>
      <c r="AO83" s="64" t="str">
        <f aca="false">IF(OR(AO$4="",$C83="",$D83=""),"",IF(AND($C83&lt;EDATE(AO$4,1),$D83&gt;=AO$4),1,""))</f>
        <v/>
      </c>
      <c r="AP83" s="64" t="str">
        <f aca="false">IF(OR(AP$4="",$C83="",$D83=""),"",IF(AND($C83&lt;EDATE(AP$4,1),$D83&gt;=AP$4),1,""))</f>
        <v/>
      </c>
      <c r="AQ83" s="64" t="str">
        <f aca="false">IF(OR(AQ$4="",$C83="",$D83=""),"",IF(AND($C83&lt;EDATE(AQ$4,1),$D83&gt;=AQ$4),1,""))</f>
        <v/>
      </c>
      <c r="AR83" s="64" t="str">
        <f aca="false">IF(OR(AR$4="",$C83="",$D83=""),"",IF(AND($C83&lt;EDATE(AR$4,1),$D83&gt;=AR$4),1,""))</f>
        <v/>
      </c>
      <c r="AS83" s="64" t="str">
        <f aca="false">IF(OR(AS$4="",$C83="",$D83=""),"",IF(AND($C83&lt;EDATE(AS$4,1),$D83&gt;=AS$4),1,""))</f>
        <v/>
      </c>
      <c r="AT83" s="64" t="str">
        <f aca="false">IF(OR(AT$4="",$C83="",$D83=""),"",IF(AND($C83&lt;EDATE(AT$4,1),$D83&gt;=AT$4),1,""))</f>
        <v/>
      </c>
      <c r="AU83" s="64" t="str">
        <f aca="false">IF(OR(AU$4="",$C83="",$D83=""),"",IF(AND($C83&lt;EDATE(AU$4,1),$D83&gt;=AU$4),1,""))</f>
        <v/>
      </c>
      <c r="AV83" s="64" t="str">
        <f aca="false">IF(OR(AV$4="",$C83="",$D83=""),"",IF(AND($C83&lt;EDATE(AV$4,1),$D83&gt;=AV$4),1,""))</f>
        <v/>
      </c>
      <c r="AW83" s="64" t="str">
        <f aca="false">IF(OR(AW$4="",$C83="",$D83=""),"",IF(AND($C83&lt;EDATE(AW$4,1),$D83&gt;=AW$4),1,""))</f>
        <v/>
      </c>
      <c r="AX83" s="64" t="str">
        <f aca="false">IF(OR(AX$4="",$C83="",$D83=""),"",IF(AND($C83&lt;EDATE(AX$4,1),$D83&gt;=AX$4),1,""))</f>
        <v/>
      </c>
      <c r="AY83" s="64" t="str">
        <f aca="false">IF(OR(AY$4="",$C83="",$D83=""),"",IF(AND($C83&lt;EDATE(AY$4,1),$D83&gt;=AY$4),1,""))</f>
        <v/>
      </c>
      <c r="AZ83" s="64" t="str">
        <f aca="false">IF(OR(AZ$4="",$C83="",$D83=""),"",IF(AND($C83&lt;EDATE(AZ$4,1),$D83&gt;=AZ$4),1,""))</f>
        <v/>
      </c>
      <c r="BA83" s="64" t="str">
        <f aca="false">IF(OR(BA$4="",$C83="",$D83=""),"",IF(AND($C83&lt;EDATE(BA$4,1),$D83&gt;=BA$4),1,""))</f>
        <v/>
      </c>
      <c r="BB83" s="64" t="str">
        <f aca="false">IF(OR(BB$4="",$C83="",$D83=""),"",IF(AND($C83&lt;EDATE(BB$4,1),$D83&gt;=BB$4),1,""))</f>
        <v/>
      </c>
      <c r="BC83" s="64" t="str">
        <f aca="false">IF(OR(BC$4="",$C83="",$D83=""),"",IF(AND($C83&lt;EDATE(BC$4,1),$D83&gt;=BC$4),1,""))</f>
        <v/>
      </c>
      <c r="BD83" s="64" t="str">
        <f aca="false">IF(OR(BD$4="",$C83="",$D83=""),"",IF(AND($C83&lt;EDATE(BD$4,1),$D83&gt;=BD$4),1,""))</f>
        <v/>
      </c>
      <c r="BE83" s="64" t="str">
        <f aca="false">IF(OR(BE$4="",$C83="",$D83=""),"",IF(AND($C83&lt;EDATE(BE$4,1),$D83&gt;=BE$4),1,""))</f>
        <v/>
      </c>
      <c r="BF83" s="64" t="str">
        <f aca="false">IF(OR(BF$4="",$C83="",$D83=""),"",IF(AND($C83&lt;EDATE(BF$4,1),$D83&gt;=BF$4),1,""))</f>
        <v/>
      </c>
      <c r="BG83" s="64" t="str">
        <f aca="false">IF(OR(BG$4="",$C83="",$D83=""),"",IF(AND($C83&lt;EDATE(BG$4,1),$D83&gt;=BG$4),1,""))</f>
        <v/>
      </c>
      <c r="BH83" s="64" t="str">
        <f aca="false">IF(OR(BH$4="",$C83="",$D83=""),"",IF(AND($C83&lt;EDATE(BH$4,1),$D83&gt;=BH$4),1,""))</f>
        <v/>
      </c>
      <c r="BI83" s="64" t="str">
        <f aca="false">IF(OR(BI$4="",$C83="",$D83=""),"",IF(AND($C83&lt;EDATE(BI$4,1),$D83&gt;=BI$4),1,""))</f>
        <v/>
      </c>
      <c r="BJ83" s="64" t="str">
        <f aca="false">IF(OR(BJ$4="",$C83="",$D83=""),"",IF(AND($C83&lt;EDATE(BJ$4,1),$D83&gt;=BJ$4),1,""))</f>
        <v/>
      </c>
      <c r="BK83" s="64" t="str">
        <f aca="false">IF(OR(BK$4="",$C83="",$D83=""),"",IF(AND($C83&lt;EDATE(BK$4,1),$D83&gt;=BK$4),1,""))</f>
        <v/>
      </c>
      <c r="BL83" s="64" t="str">
        <f aca="false">IF(OR(BL$4="",$C83="",$D83=""),"",IF(AND($C83&lt;EDATE(BL$4,1),$D83&gt;=BL$4),1,""))</f>
        <v/>
      </c>
      <c r="BM83" s="64" t="str">
        <f aca="false">IF(OR(BM$4="",$C83="",$D83=""),"",IF(AND($C83&lt;EDATE(BM$4,1),$D83&gt;=BM$4),1,""))</f>
        <v/>
      </c>
      <c r="BN83" s="64" t="str">
        <f aca="false">IF(OR(BN$4="",$C83="",$D83=""),"",IF(AND($C83&lt;EDATE(BN$4,1),$D83&gt;=BN$4),1,""))</f>
        <v/>
      </c>
      <c r="BO83" s="64" t="str">
        <f aca="false">IF(OR(BO$4="",$C83="",$D83=""),"",IF(AND($C83&lt;EDATE(BO$4,1),$D83&gt;=BO$4),1,""))</f>
        <v/>
      </c>
      <c r="BP83" s="64" t="str">
        <f aca="false">IF(OR(BP$4="",$C83="",$D83=""),"",IF(AND($C83&lt;EDATE(BP$4,1),$D83&gt;=BP$4),1,""))</f>
        <v/>
      </c>
      <c r="BQ83" s="64" t="str">
        <f aca="false">IF(OR(BQ$4="",$C83="",$D83=""),"",IF(AND($C83&lt;EDATE(BQ$4,1),$D83&gt;=BQ$4),1,""))</f>
        <v/>
      </c>
      <c r="BR83" s="64" t="str">
        <f aca="false">IF(OR(BR$4="",$C83="",$D83=""),"",IF(AND($C83&lt;EDATE(BR$4,1),$D83&gt;=BR$4),1,""))</f>
        <v/>
      </c>
      <c r="BS83" s="64" t="str">
        <f aca="false">IF(OR(BS$4="",$C83="",$D83=""),"",IF(AND($C83&lt;EDATE(BS$4,1),$D83&gt;=BS$4),1,""))</f>
        <v/>
      </c>
      <c r="BT83" s="64" t="str">
        <f aca="false">IF(OR(BT$4="",$C83="",$D83=""),"",IF(AND($C83&lt;EDATE(BT$4,1),$D83&gt;=BT$4),1,""))</f>
        <v/>
      </c>
      <c r="BU83" s="64" t="str">
        <f aca="false">IF(OR(BU$4="",$C83="",$D83=""),"",IF(AND($C83&lt;EDATE(BU$4,1),$D83&gt;=BU$4),1,""))</f>
        <v/>
      </c>
      <c r="BV83" s="64" t="str">
        <f aca="false">IF(OR(BV$4="",$C83="",$D83=""),"",IF(AND($C83&lt;EDATE(BV$4,1),$D83&gt;=BV$4),1,""))</f>
        <v/>
      </c>
      <c r="BW83" s="64" t="str">
        <f aca="false">IF(OR(BW$4="",$C83="",$D83=""),"",IF(AND($C83&lt;EDATE(BW$4,1),$D83&gt;=BW$4),1,""))</f>
        <v/>
      </c>
      <c r="BX83" s="64" t="str">
        <f aca="false">IF(OR(BX$4="",$C83="",$D83=""),"",IF(AND($C83&lt;EDATE(BX$4,1),$D83&gt;=BX$4),1,""))</f>
        <v/>
      </c>
      <c r="BY83" s="64" t="str">
        <f aca="false">IF(OR(BY$4="",$C83="",$D83=""),"",IF(AND($C83&lt;EDATE(BY$4,1),$D83&gt;=BY$4),1,""))</f>
        <v/>
      </c>
    </row>
    <row r="84" customFormat="false" ht="15" hidden="false" customHeight="false" outlineLevel="0" collapsed="false">
      <c r="A84" s="53" t="str">
        <f aca="false">IF(BOE!$A53="","",BOE!$A53)</f>
        <v/>
      </c>
      <c r="B84" s="53" t="str">
        <f aca="false">IF(BOE!$A53="","",BOE!$C53)</f>
        <v/>
      </c>
      <c r="C84" s="54" t="str">
        <f aca="false">IF(OR(BOE!$A53="",BOE!$E53&lt;&gt;"Y"),"",BOE!$O53)</f>
        <v/>
      </c>
      <c r="D84" s="54" t="str">
        <f aca="false">IF(OR(BOE!$A53="",BOE!$E53&lt;&gt;"Y"),"",BOE!$P53)</f>
        <v/>
      </c>
      <c r="E84" s="55" t="str">
        <f aca="false">IF(OR(BOE!$A53="",BOE!$E53&lt;&gt;"Y"),"",IF(Inputs!$B$7="P90",BOE!$T53,BOE!$R53))</f>
        <v/>
      </c>
      <c r="F84" s="64" t="str">
        <f aca="false">IF(OR(F$4="",$C84="",$D84=""),"",IF(AND($C84&lt;EDATE(F$4,1),$D84&gt;=F$4),1,""))</f>
        <v/>
      </c>
      <c r="G84" s="64" t="str">
        <f aca="false">IF(OR(G$4="",$C84="",$D84=""),"",IF(AND($C84&lt;EDATE(G$4,1),$D84&gt;=G$4),1,""))</f>
        <v/>
      </c>
      <c r="H84" s="64" t="str">
        <f aca="false">IF(OR(H$4="",$C84="",$D84=""),"",IF(AND($C84&lt;EDATE(H$4,1),$D84&gt;=H$4),1,""))</f>
        <v/>
      </c>
      <c r="I84" s="64" t="str">
        <f aca="false">IF(OR(I$4="",$C84="",$D84=""),"",IF(AND($C84&lt;EDATE(I$4,1),$D84&gt;=I$4),1,""))</f>
        <v/>
      </c>
      <c r="J84" s="64" t="str">
        <f aca="false">IF(OR(J$4="",$C84="",$D84=""),"",IF(AND($C84&lt;EDATE(J$4,1),$D84&gt;=J$4),1,""))</f>
        <v/>
      </c>
      <c r="K84" s="64" t="str">
        <f aca="false">IF(OR(K$4="",$C84="",$D84=""),"",IF(AND($C84&lt;EDATE(K$4,1),$D84&gt;=K$4),1,""))</f>
        <v/>
      </c>
      <c r="L84" s="64" t="str">
        <f aca="false">IF(OR(L$4="",$C84="",$D84=""),"",IF(AND($C84&lt;EDATE(L$4,1),$D84&gt;=L$4),1,""))</f>
        <v/>
      </c>
      <c r="M84" s="64" t="str">
        <f aca="false">IF(OR(M$4="",$C84="",$D84=""),"",IF(AND($C84&lt;EDATE(M$4,1),$D84&gt;=M$4),1,""))</f>
        <v/>
      </c>
      <c r="N84" s="64" t="str">
        <f aca="false">IF(OR(N$4="",$C84="",$D84=""),"",IF(AND($C84&lt;EDATE(N$4,1),$D84&gt;=N$4),1,""))</f>
        <v/>
      </c>
      <c r="O84" s="64" t="str">
        <f aca="false">IF(OR(O$4="",$C84="",$D84=""),"",IF(AND($C84&lt;EDATE(O$4,1),$D84&gt;=O$4),1,""))</f>
        <v/>
      </c>
      <c r="P84" s="64" t="str">
        <f aca="false">IF(OR(P$4="",$C84="",$D84=""),"",IF(AND($C84&lt;EDATE(P$4,1),$D84&gt;=P$4),1,""))</f>
        <v/>
      </c>
      <c r="Q84" s="64" t="str">
        <f aca="false">IF(OR(Q$4="",$C84="",$D84=""),"",IF(AND($C84&lt;EDATE(Q$4,1),$D84&gt;=Q$4),1,""))</f>
        <v/>
      </c>
      <c r="R84" s="64" t="str">
        <f aca="false">IF(OR(R$4="",$C84="",$D84=""),"",IF(AND($C84&lt;EDATE(R$4,1),$D84&gt;=R$4),1,""))</f>
        <v/>
      </c>
      <c r="S84" s="64" t="str">
        <f aca="false">IF(OR(S$4="",$C84="",$D84=""),"",IF(AND($C84&lt;EDATE(S$4,1),$D84&gt;=S$4),1,""))</f>
        <v/>
      </c>
      <c r="T84" s="64" t="str">
        <f aca="false">IF(OR(T$4="",$C84="",$D84=""),"",IF(AND($C84&lt;EDATE(T$4,1),$D84&gt;=T$4),1,""))</f>
        <v/>
      </c>
      <c r="U84" s="64" t="str">
        <f aca="false">IF(OR(U$4="",$C84="",$D84=""),"",IF(AND($C84&lt;EDATE(U$4,1),$D84&gt;=U$4),1,""))</f>
        <v/>
      </c>
      <c r="V84" s="64" t="str">
        <f aca="false">IF(OR(V$4="",$C84="",$D84=""),"",IF(AND($C84&lt;EDATE(V$4,1),$D84&gt;=V$4),1,""))</f>
        <v/>
      </c>
      <c r="W84" s="64" t="str">
        <f aca="false">IF(OR(W$4="",$C84="",$D84=""),"",IF(AND($C84&lt;EDATE(W$4,1),$D84&gt;=W$4),1,""))</f>
        <v/>
      </c>
      <c r="X84" s="64" t="str">
        <f aca="false">IF(OR(X$4="",$C84="",$D84=""),"",IF(AND($C84&lt;EDATE(X$4,1),$D84&gt;=X$4),1,""))</f>
        <v/>
      </c>
      <c r="Y84" s="64" t="str">
        <f aca="false">IF(OR(Y$4="",$C84="",$D84=""),"",IF(AND($C84&lt;EDATE(Y$4,1),$D84&gt;=Y$4),1,""))</f>
        <v/>
      </c>
      <c r="Z84" s="64" t="str">
        <f aca="false">IF(OR(Z$4="",$C84="",$D84=""),"",IF(AND($C84&lt;EDATE(Z$4,1),$D84&gt;=Z$4),1,""))</f>
        <v/>
      </c>
      <c r="AA84" s="64" t="str">
        <f aca="false">IF(OR(AA$4="",$C84="",$D84=""),"",IF(AND($C84&lt;EDATE(AA$4,1),$D84&gt;=AA$4),1,""))</f>
        <v/>
      </c>
      <c r="AB84" s="64" t="str">
        <f aca="false">IF(OR(AB$4="",$C84="",$D84=""),"",IF(AND($C84&lt;EDATE(AB$4,1),$D84&gt;=AB$4),1,""))</f>
        <v/>
      </c>
      <c r="AC84" s="64" t="str">
        <f aca="false">IF(OR(AC$4="",$C84="",$D84=""),"",IF(AND($C84&lt;EDATE(AC$4,1),$D84&gt;=AC$4),1,""))</f>
        <v/>
      </c>
      <c r="AD84" s="64" t="str">
        <f aca="false">IF(OR(AD$4="",$C84="",$D84=""),"",IF(AND($C84&lt;EDATE(AD$4,1),$D84&gt;=AD$4),1,""))</f>
        <v/>
      </c>
      <c r="AE84" s="64" t="str">
        <f aca="false">IF(OR(AE$4="",$C84="",$D84=""),"",IF(AND($C84&lt;EDATE(AE$4,1),$D84&gt;=AE$4),1,""))</f>
        <v/>
      </c>
      <c r="AF84" s="64" t="str">
        <f aca="false">IF(OR(AF$4="",$C84="",$D84=""),"",IF(AND($C84&lt;EDATE(AF$4,1),$D84&gt;=AF$4),1,""))</f>
        <v/>
      </c>
      <c r="AG84" s="64" t="str">
        <f aca="false">IF(OR(AG$4="",$C84="",$D84=""),"",IF(AND($C84&lt;EDATE(AG$4,1),$D84&gt;=AG$4),1,""))</f>
        <v/>
      </c>
      <c r="AH84" s="64" t="str">
        <f aca="false">IF(OR(AH$4="",$C84="",$D84=""),"",IF(AND($C84&lt;EDATE(AH$4,1),$D84&gt;=AH$4),1,""))</f>
        <v/>
      </c>
      <c r="AI84" s="64" t="str">
        <f aca="false">IF(OR(AI$4="",$C84="",$D84=""),"",IF(AND($C84&lt;EDATE(AI$4,1),$D84&gt;=AI$4),1,""))</f>
        <v/>
      </c>
      <c r="AJ84" s="64" t="str">
        <f aca="false">IF(OR(AJ$4="",$C84="",$D84=""),"",IF(AND($C84&lt;EDATE(AJ$4,1),$D84&gt;=AJ$4),1,""))</f>
        <v/>
      </c>
      <c r="AK84" s="64" t="str">
        <f aca="false">IF(OR(AK$4="",$C84="",$D84=""),"",IF(AND($C84&lt;EDATE(AK$4,1),$D84&gt;=AK$4),1,""))</f>
        <v/>
      </c>
      <c r="AL84" s="64" t="str">
        <f aca="false">IF(OR(AL$4="",$C84="",$D84=""),"",IF(AND($C84&lt;EDATE(AL$4,1),$D84&gt;=AL$4),1,""))</f>
        <v/>
      </c>
      <c r="AM84" s="64" t="str">
        <f aca="false">IF(OR(AM$4="",$C84="",$D84=""),"",IF(AND($C84&lt;EDATE(AM$4,1),$D84&gt;=AM$4),1,""))</f>
        <v/>
      </c>
      <c r="AN84" s="64" t="str">
        <f aca="false">IF(OR(AN$4="",$C84="",$D84=""),"",IF(AND($C84&lt;EDATE(AN$4,1),$D84&gt;=AN$4),1,""))</f>
        <v/>
      </c>
      <c r="AO84" s="64" t="str">
        <f aca="false">IF(OR(AO$4="",$C84="",$D84=""),"",IF(AND($C84&lt;EDATE(AO$4,1),$D84&gt;=AO$4),1,""))</f>
        <v/>
      </c>
      <c r="AP84" s="64" t="str">
        <f aca="false">IF(OR(AP$4="",$C84="",$D84=""),"",IF(AND($C84&lt;EDATE(AP$4,1),$D84&gt;=AP$4),1,""))</f>
        <v/>
      </c>
      <c r="AQ84" s="64" t="str">
        <f aca="false">IF(OR(AQ$4="",$C84="",$D84=""),"",IF(AND($C84&lt;EDATE(AQ$4,1),$D84&gt;=AQ$4),1,""))</f>
        <v/>
      </c>
      <c r="AR84" s="64" t="str">
        <f aca="false">IF(OR(AR$4="",$C84="",$D84=""),"",IF(AND($C84&lt;EDATE(AR$4,1),$D84&gt;=AR$4),1,""))</f>
        <v/>
      </c>
      <c r="AS84" s="64" t="str">
        <f aca="false">IF(OR(AS$4="",$C84="",$D84=""),"",IF(AND($C84&lt;EDATE(AS$4,1),$D84&gt;=AS$4),1,""))</f>
        <v/>
      </c>
      <c r="AT84" s="64" t="str">
        <f aca="false">IF(OR(AT$4="",$C84="",$D84=""),"",IF(AND($C84&lt;EDATE(AT$4,1),$D84&gt;=AT$4),1,""))</f>
        <v/>
      </c>
      <c r="AU84" s="64" t="str">
        <f aca="false">IF(OR(AU$4="",$C84="",$D84=""),"",IF(AND($C84&lt;EDATE(AU$4,1),$D84&gt;=AU$4),1,""))</f>
        <v/>
      </c>
      <c r="AV84" s="64" t="str">
        <f aca="false">IF(OR(AV$4="",$C84="",$D84=""),"",IF(AND($C84&lt;EDATE(AV$4,1),$D84&gt;=AV$4),1,""))</f>
        <v/>
      </c>
      <c r="AW84" s="64" t="str">
        <f aca="false">IF(OR(AW$4="",$C84="",$D84=""),"",IF(AND($C84&lt;EDATE(AW$4,1),$D84&gt;=AW$4),1,""))</f>
        <v/>
      </c>
      <c r="AX84" s="64" t="str">
        <f aca="false">IF(OR(AX$4="",$C84="",$D84=""),"",IF(AND($C84&lt;EDATE(AX$4,1),$D84&gt;=AX$4),1,""))</f>
        <v/>
      </c>
      <c r="AY84" s="64" t="str">
        <f aca="false">IF(OR(AY$4="",$C84="",$D84=""),"",IF(AND($C84&lt;EDATE(AY$4,1),$D84&gt;=AY$4),1,""))</f>
        <v/>
      </c>
      <c r="AZ84" s="64" t="str">
        <f aca="false">IF(OR(AZ$4="",$C84="",$D84=""),"",IF(AND($C84&lt;EDATE(AZ$4,1),$D84&gt;=AZ$4),1,""))</f>
        <v/>
      </c>
      <c r="BA84" s="64" t="str">
        <f aca="false">IF(OR(BA$4="",$C84="",$D84=""),"",IF(AND($C84&lt;EDATE(BA$4,1),$D84&gt;=BA$4),1,""))</f>
        <v/>
      </c>
      <c r="BB84" s="64" t="str">
        <f aca="false">IF(OR(BB$4="",$C84="",$D84=""),"",IF(AND($C84&lt;EDATE(BB$4,1),$D84&gt;=BB$4),1,""))</f>
        <v/>
      </c>
      <c r="BC84" s="64" t="str">
        <f aca="false">IF(OR(BC$4="",$C84="",$D84=""),"",IF(AND($C84&lt;EDATE(BC$4,1),$D84&gt;=BC$4),1,""))</f>
        <v/>
      </c>
      <c r="BD84" s="64" t="str">
        <f aca="false">IF(OR(BD$4="",$C84="",$D84=""),"",IF(AND($C84&lt;EDATE(BD$4,1),$D84&gt;=BD$4),1,""))</f>
        <v/>
      </c>
      <c r="BE84" s="64" t="str">
        <f aca="false">IF(OR(BE$4="",$C84="",$D84=""),"",IF(AND($C84&lt;EDATE(BE$4,1),$D84&gt;=BE$4),1,""))</f>
        <v/>
      </c>
      <c r="BF84" s="64" t="str">
        <f aca="false">IF(OR(BF$4="",$C84="",$D84=""),"",IF(AND($C84&lt;EDATE(BF$4,1),$D84&gt;=BF$4),1,""))</f>
        <v/>
      </c>
      <c r="BG84" s="64" t="str">
        <f aca="false">IF(OR(BG$4="",$C84="",$D84=""),"",IF(AND($C84&lt;EDATE(BG$4,1),$D84&gt;=BG$4),1,""))</f>
        <v/>
      </c>
      <c r="BH84" s="64" t="str">
        <f aca="false">IF(OR(BH$4="",$C84="",$D84=""),"",IF(AND($C84&lt;EDATE(BH$4,1),$D84&gt;=BH$4),1,""))</f>
        <v/>
      </c>
      <c r="BI84" s="64" t="str">
        <f aca="false">IF(OR(BI$4="",$C84="",$D84=""),"",IF(AND($C84&lt;EDATE(BI$4,1),$D84&gt;=BI$4),1,""))</f>
        <v/>
      </c>
      <c r="BJ84" s="64" t="str">
        <f aca="false">IF(OR(BJ$4="",$C84="",$D84=""),"",IF(AND($C84&lt;EDATE(BJ$4,1),$D84&gt;=BJ$4),1,""))</f>
        <v/>
      </c>
      <c r="BK84" s="64" t="str">
        <f aca="false">IF(OR(BK$4="",$C84="",$D84=""),"",IF(AND($C84&lt;EDATE(BK$4,1),$D84&gt;=BK$4),1,""))</f>
        <v/>
      </c>
      <c r="BL84" s="64" t="str">
        <f aca="false">IF(OR(BL$4="",$C84="",$D84=""),"",IF(AND($C84&lt;EDATE(BL$4,1),$D84&gt;=BL$4),1,""))</f>
        <v/>
      </c>
      <c r="BM84" s="64" t="str">
        <f aca="false">IF(OR(BM$4="",$C84="",$D84=""),"",IF(AND($C84&lt;EDATE(BM$4,1),$D84&gt;=BM$4),1,""))</f>
        <v/>
      </c>
      <c r="BN84" s="64" t="str">
        <f aca="false">IF(OR(BN$4="",$C84="",$D84=""),"",IF(AND($C84&lt;EDATE(BN$4,1),$D84&gt;=BN$4),1,""))</f>
        <v/>
      </c>
      <c r="BO84" s="64" t="str">
        <f aca="false">IF(OR(BO$4="",$C84="",$D84=""),"",IF(AND($C84&lt;EDATE(BO$4,1),$D84&gt;=BO$4),1,""))</f>
        <v/>
      </c>
      <c r="BP84" s="64" t="str">
        <f aca="false">IF(OR(BP$4="",$C84="",$D84=""),"",IF(AND($C84&lt;EDATE(BP$4,1),$D84&gt;=BP$4),1,""))</f>
        <v/>
      </c>
      <c r="BQ84" s="64" t="str">
        <f aca="false">IF(OR(BQ$4="",$C84="",$D84=""),"",IF(AND($C84&lt;EDATE(BQ$4,1),$D84&gt;=BQ$4),1,""))</f>
        <v/>
      </c>
      <c r="BR84" s="64" t="str">
        <f aca="false">IF(OR(BR$4="",$C84="",$D84=""),"",IF(AND($C84&lt;EDATE(BR$4,1),$D84&gt;=BR$4),1,""))</f>
        <v/>
      </c>
      <c r="BS84" s="64" t="str">
        <f aca="false">IF(OR(BS$4="",$C84="",$D84=""),"",IF(AND($C84&lt;EDATE(BS$4,1),$D84&gt;=BS$4),1,""))</f>
        <v/>
      </c>
      <c r="BT84" s="64" t="str">
        <f aca="false">IF(OR(BT$4="",$C84="",$D84=""),"",IF(AND($C84&lt;EDATE(BT$4,1),$D84&gt;=BT$4),1,""))</f>
        <v/>
      </c>
      <c r="BU84" s="64" t="str">
        <f aca="false">IF(OR(BU$4="",$C84="",$D84=""),"",IF(AND($C84&lt;EDATE(BU$4,1),$D84&gt;=BU$4),1,""))</f>
        <v/>
      </c>
      <c r="BV84" s="64" t="str">
        <f aca="false">IF(OR(BV$4="",$C84="",$D84=""),"",IF(AND($C84&lt;EDATE(BV$4,1),$D84&gt;=BV$4),1,""))</f>
        <v/>
      </c>
      <c r="BW84" s="64" t="str">
        <f aca="false">IF(OR(BW$4="",$C84="",$D84=""),"",IF(AND($C84&lt;EDATE(BW$4,1),$D84&gt;=BW$4),1,""))</f>
        <v/>
      </c>
      <c r="BX84" s="64" t="str">
        <f aca="false">IF(OR(BX$4="",$C84="",$D84=""),"",IF(AND($C84&lt;EDATE(BX$4,1),$D84&gt;=BX$4),1,""))</f>
        <v/>
      </c>
      <c r="BY84" s="64" t="str">
        <f aca="false">IF(OR(BY$4="",$C84="",$D84=""),"",IF(AND($C84&lt;EDATE(BY$4,1),$D84&gt;=BY$4),1,""))</f>
        <v/>
      </c>
    </row>
    <row r="85" customFormat="false" ht="15" hidden="false" customHeight="false" outlineLevel="0" collapsed="false">
      <c r="A85" s="53" t="str">
        <f aca="false">IF(BOE!$A54="","",BOE!$A54)</f>
        <v/>
      </c>
      <c r="B85" s="53" t="str">
        <f aca="false">IF(BOE!$A54="","",BOE!$C54)</f>
        <v/>
      </c>
      <c r="C85" s="54" t="str">
        <f aca="false">IF(OR(BOE!$A54="",BOE!$E54&lt;&gt;"Y"),"",BOE!$O54)</f>
        <v/>
      </c>
      <c r="D85" s="54" t="str">
        <f aca="false">IF(OR(BOE!$A54="",BOE!$E54&lt;&gt;"Y"),"",BOE!$P54)</f>
        <v/>
      </c>
      <c r="E85" s="55" t="str">
        <f aca="false">IF(OR(BOE!$A54="",BOE!$E54&lt;&gt;"Y"),"",IF(Inputs!$B$7="P90",BOE!$T54,BOE!$R54))</f>
        <v/>
      </c>
      <c r="F85" s="64" t="str">
        <f aca="false">IF(OR(F$4="",$C85="",$D85=""),"",IF(AND($C85&lt;EDATE(F$4,1),$D85&gt;=F$4),1,""))</f>
        <v/>
      </c>
      <c r="G85" s="64" t="str">
        <f aca="false">IF(OR(G$4="",$C85="",$D85=""),"",IF(AND($C85&lt;EDATE(G$4,1),$D85&gt;=G$4),1,""))</f>
        <v/>
      </c>
      <c r="H85" s="64" t="str">
        <f aca="false">IF(OR(H$4="",$C85="",$D85=""),"",IF(AND($C85&lt;EDATE(H$4,1),$D85&gt;=H$4),1,""))</f>
        <v/>
      </c>
      <c r="I85" s="64" t="str">
        <f aca="false">IF(OR(I$4="",$C85="",$D85=""),"",IF(AND($C85&lt;EDATE(I$4,1),$D85&gt;=I$4),1,""))</f>
        <v/>
      </c>
      <c r="J85" s="64" t="str">
        <f aca="false">IF(OR(J$4="",$C85="",$D85=""),"",IF(AND($C85&lt;EDATE(J$4,1),$D85&gt;=J$4),1,""))</f>
        <v/>
      </c>
      <c r="K85" s="64" t="str">
        <f aca="false">IF(OR(K$4="",$C85="",$D85=""),"",IF(AND($C85&lt;EDATE(K$4,1),$D85&gt;=K$4),1,""))</f>
        <v/>
      </c>
      <c r="L85" s="64" t="str">
        <f aca="false">IF(OR(L$4="",$C85="",$D85=""),"",IF(AND($C85&lt;EDATE(L$4,1),$D85&gt;=L$4),1,""))</f>
        <v/>
      </c>
      <c r="M85" s="64" t="str">
        <f aca="false">IF(OR(M$4="",$C85="",$D85=""),"",IF(AND($C85&lt;EDATE(M$4,1),$D85&gt;=M$4),1,""))</f>
        <v/>
      </c>
      <c r="N85" s="64" t="str">
        <f aca="false">IF(OR(N$4="",$C85="",$D85=""),"",IF(AND($C85&lt;EDATE(N$4,1),$D85&gt;=N$4),1,""))</f>
        <v/>
      </c>
      <c r="O85" s="64" t="str">
        <f aca="false">IF(OR(O$4="",$C85="",$D85=""),"",IF(AND($C85&lt;EDATE(O$4,1),$D85&gt;=O$4),1,""))</f>
        <v/>
      </c>
      <c r="P85" s="64" t="str">
        <f aca="false">IF(OR(P$4="",$C85="",$D85=""),"",IF(AND($C85&lt;EDATE(P$4,1),$D85&gt;=P$4),1,""))</f>
        <v/>
      </c>
      <c r="Q85" s="64" t="str">
        <f aca="false">IF(OR(Q$4="",$C85="",$D85=""),"",IF(AND($C85&lt;EDATE(Q$4,1),$D85&gt;=Q$4),1,""))</f>
        <v/>
      </c>
      <c r="R85" s="64" t="str">
        <f aca="false">IF(OR(R$4="",$C85="",$D85=""),"",IF(AND($C85&lt;EDATE(R$4,1),$D85&gt;=R$4),1,""))</f>
        <v/>
      </c>
      <c r="S85" s="64" t="str">
        <f aca="false">IF(OR(S$4="",$C85="",$D85=""),"",IF(AND($C85&lt;EDATE(S$4,1),$D85&gt;=S$4),1,""))</f>
        <v/>
      </c>
      <c r="T85" s="64" t="str">
        <f aca="false">IF(OR(T$4="",$C85="",$D85=""),"",IF(AND($C85&lt;EDATE(T$4,1),$D85&gt;=T$4),1,""))</f>
        <v/>
      </c>
      <c r="U85" s="64" t="str">
        <f aca="false">IF(OR(U$4="",$C85="",$D85=""),"",IF(AND($C85&lt;EDATE(U$4,1),$D85&gt;=U$4),1,""))</f>
        <v/>
      </c>
      <c r="V85" s="64" t="str">
        <f aca="false">IF(OR(V$4="",$C85="",$D85=""),"",IF(AND($C85&lt;EDATE(V$4,1),$D85&gt;=V$4),1,""))</f>
        <v/>
      </c>
      <c r="W85" s="64" t="str">
        <f aca="false">IF(OR(W$4="",$C85="",$D85=""),"",IF(AND($C85&lt;EDATE(W$4,1),$D85&gt;=W$4),1,""))</f>
        <v/>
      </c>
      <c r="X85" s="64" t="str">
        <f aca="false">IF(OR(X$4="",$C85="",$D85=""),"",IF(AND($C85&lt;EDATE(X$4,1),$D85&gt;=X$4),1,""))</f>
        <v/>
      </c>
      <c r="Y85" s="64" t="str">
        <f aca="false">IF(OR(Y$4="",$C85="",$D85=""),"",IF(AND($C85&lt;EDATE(Y$4,1),$D85&gt;=Y$4),1,""))</f>
        <v/>
      </c>
      <c r="Z85" s="64" t="str">
        <f aca="false">IF(OR(Z$4="",$C85="",$D85=""),"",IF(AND($C85&lt;EDATE(Z$4,1),$D85&gt;=Z$4),1,""))</f>
        <v/>
      </c>
      <c r="AA85" s="64" t="str">
        <f aca="false">IF(OR(AA$4="",$C85="",$D85=""),"",IF(AND($C85&lt;EDATE(AA$4,1),$D85&gt;=AA$4),1,""))</f>
        <v/>
      </c>
      <c r="AB85" s="64" t="str">
        <f aca="false">IF(OR(AB$4="",$C85="",$D85=""),"",IF(AND($C85&lt;EDATE(AB$4,1),$D85&gt;=AB$4),1,""))</f>
        <v/>
      </c>
      <c r="AC85" s="64" t="str">
        <f aca="false">IF(OR(AC$4="",$C85="",$D85=""),"",IF(AND($C85&lt;EDATE(AC$4,1),$D85&gt;=AC$4),1,""))</f>
        <v/>
      </c>
      <c r="AD85" s="64" t="str">
        <f aca="false">IF(OR(AD$4="",$C85="",$D85=""),"",IF(AND($C85&lt;EDATE(AD$4,1),$D85&gt;=AD$4),1,""))</f>
        <v/>
      </c>
      <c r="AE85" s="64" t="str">
        <f aca="false">IF(OR(AE$4="",$C85="",$D85=""),"",IF(AND($C85&lt;EDATE(AE$4,1),$D85&gt;=AE$4),1,""))</f>
        <v/>
      </c>
      <c r="AF85" s="64" t="str">
        <f aca="false">IF(OR(AF$4="",$C85="",$D85=""),"",IF(AND($C85&lt;EDATE(AF$4,1),$D85&gt;=AF$4),1,""))</f>
        <v/>
      </c>
      <c r="AG85" s="64" t="str">
        <f aca="false">IF(OR(AG$4="",$C85="",$D85=""),"",IF(AND($C85&lt;EDATE(AG$4,1),$D85&gt;=AG$4),1,""))</f>
        <v/>
      </c>
      <c r="AH85" s="64" t="str">
        <f aca="false">IF(OR(AH$4="",$C85="",$D85=""),"",IF(AND($C85&lt;EDATE(AH$4,1),$D85&gt;=AH$4),1,""))</f>
        <v/>
      </c>
      <c r="AI85" s="64" t="str">
        <f aca="false">IF(OR(AI$4="",$C85="",$D85=""),"",IF(AND($C85&lt;EDATE(AI$4,1),$D85&gt;=AI$4),1,""))</f>
        <v/>
      </c>
      <c r="AJ85" s="64" t="str">
        <f aca="false">IF(OR(AJ$4="",$C85="",$D85=""),"",IF(AND($C85&lt;EDATE(AJ$4,1),$D85&gt;=AJ$4),1,""))</f>
        <v/>
      </c>
      <c r="AK85" s="64" t="str">
        <f aca="false">IF(OR(AK$4="",$C85="",$D85=""),"",IF(AND($C85&lt;EDATE(AK$4,1),$D85&gt;=AK$4),1,""))</f>
        <v/>
      </c>
      <c r="AL85" s="64" t="str">
        <f aca="false">IF(OR(AL$4="",$C85="",$D85=""),"",IF(AND($C85&lt;EDATE(AL$4,1),$D85&gt;=AL$4),1,""))</f>
        <v/>
      </c>
      <c r="AM85" s="64" t="str">
        <f aca="false">IF(OR(AM$4="",$C85="",$D85=""),"",IF(AND($C85&lt;EDATE(AM$4,1),$D85&gt;=AM$4),1,""))</f>
        <v/>
      </c>
      <c r="AN85" s="64" t="str">
        <f aca="false">IF(OR(AN$4="",$C85="",$D85=""),"",IF(AND($C85&lt;EDATE(AN$4,1),$D85&gt;=AN$4),1,""))</f>
        <v/>
      </c>
      <c r="AO85" s="64" t="str">
        <f aca="false">IF(OR(AO$4="",$C85="",$D85=""),"",IF(AND($C85&lt;EDATE(AO$4,1),$D85&gt;=AO$4),1,""))</f>
        <v/>
      </c>
      <c r="AP85" s="64" t="str">
        <f aca="false">IF(OR(AP$4="",$C85="",$D85=""),"",IF(AND($C85&lt;EDATE(AP$4,1),$D85&gt;=AP$4),1,""))</f>
        <v/>
      </c>
      <c r="AQ85" s="64" t="str">
        <f aca="false">IF(OR(AQ$4="",$C85="",$D85=""),"",IF(AND($C85&lt;EDATE(AQ$4,1),$D85&gt;=AQ$4),1,""))</f>
        <v/>
      </c>
      <c r="AR85" s="64" t="str">
        <f aca="false">IF(OR(AR$4="",$C85="",$D85=""),"",IF(AND($C85&lt;EDATE(AR$4,1),$D85&gt;=AR$4),1,""))</f>
        <v/>
      </c>
      <c r="AS85" s="64" t="str">
        <f aca="false">IF(OR(AS$4="",$C85="",$D85=""),"",IF(AND($C85&lt;EDATE(AS$4,1),$D85&gt;=AS$4),1,""))</f>
        <v/>
      </c>
      <c r="AT85" s="64" t="str">
        <f aca="false">IF(OR(AT$4="",$C85="",$D85=""),"",IF(AND($C85&lt;EDATE(AT$4,1),$D85&gt;=AT$4),1,""))</f>
        <v/>
      </c>
      <c r="AU85" s="64" t="str">
        <f aca="false">IF(OR(AU$4="",$C85="",$D85=""),"",IF(AND($C85&lt;EDATE(AU$4,1),$D85&gt;=AU$4),1,""))</f>
        <v/>
      </c>
      <c r="AV85" s="64" t="str">
        <f aca="false">IF(OR(AV$4="",$C85="",$D85=""),"",IF(AND($C85&lt;EDATE(AV$4,1),$D85&gt;=AV$4),1,""))</f>
        <v/>
      </c>
      <c r="AW85" s="64" t="str">
        <f aca="false">IF(OR(AW$4="",$C85="",$D85=""),"",IF(AND($C85&lt;EDATE(AW$4,1),$D85&gt;=AW$4),1,""))</f>
        <v/>
      </c>
      <c r="AX85" s="64" t="str">
        <f aca="false">IF(OR(AX$4="",$C85="",$D85=""),"",IF(AND($C85&lt;EDATE(AX$4,1),$D85&gt;=AX$4),1,""))</f>
        <v/>
      </c>
      <c r="AY85" s="64" t="str">
        <f aca="false">IF(OR(AY$4="",$C85="",$D85=""),"",IF(AND($C85&lt;EDATE(AY$4,1),$D85&gt;=AY$4),1,""))</f>
        <v/>
      </c>
      <c r="AZ85" s="64" t="str">
        <f aca="false">IF(OR(AZ$4="",$C85="",$D85=""),"",IF(AND($C85&lt;EDATE(AZ$4,1),$D85&gt;=AZ$4),1,""))</f>
        <v/>
      </c>
      <c r="BA85" s="64" t="str">
        <f aca="false">IF(OR(BA$4="",$C85="",$D85=""),"",IF(AND($C85&lt;EDATE(BA$4,1),$D85&gt;=BA$4),1,""))</f>
        <v/>
      </c>
      <c r="BB85" s="64" t="str">
        <f aca="false">IF(OR(BB$4="",$C85="",$D85=""),"",IF(AND($C85&lt;EDATE(BB$4,1),$D85&gt;=BB$4),1,""))</f>
        <v/>
      </c>
      <c r="BC85" s="64" t="str">
        <f aca="false">IF(OR(BC$4="",$C85="",$D85=""),"",IF(AND($C85&lt;EDATE(BC$4,1),$D85&gt;=BC$4),1,""))</f>
        <v/>
      </c>
      <c r="BD85" s="64" t="str">
        <f aca="false">IF(OR(BD$4="",$C85="",$D85=""),"",IF(AND($C85&lt;EDATE(BD$4,1),$D85&gt;=BD$4),1,""))</f>
        <v/>
      </c>
      <c r="BE85" s="64" t="str">
        <f aca="false">IF(OR(BE$4="",$C85="",$D85=""),"",IF(AND($C85&lt;EDATE(BE$4,1),$D85&gt;=BE$4),1,""))</f>
        <v/>
      </c>
      <c r="BF85" s="64" t="str">
        <f aca="false">IF(OR(BF$4="",$C85="",$D85=""),"",IF(AND($C85&lt;EDATE(BF$4,1),$D85&gt;=BF$4),1,""))</f>
        <v/>
      </c>
      <c r="BG85" s="64" t="str">
        <f aca="false">IF(OR(BG$4="",$C85="",$D85=""),"",IF(AND($C85&lt;EDATE(BG$4,1),$D85&gt;=BG$4),1,""))</f>
        <v/>
      </c>
      <c r="BH85" s="64" t="str">
        <f aca="false">IF(OR(BH$4="",$C85="",$D85=""),"",IF(AND($C85&lt;EDATE(BH$4,1),$D85&gt;=BH$4),1,""))</f>
        <v/>
      </c>
      <c r="BI85" s="64" t="str">
        <f aca="false">IF(OR(BI$4="",$C85="",$D85=""),"",IF(AND($C85&lt;EDATE(BI$4,1),$D85&gt;=BI$4),1,""))</f>
        <v/>
      </c>
      <c r="BJ85" s="64" t="str">
        <f aca="false">IF(OR(BJ$4="",$C85="",$D85=""),"",IF(AND($C85&lt;EDATE(BJ$4,1),$D85&gt;=BJ$4),1,""))</f>
        <v/>
      </c>
      <c r="BK85" s="64" t="str">
        <f aca="false">IF(OR(BK$4="",$C85="",$D85=""),"",IF(AND($C85&lt;EDATE(BK$4,1),$D85&gt;=BK$4),1,""))</f>
        <v/>
      </c>
      <c r="BL85" s="64" t="str">
        <f aca="false">IF(OR(BL$4="",$C85="",$D85=""),"",IF(AND($C85&lt;EDATE(BL$4,1),$D85&gt;=BL$4),1,""))</f>
        <v/>
      </c>
      <c r="BM85" s="64" t="str">
        <f aca="false">IF(OR(BM$4="",$C85="",$D85=""),"",IF(AND($C85&lt;EDATE(BM$4,1),$D85&gt;=BM$4),1,""))</f>
        <v/>
      </c>
      <c r="BN85" s="64" t="str">
        <f aca="false">IF(OR(BN$4="",$C85="",$D85=""),"",IF(AND($C85&lt;EDATE(BN$4,1),$D85&gt;=BN$4),1,""))</f>
        <v/>
      </c>
      <c r="BO85" s="64" t="str">
        <f aca="false">IF(OR(BO$4="",$C85="",$D85=""),"",IF(AND($C85&lt;EDATE(BO$4,1),$D85&gt;=BO$4),1,""))</f>
        <v/>
      </c>
      <c r="BP85" s="64" t="str">
        <f aca="false">IF(OR(BP$4="",$C85="",$D85=""),"",IF(AND($C85&lt;EDATE(BP$4,1),$D85&gt;=BP$4),1,""))</f>
        <v/>
      </c>
      <c r="BQ85" s="64" t="str">
        <f aca="false">IF(OR(BQ$4="",$C85="",$D85=""),"",IF(AND($C85&lt;EDATE(BQ$4,1),$D85&gt;=BQ$4),1,""))</f>
        <v/>
      </c>
      <c r="BR85" s="64" t="str">
        <f aca="false">IF(OR(BR$4="",$C85="",$D85=""),"",IF(AND($C85&lt;EDATE(BR$4,1),$D85&gt;=BR$4),1,""))</f>
        <v/>
      </c>
      <c r="BS85" s="64" t="str">
        <f aca="false">IF(OR(BS$4="",$C85="",$D85=""),"",IF(AND($C85&lt;EDATE(BS$4,1),$D85&gt;=BS$4),1,""))</f>
        <v/>
      </c>
      <c r="BT85" s="64" t="str">
        <f aca="false">IF(OR(BT$4="",$C85="",$D85=""),"",IF(AND($C85&lt;EDATE(BT$4,1),$D85&gt;=BT$4),1,""))</f>
        <v/>
      </c>
      <c r="BU85" s="64" t="str">
        <f aca="false">IF(OR(BU$4="",$C85="",$D85=""),"",IF(AND($C85&lt;EDATE(BU$4,1),$D85&gt;=BU$4),1,""))</f>
        <v/>
      </c>
      <c r="BV85" s="64" t="str">
        <f aca="false">IF(OR(BV$4="",$C85="",$D85=""),"",IF(AND($C85&lt;EDATE(BV$4,1),$D85&gt;=BV$4),1,""))</f>
        <v/>
      </c>
      <c r="BW85" s="64" t="str">
        <f aca="false">IF(OR(BW$4="",$C85="",$D85=""),"",IF(AND($C85&lt;EDATE(BW$4,1),$D85&gt;=BW$4),1,""))</f>
        <v/>
      </c>
      <c r="BX85" s="64" t="str">
        <f aca="false">IF(OR(BX$4="",$C85="",$D85=""),"",IF(AND($C85&lt;EDATE(BX$4,1),$D85&gt;=BX$4),1,""))</f>
        <v/>
      </c>
      <c r="BY85" s="64" t="str">
        <f aca="false">IF(OR(BY$4="",$C85="",$D85=""),"",IF(AND($C85&lt;EDATE(BY$4,1),$D85&gt;=BY$4),1,""))</f>
        <v/>
      </c>
    </row>
    <row r="86" customFormat="false" ht="15" hidden="false" customHeight="false" outlineLevel="0" collapsed="false">
      <c r="A86" s="53" t="str">
        <f aca="false">IF(BOE!$A55="","",BOE!$A55)</f>
        <v/>
      </c>
      <c r="B86" s="53" t="str">
        <f aca="false">IF(BOE!$A55="","",BOE!$C55)</f>
        <v/>
      </c>
      <c r="C86" s="54" t="str">
        <f aca="false">IF(OR(BOE!$A55="",BOE!$E55&lt;&gt;"Y"),"",BOE!$O55)</f>
        <v/>
      </c>
      <c r="D86" s="54" t="str">
        <f aca="false">IF(OR(BOE!$A55="",BOE!$E55&lt;&gt;"Y"),"",BOE!$P55)</f>
        <v/>
      </c>
      <c r="E86" s="55" t="str">
        <f aca="false">IF(OR(BOE!$A55="",BOE!$E55&lt;&gt;"Y"),"",IF(Inputs!$B$7="P90",BOE!$T55,BOE!$R55))</f>
        <v/>
      </c>
      <c r="F86" s="64" t="str">
        <f aca="false">IF(OR(F$4="",$C86="",$D86=""),"",IF(AND($C86&lt;EDATE(F$4,1),$D86&gt;=F$4),1,""))</f>
        <v/>
      </c>
      <c r="G86" s="64" t="str">
        <f aca="false">IF(OR(G$4="",$C86="",$D86=""),"",IF(AND($C86&lt;EDATE(G$4,1),$D86&gt;=G$4),1,""))</f>
        <v/>
      </c>
      <c r="H86" s="64" t="str">
        <f aca="false">IF(OR(H$4="",$C86="",$D86=""),"",IF(AND($C86&lt;EDATE(H$4,1),$D86&gt;=H$4),1,""))</f>
        <v/>
      </c>
      <c r="I86" s="64" t="str">
        <f aca="false">IF(OR(I$4="",$C86="",$D86=""),"",IF(AND($C86&lt;EDATE(I$4,1),$D86&gt;=I$4),1,""))</f>
        <v/>
      </c>
      <c r="J86" s="64" t="str">
        <f aca="false">IF(OR(J$4="",$C86="",$D86=""),"",IF(AND($C86&lt;EDATE(J$4,1),$D86&gt;=J$4),1,""))</f>
        <v/>
      </c>
      <c r="K86" s="64" t="str">
        <f aca="false">IF(OR(K$4="",$C86="",$D86=""),"",IF(AND($C86&lt;EDATE(K$4,1),$D86&gt;=K$4),1,""))</f>
        <v/>
      </c>
      <c r="L86" s="64" t="str">
        <f aca="false">IF(OR(L$4="",$C86="",$D86=""),"",IF(AND($C86&lt;EDATE(L$4,1),$D86&gt;=L$4),1,""))</f>
        <v/>
      </c>
      <c r="M86" s="64" t="str">
        <f aca="false">IF(OR(M$4="",$C86="",$D86=""),"",IF(AND($C86&lt;EDATE(M$4,1),$D86&gt;=M$4),1,""))</f>
        <v/>
      </c>
      <c r="N86" s="64" t="str">
        <f aca="false">IF(OR(N$4="",$C86="",$D86=""),"",IF(AND($C86&lt;EDATE(N$4,1),$D86&gt;=N$4),1,""))</f>
        <v/>
      </c>
      <c r="O86" s="64" t="str">
        <f aca="false">IF(OR(O$4="",$C86="",$D86=""),"",IF(AND($C86&lt;EDATE(O$4,1),$D86&gt;=O$4),1,""))</f>
        <v/>
      </c>
      <c r="P86" s="64" t="str">
        <f aca="false">IF(OR(P$4="",$C86="",$D86=""),"",IF(AND($C86&lt;EDATE(P$4,1),$D86&gt;=P$4),1,""))</f>
        <v/>
      </c>
      <c r="Q86" s="64" t="str">
        <f aca="false">IF(OR(Q$4="",$C86="",$D86=""),"",IF(AND($C86&lt;EDATE(Q$4,1),$D86&gt;=Q$4),1,""))</f>
        <v/>
      </c>
      <c r="R86" s="64" t="str">
        <f aca="false">IF(OR(R$4="",$C86="",$D86=""),"",IF(AND($C86&lt;EDATE(R$4,1),$D86&gt;=R$4),1,""))</f>
        <v/>
      </c>
      <c r="S86" s="64" t="str">
        <f aca="false">IF(OR(S$4="",$C86="",$D86=""),"",IF(AND($C86&lt;EDATE(S$4,1),$D86&gt;=S$4),1,""))</f>
        <v/>
      </c>
      <c r="T86" s="64" t="str">
        <f aca="false">IF(OR(T$4="",$C86="",$D86=""),"",IF(AND($C86&lt;EDATE(T$4,1),$D86&gt;=T$4),1,""))</f>
        <v/>
      </c>
      <c r="U86" s="64" t="str">
        <f aca="false">IF(OR(U$4="",$C86="",$D86=""),"",IF(AND($C86&lt;EDATE(U$4,1),$D86&gt;=U$4),1,""))</f>
        <v/>
      </c>
      <c r="V86" s="64" t="str">
        <f aca="false">IF(OR(V$4="",$C86="",$D86=""),"",IF(AND($C86&lt;EDATE(V$4,1),$D86&gt;=V$4),1,""))</f>
        <v/>
      </c>
      <c r="W86" s="64" t="str">
        <f aca="false">IF(OR(W$4="",$C86="",$D86=""),"",IF(AND($C86&lt;EDATE(W$4,1),$D86&gt;=W$4),1,""))</f>
        <v/>
      </c>
      <c r="X86" s="64" t="str">
        <f aca="false">IF(OR(X$4="",$C86="",$D86=""),"",IF(AND($C86&lt;EDATE(X$4,1),$D86&gt;=X$4),1,""))</f>
        <v/>
      </c>
      <c r="Y86" s="64" t="str">
        <f aca="false">IF(OR(Y$4="",$C86="",$D86=""),"",IF(AND($C86&lt;EDATE(Y$4,1),$D86&gt;=Y$4),1,""))</f>
        <v/>
      </c>
      <c r="Z86" s="64" t="str">
        <f aca="false">IF(OR(Z$4="",$C86="",$D86=""),"",IF(AND($C86&lt;EDATE(Z$4,1),$D86&gt;=Z$4),1,""))</f>
        <v/>
      </c>
      <c r="AA86" s="64" t="str">
        <f aca="false">IF(OR(AA$4="",$C86="",$D86=""),"",IF(AND($C86&lt;EDATE(AA$4,1),$D86&gt;=AA$4),1,""))</f>
        <v/>
      </c>
      <c r="AB86" s="64" t="str">
        <f aca="false">IF(OR(AB$4="",$C86="",$D86=""),"",IF(AND($C86&lt;EDATE(AB$4,1),$D86&gt;=AB$4),1,""))</f>
        <v/>
      </c>
      <c r="AC86" s="64" t="str">
        <f aca="false">IF(OR(AC$4="",$C86="",$D86=""),"",IF(AND($C86&lt;EDATE(AC$4,1),$D86&gt;=AC$4),1,""))</f>
        <v/>
      </c>
      <c r="AD86" s="64" t="str">
        <f aca="false">IF(OR(AD$4="",$C86="",$D86=""),"",IF(AND($C86&lt;EDATE(AD$4,1),$D86&gt;=AD$4),1,""))</f>
        <v/>
      </c>
      <c r="AE86" s="64" t="str">
        <f aca="false">IF(OR(AE$4="",$C86="",$D86=""),"",IF(AND($C86&lt;EDATE(AE$4,1),$D86&gt;=AE$4),1,""))</f>
        <v/>
      </c>
      <c r="AF86" s="64" t="str">
        <f aca="false">IF(OR(AF$4="",$C86="",$D86=""),"",IF(AND($C86&lt;EDATE(AF$4,1),$D86&gt;=AF$4),1,""))</f>
        <v/>
      </c>
      <c r="AG86" s="64" t="str">
        <f aca="false">IF(OR(AG$4="",$C86="",$D86=""),"",IF(AND($C86&lt;EDATE(AG$4,1),$D86&gt;=AG$4),1,""))</f>
        <v/>
      </c>
      <c r="AH86" s="64" t="str">
        <f aca="false">IF(OR(AH$4="",$C86="",$D86=""),"",IF(AND($C86&lt;EDATE(AH$4,1),$D86&gt;=AH$4),1,""))</f>
        <v/>
      </c>
      <c r="AI86" s="64" t="str">
        <f aca="false">IF(OR(AI$4="",$C86="",$D86=""),"",IF(AND($C86&lt;EDATE(AI$4,1),$D86&gt;=AI$4),1,""))</f>
        <v/>
      </c>
      <c r="AJ86" s="64" t="str">
        <f aca="false">IF(OR(AJ$4="",$C86="",$D86=""),"",IF(AND($C86&lt;EDATE(AJ$4,1),$D86&gt;=AJ$4),1,""))</f>
        <v/>
      </c>
      <c r="AK86" s="64" t="str">
        <f aca="false">IF(OR(AK$4="",$C86="",$D86=""),"",IF(AND($C86&lt;EDATE(AK$4,1),$D86&gt;=AK$4),1,""))</f>
        <v/>
      </c>
      <c r="AL86" s="64" t="str">
        <f aca="false">IF(OR(AL$4="",$C86="",$D86=""),"",IF(AND($C86&lt;EDATE(AL$4,1),$D86&gt;=AL$4),1,""))</f>
        <v/>
      </c>
      <c r="AM86" s="64" t="str">
        <f aca="false">IF(OR(AM$4="",$C86="",$D86=""),"",IF(AND($C86&lt;EDATE(AM$4,1),$D86&gt;=AM$4),1,""))</f>
        <v/>
      </c>
      <c r="AN86" s="64" t="str">
        <f aca="false">IF(OR(AN$4="",$C86="",$D86=""),"",IF(AND($C86&lt;EDATE(AN$4,1),$D86&gt;=AN$4),1,""))</f>
        <v/>
      </c>
      <c r="AO86" s="64" t="str">
        <f aca="false">IF(OR(AO$4="",$C86="",$D86=""),"",IF(AND($C86&lt;EDATE(AO$4,1),$D86&gt;=AO$4),1,""))</f>
        <v/>
      </c>
      <c r="AP86" s="64" t="str">
        <f aca="false">IF(OR(AP$4="",$C86="",$D86=""),"",IF(AND($C86&lt;EDATE(AP$4,1),$D86&gt;=AP$4),1,""))</f>
        <v/>
      </c>
      <c r="AQ86" s="64" t="str">
        <f aca="false">IF(OR(AQ$4="",$C86="",$D86=""),"",IF(AND($C86&lt;EDATE(AQ$4,1),$D86&gt;=AQ$4),1,""))</f>
        <v/>
      </c>
      <c r="AR86" s="64" t="str">
        <f aca="false">IF(OR(AR$4="",$C86="",$D86=""),"",IF(AND($C86&lt;EDATE(AR$4,1),$D86&gt;=AR$4),1,""))</f>
        <v/>
      </c>
      <c r="AS86" s="64" t="str">
        <f aca="false">IF(OR(AS$4="",$C86="",$D86=""),"",IF(AND($C86&lt;EDATE(AS$4,1),$D86&gt;=AS$4),1,""))</f>
        <v/>
      </c>
      <c r="AT86" s="64" t="str">
        <f aca="false">IF(OR(AT$4="",$C86="",$D86=""),"",IF(AND($C86&lt;EDATE(AT$4,1),$D86&gt;=AT$4),1,""))</f>
        <v/>
      </c>
      <c r="AU86" s="64" t="str">
        <f aca="false">IF(OR(AU$4="",$C86="",$D86=""),"",IF(AND($C86&lt;EDATE(AU$4,1),$D86&gt;=AU$4),1,""))</f>
        <v/>
      </c>
      <c r="AV86" s="64" t="str">
        <f aca="false">IF(OR(AV$4="",$C86="",$D86=""),"",IF(AND($C86&lt;EDATE(AV$4,1),$D86&gt;=AV$4),1,""))</f>
        <v/>
      </c>
      <c r="AW86" s="64" t="str">
        <f aca="false">IF(OR(AW$4="",$C86="",$D86=""),"",IF(AND($C86&lt;EDATE(AW$4,1),$D86&gt;=AW$4),1,""))</f>
        <v/>
      </c>
      <c r="AX86" s="64" t="str">
        <f aca="false">IF(OR(AX$4="",$C86="",$D86=""),"",IF(AND($C86&lt;EDATE(AX$4,1),$D86&gt;=AX$4),1,""))</f>
        <v/>
      </c>
      <c r="AY86" s="64" t="str">
        <f aca="false">IF(OR(AY$4="",$C86="",$D86=""),"",IF(AND($C86&lt;EDATE(AY$4,1),$D86&gt;=AY$4),1,""))</f>
        <v/>
      </c>
      <c r="AZ86" s="64" t="str">
        <f aca="false">IF(OR(AZ$4="",$C86="",$D86=""),"",IF(AND($C86&lt;EDATE(AZ$4,1),$D86&gt;=AZ$4),1,""))</f>
        <v/>
      </c>
      <c r="BA86" s="64" t="str">
        <f aca="false">IF(OR(BA$4="",$C86="",$D86=""),"",IF(AND($C86&lt;EDATE(BA$4,1),$D86&gt;=BA$4),1,""))</f>
        <v/>
      </c>
      <c r="BB86" s="64" t="str">
        <f aca="false">IF(OR(BB$4="",$C86="",$D86=""),"",IF(AND($C86&lt;EDATE(BB$4,1),$D86&gt;=BB$4),1,""))</f>
        <v/>
      </c>
      <c r="BC86" s="64" t="str">
        <f aca="false">IF(OR(BC$4="",$C86="",$D86=""),"",IF(AND($C86&lt;EDATE(BC$4,1),$D86&gt;=BC$4),1,""))</f>
        <v/>
      </c>
      <c r="BD86" s="64" t="str">
        <f aca="false">IF(OR(BD$4="",$C86="",$D86=""),"",IF(AND($C86&lt;EDATE(BD$4,1),$D86&gt;=BD$4),1,""))</f>
        <v/>
      </c>
      <c r="BE86" s="64" t="str">
        <f aca="false">IF(OR(BE$4="",$C86="",$D86=""),"",IF(AND($C86&lt;EDATE(BE$4,1),$D86&gt;=BE$4),1,""))</f>
        <v/>
      </c>
      <c r="BF86" s="64" t="str">
        <f aca="false">IF(OR(BF$4="",$C86="",$D86=""),"",IF(AND($C86&lt;EDATE(BF$4,1),$D86&gt;=BF$4),1,""))</f>
        <v/>
      </c>
      <c r="BG86" s="64" t="str">
        <f aca="false">IF(OR(BG$4="",$C86="",$D86=""),"",IF(AND($C86&lt;EDATE(BG$4,1),$D86&gt;=BG$4),1,""))</f>
        <v/>
      </c>
      <c r="BH86" s="64" t="str">
        <f aca="false">IF(OR(BH$4="",$C86="",$D86=""),"",IF(AND($C86&lt;EDATE(BH$4,1),$D86&gt;=BH$4),1,""))</f>
        <v/>
      </c>
      <c r="BI86" s="64" t="str">
        <f aca="false">IF(OR(BI$4="",$C86="",$D86=""),"",IF(AND($C86&lt;EDATE(BI$4,1),$D86&gt;=BI$4),1,""))</f>
        <v/>
      </c>
      <c r="BJ86" s="64" t="str">
        <f aca="false">IF(OR(BJ$4="",$C86="",$D86=""),"",IF(AND($C86&lt;EDATE(BJ$4,1),$D86&gt;=BJ$4),1,""))</f>
        <v/>
      </c>
      <c r="BK86" s="64" t="str">
        <f aca="false">IF(OR(BK$4="",$C86="",$D86=""),"",IF(AND($C86&lt;EDATE(BK$4,1),$D86&gt;=BK$4),1,""))</f>
        <v/>
      </c>
      <c r="BL86" s="64" t="str">
        <f aca="false">IF(OR(BL$4="",$C86="",$D86=""),"",IF(AND($C86&lt;EDATE(BL$4,1),$D86&gt;=BL$4),1,""))</f>
        <v/>
      </c>
      <c r="BM86" s="64" t="str">
        <f aca="false">IF(OR(BM$4="",$C86="",$D86=""),"",IF(AND($C86&lt;EDATE(BM$4,1),$D86&gt;=BM$4),1,""))</f>
        <v/>
      </c>
      <c r="BN86" s="64" t="str">
        <f aca="false">IF(OR(BN$4="",$C86="",$D86=""),"",IF(AND($C86&lt;EDATE(BN$4,1),$D86&gt;=BN$4),1,""))</f>
        <v/>
      </c>
      <c r="BO86" s="64" t="str">
        <f aca="false">IF(OR(BO$4="",$C86="",$D86=""),"",IF(AND($C86&lt;EDATE(BO$4,1),$D86&gt;=BO$4),1,""))</f>
        <v/>
      </c>
      <c r="BP86" s="64" t="str">
        <f aca="false">IF(OR(BP$4="",$C86="",$D86=""),"",IF(AND($C86&lt;EDATE(BP$4,1),$D86&gt;=BP$4),1,""))</f>
        <v/>
      </c>
      <c r="BQ86" s="64" t="str">
        <f aca="false">IF(OR(BQ$4="",$C86="",$D86=""),"",IF(AND($C86&lt;EDATE(BQ$4,1),$D86&gt;=BQ$4),1,""))</f>
        <v/>
      </c>
      <c r="BR86" s="64" t="str">
        <f aca="false">IF(OR(BR$4="",$C86="",$D86=""),"",IF(AND($C86&lt;EDATE(BR$4,1),$D86&gt;=BR$4),1,""))</f>
        <v/>
      </c>
      <c r="BS86" s="64" t="str">
        <f aca="false">IF(OR(BS$4="",$C86="",$D86=""),"",IF(AND($C86&lt;EDATE(BS$4,1),$D86&gt;=BS$4),1,""))</f>
        <v/>
      </c>
      <c r="BT86" s="64" t="str">
        <f aca="false">IF(OR(BT$4="",$C86="",$D86=""),"",IF(AND($C86&lt;EDATE(BT$4,1),$D86&gt;=BT$4),1,""))</f>
        <v/>
      </c>
      <c r="BU86" s="64" t="str">
        <f aca="false">IF(OR(BU$4="",$C86="",$D86=""),"",IF(AND($C86&lt;EDATE(BU$4,1),$D86&gt;=BU$4),1,""))</f>
        <v/>
      </c>
      <c r="BV86" s="64" t="str">
        <f aca="false">IF(OR(BV$4="",$C86="",$D86=""),"",IF(AND($C86&lt;EDATE(BV$4,1),$D86&gt;=BV$4),1,""))</f>
        <v/>
      </c>
      <c r="BW86" s="64" t="str">
        <f aca="false">IF(OR(BW$4="",$C86="",$D86=""),"",IF(AND($C86&lt;EDATE(BW$4,1),$D86&gt;=BW$4),1,""))</f>
        <v/>
      </c>
      <c r="BX86" s="64" t="str">
        <f aca="false">IF(OR(BX$4="",$C86="",$D86=""),"",IF(AND($C86&lt;EDATE(BX$4,1),$D86&gt;=BX$4),1,""))</f>
        <v/>
      </c>
      <c r="BY86" s="64" t="str">
        <f aca="false">IF(OR(BY$4="",$C86="",$D86=""),"",IF(AND($C86&lt;EDATE(BY$4,1),$D86&gt;=BY$4),1,""))</f>
        <v/>
      </c>
    </row>
    <row r="87" customFormat="false" ht="15" hidden="false" customHeight="false" outlineLevel="0" collapsed="false">
      <c r="A87" s="53" t="str">
        <f aca="false">IF(BOE!$A56="","",BOE!$A56)</f>
        <v/>
      </c>
      <c r="B87" s="53" t="str">
        <f aca="false">IF(BOE!$A56="","",BOE!$C56)</f>
        <v/>
      </c>
      <c r="C87" s="54" t="str">
        <f aca="false">IF(OR(BOE!$A56="",BOE!$E56&lt;&gt;"Y"),"",BOE!$O56)</f>
        <v/>
      </c>
      <c r="D87" s="54" t="str">
        <f aca="false">IF(OR(BOE!$A56="",BOE!$E56&lt;&gt;"Y"),"",BOE!$P56)</f>
        <v/>
      </c>
      <c r="E87" s="55" t="str">
        <f aca="false">IF(OR(BOE!$A56="",BOE!$E56&lt;&gt;"Y"),"",IF(Inputs!$B$7="P90",BOE!$T56,BOE!$R56))</f>
        <v/>
      </c>
      <c r="F87" s="64" t="str">
        <f aca="false">IF(OR(F$4="",$C87="",$D87=""),"",IF(AND($C87&lt;EDATE(F$4,1),$D87&gt;=F$4),1,""))</f>
        <v/>
      </c>
      <c r="G87" s="64" t="str">
        <f aca="false">IF(OR(G$4="",$C87="",$D87=""),"",IF(AND($C87&lt;EDATE(G$4,1),$D87&gt;=G$4),1,""))</f>
        <v/>
      </c>
      <c r="H87" s="64" t="str">
        <f aca="false">IF(OR(H$4="",$C87="",$D87=""),"",IF(AND($C87&lt;EDATE(H$4,1),$D87&gt;=H$4),1,""))</f>
        <v/>
      </c>
      <c r="I87" s="64" t="str">
        <f aca="false">IF(OR(I$4="",$C87="",$D87=""),"",IF(AND($C87&lt;EDATE(I$4,1),$D87&gt;=I$4),1,""))</f>
        <v/>
      </c>
      <c r="J87" s="64" t="str">
        <f aca="false">IF(OR(J$4="",$C87="",$D87=""),"",IF(AND($C87&lt;EDATE(J$4,1),$D87&gt;=J$4),1,""))</f>
        <v/>
      </c>
      <c r="K87" s="64" t="str">
        <f aca="false">IF(OR(K$4="",$C87="",$D87=""),"",IF(AND($C87&lt;EDATE(K$4,1),$D87&gt;=K$4),1,""))</f>
        <v/>
      </c>
      <c r="L87" s="64" t="str">
        <f aca="false">IF(OR(L$4="",$C87="",$D87=""),"",IF(AND($C87&lt;EDATE(L$4,1),$D87&gt;=L$4),1,""))</f>
        <v/>
      </c>
      <c r="M87" s="64" t="str">
        <f aca="false">IF(OR(M$4="",$C87="",$D87=""),"",IF(AND($C87&lt;EDATE(M$4,1),$D87&gt;=M$4),1,""))</f>
        <v/>
      </c>
      <c r="N87" s="64" t="str">
        <f aca="false">IF(OR(N$4="",$C87="",$D87=""),"",IF(AND($C87&lt;EDATE(N$4,1),$D87&gt;=N$4),1,""))</f>
        <v/>
      </c>
      <c r="O87" s="64" t="str">
        <f aca="false">IF(OR(O$4="",$C87="",$D87=""),"",IF(AND($C87&lt;EDATE(O$4,1),$D87&gt;=O$4),1,""))</f>
        <v/>
      </c>
      <c r="P87" s="64" t="str">
        <f aca="false">IF(OR(P$4="",$C87="",$D87=""),"",IF(AND($C87&lt;EDATE(P$4,1),$D87&gt;=P$4),1,""))</f>
        <v/>
      </c>
      <c r="Q87" s="64" t="str">
        <f aca="false">IF(OR(Q$4="",$C87="",$D87=""),"",IF(AND($C87&lt;EDATE(Q$4,1),$D87&gt;=Q$4),1,""))</f>
        <v/>
      </c>
      <c r="R87" s="64" t="str">
        <f aca="false">IF(OR(R$4="",$C87="",$D87=""),"",IF(AND($C87&lt;EDATE(R$4,1),$D87&gt;=R$4),1,""))</f>
        <v/>
      </c>
      <c r="S87" s="64" t="str">
        <f aca="false">IF(OR(S$4="",$C87="",$D87=""),"",IF(AND($C87&lt;EDATE(S$4,1),$D87&gt;=S$4),1,""))</f>
        <v/>
      </c>
      <c r="T87" s="64" t="str">
        <f aca="false">IF(OR(T$4="",$C87="",$D87=""),"",IF(AND($C87&lt;EDATE(T$4,1),$D87&gt;=T$4),1,""))</f>
        <v/>
      </c>
      <c r="U87" s="64" t="str">
        <f aca="false">IF(OR(U$4="",$C87="",$D87=""),"",IF(AND($C87&lt;EDATE(U$4,1),$D87&gt;=U$4),1,""))</f>
        <v/>
      </c>
      <c r="V87" s="64" t="str">
        <f aca="false">IF(OR(V$4="",$C87="",$D87=""),"",IF(AND($C87&lt;EDATE(V$4,1),$D87&gt;=V$4),1,""))</f>
        <v/>
      </c>
      <c r="W87" s="64" t="str">
        <f aca="false">IF(OR(W$4="",$C87="",$D87=""),"",IF(AND($C87&lt;EDATE(W$4,1),$D87&gt;=W$4),1,""))</f>
        <v/>
      </c>
      <c r="X87" s="64" t="str">
        <f aca="false">IF(OR(X$4="",$C87="",$D87=""),"",IF(AND($C87&lt;EDATE(X$4,1),$D87&gt;=X$4),1,""))</f>
        <v/>
      </c>
      <c r="Y87" s="64" t="str">
        <f aca="false">IF(OR(Y$4="",$C87="",$D87=""),"",IF(AND($C87&lt;EDATE(Y$4,1),$D87&gt;=Y$4),1,""))</f>
        <v/>
      </c>
      <c r="Z87" s="64" t="str">
        <f aca="false">IF(OR(Z$4="",$C87="",$D87=""),"",IF(AND($C87&lt;EDATE(Z$4,1),$D87&gt;=Z$4),1,""))</f>
        <v/>
      </c>
      <c r="AA87" s="64" t="str">
        <f aca="false">IF(OR(AA$4="",$C87="",$D87=""),"",IF(AND($C87&lt;EDATE(AA$4,1),$D87&gt;=AA$4),1,""))</f>
        <v/>
      </c>
      <c r="AB87" s="64" t="str">
        <f aca="false">IF(OR(AB$4="",$C87="",$D87=""),"",IF(AND($C87&lt;EDATE(AB$4,1),$D87&gt;=AB$4),1,""))</f>
        <v/>
      </c>
      <c r="AC87" s="64" t="str">
        <f aca="false">IF(OR(AC$4="",$C87="",$D87=""),"",IF(AND($C87&lt;EDATE(AC$4,1),$D87&gt;=AC$4),1,""))</f>
        <v/>
      </c>
      <c r="AD87" s="64" t="str">
        <f aca="false">IF(OR(AD$4="",$C87="",$D87=""),"",IF(AND($C87&lt;EDATE(AD$4,1),$D87&gt;=AD$4),1,""))</f>
        <v/>
      </c>
      <c r="AE87" s="64" t="str">
        <f aca="false">IF(OR(AE$4="",$C87="",$D87=""),"",IF(AND($C87&lt;EDATE(AE$4,1),$D87&gt;=AE$4),1,""))</f>
        <v/>
      </c>
      <c r="AF87" s="64" t="str">
        <f aca="false">IF(OR(AF$4="",$C87="",$D87=""),"",IF(AND($C87&lt;EDATE(AF$4,1),$D87&gt;=AF$4),1,""))</f>
        <v/>
      </c>
      <c r="AG87" s="64" t="str">
        <f aca="false">IF(OR(AG$4="",$C87="",$D87=""),"",IF(AND($C87&lt;EDATE(AG$4,1),$D87&gt;=AG$4),1,""))</f>
        <v/>
      </c>
      <c r="AH87" s="64" t="str">
        <f aca="false">IF(OR(AH$4="",$C87="",$D87=""),"",IF(AND($C87&lt;EDATE(AH$4,1),$D87&gt;=AH$4),1,""))</f>
        <v/>
      </c>
      <c r="AI87" s="64" t="str">
        <f aca="false">IF(OR(AI$4="",$C87="",$D87=""),"",IF(AND($C87&lt;EDATE(AI$4,1),$D87&gt;=AI$4),1,""))</f>
        <v/>
      </c>
      <c r="AJ87" s="64" t="str">
        <f aca="false">IF(OR(AJ$4="",$C87="",$D87=""),"",IF(AND($C87&lt;EDATE(AJ$4,1),$D87&gt;=AJ$4),1,""))</f>
        <v/>
      </c>
      <c r="AK87" s="64" t="str">
        <f aca="false">IF(OR(AK$4="",$C87="",$D87=""),"",IF(AND($C87&lt;EDATE(AK$4,1),$D87&gt;=AK$4),1,""))</f>
        <v/>
      </c>
      <c r="AL87" s="64" t="str">
        <f aca="false">IF(OR(AL$4="",$C87="",$D87=""),"",IF(AND($C87&lt;EDATE(AL$4,1),$D87&gt;=AL$4),1,""))</f>
        <v/>
      </c>
      <c r="AM87" s="64" t="str">
        <f aca="false">IF(OR(AM$4="",$C87="",$D87=""),"",IF(AND($C87&lt;EDATE(AM$4,1),$D87&gt;=AM$4),1,""))</f>
        <v/>
      </c>
      <c r="AN87" s="64" t="str">
        <f aca="false">IF(OR(AN$4="",$C87="",$D87=""),"",IF(AND($C87&lt;EDATE(AN$4,1),$D87&gt;=AN$4),1,""))</f>
        <v/>
      </c>
      <c r="AO87" s="64" t="str">
        <f aca="false">IF(OR(AO$4="",$C87="",$D87=""),"",IF(AND($C87&lt;EDATE(AO$4,1),$D87&gt;=AO$4),1,""))</f>
        <v/>
      </c>
      <c r="AP87" s="64" t="str">
        <f aca="false">IF(OR(AP$4="",$C87="",$D87=""),"",IF(AND($C87&lt;EDATE(AP$4,1),$D87&gt;=AP$4),1,""))</f>
        <v/>
      </c>
      <c r="AQ87" s="64" t="str">
        <f aca="false">IF(OR(AQ$4="",$C87="",$D87=""),"",IF(AND($C87&lt;EDATE(AQ$4,1),$D87&gt;=AQ$4),1,""))</f>
        <v/>
      </c>
      <c r="AR87" s="64" t="str">
        <f aca="false">IF(OR(AR$4="",$C87="",$D87=""),"",IF(AND($C87&lt;EDATE(AR$4,1),$D87&gt;=AR$4),1,""))</f>
        <v/>
      </c>
      <c r="AS87" s="64" t="str">
        <f aca="false">IF(OR(AS$4="",$C87="",$D87=""),"",IF(AND($C87&lt;EDATE(AS$4,1),$D87&gt;=AS$4),1,""))</f>
        <v/>
      </c>
      <c r="AT87" s="64" t="str">
        <f aca="false">IF(OR(AT$4="",$C87="",$D87=""),"",IF(AND($C87&lt;EDATE(AT$4,1),$D87&gt;=AT$4),1,""))</f>
        <v/>
      </c>
      <c r="AU87" s="64" t="str">
        <f aca="false">IF(OR(AU$4="",$C87="",$D87=""),"",IF(AND($C87&lt;EDATE(AU$4,1),$D87&gt;=AU$4),1,""))</f>
        <v/>
      </c>
      <c r="AV87" s="64" t="str">
        <f aca="false">IF(OR(AV$4="",$C87="",$D87=""),"",IF(AND($C87&lt;EDATE(AV$4,1),$D87&gt;=AV$4),1,""))</f>
        <v/>
      </c>
      <c r="AW87" s="64" t="str">
        <f aca="false">IF(OR(AW$4="",$C87="",$D87=""),"",IF(AND($C87&lt;EDATE(AW$4,1),$D87&gt;=AW$4),1,""))</f>
        <v/>
      </c>
      <c r="AX87" s="64" t="str">
        <f aca="false">IF(OR(AX$4="",$C87="",$D87=""),"",IF(AND($C87&lt;EDATE(AX$4,1),$D87&gt;=AX$4),1,""))</f>
        <v/>
      </c>
      <c r="AY87" s="64" t="str">
        <f aca="false">IF(OR(AY$4="",$C87="",$D87=""),"",IF(AND($C87&lt;EDATE(AY$4,1),$D87&gt;=AY$4),1,""))</f>
        <v/>
      </c>
      <c r="AZ87" s="64" t="str">
        <f aca="false">IF(OR(AZ$4="",$C87="",$D87=""),"",IF(AND($C87&lt;EDATE(AZ$4,1),$D87&gt;=AZ$4),1,""))</f>
        <v/>
      </c>
      <c r="BA87" s="64" t="str">
        <f aca="false">IF(OR(BA$4="",$C87="",$D87=""),"",IF(AND($C87&lt;EDATE(BA$4,1),$D87&gt;=BA$4),1,""))</f>
        <v/>
      </c>
      <c r="BB87" s="64" t="str">
        <f aca="false">IF(OR(BB$4="",$C87="",$D87=""),"",IF(AND($C87&lt;EDATE(BB$4,1),$D87&gt;=BB$4),1,""))</f>
        <v/>
      </c>
      <c r="BC87" s="64" t="str">
        <f aca="false">IF(OR(BC$4="",$C87="",$D87=""),"",IF(AND($C87&lt;EDATE(BC$4,1),$D87&gt;=BC$4),1,""))</f>
        <v/>
      </c>
      <c r="BD87" s="64" t="str">
        <f aca="false">IF(OR(BD$4="",$C87="",$D87=""),"",IF(AND($C87&lt;EDATE(BD$4,1),$D87&gt;=BD$4),1,""))</f>
        <v/>
      </c>
      <c r="BE87" s="64" t="str">
        <f aca="false">IF(OR(BE$4="",$C87="",$D87=""),"",IF(AND($C87&lt;EDATE(BE$4,1),$D87&gt;=BE$4),1,""))</f>
        <v/>
      </c>
      <c r="BF87" s="64" t="str">
        <f aca="false">IF(OR(BF$4="",$C87="",$D87=""),"",IF(AND($C87&lt;EDATE(BF$4,1),$D87&gt;=BF$4),1,""))</f>
        <v/>
      </c>
      <c r="BG87" s="64" t="str">
        <f aca="false">IF(OR(BG$4="",$C87="",$D87=""),"",IF(AND($C87&lt;EDATE(BG$4,1),$D87&gt;=BG$4),1,""))</f>
        <v/>
      </c>
      <c r="BH87" s="64" t="str">
        <f aca="false">IF(OR(BH$4="",$C87="",$D87=""),"",IF(AND($C87&lt;EDATE(BH$4,1),$D87&gt;=BH$4),1,""))</f>
        <v/>
      </c>
      <c r="BI87" s="64" t="str">
        <f aca="false">IF(OR(BI$4="",$C87="",$D87=""),"",IF(AND($C87&lt;EDATE(BI$4,1),$D87&gt;=BI$4),1,""))</f>
        <v/>
      </c>
      <c r="BJ87" s="64" t="str">
        <f aca="false">IF(OR(BJ$4="",$C87="",$D87=""),"",IF(AND($C87&lt;EDATE(BJ$4,1),$D87&gt;=BJ$4),1,""))</f>
        <v/>
      </c>
      <c r="BK87" s="64" t="str">
        <f aca="false">IF(OR(BK$4="",$C87="",$D87=""),"",IF(AND($C87&lt;EDATE(BK$4,1),$D87&gt;=BK$4),1,""))</f>
        <v/>
      </c>
      <c r="BL87" s="64" t="str">
        <f aca="false">IF(OR(BL$4="",$C87="",$D87=""),"",IF(AND($C87&lt;EDATE(BL$4,1),$D87&gt;=BL$4),1,""))</f>
        <v/>
      </c>
      <c r="BM87" s="64" t="str">
        <f aca="false">IF(OR(BM$4="",$C87="",$D87=""),"",IF(AND($C87&lt;EDATE(BM$4,1),$D87&gt;=BM$4),1,""))</f>
        <v/>
      </c>
      <c r="BN87" s="64" t="str">
        <f aca="false">IF(OR(BN$4="",$C87="",$D87=""),"",IF(AND($C87&lt;EDATE(BN$4,1),$D87&gt;=BN$4),1,""))</f>
        <v/>
      </c>
      <c r="BO87" s="64" t="str">
        <f aca="false">IF(OR(BO$4="",$C87="",$D87=""),"",IF(AND($C87&lt;EDATE(BO$4,1),$D87&gt;=BO$4),1,""))</f>
        <v/>
      </c>
      <c r="BP87" s="64" t="str">
        <f aca="false">IF(OR(BP$4="",$C87="",$D87=""),"",IF(AND($C87&lt;EDATE(BP$4,1),$D87&gt;=BP$4),1,""))</f>
        <v/>
      </c>
      <c r="BQ87" s="64" t="str">
        <f aca="false">IF(OR(BQ$4="",$C87="",$D87=""),"",IF(AND($C87&lt;EDATE(BQ$4,1),$D87&gt;=BQ$4),1,""))</f>
        <v/>
      </c>
      <c r="BR87" s="64" t="str">
        <f aca="false">IF(OR(BR$4="",$C87="",$D87=""),"",IF(AND($C87&lt;EDATE(BR$4,1),$D87&gt;=BR$4),1,""))</f>
        <v/>
      </c>
      <c r="BS87" s="64" t="str">
        <f aca="false">IF(OR(BS$4="",$C87="",$D87=""),"",IF(AND($C87&lt;EDATE(BS$4,1),$D87&gt;=BS$4),1,""))</f>
        <v/>
      </c>
      <c r="BT87" s="64" t="str">
        <f aca="false">IF(OR(BT$4="",$C87="",$D87=""),"",IF(AND($C87&lt;EDATE(BT$4,1),$D87&gt;=BT$4),1,""))</f>
        <v/>
      </c>
      <c r="BU87" s="64" t="str">
        <f aca="false">IF(OR(BU$4="",$C87="",$D87=""),"",IF(AND($C87&lt;EDATE(BU$4,1),$D87&gt;=BU$4),1,""))</f>
        <v/>
      </c>
      <c r="BV87" s="64" t="str">
        <f aca="false">IF(OR(BV$4="",$C87="",$D87=""),"",IF(AND($C87&lt;EDATE(BV$4,1),$D87&gt;=BV$4),1,""))</f>
        <v/>
      </c>
      <c r="BW87" s="64" t="str">
        <f aca="false">IF(OR(BW$4="",$C87="",$D87=""),"",IF(AND($C87&lt;EDATE(BW$4,1),$D87&gt;=BW$4),1,""))</f>
        <v/>
      </c>
      <c r="BX87" s="64" t="str">
        <f aca="false">IF(OR(BX$4="",$C87="",$D87=""),"",IF(AND($C87&lt;EDATE(BX$4,1),$D87&gt;=BX$4),1,""))</f>
        <v/>
      </c>
      <c r="BY87" s="64" t="str">
        <f aca="false">IF(OR(BY$4="",$C87="",$D87=""),"",IF(AND($C87&lt;EDATE(BY$4,1),$D87&gt;=BY$4),1,""))</f>
        <v/>
      </c>
    </row>
    <row r="88" customFormat="false" ht="15" hidden="false" customHeight="false" outlineLevel="0" collapsed="false">
      <c r="A88" s="53" t="str">
        <f aca="false">IF(BOE!$A57="","",BOE!$A57)</f>
        <v/>
      </c>
      <c r="B88" s="53" t="str">
        <f aca="false">IF(BOE!$A57="","",BOE!$C57)</f>
        <v/>
      </c>
      <c r="C88" s="54" t="str">
        <f aca="false">IF(OR(BOE!$A57="",BOE!$E57&lt;&gt;"Y"),"",BOE!$O57)</f>
        <v/>
      </c>
      <c r="D88" s="54" t="str">
        <f aca="false">IF(OR(BOE!$A57="",BOE!$E57&lt;&gt;"Y"),"",BOE!$P57)</f>
        <v/>
      </c>
      <c r="E88" s="55" t="str">
        <f aca="false">IF(OR(BOE!$A57="",BOE!$E57&lt;&gt;"Y"),"",IF(Inputs!$B$7="P90",BOE!$T57,BOE!$R57))</f>
        <v/>
      </c>
      <c r="F88" s="64" t="str">
        <f aca="false">IF(OR(F$4="",$C88="",$D88=""),"",IF(AND($C88&lt;EDATE(F$4,1),$D88&gt;=F$4),1,""))</f>
        <v/>
      </c>
      <c r="G88" s="64" t="str">
        <f aca="false">IF(OR(G$4="",$C88="",$D88=""),"",IF(AND($C88&lt;EDATE(G$4,1),$D88&gt;=G$4),1,""))</f>
        <v/>
      </c>
      <c r="H88" s="64" t="str">
        <f aca="false">IF(OR(H$4="",$C88="",$D88=""),"",IF(AND($C88&lt;EDATE(H$4,1),$D88&gt;=H$4),1,""))</f>
        <v/>
      </c>
      <c r="I88" s="64" t="str">
        <f aca="false">IF(OR(I$4="",$C88="",$D88=""),"",IF(AND($C88&lt;EDATE(I$4,1),$D88&gt;=I$4),1,""))</f>
        <v/>
      </c>
      <c r="J88" s="64" t="str">
        <f aca="false">IF(OR(J$4="",$C88="",$D88=""),"",IF(AND($C88&lt;EDATE(J$4,1),$D88&gt;=J$4),1,""))</f>
        <v/>
      </c>
      <c r="K88" s="64" t="str">
        <f aca="false">IF(OR(K$4="",$C88="",$D88=""),"",IF(AND($C88&lt;EDATE(K$4,1),$D88&gt;=K$4),1,""))</f>
        <v/>
      </c>
      <c r="L88" s="64" t="str">
        <f aca="false">IF(OR(L$4="",$C88="",$D88=""),"",IF(AND($C88&lt;EDATE(L$4,1),$D88&gt;=L$4),1,""))</f>
        <v/>
      </c>
      <c r="M88" s="64" t="str">
        <f aca="false">IF(OR(M$4="",$C88="",$D88=""),"",IF(AND($C88&lt;EDATE(M$4,1),$D88&gt;=M$4),1,""))</f>
        <v/>
      </c>
      <c r="N88" s="64" t="str">
        <f aca="false">IF(OR(N$4="",$C88="",$D88=""),"",IF(AND($C88&lt;EDATE(N$4,1),$D88&gt;=N$4),1,""))</f>
        <v/>
      </c>
      <c r="O88" s="64" t="str">
        <f aca="false">IF(OR(O$4="",$C88="",$D88=""),"",IF(AND($C88&lt;EDATE(O$4,1),$D88&gt;=O$4),1,""))</f>
        <v/>
      </c>
      <c r="P88" s="64" t="str">
        <f aca="false">IF(OR(P$4="",$C88="",$D88=""),"",IF(AND($C88&lt;EDATE(P$4,1),$D88&gt;=P$4),1,""))</f>
        <v/>
      </c>
      <c r="Q88" s="64" t="str">
        <f aca="false">IF(OR(Q$4="",$C88="",$D88=""),"",IF(AND($C88&lt;EDATE(Q$4,1),$D88&gt;=Q$4),1,""))</f>
        <v/>
      </c>
      <c r="R88" s="64" t="str">
        <f aca="false">IF(OR(R$4="",$C88="",$D88=""),"",IF(AND($C88&lt;EDATE(R$4,1),$D88&gt;=R$4),1,""))</f>
        <v/>
      </c>
      <c r="S88" s="64" t="str">
        <f aca="false">IF(OR(S$4="",$C88="",$D88=""),"",IF(AND($C88&lt;EDATE(S$4,1),$D88&gt;=S$4),1,""))</f>
        <v/>
      </c>
      <c r="T88" s="64" t="str">
        <f aca="false">IF(OR(T$4="",$C88="",$D88=""),"",IF(AND($C88&lt;EDATE(T$4,1),$D88&gt;=T$4),1,""))</f>
        <v/>
      </c>
      <c r="U88" s="64" t="str">
        <f aca="false">IF(OR(U$4="",$C88="",$D88=""),"",IF(AND($C88&lt;EDATE(U$4,1),$D88&gt;=U$4),1,""))</f>
        <v/>
      </c>
      <c r="V88" s="64" t="str">
        <f aca="false">IF(OR(V$4="",$C88="",$D88=""),"",IF(AND($C88&lt;EDATE(V$4,1),$D88&gt;=V$4),1,""))</f>
        <v/>
      </c>
      <c r="W88" s="64" t="str">
        <f aca="false">IF(OR(W$4="",$C88="",$D88=""),"",IF(AND($C88&lt;EDATE(W$4,1),$D88&gt;=W$4),1,""))</f>
        <v/>
      </c>
      <c r="X88" s="64" t="str">
        <f aca="false">IF(OR(X$4="",$C88="",$D88=""),"",IF(AND($C88&lt;EDATE(X$4,1),$D88&gt;=X$4),1,""))</f>
        <v/>
      </c>
      <c r="Y88" s="64" t="str">
        <f aca="false">IF(OR(Y$4="",$C88="",$D88=""),"",IF(AND($C88&lt;EDATE(Y$4,1),$D88&gt;=Y$4),1,""))</f>
        <v/>
      </c>
      <c r="Z88" s="64" t="str">
        <f aca="false">IF(OR(Z$4="",$C88="",$D88=""),"",IF(AND($C88&lt;EDATE(Z$4,1),$D88&gt;=Z$4),1,""))</f>
        <v/>
      </c>
      <c r="AA88" s="64" t="str">
        <f aca="false">IF(OR(AA$4="",$C88="",$D88=""),"",IF(AND($C88&lt;EDATE(AA$4,1),$D88&gt;=AA$4),1,""))</f>
        <v/>
      </c>
      <c r="AB88" s="64" t="str">
        <f aca="false">IF(OR(AB$4="",$C88="",$D88=""),"",IF(AND($C88&lt;EDATE(AB$4,1),$D88&gt;=AB$4),1,""))</f>
        <v/>
      </c>
      <c r="AC88" s="64" t="str">
        <f aca="false">IF(OR(AC$4="",$C88="",$D88=""),"",IF(AND($C88&lt;EDATE(AC$4,1),$D88&gt;=AC$4),1,""))</f>
        <v/>
      </c>
      <c r="AD88" s="64" t="str">
        <f aca="false">IF(OR(AD$4="",$C88="",$D88=""),"",IF(AND($C88&lt;EDATE(AD$4,1),$D88&gt;=AD$4),1,""))</f>
        <v/>
      </c>
      <c r="AE88" s="64" t="str">
        <f aca="false">IF(OR(AE$4="",$C88="",$D88=""),"",IF(AND($C88&lt;EDATE(AE$4,1),$D88&gt;=AE$4),1,""))</f>
        <v/>
      </c>
      <c r="AF88" s="64" t="str">
        <f aca="false">IF(OR(AF$4="",$C88="",$D88=""),"",IF(AND($C88&lt;EDATE(AF$4,1),$D88&gt;=AF$4),1,""))</f>
        <v/>
      </c>
      <c r="AG88" s="64" t="str">
        <f aca="false">IF(OR(AG$4="",$C88="",$D88=""),"",IF(AND($C88&lt;EDATE(AG$4,1),$D88&gt;=AG$4),1,""))</f>
        <v/>
      </c>
      <c r="AH88" s="64" t="str">
        <f aca="false">IF(OR(AH$4="",$C88="",$D88=""),"",IF(AND($C88&lt;EDATE(AH$4,1),$D88&gt;=AH$4),1,""))</f>
        <v/>
      </c>
      <c r="AI88" s="64" t="str">
        <f aca="false">IF(OR(AI$4="",$C88="",$D88=""),"",IF(AND($C88&lt;EDATE(AI$4,1),$D88&gt;=AI$4),1,""))</f>
        <v/>
      </c>
      <c r="AJ88" s="64" t="str">
        <f aca="false">IF(OR(AJ$4="",$C88="",$D88=""),"",IF(AND($C88&lt;EDATE(AJ$4,1),$D88&gt;=AJ$4),1,""))</f>
        <v/>
      </c>
      <c r="AK88" s="64" t="str">
        <f aca="false">IF(OR(AK$4="",$C88="",$D88=""),"",IF(AND($C88&lt;EDATE(AK$4,1),$D88&gt;=AK$4),1,""))</f>
        <v/>
      </c>
      <c r="AL88" s="64" t="str">
        <f aca="false">IF(OR(AL$4="",$C88="",$D88=""),"",IF(AND($C88&lt;EDATE(AL$4,1),$D88&gt;=AL$4),1,""))</f>
        <v/>
      </c>
      <c r="AM88" s="64" t="str">
        <f aca="false">IF(OR(AM$4="",$C88="",$D88=""),"",IF(AND($C88&lt;EDATE(AM$4,1),$D88&gt;=AM$4),1,""))</f>
        <v/>
      </c>
      <c r="AN88" s="64" t="str">
        <f aca="false">IF(OR(AN$4="",$C88="",$D88=""),"",IF(AND($C88&lt;EDATE(AN$4,1),$D88&gt;=AN$4),1,""))</f>
        <v/>
      </c>
      <c r="AO88" s="64" t="str">
        <f aca="false">IF(OR(AO$4="",$C88="",$D88=""),"",IF(AND($C88&lt;EDATE(AO$4,1),$D88&gt;=AO$4),1,""))</f>
        <v/>
      </c>
      <c r="AP88" s="64" t="str">
        <f aca="false">IF(OR(AP$4="",$C88="",$D88=""),"",IF(AND($C88&lt;EDATE(AP$4,1),$D88&gt;=AP$4),1,""))</f>
        <v/>
      </c>
      <c r="AQ88" s="64" t="str">
        <f aca="false">IF(OR(AQ$4="",$C88="",$D88=""),"",IF(AND($C88&lt;EDATE(AQ$4,1),$D88&gt;=AQ$4),1,""))</f>
        <v/>
      </c>
      <c r="AR88" s="64" t="str">
        <f aca="false">IF(OR(AR$4="",$C88="",$D88=""),"",IF(AND($C88&lt;EDATE(AR$4,1),$D88&gt;=AR$4),1,""))</f>
        <v/>
      </c>
      <c r="AS88" s="64" t="str">
        <f aca="false">IF(OR(AS$4="",$C88="",$D88=""),"",IF(AND($C88&lt;EDATE(AS$4,1),$D88&gt;=AS$4),1,""))</f>
        <v/>
      </c>
      <c r="AT88" s="64" t="str">
        <f aca="false">IF(OR(AT$4="",$C88="",$D88=""),"",IF(AND($C88&lt;EDATE(AT$4,1),$D88&gt;=AT$4),1,""))</f>
        <v/>
      </c>
      <c r="AU88" s="64" t="str">
        <f aca="false">IF(OR(AU$4="",$C88="",$D88=""),"",IF(AND($C88&lt;EDATE(AU$4,1),$D88&gt;=AU$4),1,""))</f>
        <v/>
      </c>
      <c r="AV88" s="64" t="str">
        <f aca="false">IF(OR(AV$4="",$C88="",$D88=""),"",IF(AND($C88&lt;EDATE(AV$4,1),$D88&gt;=AV$4),1,""))</f>
        <v/>
      </c>
      <c r="AW88" s="64" t="str">
        <f aca="false">IF(OR(AW$4="",$C88="",$D88=""),"",IF(AND($C88&lt;EDATE(AW$4,1),$D88&gt;=AW$4),1,""))</f>
        <v/>
      </c>
      <c r="AX88" s="64" t="str">
        <f aca="false">IF(OR(AX$4="",$C88="",$D88=""),"",IF(AND($C88&lt;EDATE(AX$4,1),$D88&gt;=AX$4),1,""))</f>
        <v/>
      </c>
      <c r="AY88" s="64" t="str">
        <f aca="false">IF(OR(AY$4="",$C88="",$D88=""),"",IF(AND($C88&lt;EDATE(AY$4,1),$D88&gt;=AY$4),1,""))</f>
        <v/>
      </c>
      <c r="AZ88" s="64" t="str">
        <f aca="false">IF(OR(AZ$4="",$C88="",$D88=""),"",IF(AND($C88&lt;EDATE(AZ$4,1),$D88&gt;=AZ$4),1,""))</f>
        <v/>
      </c>
      <c r="BA88" s="64" t="str">
        <f aca="false">IF(OR(BA$4="",$C88="",$D88=""),"",IF(AND($C88&lt;EDATE(BA$4,1),$D88&gt;=BA$4),1,""))</f>
        <v/>
      </c>
      <c r="BB88" s="64" t="str">
        <f aca="false">IF(OR(BB$4="",$C88="",$D88=""),"",IF(AND($C88&lt;EDATE(BB$4,1),$D88&gt;=BB$4),1,""))</f>
        <v/>
      </c>
      <c r="BC88" s="64" t="str">
        <f aca="false">IF(OR(BC$4="",$C88="",$D88=""),"",IF(AND($C88&lt;EDATE(BC$4,1),$D88&gt;=BC$4),1,""))</f>
        <v/>
      </c>
      <c r="BD88" s="64" t="str">
        <f aca="false">IF(OR(BD$4="",$C88="",$D88=""),"",IF(AND($C88&lt;EDATE(BD$4,1),$D88&gt;=BD$4),1,""))</f>
        <v/>
      </c>
      <c r="BE88" s="64" t="str">
        <f aca="false">IF(OR(BE$4="",$C88="",$D88=""),"",IF(AND($C88&lt;EDATE(BE$4,1),$D88&gt;=BE$4),1,""))</f>
        <v/>
      </c>
      <c r="BF88" s="64" t="str">
        <f aca="false">IF(OR(BF$4="",$C88="",$D88=""),"",IF(AND($C88&lt;EDATE(BF$4,1),$D88&gt;=BF$4),1,""))</f>
        <v/>
      </c>
      <c r="BG88" s="64" t="str">
        <f aca="false">IF(OR(BG$4="",$C88="",$D88=""),"",IF(AND($C88&lt;EDATE(BG$4,1),$D88&gt;=BG$4),1,""))</f>
        <v/>
      </c>
      <c r="BH88" s="64" t="str">
        <f aca="false">IF(OR(BH$4="",$C88="",$D88=""),"",IF(AND($C88&lt;EDATE(BH$4,1),$D88&gt;=BH$4),1,""))</f>
        <v/>
      </c>
      <c r="BI88" s="64" t="str">
        <f aca="false">IF(OR(BI$4="",$C88="",$D88=""),"",IF(AND($C88&lt;EDATE(BI$4,1),$D88&gt;=BI$4),1,""))</f>
        <v/>
      </c>
      <c r="BJ88" s="64" t="str">
        <f aca="false">IF(OR(BJ$4="",$C88="",$D88=""),"",IF(AND($C88&lt;EDATE(BJ$4,1),$D88&gt;=BJ$4),1,""))</f>
        <v/>
      </c>
      <c r="BK88" s="64" t="str">
        <f aca="false">IF(OR(BK$4="",$C88="",$D88=""),"",IF(AND($C88&lt;EDATE(BK$4,1),$D88&gt;=BK$4),1,""))</f>
        <v/>
      </c>
      <c r="BL88" s="64" t="str">
        <f aca="false">IF(OR(BL$4="",$C88="",$D88=""),"",IF(AND($C88&lt;EDATE(BL$4,1),$D88&gt;=BL$4),1,""))</f>
        <v/>
      </c>
      <c r="BM88" s="64" t="str">
        <f aca="false">IF(OR(BM$4="",$C88="",$D88=""),"",IF(AND($C88&lt;EDATE(BM$4,1),$D88&gt;=BM$4),1,""))</f>
        <v/>
      </c>
      <c r="BN88" s="64" t="str">
        <f aca="false">IF(OR(BN$4="",$C88="",$D88=""),"",IF(AND($C88&lt;EDATE(BN$4,1),$D88&gt;=BN$4),1,""))</f>
        <v/>
      </c>
      <c r="BO88" s="64" t="str">
        <f aca="false">IF(OR(BO$4="",$C88="",$D88=""),"",IF(AND($C88&lt;EDATE(BO$4,1),$D88&gt;=BO$4),1,""))</f>
        <v/>
      </c>
      <c r="BP88" s="64" t="str">
        <f aca="false">IF(OR(BP$4="",$C88="",$D88=""),"",IF(AND($C88&lt;EDATE(BP$4,1),$D88&gt;=BP$4),1,""))</f>
        <v/>
      </c>
      <c r="BQ88" s="64" t="str">
        <f aca="false">IF(OR(BQ$4="",$C88="",$D88=""),"",IF(AND($C88&lt;EDATE(BQ$4,1),$D88&gt;=BQ$4),1,""))</f>
        <v/>
      </c>
      <c r="BR88" s="64" t="str">
        <f aca="false">IF(OR(BR$4="",$C88="",$D88=""),"",IF(AND($C88&lt;EDATE(BR$4,1),$D88&gt;=BR$4),1,""))</f>
        <v/>
      </c>
      <c r="BS88" s="64" t="str">
        <f aca="false">IF(OR(BS$4="",$C88="",$D88=""),"",IF(AND($C88&lt;EDATE(BS$4,1),$D88&gt;=BS$4),1,""))</f>
        <v/>
      </c>
      <c r="BT88" s="64" t="str">
        <f aca="false">IF(OR(BT$4="",$C88="",$D88=""),"",IF(AND($C88&lt;EDATE(BT$4,1),$D88&gt;=BT$4),1,""))</f>
        <v/>
      </c>
      <c r="BU88" s="64" t="str">
        <f aca="false">IF(OR(BU$4="",$C88="",$D88=""),"",IF(AND($C88&lt;EDATE(BU$4,1),$D88&gt;=BU$4),1,""))</f>
        <v/>
      </c>
      <c r="BV88" s="64" t="str">
        <f aca="false">IF(OR(BV$4="",$C88="",$D88=""),"",IF(AND($C88&lt;EDATE(BV$4,1),$D88&gt;=BV$4),1,""))</f>
        <v/>
      </c>
      <c r="BW88" s="64" t="str">
        <f aca="false">IF(OR(BW$4="",$C88="",$D88=""),"",IF(AND($C88&lt;EDATE(BW$4,1),$D88&gt;=BW$4),1,""))</f>
        <v/>
      </c>
      <c r="BX88" s="64" t="str">
        <f aca="false">IF(OR(BX$4="",$C88="",$D88=""),"",IF(AND($C88&lt;EDATE(BX$4,1),$D88&gt;=BX$4),1,""))</f>
        <v/>
      </c>
      <c r="BY88" s="64" t="str">
        <f aca="false">IF(OR(BY$4="",$C88="",$D88=""),"",IF(AND($C88&lt;EDATE(BY$4,1),$D88&gt;=BY$4),1,""))</f>
        <v/>
      </c>
    </row>
    <row r="89" customFormat="false" ht="15" hidden="false" customHeight="false" outlineLevel="0" collapsed="false">
      <c r="A89" s="53" t="str">
        <f aca="false">IF(BOE!$A58="","",BOE!$A58)</f>
        <v/>
      </c>
      <c r="B89" s="53" t="str">
        <f aca="false">IF(BOE!$A58="","",BOE!$C58)</f>
        <v/>
      </c>
      <c r="C89" s="54" t="str">
        <f aca="false">IF(OR(BOE!$A58="",BOE!$E58&lt;&gt;"Y"),"",BOE!$O58)</f>
        <v/>
      </c>
      <c r="D89" s="54" t="str">
        <f aca="false">IF(OR(BOE!$A58="",BOE!$E58&lt;&gt;"Y"),"",BOE!$P58)</f>
        <v/>
      </c>
      <c r="E89" s="55" t="str">
        <f aca="false">IF(OR(BOE!$A58="",BOE!$E58&lt;&gt;"Y"),"",IF(Inputs!$B$7="P90",BOE!$T58,BOE!$R58))</f>
        <v/>
      </c>
      <c r="F89" s="64" t="str">
        <f aca="false">IF(OR(F$4="",$C89="",$D89=""),"",IF(AND($C89&lt;EDATE(F$4,1),$D89&gt;=F$4),1,""))</f>
        <v/>
      </c>
      <c r="G89" s="64" t="str">
        <f aca="false">IF(OR(G$4="",$C89="",$D89=""),"",IF(AND($C89&lt;EDATE(G$4,1),$D89&gt;=G$4),1,""))</f>
        <v/>
      </c>
      <c r="H89" s="64" t="str">
        <f aca="false">IF(OR(H$4="",$C89="",$D89=""),"",IF(AND($C89&lt;EDATE(H$4,1),$D89&gt;=H$4),1,""))</f>
        <v/>
      </c>
      <c r="I89" s="64" t="str">
        <f aca="false">IF(OR(I$4="",$C89="",$D89=""),"",IF(AND($C89&lt;EDATE(I$4,1),$D89&gt;=I$4),1,""))</f>
        <v/>
      </c>
      <c r="J89" s="64" t="str">
        <f aca="false">IF(OR(J$4="",$C89="",$D89=""),"",IF(AND($C89&lt;EDATE(J$4,1),$D89&gt;=J$4),1,""))</f>
        <v/>
      </c>
      <c r="K89" s="64" t="str">
        <f aca="false">IF(OR(K$4="",$C89="",$D89=""),"",IF(AND($C89&lt;EDATE(K$4,1),$D89&gt;=K$4),1,""))</f>
        <v/>
      </c>
      <c r="L89" s="64" t="str">
        <f aca="false">IF(OR(L$4="",$C89="",$D89=""),"",IF(AND($C89&lt;EDATE(L$4,1),$D89&gt;=L$4),1,""))</f>
        <v/>
      </c>
      <c r="M89" s="64" t="str">
        <f aca="false">IF(OR(M$4="",$C89="",$D89=""),"",IF(AND($C89&lt;EDATE(M$4,1),$D89&gt;=M$4),1,""))</f>
        <v/>
      </c>
      <c r="N89" s="64" t="str">
        <f aca="false">IF(OR(N$4="",$C89="",$D89=""),"",IF(AND($C89&lt;EDATE(N$4,1),$D89&gt;=N$4),1,""))</f>
        <v/>
      </c>
      <c r="O89" s="64" t="str">
        <f aca="false">IF(OR(O$4="",$C89="",$D89=""),"",IF(AND($C89&lt;EDATE(O$4,1),$D89&gt;=O$4),1,""))</f>
        <v/>
      </c>
      <c r="P89" s="64" t="str">
        <f aca="false">IF(OR(P$4="",$C89="",$D89=""),"",IF(AND($C89&lt;EDATE(P$4,1),$D89&gt;=P$4),1,""))</f>
        <v/>
      </c>
      <c r="Q89" s="64" t="str">
        <f aca="false">IF(OR(Q$4="",$C89="",$D89=""),"",IF(AND($C89&lt;EDATE(Q$4,1),$D89&gt;=Q$4),1,""))</f>
        <v/>
      </c>
      <c r="R89" s="64" t="str">
        <f aca="false">IF(OR(R$4="",$C89="",$D89=""),"",IF(AND($C89&lt;EDATE(R$4,1),$D89&gt;=R$4),1,""))</f>
        <v/>
      </c>
      <c r="S89" s="64" t="str">
        <f aca="false">IF(OR(S$4="",$C89="",$D89=""),"",IF(AND($C89&lt;EDATE(S$4,1),$D89&gt;=S$4),1,""))</f>
        <v/>
      </c>
      <c r="T89" s="64" t="str">
        <f aca="false">IF(OR(T$4="",$C89="",$D89=""),"",IF(AND($C89&lt;EDATE(T$4,1),$D89&gt;=T$4),1,""))</f>
        <v/>
      </c>
      <c r="U89" s="64" t="str">
        <f aca="false">IF(OR(U$4="",$C89="",$D89=""),"",IF(AND($C89&lt;EDATE(U$4,1),$D89&gt;=U$4),1,""))</f>
        <v/>
      </c>
      <c r="V89" s="64" t="str">
        <f aca="false">IF(OR(V$4="",$C89="",$D89=""),"",IF(AND($C89&lt;EDATE(V$4,1),$D89&gt;=V$4),1,""))</f>
        <v/>
      </c>
      <c r="W89" s="64" t="str">
        <f aca="false">IF(OR(W$4="",$C89="",$D89=""),"",IF(AND($C89&lt;EDATE(W$4,1),$D89&gt;=W$4),1,""))</f>
        <v/>
      </c>
      <c r="X89" s="64" t="str">
        <f aca="false">IF(OR(X$4="",$C89="",$D89=""),"",IF(AND($C89&lt;EDATE(X$4,1),$D89&gt;=X$4),1,""))</f>
        <v/>
      </c>
      <c r="Y89" s="64" t="str">
        <f aca="false">IF(OR(Y$4="",$C89="",$D89=""),"",IF(AND($C89&lt;EDATE(Y$4,1),$D89&gt;=Y$4),1,""))</f>
        <v/>
      </c>
      <c r="Z89" s="64" t="str">
        <f aca="false">IF(OR(Z$4="",$C89="",$D89=""),"",IF(AND($C89&lt;EDATE(Z$4,1),$D89&gt;=Z$4),1,""))</f>
        <v/>
      </c>
      <c r="AA89" s="64" t="str">
        <f aca="false">IF(OR(AA$4="",$C89="",$D89=""),"",IF(AND($C89&lt;EDATE(AA$4,1),$D89&gt;=AA$4),1,""))</f>
        <v/>
      </c>
      <c r="AB89" s="64" t="str">
        <f aca="false">IF(OR(AB$4="",$C89="",$D89=""),"",IF(AND($C89&lt;EDATE(AB$4,1),$D89&gt;=AB$4),1,""))</f>
        <v/>
      </c>
      <c r="AC89" s="64" t="str">
        <f aca="false">IF(OR(AC$4="",$C89="",$D89=""),"",IF(AND($C89&lt;EDATE(AC$4,1),$D89&gt;=AC$4),1,""))</f>
        <v/>
      </c>
      <c r="AD89" s="64" t="str">
        <f aca="false">IF(OR(AD$4="",$C89="",$D89=""),"",IF(AND($C89&lt;EDATE(AD$4,1),$D89&gt;=AD$4),1,""))</f>
        <v/>
      </c>
      <c r="AE89" s="64" t="str">
        <f aca="false">IF(OR(AE$4="",$C89="",$D89=""),"",IF(AND($C89&lt;EDATE(AE$4,1),$D89&gt;=AE$4),1,""))</f>
        <v/>
      </c>
      <c r="AF89" s="64" t="str">
        <f aca="false">IF(OR(AF$4="",$C89="",$D89=""),"",IF(AND($C89&lt;EDATE(AF$4,1),$D89&gt;=AF$4),1,""))</f>
        <v/>
      </c>
      <c r="AG89" s="64" t="str">
        <f aca="false">IF(OR(AG$4="",$C89="",$D89=""),"",IF(AND($C89&lt;EDATE(AG$4,1),$D89&gt;=AG$4),1,""))</f>
        <v/>
      </c>
      <c r="AH89" s="64" t="str">
        <f aca="false">IF(OR(AH$4="",$C89="",$D89=""),"",IF(AND($C89&lt;EDATE(AH$4,1),$D89&gt;=AH$4),1,""))</f>
        <v/>
      </c>
      <c r="AI89" s="64" t="str">
        <f aca="false">IF(OR(AI$4="",$C89="",$D89=""),"",IF(AND($C89&lt;EDATE(AI$4,1),$D89&gt;=AI$4),1,""))</f>
        <v/>
      </c>
      <c r="AJ89" s="64" t="str">
        <f aca="false">IF(OR(AJ$4="",$C89="",$D89=""),"",IF(AND($C89&lt;EDATE(AJ$4,1),$D89&gt;=AJ$4),1,""))</f>
        <v/>
      </c>
      <c r="AK89" s="64" t="str">
        <f aca="false">IF(OR(AK$4="",$C89="",$D89=""),"",IF(AND($C89&lt;EDATE(AK$4,1),$D89&gt;=AK$4),1,""))</f>
        <v/>
      </c>
      <c r="AL89" s="64" t="str">
        <f aca="false">IF(OR(AL$4="",$C89="",$D89=""),"",IF(AND($C89&lt;EDATE(AL$4,1),$D89&gt;=AL$4),1,""))</f>
        <v/>
      </c>
      <c r="AM89" s="64" t="str">
        <f aca="false">IF(OR(AM$4="",$C89="",$D89=""),"",IF(AND($C89&lt;EDATE(AM$4,1),$D89&gt;=AM$4),1,""))</f>
        <v/>
      </c>
      <c r="AN89" s="64" t="str">
        <f aca="false">IF(OR(AN$4="",$C89="",$D89=""),"",IF(AND($C89&lt;EDATE(AN$4,1),$D89&gt;=AN$4),1,""))</f>
        <v/>
      </c>
      <c r="AO89" s="64" t="str">
        <f aca="false">IF(OR(AO$4="",$C89="",$D89=""),"",IF(AND($C89&lt;EDATE(AO$4,1),$D89&gt;=AO$4),1,""))</f>
        <v/>
      </c>
      <c r="AP89" s="64" t="str">
        <f aca="false">IF(OR(AP$4="",$C89="",$D89=""),"",IF(AND($C89&lt;EDATE(AP$4,1),$D89&gt;=AP$4),1,""))</f>
        <v/>
      </c>
      <c r="AQ89" s="64" t="str">
        <f aca="false">IF(OR(AQ$4="",$C89="",$D89=""),"",IF(AND($C89&lt;EDATE(AQ$4,1),$D89&gt;=AQ$4),1,""))</f>
        <v/>
      </c>
      <c r="AR89" s="64" t="str">
        <f aca="false">IF(OR(AR$4="",$C89="",$D89=""),"",IF(AND($C89&lt;EDATE(AR$4,1),$D89&gt;=AR$4),1,""))</f>
        <v/>
      </c>
      <c r="AS89" s="64" t="str">
        <f aca="false">IF(OR(AS$4="",$C89="",$D89=""),"",IF(AND($C89&lt;EDATE(AS$4,1),$D89&gt;=AS$4),1,""))</f>
        <v/>
      </c>
      <c r="AT89" s="64" t="str">
        <f aca="false">IF(OR(AT$4="",$C89="",$D89=""),"",IF(AND($C89&lt;EDATE(AT$4,1),$D89&gt;=AT$4),1,""))</f>
        <v/>
      </c>
      <c r="AU89" s="64" t="str">
        <f aca="false">IF(OR(AU$4="",$C89="",$D89=""),"",IF(AND($C89&lt;EDATE(AU$4,1),$D89&gt;=AU$4),1,""))</f>
        <v/>
      </c>
      <c r="AV89" s="64" t="str">
        <f aca="false">IF(OR(AV$4="",$C89="",$D89=""),"",IF(AND($C89&lt;EDATE(AV$4,1),$D89&gt;=AV$4),1,""))</f>
        <v/>
      </c>
      <c r="AW89" s="64" t="str">
        <f aca="false">IF(OR(AW$4="",$C89="",$D89=""),"",IF(AND($C89&lt;EDATE(AW$4,1),$D89&gt;=AW$4),1,""))</f>
        <v/>
      </c>
      <c r="AX89" s="64" t="str">
        <f aca="false">IF(OR(AX$4="",$C89="",$D89=""),"",IF(AND($C89&lt;EDATE(AX$4,1),$D89&gt;=AX$4),1,""))</f>
        <v/>
      </c>
      <c r="AY89" s="64" t="str">
        <f aca="false">IF(OR(AY$4="",$C89="",$D89=""),"",IF(AND($C89&lt;EDATE(AY$4,1),$D89&gt;=AY$4),1,""))</f>
        <v/>
      </c>
      <c r="AZ89" s="64" t="str">
        <f aca="false">IF(OR(AZ$4="",$C89="",$D89=""),"",IF(AND($C89&lt;EDATE(AZ$4,1),$D89&gt;=AZ$4),1,""))</f>
        <v/>
      </c>
      <c r="BA89" s="64" t="str">
        <f aca="false">IF(OR(BA$4="",$C89="",$D89=""),"",IF(AND($C89&lt;EDATE(BA$4,1),$D89&gt;=BA$4),1,""))</f>
        <v/>
      </c>
      <c r="BB89" s="64" t="str">
        <f aca="false">IF(OR(BB$4="",$C89="",$D89=""),"",IF(AND($C89&lt;EDATE(BB$4,1),$D89&gt;=BB$4),1,""))</f>
        <v/>
      </c>
      <c r="BC89" s="64" t="str">
        <f aca="false">IF(OR(BC$4="",$C89="",$D89=""),"",IF(AND($C89&lt;EDATE(BC$4,1),$D89&gt;=BC$4),1,""))</f>
        <v/>
      </c>
      <c r="BD89" s="64" t="str">
        <f aca="false">IF(OR(BD$4="",$C89="",$D89=""),"",IF(AND($C89&lt;EDATE(BD$4,1),$D89&gt;=BD$4),1,""))</f>
        <v/>
      </c>
      <c r="BE89" s="64" t="str">
        <f aca="false">IF(OR(BE$4="",$C89="",$D89=""),"",IF(AND($C89&lt;EDATE(BE$4,1),$D89&gt;=BE$4),1,""))</f>
        <v/>
      </c>
      <c r="BF89" s="64" t="str">
        <f aca="false">IF(OR(BF$4="",$C89="",$D89=""),"",IF(AND($C89&lt;EDATE(BF$4,1),$D89&gt;=BF$4),1,""))</f>
        <v/>
      </c>
      <c r="BG89" s="64" t="str">
        <f aca="false">IF(OR(BG$4="",$C89="",$D89=""),"",IF(AND($C89&lt;EDATE(BG$4,1),$D89&gt;=BG$4),1,""))</f>
        <v/>
      </c>
      <c r="BH89" s="64" t="str">
        <f aca="false">IF(OR(BH$4="",$C89="",$D89=""),"",IF(AND($C89&lt;EDATE(BH$4,1),$D89&gt;=BH$4),1,""))</f>
        <v/>
      </c>
      <c r="BI89" s="64" t="str">
        <f aca="false">IF(OR(BI$4="",$C89="",$D89=""),"",IF(AND($C89&lt;EDATE(BI$4,1),$D89&gt;=BI$4),1,""))</f>
        <v/>
      </c>
      <c r="BJ89" s="64" t="str">
        <f aca="false">IF(OR(BJ$4="",$C89="",$D89=""),"",IF(AND($C89&lt;EDATE(BJ$4,1),$D89&gt;=BJ$4),1,""))</f>
        <v/>
      </c>
      <c r="BK89" s="64" t="str">
        <f aca="false">IF(OR(BK$4="",$C89="",$D89=""),"",IF(AND($C89&lt;EDATE(BK$4,1),$D89&gt;=BK$4),1,""))</f>
        <v/>
      </c>
      <c r="BL89" s="64" t="str">
        <f aca="false">IF(OR(BL$4="",$C89="",$D89=""),"",IF(AND($C89&lt;EDATE(BL$4,1),$D89&gt;=BL$4),1,""))</f>
        <v/>
      </c>
      <c r="BM89" s="64" t="str">
        <f aca="false">IF(OR(BM$4="",$C89="",$D89=""),"",IF(AND($C89&lt;EDATE(BM$4,1),$D89&gt;=BM$4),1,""))</f>
        <v/>
      </c>
      <c r="BN89" s="64" t="str">
        <f aca="false">IF(OR(BN$4="",$C89="",$D89=""),"",IF(AND($C89&lt;EDATE(BN$4,1),$D89&gt;=BN$4),1,""))</f>
        <v/>
      </c>
      <c r="BO89" s="64" t="str">
        <f aca="false">IF(OR(BO$4="",$C89="",$D89=""),"",IF(AND($C89&lt;EDATE(BO$4,1),$D89&gt;=BO$4),1,""))</f>
        <v/>
      </c>
      <c r="BP89" s="64" t="str">
        <f aca="false">IF(OR(BP$4="",$C89="",$D89=""),"",IF(AND($C89&lt;EDATE(BP$4,1),$D89&gt;=BP$4),1,""))</f>
        <v/>
      </c>
      <c r="BQ89" s="64" t="str">
        <f aca="false">IF(OR(BQ$4="",$C89="",$D89=""),"",IF(AND($C89&lt;EDATE(BQ$4,1),$D89&gt;=BQ$4),1,""))</f>
        <v/>
      </c>
      <c r="BR89" s="64" t="str">
        <f aca="false">IF(OR(BR$4="",$C89="",$D89=""),"",IF(AND($C89&lt;EDATE(BR$4,1),$D89&gt;=BR$4),1,""))</f>
        <v/>
      </c>
      <c r="BS89" s="64" t="str">
        <f aca="false">IF(OR(BS$4="",$C89="",$D89=""),"",IF(AND($C89&lt;EDATE(BS$4,1),$D89&gt;=BS$4),1,""))</f>
        <v/>
      </c>
      <c r="BT89" s="64" t="str">
        <f aca="false">IF(OR(BT$4="",$C89="",$D89=""),"",IF(AND($C89&lt;EDATE(BT$4,1),$D89&gt;=BT$4),1,""))</f>
        <v/>
      </c>
      <c r="BU89" s="64" t="str">
        <f aca="false">IF(OR(BU$4="",$C89="",$D89=""),"",IF(AND($C89&lt;EDATE(BU$4,1),$D89&gt;=BU$4),1,""))</f>
        <v/>
      </c>
      <c r="BV89" s="64" t="str">
        <f aca="false">IF(OR(BV$4="",$C89="",$D89=""),"",IF(AND($C89&lt;EDATE(BV$4,1),$D89&gt;=BV$4),1,""))</f>
        <v/>
      </c>
      <c r="BW89" s="64" t="str">
        <f aca="false">IF(OR(BW$4="",$C89="",$D89=""),"",IF(AND($C89&lt;EDATE(BW$4,1),$D89&gt;=BW$4),1,""))</f>
        <v/>
      </c>
      <c r="BX89" s="64" t="str">
        <f aca="false">IF(OR(BX$4="",$C89="",$D89=""),"",IF(AND($C89&lt;EDATE(BX$4,1),$D89&gt;=BX$4),1,""))</f>
        <v/>
      </c>
      <c r="BY89" s="64" t="str">
        <f aca="false">IF(OR(BY$4="",$C89="",$D89=""),"",IF(AND($C89&lt;EDATE(BY$4,1),$D89&gt;=BY$4),1,""))</f>
        <v/>
      </c>
    </row>
    <row r="90" customFormat="false" ht="15" hidden="false" customHeight="false" outlineLevel="0" collapsed="false">
      <c r="A90" s="53" t="str">
        <f aca="false">IF(BOE!$A59="","",BOE!$A59)</f>
        <v/>
      </c>
      <c r="B90" s="53" t="str">
        <f aca="false">IF(BOE!$A59="","",BOE!$C59)</f>
        <v/>
      </c>
      <c r="C90" s="54" t="str">
        <f aca="false">IF(OR(BOE!$A59="",BOE!$E59&lt;&gt;"Y"),"",BOE!$O59)</f>
        <v/>
      </c>
      <c r="D90" s="54" t="str">
        <f aca="false">IF(OR(BOE!$A59="",BOE!$E59&lt;&gt;"Y"),"",BOE!$P59)</f>
        <v/>
      </c>
      <c r="E90" s="55" t="str">
        <f aca="false">IF(OR(BOE!$A59="",BOE!$E59&lt;&gt;"Y"),"",IF(Inputs!$B$7="P90",BOE!$T59,BOE!$R59))</f>
        <v/>
      </c>
      <c r="F90" s="64" t="str">
        <f aca="false">IF(OR(F$4="",$C90="",$D90=""),"",IF(AND($C90&lt;EDATE(F$4,1),$D90&gt;=F$4),1,""))</f>
        <v/>
      </c>
      <c r="G90" s="64" t="str">
        <f aca="false">IF(OR(G$4="",$C90="",$D90=""),"",IF(AND($C90&lt;EDATE(G$4,1),$D90&gt;=G$4),1,""))</f>
        <v/>
      </c>
      <c r="H90" s="64" t="str">
        <f aca="false">IF(OR(H$4="",$C90="",$D90=""),"",IF(AND($C90&lt;EDATE(H$4,1),$D90&gt;=H$4),1,""))</f>
        <v/>
      </c>
      <c r="I90" s="64" t="str">
        <f aca="false">IF(OR(I$4="",$C90="",$D90=""),"",IF(AND($C90&lt;EDATE(I$4,1),$D90&gt;=I$4),1,""))</f>
        <v/>
      </c>
      <c r="J90" s="64" t="str">
        <f aca="false">IF(OR(J$4="",$C90="",$D90=""),"",IF(AND($C90&lt;EDATE(J$4,1),$D90&gt;=J$4),1,""))</f>
        <v/>
      </c>
      <c r="K90" s="64" t="str">
        <f aca="false">IF(OR(K$4="",$C90="",$D90=""),"",IF(AND($C90&lt;EDATE(K$4,1),$D90&gt;=K$4),1,""))</f>
        <v/>
      </c>
      <c r="L90" s="64" t="str">
        <f aca="false">IF(OR(L$4="",$C90="",$D90=""),"",IF(AND($C90&lt;EDATE(L$4,1),$D90&gt;=L$4),1,""))</f>
        <v/>
      </c>
      <c r="M90" s="64" t="str">
        <f aca="false">IF(OR(M$4="",$C90="",$D90=""),"",IF(AND($C90&lt;EDATE(M$4,1),$D90&gt;=M$4),1,""))</f>
        <v/>
      </c>
      <c r="N90" s="64" t="str">
        <f aca="false">IF(OR(N$4="",$C90="",$D90=""),"",IF(AND($C90&lt;EDATE(N$4,1),$D90&gt;=N$4),1,""))</f>
        <v/>
      </c>
      <c r="O90" s="64" t="str">
        <f aca="false">IF(OR(O$4="",$C90="",$D90=""),"",IF(AND($C90&lt;EDATE(O$4,1),$D90&gt;=O$4),1,""))</f>
        <v/>
      </c>
      <c r="P90" s="64" t="str">
        <f aca="false">IF(OR(P$4="",$C90="",$D90=""),"",IF(AND($C90&lt;EDATE(P$4,1),$D90&gt;=P$4),1,""))</f>
        <v/>
      </c>
      <c r="Q90" s="64" t="str">
        <f aca="false">IF(OR(Q$4="",$C90="",$D90=""),"",IF(AND($C90&lt;EDATE(Q$4,1),$D90&gt;=Q$4),1,""))</f>
        <v/>
      </c>
      <c r="R90" s="64" t="str">
        <f aca="false">IF(OR(R$4="",$C90="",$D90=""),"",IF(AND($C90&lt;EDATE(R$4,1),$D90&gt;=R$4),1,""))</f>
        <v/>
      </c>
      <c r="S90" s="64" t="str">
        <f aca="false">IF(OR(S$4="",$C90="",$D90=""),"",IF(AND($C90&lt;EDATE(S$4,1),$D90&gt;=S$4),1,""))</f>
        <v/>
      </c>
      <c r="T90" s="64" t="str">
        <f aca="false">IF(OR(T$4="",$C90="",$D90=""),"",IF(AND($C90&lt;EDATE(T$4,1),$D90&gt;=T$4),1,""))</f>
        <v/>
      </c>
      <c r="U90" s="64" t="str">
        <f aca="false">IF(OR(U$4="",$C90="",$D90=""),"",IF(AND($C90&lt;EDATE(U$4,1),$D90&gt;=U$4),1,""))</f>
        <v/>
      </c>
      <c r="V90" s="64" t="str">
        <f aca="false">IF(OR(V$4="",$C90="",$D90=""),"",IF(AND($C90&lt;EDATE(V$4,1),$D90&gt;=V$4),1,""))</f>
        <v/>
      </c>
      <c r="W90" s="64" t="str">
        <f aca="false">IF(OR(W$4="",$C90="",$D90=""),"",IF(AND($C90&lt;EDATE(W$4,1),$D90&gt;=W$4),1,""))</f>
        <v/>
      </c>
      <c r="X90" s="64" t="str">
        <f aca="false">IF(OR(X$4="",$C90="",$D90=""),"",IF(AND($C90&lt;EDATE(X$4,1),$D90&gt;=X$4),1,""))</f>
        <v/>
      </c>
      <c r="Y90" s="64" t="str">
        <f aca="false">IF(OR(Y$4="",$C90="",$D90=""),"",IF(AND($C90&lt;EDATE(Y$4,1),$D90&gt;=Y$4),1,""))</f>
        <v/>
      </c>
      <c r="Z90" s="64" t="str">
        <f aca="false">IF(OR(Z$4="",$C90="",$D90=""),"",IF(AND($C90&lt;EDATE(Z$4,1),$D90&gt;=Z$4),1,""))</f>
        <v/>
      </c>
      <c r="AA90" s="64" t="str">
        <f aca="false">IF(OR(AA$4="",$C90="",$D90=""),"",IF(AND($C90&lt;EDATE(AA$4,1),$D90&gt;=AA$4),1,""))</f>
        <v/>
      </c>
      <c r="AB90" s="64" t="str">
        <f aca="false">IF(OR(AB$4="",$C90="",$D90=""),"",IF(AND($C90&lt;EDATE(AB$4,1),$D90&gt;=AB$4),1,""))</f>
        <v/>
      </c>
      <c r="AC90" s="64" t="str">
        <f aca="false">IF(OR(AC$4="",$C90="",$D90=""),"",IF(AND($C90&lt;EDATE(AC$4,1),$D90&gt;=AC$4),1,""))</f>
        <v/>
      </c>
      <c r="AD90" s="64" t="str">
        <f aca="false">IF(OR(AD$4="",$C90="",$D90=""),"",IF(AND($C90&lt;EDATE(AD$4,1),$D90&gt;=AD$4),1,""))</f>
        <v/>
      </c>
      <c r="AE90" s="64" t="str">
        <f aca="false">IF(OR(AE$4="",$C90="",$D90=""),"",IF(AND($C90&lt;EDATE(AE$4,1),$D90&gt;=AE$4),1,""))</f>
        <v/>
      </c>
      <c r="AF90" s="64" t="str">
        <f aca="false">IF(OR(AF$4="",$C90="",$D90=""),"",IF(AND($C90&lt;EDATE(AF$4,1),$D90&gt;=AF$4),1,""))</f>
        <v/>
      </c>
      <c r="AG90" s="64" t="str">
        <f aca="false">IF(OR(AG$4="",$C90="",$D90=""),"",IF(AND($C90&lt;EDATE(AG$4,1),$D90&gt;=AG$4),1,""))</f>
        <v/>
      </c>
      <c r="AH90" s="64" t="str">
        <f aca="false">IF(OR(AH$4="",$C90="",$D90=""),"",IF(AND($C90&lt;EDATE(AH$4,1),$D90&gt;=AH$4),1,""))</f>
        <v/>
      </c>
      <c r="AI90" s="64" t="str">
        <f aca="false">IF(OR(AI$4="",$C90="",$D90=""),"",IF(AND($C90&lt;EDATE(AI$4,1),$D90&gt;=AI$4),1,""))</f>
        <v/>
      </c>
      <c r="AJ90" s="64" t="str">
        <f aca="false">IF(OR(AJ$4="",$C90="",$D90=""),"",IF(AND($C90&lt;EDATE(AJ$4,1),$D90&gt;=AJ$4),1,""))</f>
        <v/>
      </c>
      <c r="AK90" s="64" t="str">
        <f aca="false">IF(OR(AK$4="",$C90="",$D90=""),"",IF(AND($C90&lt;EDATE(AK$4,1),$D90&gt;=AK$4),1,""))</f>
        <v/>
      </c>
      <c r="AL90" s="64" t="str">
        <f aca="false">IF(OR(AL$4="",$C90="",$D90=""),"",IF(AND($C90&lt;EDATE(AL$4,1),$D90&gt;=AL$4),1,""))</f>
        <v/>
      </c>
      <c r="AM90" s="64" t="str">
        <f aca="false">IF(OR(AM$4="",$C90="",$D90=""),"",IF(AND($C90&lt;EDATE(AM$4,1),$D90&gt;=AM$4),1,""))</f>
        <v/>
      </c>
      <c r="AN90" s="64" t="str">
        <f aca="false">IF(OR(AN$4="",$C90="",$D90=""),"",IF(AND($C90&lt;EDATE(AN$4,1),$D90&gt;=AN$4),1,""))</f>
        <v/>
      </c>
      <c r="AO90" s="64" t="str">
        <f aca="false">IF(OR(AO$4="",$C90="",$D90=""),"",IF(AND($C90&lt;EDATE(AO$4,1),$D90&gt;=AO$4),1,""))</f>
        <v/>
      </c>
      <c r="AP90" s="64" t="str">
        <f aca="false">IF(OR(AP$4="",$C90="",$D90=""),"",IF(AND($C90&lt;EDATE(AP$4,1),$D90&gt;=AP$4),1,""))</f>
        <v/>
      </c>
      <c r="AQ90" s="64" t="str">
        <f aca="false">IF(OR(AQ$4="",$C90="",$D90=""),"",IF(AND($C90&lt;EDATE(AQ$4,1),$D90&gt;=AQ$4),1,""))</f>
        <v/>
      </c>
      <c r="AR90" s="64" t="str">
        <f aca="false">IF(OR(AR$4="",$C90="",$D90=""),"",IF(AND($C90&lt;EDATE(AR$4,1),$D90&gt;=AR$4),1,""))</f>
        <v/>
      </c>
      <c r="AS90" s="64" t="str">
        <f aca="false">IF(OR(AS$4="",$C90="",$D90=""),"",IF(AND($C90&lt;EDATE(AS$4,1),$D90&gt;=AS$4),1,""))</f>
        <v/>
      </c>
      <c r="AT90" s="64" t="str">
        <f aca="false">IF(OR(AT$4="",$C90="",$D90=""),"",IF(AND($C90&lt;EDATE(AT$4,1),$D90&gt;=AT$4),1,""))</f>
        <v/>
      </c>
      <c r="AU90" s="64" t="str">
        <f aca="false">IF(OR(AU$4="",$C90="",$D90=""),"",IF(AND($C90&lt;EDATE(AU$4,1),$D90&gt;=AU$4),1,""))</f>
        <v/>
      </c>
      <c r="AV90" s="64" t="str">
        <f aca="false">IF(OR(AV$4="",$C90="",$D90=""),"",IF(AND($C90&lt;EDATE(AV$4,1),$D90&gt;=AV$4),1,""))</f>
        <v/>
      </c>
      <c r="AW90" s="64" t="str">
        <f aca="false">IF(OR(AW$4="",$C90="",$D90=""),"",IF(AND($C90&lt;EDATE(AW$4,1),$D90&gt;=AW$4),1,""))</f>
        <v/>
      </c>
      <c r="AX90" s="64" t="str">
        <f aca="false">IF(OR(AX$4="",$C90="",$D90=""),"",IF(AND($C90&lt;EDATE(AX$4,1),$D90&gt;=AX$4),1,""))</f>
        <v/>
      </c>
      <c r="AY90" s="64" t="str">
        <f aca="false">IF(OR(AY$4="",$C90="",$D90=""),"",IF(AND($C90&lt;EDATE(AY$4,1),$D90&gt;=AY$4),1,""))</f>
        <v/>
      </c>
      <c r="AZ90" s="64" t="str">
        <f aca="false">IF(OR(AZ$4="",$C90="",$D90=""),"",IF(AND($C90&lt;EDATE(AZ$4,1),$D90&gt;=AZ$4),1,""))</f>
        <v/>
      </c>
      <c r="BA90" s="64" t="str">
        <f aca="false">IF(OR(BA$4="",$C90="",$D90=""),"",IF(AND($C90&lt;EDATE(BA$4,1),$D90&gt;=BA$4),1,""))</f>
        <v/>
      </c>
      <c r="BB90" s="64" t="str">
        <f aca="false">IF(OR(BB$4="",$C90="",$D90=""),"",IF(AND($C90&lt;EDATE(BB$4,1),$D90&gt;=BB$4),1,""))</f>
        <v/>
      </c>
      <c r="BC90" s="64" t="str">
        <f aca="false">IF(OR(BC$4="",$C90="",$D90=""),"",IF(AND($C90&lt;EDATE(BC$4,1),$D90&gt;=BC$4),1,""))</f>
        <v/>
      </c>
      <c r="BD90" s="64" t="str">
        <f aca="false">IF(OR(BD$4="",$C90="",$D90=""),"",IF(AND($C90&lt;EDATE(BD$4,1),$D90&gt;=BD$4),1,""))</f>
        <v/>
      </c>
      <c r="BE90" s="64" t="str">
        <f aca="false">IF(OR(BE$4="",$C90="",$D90=""),"",IF(AND($C90&lt;EDATE(BE$4,1),$D90&gt;=BE$4),1,""))</f>
        <v/>
      </c>
      <c r="BF90" s="64" t="str">
        <f aca="false">IF(OR(BF$4="",$C90="",$D90=""),"",IF(AND($C90&lt;EDATE(BF$4,1),$D90&gt;=BF$4),1,""))</f>
        <v/>
      </c>
      <c r="BG90" s="64" t="str">
        <f aca="false">IF(OR(BG$4="",$C90="",$D90=""),"",IF(AND($C90&lt;EDATE(BG$4,1),$D90&gt;=BG$4),1,""))</f>
        <v/>
      </c>
      <c r="BH90" s="64" t="str">
        <f aca="false">IF(OR(BH$4="",$C90="",$D90=""),"",IF(AND($C90&lt;EDATE(BH$4,1),$D90&gt;=BH$4),1,""))</f>
        <v/>
      </c>
      <c r="BI90" s="64" t="str">
        <f aca="false">IF(OR(BI$4="",$C90="",$D90=""),"",IF(AND($C90&lt;EDATE(BI$4,1),$D90&gt;=BI$4),1,""))</f>
        <v/>
      </c>
      <c r="BJ90" s="64" t="str">
        <f aca="false">IF(OR(BJ$4="",$C90="",$D90=""),"",IF(AND($C90&lt;EDATE(BJ$4,1),$D90&gt;=BJ$4),1,""))</f>
        <v/>
      </c>
      <c r="BK90" s="64" t="str">
        <f aca="false">IF(OR(BK$4="",$C90="",$D90=""),"",IF(AND($C90&lt;EDATE(BK$4,1),$D90&gt;=BK$4),1,""))</f>
        <v/>
      </c>
      <c r="BL90" s="64" t="str">
        <f aca="false">IF(OR(BL$4="",$C90="",$D90=""),"",IF(AND($C90&lt;EDATE(BL$4,1),$D90&gt;=BL$4),1,""))</f>
        <v/>
      </c>
      <c r="BM90" s="64" t="str">
        <f aca="false">IF(OR(BM$4="",$C90="",$D90=""),"",IF(AND($C90&lt;EDATE(BM$4,1),$D90&gt;=BM$4),1,""))</f>
        <v/>
      </c>
      <c r="BN90" s="64" t="str">
        <f aca="false">IF(OR(BN$4="",$C90="",$D90=""),"",IF(AND($C90&lt;EDATE(BN$4,1),$D90&gt;=BN$4),1,""))</f>
        <v/>
      </c>
      <c r="BO90" s="64" t="str">
        <f aca="false">IF(OR(BO$4="",$C90="",$D90=""),"",IF(AND($C90&lt;EDATE(BO$4,1),$D90&gt;=BO$4),1,""))</f>
        <v/>
      </c>
      <c r="BP90" s="64" t="str">
        <f aca="false">IF(OR(BP$4="",$C90="",$D90=""),"",IF(AND($C90&lt;EDATE(BP$4,1),$D90&gt;=BP$4),1,""))</f>
        <v/>
      </c>
      <c r="BQ90" s="64" t="str">
        <f aca="false">IF(OR(BQ$4="",$C90="",$D90=""),"",IF(AND($C90&lt;EDATE(BQ$4,1),$D90&gt;=BQ$4),1,""))</f>
        <v/>
      </c>
      <c r="BR90" s="64" t="str">
        <f aca="false">IF(OR(BR$4="",$C90="",$D90=""),"",IF(AND($C90&lt;EDATE(BR$4,1),$D90&gt;=BR$4),1,""))</f>
        <v/>
      </c>
      <c r="BS90" s="64" t="str">
        <f aca="false">IF(OR(BS$4="",$C90="",$D90=""),"",IF(AND($C90&lt;EDATE(BS$4,1),$D90&gt;=BS$4),1,""))</f>
        <v/>
      </c>
      <c r="BT90" s="64" t="str">
        <f aca="false">IF(OR(BT$4="",$C90="",$D90=""),"",IF(AND($C90&lt;EDATE(BT$4,1),$D90&gt;=BT$4),1,""))</f>
        <v/>
      </c>
      <c r="BU90" s="64" t="str">
        <f aca="false">IF(OR(BU$4="",$C90="",$D90=""),"",IF(AND($C90&lt;EDATE(BU$4,1),$D90&gt;=BU$4),1,""))</f>
        <v/>
      </c>
      <c r="BV90" s="64" t="str">
        <f aca="false">IF(OR(BV$4="",$C90="",$D90=""),"",IF(AND($C90&lt;EDATE(BV$4,1),$D90&gt;=BV$4),1,""))</f>
        <v/>
      </c>
      <c r="BW90" s="64" t="str">
        <f aca="false">IF(OR(BW$4="",$C90="",$D90=""),"",IF(AND($C90&lt;EDATE(BW$4,1),$D90&gt;=BW$4),1,""))</f>
        <v/>
      </c>
      <c r="BX90" s="64" t="str">
        <f aca="false">IF(OR(BX$4="",$C90="",$D90=""),"",IF(AND($C90&lt;EDATE(BX$4,1),$D90&gt;=BX$4),1,""))</f>
        <v/>
      </c>
      <c r="BY90" s="64" t="str">
        <f aca="false">IF(OR(BY$4="",$C90="",$D90=""),"",IF(AND($C90&lt;EDATE(BY$4,1),$D90&gt;=BY$4),1,""))</f>
        <v/>
      </c>
    </row>
    <row r="91" customFormat="false" ht="15" hidden="false" customHeight="false" outlineLevel="0" collapsed="false">
      <c r="A91" s="53" t="str">
        <f aca="false">IF(BOE!$A60="","",BOE!$A60)</f>
        <v/>
      </c>
      <c r="B91" s="53" t="str">
        <f aca="false">IF(BOE!$A60="","",BOE!$C60)</f>
        <v/>
      </c>
      <c r="C91" s="54" t="str">
        <f aca="false">IF(OR(BOE!$A60="",BOE!$E60&lt;&gt;"Y"),"",BOE!$O60)</f>
        <v/>
      </c>
      <c r="D91" s="54" t="str">
        <f aca="false">IF(OR(BOE!$A60="",BOE!$E60&lt;&gt;"Y"),"",BOE!$P60)</f>
        <v/>
      </c>
      <c r="E91" s="55" t="str">
        <f aca="false">IF(OR(BOE!$A60="",BOE!$E60&lt;&gt;"Y"),"",IF(Inputs!$B$7="P90",BOE!$T60,BOE!$R60))</f>
        <v/>
      </c>
      <c r="F91" s="64" t="str">
        <f aca="false">IF(OR(F$4="",$C91="",$D91=""),"",IF(AND($C91&lt;EDATE(F$4,1),$D91&gt;=F$4),1,""))</f>
        <v/>
      </c>
      <c r="G91" s="64" t="str">
        <f aca="false">IF(OR(G$4="",$C91="",$D91=""),"",IF(AND($C91&lt;EDATE(G$4,1),$D91&gt;=G$4),1,""))</f>
        <v/>
      </c>
      <c r="H91" s="64" t="str">
        <f aca="false">IF(OR(H$4="",$C91="",$D91=""),"",IF(AND($C91&lt;EDATE(H$4,1),$D91&gt;=H$4),1,""))</f>
        <v/>
      </c>
      <c r="I91" s="64" t="str">
        <f aca="false">IF(OR(I$4="",$C91="",$D91=""),"",IF(AND($C91&lt;EDATE(I$4,1),$D91&gt;=I$4),1,""))</f>
        <v/>
      </c>
      <c r="J91" s="64" t="str">
        <f aca="false">IF(OR(J$4="",$C91="",$D91=""),"",IF(AND($C91&lt;EDATE(J$4,1),$D91&gt;=J$4),1,""))</f>
        <v/>
      </c>
      <c r="K91" s="64" t="str">
        <f aca="false">IF(OR(K$4="",$C91="",$D91=""),"",IF(AND($C91&lt;EDATE(K$4,1),$D91&gt;=K$4),1,""))</f>
        <v/>
      </c>
      <c r="L91" s="64" t="str">
        <f aca="false">IF(OR(L$4="",$C91="",$D91=""),"",IF(AND($C91&lt;EDATE(L$4,1),$D91&gt;=L$4),1,""))</f>
        <v/>
      </c>
      <c r="M91" s="64" t="str">
        <f aca="false">IF(OR(M$4="",$C91="",$D91=""),"",IF(AND($C91&lt;EDATE(M$4,1),$D91&gt;=M$4),1,""))</f>
        <v/>
      </c>
      <c r="N91" s="64" t="str">
        <f aca="false">IF(OR(N$4="",$C91="",$D91=""),"",IF(AND($C91&lt;EDATE(N$4,1),$D91&gt;=N$4),1,""))</f>
        <v/>
      </c>
      <c r="O91" s="64" t="str">
        <f aca="false">IF(OR(O$4="",$C91="",$D91=""),"",IF(AND($C91&lt;EDATE(O$4,1),$D91&gt;=O$4),1,""))</f>
        <v/>
      </c>
      <c r="P91" s="64" t="str">
        <f aca="false">IF(OR(P$4="",$C91="",$D91=""),"",IF(AND($C91&lt;EDATE(P$4,1),$D91&gt;=P$4),1,""))</f>
        <v/>
      </c>
      <c r="Q91" s="64" t="str">
        <f aca="false">IF(OR(Q$4="",$C91="",$D91=""),"",IF(AND($C91&lt;EDATE(Q$4,1),$D91&gt;=Q$4),1,""))</f>
        <v/>
      </c>
      <c r="R91" s="64" t="str">
        <f aca="false">IF(OR(R$4="",$C91="",$D91=""),"",IF(AND($C91&lt;EDATE(R$4,1),$D91&gt;=R$4),1,""))</f>
        <v/>
      </c>
      <c r="S91" s="64" t="str">
        <f aca="false">IF(OR(S$4="",$C91="",$D91=""),"",IF(AND($C91&lt;EDATE(S$4,1),$D91&gt;=S$4),1,""))</f>
        <v/>
      </c>
      <c r="T91" s="64" t="str">
        <f aca="false">IF(OR(T$4="",$C91="",$D91=""),"",IF(AND($C91&lt;EDATE(T$4,1),$D91&gt;=T$4),1,""))</f>
        <v/>
      </c>
      <c r="U91" s="64" t="str">
        <f aca="false">IF(OR(U$4="",$C91="",$D91=""),"",IF(AND($C91&lt;EDATE(U$4,1),$D91&gt;=U$4),1,""))</f>
        <v/>
      </c>
      <c r="V91" s="64" t="str">
        <f aca="false">IF(OR(V$4="",$C91="",$D91=""),"",IF(AND($C91&lt;EDATE(V$4,1),$D91&gt;=V$4),1,""))</f>
        <v/>
      </c>
      <c r="W91" s="64" t="str">
        <f aca="false">IF(OR(W$4="",$C91="",$D91=""),"",IF(AND($C91&lt;EDATE(W$4,1),$D91&gt;=W$4),1,""))</f>
        <v/>
      </c>
      <c r="X91" s="64" t="str">
        <f aca="false">IF(OR(X$4="",$C91="",$D91=""),"",IF(AND($C91&lt;EDATE(X$4,1),$D91&gt;=X$4),1,""))</f>
        <v/>
      </c>
      <c r="Y91" s="64" t="str">
        <f aca="false">IF(OR(Y$4="",$C91="",$D91=""),"",IF(AND($C91&lt;EDATE(Y$4,1),$D91&gt;=Y$4),1,""))</f>
        <v/>
      </c>
      <c r="Z91" s="64" t="str">
        <f aca="false">IF(OR(Z$4="",$C91="",$D91=""),"",IF(AND($C91&lt;EDATE(Z$4,1),$D91&gt;=Z$4),1,""))</f>
        <v/>
      </c>
      <c r="AA91" s="64" t="str">
        <f aca="false">IF(OR(AA$4="",$C91="",$D91=""),"",IF(AND($C91&lt;EDATE(AA$4,1),$D91&gt;=AA$4),1,""))</f>
        <v/>
      </c>
      <c r="AB91" s="64" t="str">
        <f aca="false">IF(OR(AB$4="",$C91="",$D91=""),"",IF(AND($C91&lt;EDATE(AB$4,1),$D91&gt;=AB$4),1,""))</f>
        <v/>
      </c>
      <c r="AC91" s="64" t="str">
        <f aca="false">IF(OR(AC$4="",$C91="",$D91=""),"",IF(AND($C91&lt;EDATE(AC$4,1),$D91&gt;=AC$4),1,""))</f>
        <v/>
      </c>
      <c r="AD91" s="64" t="str">
        <f aca="false">IF(OR(AD$4="",$C91="",$D91=""),"",IF(AND($C91&lt;EDATE(AD$4,1),$D91&gt;=AD$4),1,""))</f>
        <v/>
      </c>
      <c r="AE91" s="64" t="str">
        <f aca="false">IF(OR(AE$4="",$C91="",$D91=""),"",IF(AND($C91&lt;EDATE(AE$4,1),$D91&gt;=AE$4),1,""))</f>
        <v/>
      </c>
      <c r="AF91" s="64" t="str">
        <f aca="false">IF(OR(AF$4="",$C91="",$D91=""),"",IF(AND($C91&lt;EDATE(AF$4,1),$D91&gt;=AF$4),1,""))</f>
        <v/>
      </c>
      <c r="AG91" s="64" t="str">
        <f aca="false">IF(OR(AG$4="",$C91="",$D91=""),"",IF(AND($C91&lt;EDATE(AG$4,1),$D91&gt;=AG$4),1,""))</f>
        <v/>
      </c>
      <c r="AH91" s="64" t="str">
        <f aca="false">IF(OR(AH$4="",$C91="",$D91=""),"",IF(AND($C91&lt;EDATE(AH$4,1),$D91&gt;=AH$4),1,""))</f>
        <v/>
      </c>
      <c r="AI91" s="64" t="str">
        <f aca="false">IF(OR(AI$4="",$C91="",$D91=""),"",IF(AND($C91&lt;EDATE(AI$4,1),$D91&gt;=AI$4),1,""))</f>
        <v/>
      </c>
      <c r="AJ91" s="64" t="str">
        <f aca="false">IF(OR(AJ$4="",$C91="",$D91=""),"",IF(AND($C91&lt;EDATE(AJ$4,1),$D91&gt;=AJ$4),1,""))</f>
        <v/>
      </c>
      <c r="AK91" s="64" t="str">
        <f aca="false">IF(OR(AK$4="",$C91="",$D91=""),"",IF(AND($C91&lt;EDATE(AK$4,1),$D91&gt;=AK$4),1,""))</f>
        <v/>
      </c>
      <c r="AL91" s="64" t="str">
        <f aca="false">IF(OR(AL$4="",$C91="",$D91=""),"",IF(AND($C91&lt;EDATE(AL$4,1),$D91&gt;=AL$4),1,""))</f>
        <v/>
      </c>
      <c r="AM91" s="64" t="str">
        <f aca="false">IF(OR(AM$4="",$C91="",$D91=""),"",IF(AND($C91&lt;EDATE(AM$4,1),$D91&gt;=AM$4),1,""))</f>
        <v/>
      </c>
      <c r="AN91" s="64" t="str">
        <f aca="false">IF(OR(AN$4="",$C91="",$D91=""),"",IF(AND($C91&lt;EDATE(AN$4,1),$D91&gt;=AN$4),1,""))</f>
        <v/>
      </c>
      <c r="AO91" s="64" t="str">
        <f aca="false">IF(OR(AO$4="",$C91="",$D91=""),"",IF(AND($C91&lt;EDATE(AO$4,1),$D91&gt;=AO$4),1,""))</f>
        <v/>
      </c>
      <c r="AP91" s="64" t="str">
        <f aca="false">IF(OR(AP$4="",$C91="",$D91=""),"",IF(AND($C91&lt;EDATE(AP$4,1),$D91&gt;=AP$4),1,""))</f>
        <v/>
      </c>
      <c r="AQ91" s="64" t="str">
        <f aca="false">IF(OR(AQ$4="",$C91="",$D91=""),"",IF(AND($C91&lt;EDATE(AQ$4,1),$D91&gt;=AQ$4),1,""))</f>
        <v/>
      </c>
      <c r="AR91" s="64" t="str">
        <f aca="false">IF(OR(AR$4="",$C91="",$D91=""),"",IF(AND($C91&lt;EDATE(AR$4,1),$D91&gt;=AR$4),1,""))</f>
        <v/>
      </c>
      <c r="AS91" s="64" t="str">
        <f aca="false">IF(OR(AS$4="",$C91="",$D91=""),"",IF(AND($C91&lt;EDATE(AS$4,1),$D91&gt;=AS$4),1,""))</f>
        <v/>
      </c>
      <c r="AT91" s="64" t="str">
        <f aca="false">IF(OR(AT$4="",$C91="",$D91=""),"",IF(AND($C91&lt;EDATE(AT$4,1),$D91&gt;=AT$4),1,""))</f>
        <v/>
      </c>
      <c r="AU91" s="64" t="str">
        <f aca="false">IF(OR(AU$4="",$C91="",$D91=""),"",IF(AND($C91&lt;EDATE(AU$4,1),$D91&gt;=AU$4),1,""))</f>
        <v/>
      </c>
      <c r="AV91" s="64" t="str">
        <f aca="false">IF(OR(AV$4="",$C91="",$D91=""),"",IF(AND($C91&lt;EDATE(AV$4,1),$D91&gt;=AV$4),1,""))</f>
        <v/>
      </c>
      <c r="AW91" s="64" t="str">
        <f aca="false">IF(OR(AW$4="",$C91="",$D91=""),"",IF(AND($C91&lt;EDATE(AW$4,1),$D91&gt;=AW$4),1,""))</f>
        <v/>
      </c>
      <c r="AX91" s="64" t="str">
        <f aca="false">IF(OR(AX$4="",$C91="",$D91=""),"",IF(AND($C91&lt;EDATE(AX$4,1),$D91&gt;=AX$4),1,""))</f>
        <v/>
      </c>
      <c r="AY91" s="64" t="str">
        <f aca="false">IF(OR(AY$4="",$C91="",$D91=""),"",IF(AND($C91&lt;EDATE(AY$4,1),$D91&gt;=AY$4),1,""))</f>
        <v/>
      </c>
      <c r="AZ91" s="64" t="str">
        <f aca="false">IF(OR(AZ$4="",$C91="",$D91=""),"",IF(AND($C91&lt;EDATE(AZ$4,1),$D91&gt;=AZ$4),1,""))</f>
        <v/>
      </c>
      <c r="BA91" s="64" t="str">
        <f aca="false">IF(OR(BA$4="",$C91="",$D91=""),"",IF(AND($C91&lt;EDATE(BA$4,1),$D91&gt;=BA$4),1,""))</f>
        <v/>
      </c>
      <c r="BB91" s="64" t="str">
        <f aca="false">IF(OR(BB$4="",$C91="",$D91=""),"",IF(AND($C91&lt;EDATE(BB$4,1),$D91&gt;=BB$4),1,""))</f>
        <v/>
      </c>
      <c r="BC91" s="64" t="str">
        <f aca="false">IF(OR(BC$4="",$C91="",$D91=""),"",IF(AND($C91&lt;EDATE(BC$4,1),$D91&gt;=BC$4),1,""))</f>
        <v/>
      </c>
      <c r="BD91" s="64" t="str">
        <f aca="false">IF(OR(BD$4="",$C91="",$D91=""),"",IF(AND($C91&lt;EDATE(BD$4,1),$D91&gt;=BD$4),1,""))</f>
        <v/>
      </c>
      <c r="BE91" s="64" t="str">
        <f aca="false">IF(OR(BE$4="",$C91="",$D91=""),"",IF(AND($C91&lt;EDATE(BE$4,1),$D91&gt;=BE$4),1,""))</f>
        <v/>
      </c>
      <c r="BF91" s="64" t="str">
        <f aca="false">IF(OR(BF$4="",$C91="",$D91=""),"",IF(AND($C91&lt;EDATE(BF$4,1),$D91&gt;=BF$4),1,""))</f>
        <v/>
      </c>
      <c r="BG91" s="64" t="str">
        <f aca="false">IF(OR(BG$4="",$C91="",$D91=""),"",IF(AND($C91&lt;EDATE(BG$4,1),$D91&gt;=BG$4),1,""))</f>
        <v/>
      </c>
      <c r="BH91" s="64" t="str">
        <f aca="false">IF(OR(BH$4="",$C91="",$D91=""),"",IF(AND($C91&lt;EDATE(BH$4,1),$D91&gt;=BH$4),1,""))</f>
        <v/>
      </c>
      <c r="BI91" s="64" t="str">
        <f aca="false">IF(OR(BI$4="",$C91="",$D91=""),"",IF(AND($C91&lt;EDATE(BI$4,1),$D91&gt;=BI$4),1,""))</f>
        <v/>
      </c>
      <c r="BJ91" s="64" t="str">
        <f aca="false">IF(OR(BJ$4="",$C91="",$D91=""),"",IF(AND($C91&lt;EDATE(BJ$4,1),$D91&gt;=BJ$4),1,""))</f>
        <v/>
      </c>
      <c r="BK91" s="64" t="str">
        <f aca="false">IF(OR(BK$4="",$C91="",$D91=""),"",IF(AND($C91&lt;EDATE(BK$4,1),$D91&gt;=BK$4),1,""))</f>
        <v/>
      </c>
      <c r="BL91" s="64" t="str">
        <f aca="false">IF(OR(BL$4="",$C91="",$D91=""),"",IF(AND($C91&lt;EDATE(BL$4,1),$D91&gt;=BL$4),1,""))</f>
        <v/>
      </c>
      <c r="BM91" s="64" t="str">
        <f aca="false">IF(OR(BM$4="",$C91="",$D91=""),"",IF(AND($C91&lt;EDATE(BM$4,1),$D91&gt;=BM$4),1,""))</f>
        <v/>
      </c>
      <c r="BN91" s="64" t="str">
        <f aca="false">IF(OR(BN$4="",$C91="",$D91=""),"",IF(AND($C91&lt;EDATE(BN$4,1),$D91&gt;=BN$4),1,""))</f>
        <v/>
      </c>
      <c r="BO91" s="64" t="str">
        <f aca="false">IF(OR(BO$4="",$C91="",$D91=""),"",IF(AND($C91&lt;EDATE(BO$4,1),$D91&gt;=BO$4),1,""))</f>
        <v/>
      </c>
      <c r="BP91" s="64" t="str">
        <f aca="false">IF(OR(BP$4="",$C91="",$D91=""),"",IF(AND($C91&lt;EDATE(BP$4,1),$D91&gt;=BP$4),1,""))</f>
        <v/>
      </c>
      <c r="BQ91" s="64" t="str">
        <f aca="false">IF(OR(BQ$4="",$C91="",$D91=""),"",IF(AND($C91&lt;EDATE(BQ$4,1),$D91&gt;=BQ$4),1,""))</f>
        <v/>
      </c>
      <c r="BR91" s="64" t="str">
        <f aca="false">IF(OR(BR$4="",$C91="",$D91=""),"",IF(AND($C91&lt;EDATE(BR$4,1),$D91&gt;=BR$4),1,""))</f>
        <v/>
      </c>
      <c r="BS91" s="64" t="str">
        <f aca="false">IF(OR(BS$4="",$C91="",$D91=""),"",IF(AND($C91&lt;EDATE(BS$4,1),$D91&gt;=BS$4),1,""))</f>
        <v/>
      </c>
      <c r="BT91" s="64" t="str">
        <f aca="false">IF(OR(BT$4="",$C91="",$D91=""),"",IF(AND($C91&lt;EDATE(BT$4,1),$D91&gt;=BT$4),1,""))</f>
        <v/>
      </c>
      <c r="BU91" s="64" t="str">
        <f aca="false">IF(OR(BU$4="",$C91="",$D91=""),"",IF(AND($C91&lt;EDATE(BU$4,1),$D91&gt;=BU$4),1,""))</f>
        <v/>
      </c>
      <c r="BV91" s="64" t="str">
        <f aca="false">IF(OR(BV$4="",$C91="",$D91=""),"",IF(AND($C91&lt;EDATE(BV$4,1),$D91&gt;=BV$4),1,""))</f>
        <v/>
      </c>
      <c r="BW91" s="64" t="str">
        <f aca="false">IF(OR(BW$4="",$C91="",$D91=""),"",IF(AND($C91&lt;EDATE(BW$4,1),$D91&gt;=BW$4),1,""))</f>
        <v/>
      </c>
      <c r="BX91" s="64" t="str">
        <f aca="false">IF(OR(BX$4="",$C91="",$D91=""),"",IF(AND($C91&lt;EDATE(BX$4,1),$D91&gt;=BX$4),1,""))</f>
        <v/>
      </c>
      <c r="BY91" s="64" t="str">
        <f aca="false">IF(OR(BY$4="",$C91="",$D91=""),"",IF(AND($C91&lt;EDATE(BY$4,1),$D91&gt;=BY$4),1,""))</f>
        <v/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</row>
    <row r="93" customFormat="false" ht="30" hidden="false" customHeight="true" outlineLevel="0" collapsed="false">
      <c r="A93" s="4"/>
      <c r="B93" s="15" t="s">
        <v>288</v>
      </c>
      <c r="C93" s="4"/>
      <c r="D93" s="4"/>
      <c r="E93" s="4"/>
      <c r="F93" s="65" t="n">
        <f aca="false">Phasing!F62</f>
        <v>1.76667247969439</v>
      </c>
      <c r="G93" s="65" t="n">
        <f aca="false">Phasing!G62</f>
        <v>1.62869262924892</v>
      </c>
      <c r="H93" s="65" t="n">
        <f aca="false">Phasing!H62</f>
        <v>1.90142163174917</v>
      </c>
      <c r="I93" s="65" t="n">
        <f aca="false">Phasing!I62</f>
        <v>2.15545103440411</v>
      </c>
      <c r="J93" s="65" t="n">
        <f aca="false">Phasing!J62</f>
        <v>2.18362512777408</v>
      </c>
      <c r="K93" s="65" t="n">
        <f aca="false">Phasing!K62</f>
        <v>2.1131856075233</v>
      </c>
      <c r="L93" s="65" t="n">
        <f aca="false">Phasing!L62</f>
        <v>2.13234307649202</v>
      </c>
      <c r="M93" s="65" t="n">
        <f aca="false">Phasing!M62</f>
        <v>1.38875333290228</v>
      </c>
      <c r="N93" s="65" t="n">
        <f aca="false">Phasing!N62</f>
        <v>1.34395483829253</v>
      </c>
      <c r="O93" s="65" t="n">
        <f aca="false">Phasing!O62</f>
        <v>1.38875333290228</v>
      </c>
      <c r="P93" s="65" t="n">
        <f aca="false">Phasing!P62</f>
        <v>4.01691606908396</v>
      </c>
      <c r="Q93" s="65" t="n">
        <f aca="false">Phasing!Q62</f>
        <v>4.13044903783152</v>
      </c>
      <c r="R93" s="65" t="n">
        <f aca="false">Phasing!R62</f>
        <v>4.13044903783152</v>
      </c>
      <c r="S93" s="65" t="n">
        <f aca="false">Phasing!S62</f>
        <v>3.86396845474562</v>
      </c>
      <c r="T93" s="65" t="n">
        <f aca="false">Phasing!T62</f>
        <v>4.13044903783152</v>
      </c>
      <c r="U93" s="65" t="n">
        <f aca="false">Phasing!U62</f>
        <v>3.99720874628857</v>
      </c>
      <c r="V93" s="65" t="n">
        <f aca="false">Phasing!V62</f>
        <v>4.03708270768975</v>
      </c>
      <c r="W93" s="65" t="n">
        <f aca="false">Phasing!W62</f>
        <v>2.19439843366905</v>
      </c>
      <c r="X93" s="65" t="n">
        <f aca="false">Phasing!X62</f>
        <v>1.66800994817117</v>
      </c>
      <c r="Y93" s="65" t="n">
        <f aca="false">Phasing!Y62</f>
        <v>1.66800994817117</v>
      </c>
      <c r="Z93" s="65" t="n">
        <f aca="false">Phasing!Z62</f>
        <v>1.61420317564952</v>
      </c>
      <c r="AA93" s="65" t="n">
        <f aca="false">Phasing!AA62</f>
        <v>1.66800994817117</v>
      </c>
      <c r="AB93" s="65" t="n">
        <f aca="false">Phasing!AB62</f>
        <v>1.61420317564952</v>
      </c>
      <c r="AC93" s="65" t="n">
        <f aca="false">Phasing!AC62</f>
        <v>2.05358928111893</v>
      </c>
      <c r="AD93" s="65" t="n">
        <f aca="false">Phasing!AD62</f>
        <v>1.98074984707093</v>
      </c>
      <c r="AE93" s="65" t="n">
        <f aca="false">Phasing!AE62</f>
        <v>1.76661690251305</v>
      </c>
      <c r="AF93" s="65" t="n">
        <f aca="false">Phasing!AF62</f>
        <v>1.95589728492517</v>
      </c>
      <c r="AG93" s="65" t="n">
        <f aca="false">Phasing!AG62</f>
        <v>1.89280382412113</v>
      </c>
      <c r="AH93" s="65" t="n">
        <f aca="false">Phasing!AH62</f>
        <v>1.95589728492517</v>
      </c>
      <c r="AI93" s="65" t="n">
        <f aca="false">Phasing!AI62</f>
        <v>1.89280382412113</v>
      </c>
      <c r="AJ93" s="65" t="n">
        <f aca="false">Phasing!AJ62</f>
        <v>1.95589728492517</v>
      </c>
      <c r="AK93" s="65" t="n">
        <f aca="false">Phasing!AK62</f>
        <v>1.61937408239415</v>
      </c>
      <c r="AL93" s="65" t="n">
        <f aca="false">Phasing!AL62</f>
        <v>1.12443176868863</v>
      </c>
      <c r="AM93" s="65" t="n">
        <f aca="false">Phasing!AM62</f>
        <v>0.600430514337784</v>
      </c>
      <c r="AN93" s="65" t="n">
        <f aca="false">Phasing!AN62</f>
        <v>0.562949455381496</v>
      </c>
      <c r="AO93" s="65" t="n">
        <f aca="false">Phasing!AO62</f>
        <v>0.525419491689397</v>
      </c>
      <c r="AP93" s="65" t="str">
        <f aca="false">Phasing!AP62</f>
        <v/>
      </c>
      <c r="AQ93" s="65" t="str">
        <f aca="false">Phasing!AQ62</f>
        <v/>
      </c>
      <c r="AR93" s="65" t="str">
        <f aca="false">Phasing!AR62</f>
        <v/>
      </c>
      <c r="AS93" s="65" t="str">
        <f aca="false">Phasing!AS62</f>
        <v/>
      </c>
      <c r="AT93" s="65" t="str">
        <f aca="false">Phasing!AT62</f>
        <v/>
      </c>
      <c r="AU93" s="65" t="str">
        <f aca="false">Phasing!AU62</f>
        <v/>
      </c>
      <c r="AV93" s="65" t="str">
        <f aca="false">Phasing!AV62</f>
        <v/>
      </c>
      <c r="AW93" s="65" t="str">
        <f aca="false">Phasing!AW62</f>
        <v/>
      </c>
      <c r="AX93" s="65" t="str">
        <f aca="false">Phasing!AX62</f>
        <v/>
      </c>
      <c r="AY93" s="65" t="str">
        <f aca="false">Phasing!AY62</f>
        <v/>
      </c>
      <c r="AZ93" s="65" t="str">
        <f aca="false">Phasing!AZ62</f>
        <v/>
      </c>
      <c r="BA93" s="65" t="str">
        <f aca="false">Phasing!BA62</f>
        <v/>
      </c>
      <c r="BB93" s="65" t="str">
        <f aca="false">Phasing!BB62</f>
        <v/>
      </c>
      <c r="BC93" s="65" t="str">
        <f aca="false">Phasing!BC62</f>
        <v/>
      </c>
      <c r="BD93" s="65" t="str">
        <f aca="false">Phasing!BD62</f>
        <v/>
      </c>
      <c r="BE93" s="65" t="str">
        <f aca="false">Phasing!BE62</f>
        <v/>
      </c>
      <c r="BF93" s="65" t="str">
        <f aca="false">Phasing!BF62</f>
        <v/>
      </c>
      <c r="BG93" s="65" t="str">
        <f aca="false">Phasing!BG62</f>
        <v/>
      </c>
      <c r="BH93" s="65" t="str">
        <f aca="false">Phasing!BH62</f>
        <v/>
      </c>
      <c r="BI93" s="65" t="str">
        <f aca="false">Phasing!BI62</f>
        <v/>
      </c>
      <c r="BJ93" s="65" t="str">
        <f aca="false">Phasing!BJ62</f>
        <v/>
      </c>
      <c r="BK93" s="65" t="str">
        <f aca="false">Phasing!BK62</f>
        <v/>
      </c>
      <c r="BL93" s="65" t="str">
        <f aca="false">Phasing!BL62</f>
        <v/>
      </c>
      <c r="BM93" s="65" t="str">
        <f aca="false">Phasing!BM62</f>
        <v/>
      </c>
      <c r="BN93" s="65" t="str">
        <f aca="false">Phasing!BN62</f>
        <v/>
      </c>
      <c r="BO93" s="65" t="str">
        <f aca="false">Phasing!BO62</f>
        <v/>
      </c>
      <c r="BP93" s="65" t="str">
        <f aca="false">Phasing!BP62</f>
        <v/>
      </c>
      <c r="BQ93" s="65" t="str">
        <f aca="false">Phasing!BQ62</f>
        <v/>
      </c>
      <c r="BR93" s="65" t="str">
        <f aca="false">Phasing!BR62</f>
        <v/>
      </c>
      <c r="BS93" s="65" t="str">
        <f aca="false">Phasing!BS62</f>
        <v/>
      </c>
      <c r="BT93" s="65" t="str">
        <f aca="false">Phasing!BT62</f>
        <v/>
      </c>
      <c r="BU93" s="65" t="str">
        <f aca="false">Phasing!BU62</f>
        <v/>
      </c>
      <c r="BV93" s="65" t="str">
        <f aca="false">Phasing!BV62</f>
        <v/>
      </c>
      <c r="BW93" s="65" t="str">
        <f aca="false">Phasing!BW62</f>
        <v/>
      </c>
      <c r="BX93" s="65" t="str">
        <f aca="false">Phasing!BX62</f>
        <v/>
      </c>
      <c r="BY93" s="65" t="str">
        <f aca="false">Phasing!BY62</f>
        <v/>
      </c>
    </row>
  </sheetData>
  <conditionalFormatting sqref="F37:BY91">
    <cfRule type="cellIs" priority="2" operator="equal" aboveAverage="0" equalAverage="0" bottom="0" percent="0" rank="0" text="" dxfId="7">
      <formula>1</formula>
    </cfRule>
  </conditionalFormatting>
  <conditionalFormatting sqref="F6:BY91">
    <cfRule type="expression" priority="3" aboveAverage="0" equalAverage="0" bottom="0" percent="0" rank="0" text="" dxfId="8">
      <formula>F$4&lt;&gt;""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2026-10-23T15:41:10Z</dcterms:created>
  <dc:creator>openpyxl</dc:creator>
  <dc:description/>
  <dc:language>en-US</dc:language>
  <cp:lastModifiedBy/>
  <dcterms:modified xsi:type="dcterms:W3CDTF">2026-10-23T15:41:11Z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
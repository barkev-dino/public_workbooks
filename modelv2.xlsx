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8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Inputs" sheetId="3" state="visible" r:id="rId5"/>
    <sheet name="Milestones" sheetId="4" state="visible" r:id="rId6"/>
    <sheet name="BOE" sheetId="5" state="visible" r:id="rId7"/>
    <sheet name="Phasing" sheetId="6" state="visible" r:id="rId8"/>
    <sheet name="Timeline" sheetId="7" state="visible" r:id="rId9"/>
    <sheet name="Staffing" sheetId="8" state="visible" r:id="rId10"/>
    <sheet name="CDRL" sheetId="9" state="visible" r:id="rId11"/>
  </sheets>
  <definedNames>
    <definedName function="false" hidden="true" localSheetId="4" name="_xlnm._FilterDatabase" vbProcedure="false">BOE!$A$5:$V$60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SAR rows: fraction of the SAR P50 hours (0.60 = 60% of a SAR). LOE rows: hours per month. FIXED rows: hours. Defaults are planning assumptions — calibrate to your actuals.</t>
        </r>
      </text>
    </comment>
    <comment ref="H5" authorId="0">
      <text>
        <r>
          <rPr>
            <sz val="10"/>
            <rFont val="Arial"/>
            <family val="2"/>
          </rPr>
          <t xml:space="preserve">Multiplier. For per-unit tasks this links to the Inputs quantity drivers (green). Override by typing a number.</t>
        </r>
      </text>
    </comment>
    <comment ref="S5" authorId="0">
      <text>
        <r>
          <rPr>
            <sz val="10"/>
            <rFont val="Arial"/>
            <family val="2"/>
          </rPr>
          <t xml:space="preserve">Optional per-row P90/P50 ratio. Blank = use the SAR-derived ratio from Inputs.</t>
        </r>
      </text>
    </comment>
    <comment ref="V5" authorId="0">
      <text>
        <r>
          <rPr>
            <sz val="10"/>
            <rFont val="Arial"/>
            <family val="2"/>
          </rPr>
          <t xml:space="preserve">Primary labor category for the row (one role per row). Drives the Staffing sheet's role split. Roles are defined on Inputs A38:A41.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Column B: totals / averages / peaks for the row, as labeled.</t>
        </r>
      </text>
    </comment>
  </commentList>
</comments>
</file>

<file path=xl/sharedStrings.xml><?xml version="1.0" encoding="utf-8"?>
<sst xmlns="http://schemas.openxmlformats.org/spreadsheetml/2006/main" count="785" uniqueCount="422">
  <si>
    <t xml:space="preserve">MIL-STD-882E w/Change 1 — System Safety Basis of Estimate (BOE) Model</t>
  </si>
  <si>
    <t xml:space="preserve">How it works</t>
  </si>
  <si>
    <t xml:space="preserve">1. Inputs: enter program start/end, the two SAR anchor estimates (P50 and P90 hours), the complexity level, the SwCI level, and the quantity drivers (subsystems, test events, ECPs, reviews).</t>
  </si>
  <si>
    <t xml:space="preserve">2. Milestones: define your program milestones as months-after-start (or type a hard date in the override column). Every task's dates hang off these milestones.</t>
  </si>
  <si>
    <t xml:space="preserve">3. BOE: one row per 882E task (and per LOE item). Each row is anchored one of three ways:</t>
  </si>
  <si>
    <t xml:space="preserve">     SAR   = ratio × SAR P50 hours × quantity          (documents and analyses — the default)</t>
  </si>
  <si>
    <t xml:space="preserve">     LOE   = hours per month × months between its start and end milestones × quantity   (meetings, HTS upkeep, reporting)</t>
  </si>
  <si>
    <t xml:space="preserve">     FIXED = hours entered directly × quantity        (anything you want to hard-size)</t>
  </si>
  <si>
    <t xml:space="preserve">   The result is multiplied by the complexity factor (if 'Apply Cx' = Y) and the SwCI multiplier (if 'Apply SwCI' = Y).</t>
  </si>
  <si>
    <t xml:space="preserve">   P90 = P50 × (SAR P90 ÷ SAR P50) unless a per-row P90 ratio override is entered.</t>
  </si>
  <si>
    <t xml:space="preserve">   Set 'Tasked' to N to remove a task from the estimate without deleting the row (only Sections 3 and 4 of the standard are mandatory; tasks are cited by contract).</t>
  </si>
  <si>
    <t xml:space="preserve">4. Phasing: spreads each row's hours evenly across its start–end window by month, and shows the monthly FTE load. Switch P50/P90 on the Inputs sheet.</t>
  </si>
  <si>
    <t xml:space="preserve">5. Timeline: Gantt view — milestone diamonds and task bars — generated from Milestones and BOE. Nothing is typed on this sheet.</t>
  </si>
  <si>
    <t xml:space="preserve">6. Summary: totals by task section, P50 vs P90, average and peak FTE, plus the staffing-plan headline numbers.</t>
  </si>
  <si>
    <t xml:space="preserve">7. Staffing: hours and raw FTE by labor category (BOE column V), a smoothed and rounded headcount plan (Inputs B44:B46 set the smoothing window, granularity and core floor), utilization, staffing by phase, and a stacked FTE chart.</t>
  </si>
  <si>
    <t xml:space="preserve">8. CDRL: maps each task to its deliverable and DID (standard section 6.3), rolls hours up per CDRL, and shows draft/final due months. Switch B4 between one combined hazard analysis report and separate CDRLs.</t>
  </si>
  <si>
    <t xml:space="preserve">Cell colors</t>
  </si>
  <si>
    <t xml:space="preserve">   Blue text on light-yellow fill = input you can change.   Bright-yellow fill = key assumption.   Grey fill = formula / view only — do not type here.</t>
  </si>
  <si>
    <t xml:space="preserve">   Sheet tabs: green = sheets you edit (Inputs, Milestones, BOE, and the input columns of CDRL).   Grey = generated sheets (Summary, Phasing, Timeline, Staffing).</t>
  </si>
  <si>
    <t xml:space="preserve">Assumption notes</t>
  </si>
  <si>
    <t xml:space="preserve">   Default anchor ratios are planning assumptions typical of DoD system safety programs; they are not from the standard. Calibrate them against your own actuals.</t>
  </si>
  <si>
    <t xml:space="preserve">   Task 103 and Task 302 are the equivalents of 102/301 for other functional disciplines and default to Not Tasked. Tasks 402/403 (explosives/EOD) default to Not Tasked.</t>
  </si>
  <si>
    <t xml:space="preserve">   Section 4.4 software Level-of-Rigor (LOR) work is not a numbered task but is real effort; it is included as row 'SW-LOR' and scaled by the SwCI multiplier.</t>
  </si>
  <si>
    <t xml:space="preserve">   Hours per FTE-month default (156) ≈ 1,872 productive hours per year ÷ 12.</t>
  </si>
  <si>
    <t xml:space="preserve">   Source document: MIL-STD-882E w/CHANGE 1, 27 September 2023 (ASSIST). Task numbers and titles are taken from it.</t>
  </si>
  <si>
    <t xml:space="preserve">Adding rows</t>
  </si>
  <si>
    <t xml:space="preserve">   Milestones: up to 30 rows are pre-wired. BOE: insert a row inside the table and copy the formulas down from the row above; Phasing and Timeline reference BOE rows 6–60.</t>
  </si>
  <si>
    <t xml:space="preserve">Estimate Summary</t>
  </si>
  <si>
    <t xml:space="preserve">Section</t>
  </si>
  <si>
    <t xml:space="preserve">Rows tasked</t>
  </si>
  <si>
    <t xml:space="preserve">P50 hours</t>
  </si>
  <si>
    <t xml:space="preserve">P90 hours</t>
  </si>
  <si>
    <t xml:space="preserve">P50 share</t>
  </si>
  <si>
    <t xml:space="preserve">P90 ÷ P50</t>
  </si>
  <si>
    <t xml:space="preserve">100 Management</t>
  </si>
  <si>
    <t xml:space="preserve">200 Analysis</t>
  </si>
  <si>
    <t xml:space="preserve">300 Evaluation</t>
  </si>
  <si>
    <t xml:space="preserve">400 Verification</t>
  </si>
  <si>
    <t xml:space="preserve">LOE / Other</t>
  </si>
  <si>
    <t xml:space="preserve">TOTAL</t>
  </si>
  <si>
    <t xml:space="preserve">Program metrics</t>
  </si>
  <si>
    <t xml:space="preserve">Program duration (months)</t>
  </si>
  <si>
    <t xml:space="preserve">Average FTE — P50</t>
  </si>
  <si>
    <t xml:space="preserve">Average FTE — P90</t>
  </si>
  <si>
    <t xml:space="preserve">Peak monthly FTE (phasing basis)</t>
  </si>
  <si>
    <t xml:space="preserve">Peak month hours (phasing basis)</t>
  </si>
  <si>
    <t xml:space="preserve">Phasing basis in use</t>
  </si>
  <si>
    <t xml:space="preserve">Hours per FTE-month</t>
  </si>
  <si>
    <t xml:space="preserve">Anchor-ratio check: SAR-anchored rows as a multiple of one SAR (P50, before factors)</t>
  </si>
  <si>
    <t xml:space="preserve">Sum of SAR ratios × qty (tasked rows)</t>
  </si>
  <si>
    <t xml:space="preserve">e.g. 9.5 means the SAR-anchored documents total ~9.5 SARs of effort. Useful sanity check against your historical program totals.</t>
  </si>
  <si>
    <t xml:space="preserve">Staffing plan (from Staffing sheet)</t>
  </si>
  <si>
    <t xml:space="preserve">Peak headcount in plan (FTE)</t>
  </si>
  <si>
    <t xml:space="preserve">Average headcount (FTE)</t>
  </si>
  <si>
    <t xml:space="preserve">Total staff-months</t>
  </si>
  <si>
    <t xml:space="preserve">Overall utilization</t>
  </si>
  <si>
    <t xml:space="preserve">Program Inputs &amp; Assumptions</t>
  </si>
  <si>
    <t xml:space="preserve">Blue cells on yellow are inputs. Everything else in the workbook derives from this sheet and Milestones.</t>
  </si>
  <si>
    <t xml:space="preserve">Program start date</t>
  </si>
  <si>
    <t xml:space="preserve">Month 1 of the timeline. Milestones are offsets from this date.</t>
  </si>
  <si>
    <t xml:space="preserve">Program end date</t>
  </si>
  <si>
    <t xml:space="preserve">Timeline and phasing stop here (max 72 months).</t>
  </si>
  <si>
    <t xml:space="preserve">Used to convert monthly hours to FTE loading. 1,872 hrs/yr ÷ 12.</t>
  </si>
  <si>
    <t xml:space="preserve">Phasing basis (P50 / P90)</t>
  </si>
  <si>
    <t xml:space="preserve">P50</t>
  </si>
  <si>
    <t xml:space="preserve">Which estimate the Phasing and Timeline sheets spread by month.</t>
  </si>
  <si>
    <t xml:space="preserve">SAR anchor (Task 301 Safety Assessment Report)</t>
  </si>
  <si>
    <t xml:space="preserve">SAR P50 hours</t>
  </si>
  <si>
    <t xml:space="preserve">User estimate: hours to produce the SAR at a 50% confidence level. All SAR-anchored rows scale from this.</t>
  </si>
  <si>
    <t xml:space="preserve">SAR P90 hours</t>
  </si>
  <si>
    <t xml:space="preserve">User estimate: hours at 90% confidence. The P90/P50 ratio drives every other row's P90 unless overridden.</t>
  </si>
  <si>
    <t xml:space="preserve">P90 / P50 ratio</t>
  </si>
  <si>
    <t xml:space="preserve">Derived. Applied to all rows without a per-row override.</t>
  </si>
  <si>
    <t xml:space="preserve">Complexity</t>
  </si>
  <si>
    <t xml:space="preserve">Program complexity level</t>
  </si>
  <si>
    <t xml:space="preserve">Moderate</t>
  </si>
  <si>
    <t xml:space="preserve">Level</t>
  </si>
  <si>
    <t xml:space="preserve">Factor</t>
  </si>
  <si>
    <t xml:space="preserve">Pick from the table at right.</t>
  </si>
  <si>
    <t xml:space="preserve">Complexity factor (lookup)</t>
  </si>
  <si>
    <t xml:space="preserve">Low</t>
  </si>
  <si>
    <t xml:space="preserve">Complexity factor override (optional)</t>
  </si>
  <si>
    <t xml:space="preserve">Leave blank to use the lookup. Enter e.g. 1.25 to override.</t>
  </si>
  <si>
    <t xml:space="preserve">Effective complexity factor</t>
  </si>
  <si>
    <t xml:space="preserve">High</t>
  </si>
  <si>
    <t xml:space="preserve">Multiplies every BOE row flagged 'Apply Cx = Y'.</t>
  </si>
  <si>
    <t xml:space="preserve">Very High</t>
  </si>
  <si>
    <t xml:space="preserve">Complexity guide: Low = mature design, few interfaces, no safety-significant software. Moderate = typical. High = new design, many subsystems/interfaces, safety-significant software. Very High = autonomous/novel energy storage, SoS interfaces, multiple risk-acceptance authorities.</t>
  </si>
  <si>
    <t xml:space="preserve">Software criticality (Section 4.4)</t>
  </si>
  <si>
    <t xml:space="preserve">Software Criticality Index (SwCI 1–5)</t>
  </si>
  <si>
    <t xml:space="preserve">SwCI</t>
  </si>
  <si>
    <t xml:space="preserve">Multiplier</t>
  </si>
  <si>
    <t xml:space="preserve">From Table V: severity × software control category. BMS firmware that alone opens contactors on a Catastrophic hazard = SwCI 1; with an independent HW protection layer = SwCI 2–3.</t>
  </si>
  <si>
    <t xml:space="preserve">SwCI multiplier (lookup)</t>
  </si>
  <si>
    <t xml:space="preserve">Multiplies rows flagged 'Apply SwCI = Y' (software-touching analyses, verification, LOR).</t>
  </si>
  <si>
    <t xml:space="preserve">Multiplier rationale: SwCI 1 adds code-level analysis and in-depth safety testing (Table V); SwCI 5 means no safety-specific software analysis.</t>
  </si>
  <si>
    <t xml:space="preserve">Quantity drivers</t>
  </si>
  <si>
    <t xml:space="preserve">Number of subsystems analyzed (Task 204)</t>
  </si>
  <si>
    <t xml:space="preserve">e.g., pack/modules, BMS, contactor/precharge, HV distribution, thermal mgmt, charger interface.</t>
  </si>
  <si>
    <t xml:space="preserve">Number of test events (Task 303)</t>
  </si>
  <si>
    <t xml:space="preserve">Each needs hazard review, Safety Release support, post-test analysis.</t>
  </si>
  <si>
    <t xml:space="preserve">Expected ECPs / change notices reviewed (Task 304)</t>
  </si>
  <si>
    <t xml:space="preserve">Over the program life.</t>
  </si>
  <si>
    <t xml:space="preserve">Government reviews / audits / boards supported (Task 104)</t>
  </si>
  <si>
    <t xml:space="preserve">SRR, PDR, CDR, TRR, safety boards, audits.</t>
  </si>
  <si>
    <t xml:space="preserve">Design reviews with safety packages (SRR/PDR/CDR/TRR)</t>
  </si>
  <si>
    <t xml:space="preserve">Safety data package preparation per review.</t>
  </si>
  <si>
    <t xml:space="preserve">Labor categories (used on BOE column V and the Staffing sheet)</t>
  </si>
  <si>
    <t xml:space="preserve">Role</t>
  </si>
  <si>
    <t xml:space="preserve">Typical content</t>
  </si>
  <si>
    <t xml:space="preserve">Safety Lead</t>
  </si>
  <si>
    <t xml:space="preserve">SSPP, SAR, reviews, boards, SSWG, reporting</t>
  </si>
  <si>
    <t xml:space="preserve">System Safety Engineer</t>
  </si>
  <si>
    <t xml:space="preserve">PHA, SRHA, SSHA, SHA, O&amp;SHA, HHA, EHA, verification, ECP reviews</t>
  </si>
  <si>
    <t xml:space="preserve">Software Safety Engineer</t>
  </si>
  <si>
    <t xml:space="preserve">FHA, software causal analysis, LOR tasks, SwCI evidence</t>
  </si>
  <si>
    <t xml:space="preserve">Safety Analyst</t>
  </si>
  <si>
    <t xml:space="preserve">HTS setup and upkeep, data packages, document production</t>
  </si>
  <si>
    <t xml:space="preserve">Staffing-plan parameters (Staffing sheet)</t>
  </si>
  <si>
    <t xml:space="preserve">Smoothing window (months: 1, 3 or 5)</t>
  </si>
  <si>
    <t xml:space="preserve">Centered moving average applied to raw FTE demand before rounding to headcount.</t>
  </si>
  <si>
    <t xml:space="preserve">Headcount granularity (FTE)</t>
  </si>
  <si>
    <t xml:space="preserve">Round smoothed demand up to this step (0.5 = half-time people allowed; 1 = whole people only).</t>
  </si>
  <si>
    <t xml:space="preserve">Minimum core staff (FTE)</t>
  </si>
  <si>
    <t xml:space="preserve">Floor applied in every active month (e.g., a safety lead is always on contract).</t>
  </si>
  <si>
    <t xml:space="preserve">Program Milestones</t>
  </si>
  <si>
    <t xml:space="preserve">Enter each milestone as months after program start (column C), or type a hard date in column D to override. Column E is what the BOE uses. Keep names unique — the BOE picks them from a dropdown.</t>
  </si>
  <si>
    <t xml:space="preserve">#</t>
  </si>
  <si>
    <t xml:space="preserve">Milestone</t>
  </si>
  <si>
    <t xml:space="preserve">Months after start</t>
  </si>
  <si>
    <t xml:space="preserve">Date override (optional)</t>
  </si>
  <si>
    <t xml:space="preserve">Milestone date (used)</t>
  </si>
  <si>
    <t xml:space="preserve">Description</t>
  </si>
  <si>
    <t xml:space="preserve">Program Start</t>
  </si>
  <si>
    <t xml:space="preserve">Contract award / program kickoff.</t>
  </si>
  <si>
    <t xml:space="preserve">SRR</t>
  </si>
  <si>
    <t xml:space="preserve">System Requirements Review.</t>
  </si>
  <si>
    <t xml:space="preserve">SFR</t>
  </si>
  <si>
    <t xml:space="preserve">System Functional Review.</t>
  </si>
  <si>
    <t xml:space="preserve">PDR</t>
  </si>
  <si>
    <t xml:space="preserve">Preliminary Design Review.</t>
  </si>
  <si>
    <t xml:space="preserve">CDR</t>
  </si>
  <si>
    <t xml:space="preserve">Critical Design Review.</t>
  </si>
  <si>
    <t xml:space="preserve">TRR</t>
  </si>
  <si>
    <t xml:space="preserve">Test Readiness Review.</t>
  </si>
  <si>
    <t xml:space="preserve">Test Start</t>
  </si>
  <si>
    <t xml:space="preserve">First safety-relevant test event (bench / HIL / pack abuse).</t>
  </si>
  <si>
    <t xml:space="preserve">Test Complete</t>
  </si>
  <si>
    <t xml:space="preserve">Last test event complete.</t>
  </si>
  <si>
    <t xml:space="preserve">SAR Submittal</t>
  </si>
  <si>
    <t xml:space="preserve">Safety Assessment Report delivered for risk acceptance.</t>
  </si>
  <si>
    <t xml:space="preserve">Program End</t>
  </si>
  <si>
    <t xml:space="preserve">Contract end — taken from Inputs.</t>
  </si>
  <si>
    <t xml:space="preserve">Basis of Estimate — MIL-STD-882E w/Change 1 Tasks</t>
  </si>
  <si>
    <t xml:space="preserve">Anchor: SAR = ratio × SAR P50 × Qty | LOE = hrs/month × months in window × Qty | FIXED = hours × Qty. Then × complexity (if Apply Cx=Y) × SwCI multiplier (if Apply SwCI=Y). P90 = P50 × P90/P50 ratio (or row override).</t>
  </si>
  <si>
    <t xml:space="preserve">SAR P50 anchor:</t>
  </si>
  <si>
    <t xml:space="preserve">Cx factor:</t>
  </si>
  <si>
    <t xml:space="preserve">SwCI mult:</t>
  </si>
  <si>
    <t xml:space="preserve">P90/P50:</t>
  </si>
  <si>
    <t xml:space="preserve">Task</t>
  </si>
  <si>
    <t xml:space="preserve">Title / Work Element</t>
  </si>
  <si>
    <t xml:space="preserve">Deliverable</t>
  </si>
  <si>
    <t xml:space="preserve">Tasked (Y/N)</t>
  </si>
  <si>
    <t xml:space="preserve">Anchor type</t>
  </si>
  <si>
    <t xml:space="preserve">Driver value
(ratio of SAR | hrs/month | hours)</t>
  </si>
  <si>
    <t xml:space="preserve">Qty</t>
  </si>
  <si>
    <t xml:space="preserve">Apply Cx (Y/N)</t>
  </si>
  <si>
    <t xml:space="preserve">Apply SwCI (Y/N)</t>
  </si>
  <si>
    <t xml:space="preserve">Start milestone</t>
  </si>
  <si>
    <t xml:space="preserve">Start offset (wks)</t>
  </si>
  <si>
    <t xml:space="preserve">End milestone</t>
  </si>
  <si>
    <t xml:space="preserve">End offset (wks)</t>
  </si>
  <si>
    <t xml:space="preserve">Start date</t>
  </si>
  <si>
    <t xml:space="preserve">End date</t>
  </si>
  <si>
    <t xml:space="preserve">Months</t>
  </si>
  <si>
    <t xml:space="preserve">P90 ratio override</t>
  </si>
  <si>
    <t xml:space="preserve">Basis / assumption</t>
  </si>
  <si>
    <t xml:space="preserve">Labor category</t>
  </si>
  <si>
    <t xml:space="preserve">101</t>
  </si>
  <si>
    <t xml:space="preserve">Hazard identification &amp; mitigation effort using the system safety methodology (program execution)</t>
  </si>
  <si>
    <t xml:space="preserve">Program execution</t>
  </si>
  <si>
    <t xml:space="preserve">Y</t>
  </si>
  <si>
    <t xml:space="preserve">LOE</t>
  </si>
  <si>
    <t xml:space="preserve">N</t>
  </si>
  <si>
    <t xml:space="preserve">Ongoing management of the safety effort: planning, roles, subcontractor flow-down, status reporting, IMS inputs (101.2.1–101.2.9). Sized as a monthly run-rate.</t>
  </si>
  <si>
    <t xml:space="preserve">102</t>
  </si>
  <si>
    <t xml:space="preserve">System Safety Program Plan (SSPP)</t>
  </si>
  <si>
    <t xml:space="preserve">SSPP</t>
  </si>
  <si>
    <t xml:space="preserve">SAR</t>
  </si>
  <si>
    <t xml:space="preserve">Plan covering scope, interfaces, organization, milestones, requirements, analyses, V&amp;V, audits, training, incident reporting (102.2.1–102.2.11). ~40% of a SAR.</t>
  </si>
  <si>
    <t xml:space="preserve">103</t>
  </si>
  <si>
    <t xml:space="preserve">Hazard Management Plan (HMP) — other functional disciplines</t>
  </si>
  <si>
    <t xml:space="preserve">HMP</t>
  </si>
  <si>
    <t xml:space="preserve">Equivalent of the SSPP for a non-system-safety discipline (103). Default Not Tasked; turn on if a separate discipline plan is contracted.</t>
  </si>
  <si>
    <t xml:space="preserve">104</t>
  </si>
  <si>
    <t xml:space="preserve">Support of Government reviews / audits / boards</t>
  </si>
  <si>
    <t xml:space="preserve">Review support</t>
  </si>
  <si>
    <t xml:space="preserve">Per review/audit/board (104.2.1): prep, attendance, action closure. ~5% of a SAR each × number of reviews (Inputs).</t>
  </si>
  <si>
    <t xml:space="preserve">105</t>
  </si>
  <si>
    <t xml:space="preserve">Integrated Product Team / Working Group support</t>
  </si>
  <si>
    <t xml:space="preserve">IPT / SSWG participation</t>
  </si>
  <si>
    <t xml:space="preserve">Standing membership in designated IPTs and the System Safety Working Group (105.2). Monthly run-rate; raise if several IPTs are supported.</t>
  </si>
  <si>
    <t xml:space="preserve">106a</t>
  </si>
  <si>
    <t xml:space="preserve">Hazard Tracking System — establish</t>
  </si>
  <si>
    <t xml:space="preserve">HTS (initial)</t>
  </si>
  <si>
    <t xml:space="preserve">Stand up the closed-loop HTS with the required data elements (106.2) and Government access controls (106.2.1).</t>
  </si>
  <si>
    <t xml:space="preserve">106b</t>
  </si>
  <si>
    <t xml:space="preserve">Hazard Tracking System — maintain</t>
  </si>
  <si>
    <t xml:space="preserve">HTS (upkeep)</t>
  </si>
  <si>
    <t xml:space="preserve">Keep hazard records, risk assessments, mitigation status and acceptance current through the life-cycle (106.2, 4.3.8).</t>
  </si>
  <si>
    <t xml:space="preserve">107</t>
  </si>
  <si>
    <t xml:space="preserve">Hazard Management Progress Report</t>
  </si>
  <si>
    <t xml:space="preserve">Periodic progress reports</t>
  </si>
  <si>
    <t xml:space="preserve">Periodic report summarizing hazard status, risk assessments, mitigations and open actions (107.2). Assumes monthly.</t>
  </si>
  <si>
    <t xml:space="preserve">108</t>
  </si>
  <si>
    <t xml:space="preserve">Hazardous Materials Management Plan (HMMP)</t>
  </si>
  <si>
    <t xml:space="preserve">HMMP + HAZMAT list</t>
  </si>
  <si>
    <t xml:space="preserve">HAZMAT identification, categorization, tracking (108.2.1–108.2.4). Relevant to Li-ion cells, electrolyte, coolant.</t>
  </si>
  <si>
    <t xml:space="preserve">201</t>
  </si>
  <si>
    <t xml:space="preserve">Preliminary Hazard List (PHL)</t>
  </si>
  <si>
    <t xml:space="preserve">PHL</t>
  </si>
  <si>
    <t xml:space="preserve">Early hazard list from legacy/similar-system data and lessons learned (201.2.1–201.2.3).</t>
  </si>
  <si>
    <t xml:space="preserve">202</t>
  </si>
  <si>
    <t xml:space="preserve">Preliminary Hazard Analysis (PHA)</t>
  </si>
  <si>
    <t xml:space="preserve">PHA report</t>
  </si>
  <si>
    <t xml:space="preserve">Initial risk assessment per hazard across the 202.2.2 hazard sources (energy, software, HAZMAT, environment, human factors, etc.).</t>
  </si>
  <si>
    <t xml:space="preserve">203</t>
  </si>
  <si>
    <t xml:space="preserve">System Requirements Hazard Analysis (SRHA)</t>
  </si>
  <si>
    <t xml:space="preserve">SRHA + requirements traceability</t>
  </si>
  <si>
    <t xml:space="preserve">Derive safety design requirements, incorporate into specs, assess compliance through design (203.2.1–203.2.3). Continues through CDR.</t>
  </si>
  <si>
    <t xml:space="preserve">204</t>
  </si>
  <si>
    <t xml:space="preserve">Subsystem Hazard Analysis (SSHA)</t>
  </si>
  <si>
    <t xml:space="preserve">SSHA report(s)</t>
  </si>
  <si>
    <t xml:space="preserve">Per subsystem (Inputs qty): component failure modes, software causal factors, human error (204.2.1). ~30% of a SAR per subsystem.</t>
  </si>
  <si>
    <t xml:space="preserve">205</t>
  </si>
  <si>
    <t xml:space="preserve">System Hazard Analysis (SHA)</t>
  </si>
  <si>
    <t xml:space="preserve">SHA report</t>
  </si>
  <si>
    <t xml:space="preserve">Subsystem interface and interrelationship hazards, software and human interfaces (205.2.1); design-change evaluation (205.2.4).</t>
  </si>
  <si>
    <t xml:space="preserve">206</t>
  </si>
  <si>
    <t xml:space="preserve">Operating &amp; Support Hazard Analysis (O&amp;SHA)</t>
  </si>
  <si>
    <t xml:space="preserve">O&amp;SHA report</t>
  </si>
  <si>
    <t xml:space="preserve">Operations, maintenance, test, storage, transport, disposal hazards; procedures, warnings, PPE (206.2.1–206.2.5).</t>
  </si>
  <si>
    <t xml:space="preserve">207</t>
  </si>
  <si>
    <t xml:space="preserve">Health Hazard Analysis (HHA)</t>
  </si>
  <si>
    <t xml:space="preserve">HHA report</t>
  </si>
  <si>
    <t xml:space="preserve">Chemical, electrical, thermal, noise and other health hazards per 207.2.2–207.2.3 categories (electrolyte, HF, HV).</t>
  </si>
  <si>
    <t xml:space="preserve">208</t>
  </si>
  <si>
    <t xml:space="preserve">Functional Hazard Analysis (FHA)</t>
  </si>
  <si>
    <t xml:space="preserve">FHA + SCF/SCI list</t>
  </si>
  <si>
    <t xml:space="preserve">Loss/degraded/out-of-sequence function hazards, identify SCFs/SCIs, map to HW/SW/human (208.2.1). Feeds the fault-injection list.</t>
  </si>
  <si>
    <t xml:space="preserve">209</t>
  </si>
  <si>
    <t xml:space="preserve">System-of-Systems Hazard Analysis</t>
  </si>
  <si>
    <t xml:space="preserve">SoS HA report</t>
  </si>
  <si>
    <t xml:space="preserve">Unique SoS hazards and traceability (209.2.1–209.2.4). Default Not Tasked; enable if the vehicle integrates into a larger SoS.</t>
  </si>
  <si>
    <t xml:space="preserve">210</t>
  </si>
  <si>
    <t xml:space="preserve">Environmental Hazard Analysis (EHA)</t>
  </si>
  <si>
    <t xml:space="preserve">EHA report</t>
  </si>
  <si>
    <t xml:space="preserve">Environmental impacts, HAZMAT and pollutant hazards across the life-cycle (210.2.2–210.2.5).</t>
  </si>
  <si>
    <t xml:space="preserve">301</t>
  </si>
  <si>
    <t xml:space="preserve">Safety Assessment Report (SAR)  — ANCHOR</t>
  </si>
  <si>
    <t xml:space="preserve">The anchor estimate. Ratio 1.00 by definition; hours come straight from Inputs SAR P50/P90. Summarizes hazards, residual risk, and recommendations for risk acceptance (301.2).</t>
  </si>
  <si>
    <t xml:space="preserve">302</t>
  </si>
  <si>
    <t xml:space="preserve">Hazard Management Assessment Report (HMAR)</t>
  </si>
  <si>
    <t xml:space="preserve">HMAR</t>
  </si>
  <si>
    <t xml:space="preserve">Equivalent of the SAR for another functional discipline (302). Default Not Tasked.</t>
  </si>
  <si>
    <t xml:space="preserve">303</t>
  </si>
  <si>
    <t xml:space="preserve">Test &amp; Evaluation participation</t>
  </si>
  <si>
    <t xml:space="preserve">Safety Releases, post-test analyses, T&amp;E repository</t>
  </si>
  <si>
    <t xml:space="preserve">Per test event (Inputs qty): hazard review of test setup/procedures, Safety Release, post-test analysis and HTS update (303.2.1–303.2.3). Your fault-injection campaign lives here.</t>
  </si>
  <si>
    <t xml:space="preserve">304</t>
  </si>
  <si>
    <t xml:space="preserve">Review of ECPs, change notices, deficiency reports, waivers</t>
  </si>
  <si>
    <t xml:space="preserve">Change reviews</t>
  </si>
  <si>
    <t xml:space="preserve">Per change (Inputs qty): hazard impact assessment and HTS update (304.2). ~3% of a SAR each.</t>
  </si>
  <si>
    <t xml:space="preserve">401</t>
  </si>
  <si>
    <t xml:space="preserve">Safety Verification (tests, demonstrations, induced/simulated failures)</t>
  </si>
  <si>
    <t xml:space="preserve">Safety verification report</t>
  </si>
  <si>
    <t xml:space="preserve">Define and perform tests/demos/analyses on safety-significant HW, SW and procedures; induced or simulated failures (401.2). Fault-injection test planning, execution support and reporting.</t>
  </si>
  <si>
    <t xml:space="preserve">402</t>
  </si>
  <si>
    <t xml:space="preserve">Explosives Hazard Classification Data</t>
  </si>
  <si>
    <t xml:space="preserve">Hazard classification package</t>
  </si>
  <si>
    <t xml:space="preserve">Not applicable to a battery program unless energetics are present. Default Not Tasked.</t>
  </si>
  <si>
    <t xml:space="preserve">403</t>
  </si>
  <si>
    <t xml:space="preserve">Explosive Ordnance Disposal Data</t>
  </si>
  <si>
    <t xml:space="preserve">EOD source data</t>
  </si>
  <si>
    <t xml:space="preserve">Not applicable unless explosives are present. Default Not Tasked.</t>
  </si>
  <si>
    <t xml:space="preserve">SW-LOR</t>
  </si>
  <si>
    <t xml:space="preserve">Software Level-of-Rigor tasks (Section 4.4, Table V)</t>
  </si>
  <si>
    <t xml:space="preserve">LOR analysis &amp; test evidence</t>
  </si>
  <si>
    <t xml:space="preserve">Not a numbered task but required by 4.4.1–4.4.3: requirements/architecture/design/code analysis and safety-specific testing per SwCI. Strongly scaled by the SwCI multiplier.</t>
  </si>
  <si>
    <t xml:space="preserve">LOE-1</t>
  </si>
  <si>
    <t xml:space="preserve">System Safety Working Group meetings</t>
  </si>
  <si>
    <t xml:space="preserve">Meeting prep, attendance, minutes, actions</t>
  </si>
  <si>
    <t xml:space="preserve">Assumes a monthly SSWG: 2 hrs meeting + prep/minutes/actions for the safety lead. Increase Qty for additional attendees.</t>
  </si>
  <si>
    <t xml:space="preserve">LOE-2</t>
  </si>
  <si>
    <t xml:space="preserve">Design review safety data packages (SRR/PDR/CDR/TRR)</t>
  </si>
  <si>
    <t xml:space="preserve">Safety briefing packages</t>
  </si>
  <si>
    <t xml:space="preserve">Per design review (Inputs qty): hazard status briefing, risk matrix, open items. Distinct from Task 104 attendance.</t>
  </si>
  <si>
    <t xml:space="preserve">LOE-3</t>
  </si>
  <si>
    <t xml:space="preserve">Safety program management, BOE/EVM upkeep, travel</t>
  </si>
  <si>
    <t xml:space="preserve">Internal management</t>
  </si>
  <si>
    <t xml:space="preserve">Internal overhead not tied to a task: EVM/BOE maintenance, scheduling, travel. Complexity not applied.</t>
  </si>
  <si>
    <t xml:space="preserve">TOTAL (tasked rows)</t>
  </si>
  <si>
    <t xml:space="preserve">Monthly Phasing — hours spread evenly across each row's start–end window</t>
  </si>
  <si>
    <t xml:space="preserve">Month #</t>
  </si>
  <si>
    <t xml:space="preserve">Title</t>
  </si>
  <si>
    <t xml:space="preserve">Start</t>
  </si>
  <si>
    <t xml:space="preserve">End</t>
  </si>
  <si>
    <t xml:space="preserve">Hours</t>
  </si>
  <si>
    <t xml:space="preserve">Total hours / month</t>
  </si>
  <si>
    <t xml:space="preserve">FTE load (hours ÷ hours per FTE-month)</t>
  </si>
  <si>
    <t xml:space="preserve">Cumulative hours</t>
  </si>
  <si>
    <t xml:space="preserve">Program Timeline — milestones and 882E task windows (generated; do not type here)</t>
  </si>
  <si>
    <t xml:space="preserve">Name</t>
  </si>
  <si>
    <t xml:space="preserve">MILESTONES</t>
  </si>
  <si>
    <t xml:space="preserve">TASKS</t>
  </si>
  <si>
    <t xml:space="preserve">FTE load (from Phasing)</t>
  </si>
  <si>
    <t xml:space="preserve">Staffing Profile — demand by role, smoothed and rounded to a realistic headcount plan (generated; view only)</t>
  </si>
  <si>
    <t xml:space="preserve">Row</t>
  </si>
  <si>
    <t xml:space="preserve">Total</t>
  </si>
  <si>
    <t xml:space="preserve">A. HOURS BY ROLE (from Phasing × BOE labor category)</t>
  </si>
  <si>
    <t xml:space="preserve">Unassigned (no labor category on BOE row)</t>
  </si>
  <si>
    <t xml:space="preserve">Total hours</t>
  </si>
  <si>
    <t xml:space="preserve">B. RAW FTE DEMAND (hours ÷ hours per FTE-month)</t>
  </si>
  <si>
    <t xml:space="preserve">Total raw FTE</t>
  </si>
  <si>
    <t xml:space="preserve">share of hours →</t>
  </si>
  <si>
    <t xml:space="preserve">C. REALISTIC STAFFING PLAN</t>
  </si>
  <si>
    <t xml:space="preserve">Smoothed FTE (centered moving average)</t>
  </si>
  <si>
    <t xml:space="preserve">Proposed headcount (FTE on contract)</t>
  </si>
  <si>
    <t xml:space="preserve">Utilization (raw demand ÷ headcount)</t>
  </si>
  <si>
    <t xml:space="preserve">Surplus hours (headcount − demand) × hrs/FTE-month</t>
  </si>
  <si>
    <t xml:space="preserve">Staff-months on contract</t>
  </si>
  <si>
    <t xml:space="preserve">D. SUGGESTED HEADCOUNT BY ROLE (each role rounded up separately — may exceed the total plan; use as a hiring guide)</t>
  </si>
  <si>
    <t xml:space="preserve">E. KEY FIGURES</t>
  </si>
  <si>
    <t xml:space="preserve">Peak raw FTE demand (month)</t>
  </si>
  <si>
    <t xml:space="preserve">Peak headcount in plan</t>
  </si>
  <si>
    <t xml:space="preserve">Average headcount over the program</t>
  </si>
  <si>
    <t xml:space="preserve">Total staff-months in plan</t>
  </si>
  <si>
    <t xml:space="preserve">Plan hours (staff-months × hrs/FTE-month)</t>
  </si>
  <si>
    <t xml:space="preserve">Estimated hours (BOE, phasing basis)</t>
  </si>
  <si>
    <t xml:space="preserve">Overall utilization (estimate ÷ plan)</t>
  </si>
  <si>
    <t xml:space="preserve">Months staffed above 3 FTE</t>
  </si>
  <si>
    <t xml:space="preserve">Peak Safety Lead FTE (raw)</t>
  </si>
  <si>
    <t xml:space="preserve">Peak System Safety Engineer FTE (raw)</t>
  </si>
  <si>
    <t xml:space="preserve">Peak Software Safety Engineer FTE (raw)</t>
  </si>
  <si>
    <t xml:space="preserve">Peak Safety Analyst FTE (raw)</t>
  </si>
  <si>
    <t xml:space="preserve">F. STAFFING BY PHASE (between consecutive milestones, in Milestones-sheet order)</t>
  </si>
  <si>
    <t xml:space="preserve">Phase</t>
  </si>
  <si>
    <t xml:space="preserve">Avg FTE (raw)</t>
  </si>
  <si>
    <t xml:space="preserve">Avg headcount (plan)</t>
  </si>
  <si>
    <t xml:space="preserve">Phases are formed from consecutive rows on the Milestones sheet, so keep milestones in date order there. A month is counted in the phase whose window contains the 1st of that month.</t>
  </si>
  <si>
    <t xml:space="preserve">G. STAFFING PROFILE CHART (stacked raw FTE by role; line = proposed headcount)</t>
  </si>
  <si>
    <t xml:space="preserve">CDRL / Deliverables view — generated from BOE, Milestones and Inputs (nothing on those sheets is changed)</t>
  </si>
  <si>
    <t xml:space="preserve">Inputs on this sheet only: the reporting switch (B4), CDRL numbers (columns F–G), DID (E), submittals (J), draft lead (K), and the due-milestone override (M).</t>
  </si>
  <si>
    <t xml:space="preserve">Hazard analysis reporting</t>
  </si>
  <si>
    <t xml:space="preserve">Combined</t>
  </si>
  <si>
    <t xml:space="preserve">Combined = all hazard analyses (201–210 except HHA) delivered as one System Safety Hazard Analysis Report (DI-SAFT-80101). Separate = one CDRL per analysis.</t>
  </si>
  <si>
    <t xml:space="preserve">Title (from BOE)</t>
  </si>
  <si>
    <t xml:space="preserve">Tasked</t>
  </si>
  <si>
    <t xml:space="preserve">Deliverable type</t>
  </si>
  <si>
    <t xml:space="preserve">DID</t>
  </si>
  <si>
    <t xml:space="preserve">CDRL # (Combined)</t>
  </si>
  <si>
    <t xml:space="preserve">CDRL # (Separate)</t>
  </si>
  <si>
    <t xml:space="preserve">CDRL # in use</t>
  </si>
  <si>
    <t xml:space="preserve">Due milestone (from BOE end)</t>
  </si>
  <si>
    <t xml:space="preserve">Submittals (draft/final/updates)</t>
  </si>
  <si>
    <t xml:space="preserve">Draft lead (weeks before due)</t>
  </si>
  <si>
    <t xml:space="preserve">Due date</t>
  </si>
  <si>
    <t xml:space="preserve">Due milestone override</t>
  </si>
  <si>
    <t xml:space="preserve">Draft due date</t>
  </si>
  <si>
    <t xml:space="preserve">Effort only</t>
  </si>
  <si>
    <t xml:space="preserve">CDRL</t>
  </si>
  <si>
    <t xml:space="preserve">DI-SAFT-81626 System Safety Program Plan</t>
  </si>
  <si>
    <t xml:space="preserve">A001</t>
  </si>
  <si>
    <t xml:space="preserve">DI-SAFT-81626 (tailored) Hazard Management Plan</t>
  </si>
  <si>
    <t xml:space="preserve">Data access</t>
  </si>
  <si>
    <t xml:space="preserve">Hazard Tracking System (Govt access per 106.2.1)</t>
  </si>
  <si>
    <t xml:space="preserve">CDRL (recurring)</t>
  </si>
  <si>
    <t xml:space="preserve">DI-SAFT-80105 System Safety Program Progress Report</t>
  </si>
  <si>
    <t xml:space="preserve">A004</t>
  </si>
  <si>
    <t xml:space="preserve">DI-MGMT-81398 Hazardous Materials Management Program Report</t>
  </si>
  <si>
    <t xml:space="preserve">A008</t>
  </si>
  <si>
    <t xml:space="preserve">DI-SAFT-80101 System Safety Hazard Analysis Report</t>
  </si>
  <si>
    <t xml:space="preserve">A002</t>
  </si>
  <si>
    <t xml:space="preserve">A002-PHL</t>
  </si>
  <si>
    <t xml:space="preserve">A002-PHA</t>
  </si>
  <si>
    <t xml:space="preserve">A002-SRHA</t>
  </si>
  <si>
    <t xml:space="preserve">A002-SSHA</t>
  </si>
  <si>
    <t xml:space="preserve">A002-SHA</t>
  </si>
  <si>
    <t xml:space="preserve">A002-OSHA</t>
  </si>
  <si>
    <t xml:space="preserve">DI-SAFT-80106 Health Hazard Assessment Report</t>
  </si>
  <si>
    <t xml:space="preserve">A003</t>
  </si>
  <si>
    <t xml:space="preserve">A002-FHA</t>
  </si>
  <si>
    <t xml:space="preserve">A002-SoS</t>
  </si>
  <si>
    <t xml:space="preserve">A002-EHA</t>
  </si>
  <si>
    <t xml:space="preserve">DI-SAFT-80102 Safety Assessment Report</t>
  </si>
  <si>
    <t xml:space="preserve">A005</t>
  </si>
  <si>
    <t xml:space="preserve">DI-SAFT-80102 (tailored) Hazard Management Assessment Report</t>
  </si>
  <si>
    <t xml:space="preserve">Safety Releases are Govt documents; contractor input per 303.2.1</t>
  </si>
  <si>
    <t xml:space="preserve">CDRL (per event)</t>
  </si>
  <si>
    <t xml:space="preserve">DI-SAFT-80103 ECP System Safety Report / DI-SAFT-80104 Waiver-Deviation Report</t>
  </si>
  <si>
    <t xml:space="preserve">A006</t>
  </si>
  <si>
    <t xml:space="preserve">DI-MISC-80370 Safety Engineering Analysis Report (safety verification results, 401.2.4)</t>
  </si>
  <si>
    <t xml:space="preserve">A007</t>
  </si>
  <si>
    <t xml:space="preserve">DI-SAFT-81299 Explosive Hazard Classification Data</t>
  </si>
  <si>
    <t xml:space="preserve">A009</t>
  </si>
  <si>
    <t xml:space="preserve">DI-SAFT-80931 Explosive Ordnance Disposal Data</t>
  </si>
  <si>
    <t xml:space="preserve">A010</t>
  </si>
  <si>
    <t xml:space="preserve">Evidence</t>
  </si>
  <si>
    <t xml:space="preserve">LOR analysis/test evidence; typically delivered inside A002/A007</t>
  </si>
  <si>
    <t xml:space="preserve">A002-LOR</t>
  </si>
  <si>
    <t xml:space="preserve">Design review briefing packages (not a DID)</t>
  </si>
  <si>
    <t xml:space="preserve">CDRL ROLL-UP (one row per CDRL number in use; hours = sum of tasked source rows)</t>
  </si>
  <si>
    <t xml:space="preserve">CDRL #</t>
  </si>
  <si>
    <t xml:space="preserve">DID / Title</t>
  </si>
  <si>
    <t xml:space="preserve">Source tasks</t>
  </si>
  <si>
    <t xml:space="preserve"># tasks</t>
  </si>
  <si>
    <t xml:space="preserve">Due date (latest)</t>
  </si>
  <si>
    <t xml:space="preserve">Draft due (earliest)</t>
  </si>
  <si>
    <t xml:space="preserve">Submittals (max)</t>
  </si>
  <si>
    <t xml:space="preserve">TOTAL deliverable hours</t>
  </si>
  <si>
    <t xml:space="preserve">(tasked rows that produce a CDRL; effort-only rows are excluded)</t>
  </si>
  <si>
    <t xml:space="preserve">DELIVERY TIMELINE  (D = draft due, F = final due; months beyond program end are blank)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</si>
</sst>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General"/>
    <numFmt numFmtId="166" formatCode="#,##0"/>
    <numFmt numFmtId="167" formatCode="0.0%"/>
    <numFmt numFmtId="168" formatCode="0.00"/>
    <numFmt numFmtId="169" formatCode="0.0"/>
    <numFmt numFmtId="170" formatCode="0%"/>
    <numFmt numFmtId="171" formatCode="yyyy\-mm\-dd"/>
    <numFmt numFmtId="172" formatCode="0"/>
    <numFmt numFmtId="173" formatCode="#,##0;\-#,##0;&quot;&quot;"/>
    <numFmt numFmtId="174" formatCode="\M0"/>
    <numFmt numFmtId="175" formatCode="mmm\-yy"/>
    <numFmt numFmtId="176" formatCode="0.0;\-0.0;&quot;&quot;"/>
    <numFmt numFmtId="177" formatCode=";;;"/>
    <numFmt numFmtId="178" formatCode="0.00;\-0.00;&quot;&quot;"/>
    <numFmt numFmtId="179" formatCode="0%;\-0%;&quot;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DEDED"/>
        <bgColor rgb="FFD9E1F2"/>
      </patternFill>
    </fill>
    <fill>
      <patternFill patternType="solid">
        <fgColor rgb="FFFFF2CC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2E75B6"/>
        </patternFill>
      </fill>
    </dxf>
    <dxf>
      <border diagonalUp="false" diagonalDown="false">
        <left style="hair">
          <color rgb="FFD9D9D9"/>
        </left>
        <right style="hair">
          <color rgb="FFD9D9D9"/>
        </right>
        <top/>
        <bottom/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008080"/>
      <rgbColor rgb="FFBFBFBF"/>
      <rgbColor rgb="FF878787"/>
      <rgbColor rgb="FF9999FF"/>
      <rgbColor rgb="FFC0504D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A6A6A6"/>
      <rgbColor rgb="FF1F3864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Staffing profile — FTE by role vs. proposed headcount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Staffing!$A$14</c:f>
              <c:strCache>
                <c:ptCount val="1"/>
                <c:pt idx="0">
                  <c:v>Safety Lead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Staffing!$C$3:$BV$3</c:f>
              <c:strCache>
                <c:ptCount val="7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</c:strCache>
            </c:strRef>
          </c:cat>
          <c:val>
            <c:numRef>
              <c:f>Staffing!$C$14:$BV$14</c:f>
              <c:numCache>
                <c:formatCode>0.00;\-0.00;""</c:formatCode>
                <c:ptCount val="72"/>
                <c:pt idx="0">
                  <c:v>1.02492578586699</c:v>
                </c:pt>
                <c:pt idx="1">
                  <c:v>0.925739419492764</c:v>
                </c:pt>
                <c:pt idx="2">
                  <c:v>1.06670747653326</c:v>
                </c:pt>
                <c:pt idx="3">
                  <c:v>0.382924491794794</c:v>
                </c:pt>
                <c:pt idx="4">
                  <c:v>0.372395695151417</c:v>
                </c:pt>
                <c:pt idx="5">
                  <c:v>0.360382930791694</c:v>
                </c:pt>
                <c:pt idx="6">
                  <c:v>0.372395695151417</c:v>
                </c:pt>
                <c:pt idx="7">
                  <c:v>0.372395695151417</c:v>
                </c:pt>
                <c:pt idx="8">
                  <c:v>0.360382930791694</c:v>
                </c:pt>
                <c:pt idx="9">
                  <c:v>0.372395695151417</c:v>
                </c:pt>
                <c:pt idx="10">
                  <c:v>0.360382930791694</c:v>
                </c:pt>
                <c:pt idx="11">
                  <c:v>0.372395695151417</c:v>
                </c:pt>
                <c:pt idx="12">
                  <c:v>0.372395695151417</c:v>
                </c:pt>
                <c:pt idx="13">
                  <c:v>0.348370166431971</c:v>
                </c:pt>
                <c:pt idx="14">
                  <c:v>0.372395695151417</c:v>
                </c:pt>
                <c:pt idx="15">
                  <c:v>0.360382930791694</c:v>
                </c:pt>
                <c:pt idx="16">
                  <c:v>0.372395695151417</c:v>
                </c:pt>
                <c:pt idx="17">
                  <c:v>0.360382930791694</c:v>
                </c:pt>
                <c:pt idx="18">
                  <c:v>0.372395695151417</c:v>
                </c:pt>
                <c:pt idx="19">
                  <c:v>0.372395695151417</c:v>
                </c:pt>
                <c:pt idx="20">
                  <c:v>0.360382930791694</c:v>
                </c:pt>
                <c:pt idx="21">
                  <c:v>0.372395695151417</c:v>
                </c:pt>
                <c:pt idx="22">
                  <c:v>0.360382930791694</c:v>
                </c:pt>
                <c:pt idx="23">
                  <c:v>0.372395695151417</c:v>
                </c:pt>
                <c:pt idx="24">
                  <c:v>0.952594085568786</c:v>
                </c:pt>
                <c:pt idx="25">
                  <c:v>0.860407561158903</c:v>
                </c:pt>
                <c:pt idx="26">
                  <c:v>0.952594085568786</c:v>
                </c:pt>
                <c:pt idx="27">
                  <c:v>0.921865244098825</c:v>
                </c:pt>
                <c:pt idx="28">
                  <c:v>0.952594085568786</c:v>
                </c:pt>
                <c:pt idx="29">
                  <c:v>0.921865244098825</c:v>
                </c:pt>
                <c:pt idx="30">
                  <c:v>0.952594085568786</c:v>
                </c:pt>
                <c:pt idx="31">
                  <c:v>0.952594085568786</c:v>
                </c:pt>
                <c:pt idx="32">
                  <c:v>0.921865244098825</c:v>
                </c:pt>
                <c:pt idx="33">
                  <c:v>0.391111772261655</c:v>
                </c:pt>
                <c:pt idx="34">
                  <c:v>0.360382930791694</c:v>
                </c:pt>
                <c:pt idx="35">
                  <c:v>0.336357402072248</c:v>
                </c:pt>
              </c:numCache>
            </c:numRef>
          </c:val>
        </c:ser>
        <c:ser>
          <c:idx val="1"/>
          <c:order val="1"/>
          <c:tx>
            <c:strRef>
              <c:f>Staffing!$A$15</c:f>
              <c:strCache>
                <c:ptCount val="1"/>
                <c:pt idx="0">
                  <c:v>System Safety Engineer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Staffing!$C$3:$BV$3</c:f>
              <c:strCache>
                <c:ptCount val="7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</c:strCache>
            </c:strRef>
          </c:cat>
          <c:val>
            <c:numRef>
              <c:f>Staffing!$C$15:$BV$15</c:f>
              <c:numCache>
                <c:formatCode>0.00;\-0.00;""</c:formatCode>
                <c:ptCount val="72"/>
                <c:pt idx="0">
                  <c:v>0.479701047166369</c:v>
                </c:pt>
                <c:pt idx="1">
                  <c:v>0.433278365182527</c:v>
                </c:pt>
                <c:pt idx="2">
                  <c:v>0.479701047166369</c:v>
                </c:pt>
                <c:pt idx="3">
                  <c:v>1.15849412328999</c:v>
                </c:pt>
                <c:pt idx="4">
                  <c:v>1.18546412088139</c:v>
                </c:pt>
                <c:pt idx="5">
                  <c:v>1.14722334278844</c:v>
                </c:pt>
                <c:pt idx="6">
                  <c:v>1.13418206959934</c:v>
                </c:pt>
                <c:pt idx="7">
                  <c:v>0.390592326009595</c:v>
                </c:pt>
                <c:pt idx="8">
                  <c:v>0.377992573557672</c:v>
                </c:pt>
                <c:pt idx="9">
                  <c:v>0.390592326009595</c:v>
                </c:pt>
                <c:pt idx="10">
                  <c:v>3.22019237567418</c:v>
                </c:pt>
                <c:pt idx="11">
                  <c:v>3.32318855980937</c:v>
                </c:pt>
                <c:pt idx="12">
                  <c:v>3.32318855980937</c:v>
                </c:pt>
                <c:pt idx="13">
                  <c:v>3.10878929788619</c:v>
                </c:pt>
                <c:pt idx="14">
                  <c:v>3.32318855980937</c:v>
                </c:pt>
                <c:pt idx="15">
                  <c:v>3.21598892884778</c:v>
                </c:pt>
                <c:pt idx="16">
                  <c:v>3.2298222296676</c:v>
                </c:pt>
                <c:pt idx="17">
                  <c:v>1.41317861622826</c:v>
                </c:pt>
                <c:pt idx="18">
                  <c:v>0.860749470149022</c:v>
                </c:pt>
                <c:pt idx="19">
                  <c:v>0.860749470149022</c:v>
                </c:pt>
                <c:pt idx="20">
                  <c:v>0.832983358208731</c:v>
                </c:pt>
                <c:pt idx="21">
                  <c:v>0.860749470149022</c:v>
                </c:pt>
                <c:pt idx="22">
                  <c:v>0.832983358208731</c:v>
                </c:pt>
                <c:pt idx="23">
                  <c:v>1.24632880309678</c:v>
                </c:pt>
                <c:pt idx="24">
                  <c:v>0.963633321428252</c:v>
                </c:pt>
                <c:pt idx="25">
                  <c:v>0.85908110042538</c:v>
                </c:pt>
                <c:pt idx="26">
                  <c:v>0.951125504042385</c:v>
                </c:pt>
                <c:pt idx="27">
                  <c:v>0.920444036170051</c:v>
                </c:pt>
                <c:pt idx="28">
                  <c:v>0.951125504042385</c:v>
                </c:pt>
                <c:pt idx="29">
                  <c:v>0.920444036170051</c:v>
                </c:pt>
                <c:pt idx="30">
                  <c:v>0.951125504042385</c:v>
                </c:pt>
                <c:pt idx="31">
                  <c:v>0.614602301511369</c:v>
                </c:pt>
                <c:pt idx="32">
                  <c:v>0.152071980737549</c:v>
                </c:pt>
                <c:pt idx="33">
                  <c:v>0.157141046762134</c:v>
                </c:pt>
                <c:pt idx="34">
                  <c:v>0.152071980737549</c:v>
                </c:pt>
                <c:pt idx="35">
                  <c:v>0.141933848688379</c:v>
                </c:pt>
              </c:numCache>
            </c:numRef>
          </c:val>
        </c:ser>
        <c:ser>
          <c:idx val="2"/>
          <c:order val="2"/>
          <c:tx>
            <c:strRef>
              <c:f>Staffing!$A$16</c:f>
              <c:strCache>
                <c:ptCount val="1"/>
                <c:pt idx="0">
                  <c:v>Software Safety Engineer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Staffing!$C$3:$BV$3</c:f>
              <c:strCache>
                <c:ptCount val="7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</c:strCache>
            </c:strRef>
          </c:cat>
          <c:val>
            <c:numRef>
              <c:f>Staffing!$C$16:$BV$16</c:f>
              <c:numCache>
                <c:formatCode>0.00;\-0.00;""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0.465116279069767</c:v>
                </c:pt>
                <c:pt idx="4">
                  <c:v>0.48062015503876</c:v>
                </c:pt>
                <c:pt idx="5">
                  <c:v>0.465116279069767</c:v>
                </c:pt>
                <c:pt idx="6">
                  <c:v>0.48062015503876</c:v>
                </c:pt>
                <c:pt idx="7">
                  <c:v>0.48062015503876</c:v>
                </c:pt>
                <c:pt idx="8">
                  <c:v>0.465116279069767</c:v>
                </c:pt>
                <c:pt idx="9">
                  <c:v>0.48062015503876</c:v>
                </c:pt>
                <c:pt idx="10">
                  <c:v>0.295877707744693</c:v>
                </c:pt>
                <c:pt idx="11">
                  <c:v>0.289719626168224</c:v>
                </c:pt>
                <c:pt idx="12">
                  <c:v>0.289719626168224</c:v>
                </c:pt>
                <c:pt idx="13">
                  <c:v>0.271028037383178</c:v>
                </c:pt>
                <c:pt idx="14">
                  <c:v>0.289719626168224</c:v>
                </c:pt>
                <c:pt idx="15">
                  <c:v>0.280373831775701</c:v>
                </c:pt>
                <c:pt idx="16">
                  <c:v>0.289719626168224</c:v>
                </c:pt>
                <c:pt idx="17">
                  <c:v>0.280373831775701</c:v>
                </c:pt>
                <c:pt idx="18">
                  <c:v>0.289719626168224</c:v>
                </c:pt>
                <c:pt idx="19">
                  <c:v>0.289719626168224</c:v>
                </c:pt>
                <c:pt idx="20">
                  <c:v>0.280373831775701</c:v>
                </c:pt>
                <c:pt idx="21">
                  <c:v>0.289719626168224</c:v>
                </c:pt>
                <c:pt idx="22">
                  <c:v>0.280373831775701</c:v>
                </c:pt>
                <c:pt idx="23">
                  <c:v>0.289719626168224</c:v>
                </c:pt>
                <c:pt idx="24">
                  <c:v>0.00934579439252336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3"/>
          <c:order val="3"/>
          <c:tx>
            <c:strRef>
              <c:f>Staffing!$A$17</c:f>
              <c:strCache>
                <c:ptCount val="1"/>
                <c:pt idx="0">
                  <c:v>Safety Analyst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Staffing!$C$3:$BV$3</c:f>
              <c:strCache>
                <c:ptCount val="7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</c:strCache>
            </c:strRef>
          </c:cat>
          <c:val>
            <c:numRef>
              <c:f>Staffing!$C$17:$BV$17</c:f>
              <c:numCache>
                <c:formatCode>0.00;\-0.00;""</c:formatCode>
                <c:ptCount val="72"/>
                <c:pt idx="0">
                  <c:v>0.262045646661031</c:v>
                </c:pt>
                <c:pt idx="1">
                  <c:v>0.26967484457363</c:v>
                </c:pt>
                <c:pt idx="2">
                  <c:v>0.355013108049545</c:v>
                </c:pt>
                <c:pt idx="3">
                  <c:v>0.148916140249558</c:v>
                </c:pt>
                <c:pt idx="4">
                  <c:v>0.145145156702509</c:v>
                </c:pt>
                <c:pt idx="5">
                  <c:v>0.140463054873396</c:v>
                </c:pt>
                <c:pt idx="6">
                  <c:v>0.145145156702509</c:v>
                </c:pt>
                <c:pt idx="7">
                  <c:v>0.145145156702509</c:v>
                </c:pt>
                <c:pt idx="8">
                  <c:v>0.140463054873396</c:v>
                </c:pt>
                <c:pt idx="9">
                  <c:v>0.145145156702509</c:v>
                </c:pt>
                <c:pt idx="10">
                  <c:v>0.140463054873396</c:v>
                </c:pt>
                <c:pt idx="11">
                  <c:v>0.145145156702509</c:v>
                </c:pt>
                <c:pt idx="12">
                  <c:v>0.145145156702509</c:v>
                </c:pt>
                <c:pt idx="13">
                  <c:v>0.135780953044282</c:v>
                </c:pt>
                <c:pt idx="14">
                  <c:v>0.145145156702509</c:v>
                </c:pt>
                <c:pt idx="15">
                  <c:v>0.140463054873396</c:v>
                </c:pt>
                <c:pt idx="16">
                  <c:v>0.145145156702509</c:v>
                </c:pt>
                <c:pt idx="17">
                  <c:v>0.140463054873396</c:v>
                </c:pt>
                <c:pt idx="18">
                  <c:v>0.145145156702509</c:v>
                </c:pt>
                <c:pt idx="19">
                  <c:v>0.145145156702509</c:v>
                </c:pt>
                <c:pt idx="20">
                  <c:v>0.140463054873396</c:v>
                </c:pt>
                <c:pt idx="21">
                  <c:v>0.145145156702509</c:v>
                </c:pt>
                <c:pt idx="22">
                  <c:v>0.140463054873396</c:v>
                </c:pt>
                <c:pt idx="23">
                  <c:v>0.145145156702509</c:v>
                </c:pt>
                <c:pt idx="24">
                  <c:v>0.0551766456813663</c:v>
                </c:pt>
                <c:pt idx="25">
                  <c:v>0.0471282409287695</c:v>
                </c:pt>
                <c:pt idx="26">
                  <c:v>0.0521776953139949</c:v>
                </c:pt>
                <c:pt idx="27">
                  <c:v>0.0504945438522531</c:v>
                </c:pt>
                <c:pt idx="28">
                  <c:v>0.0521776953139949</c:v>
                </c:pt>
                <c:pt idx="29">
                  <c:v>0.0504945438522531</c:v>
                </c:pt>
                <c:pt idx="30">
                  <c:v>0.0521776953139949</c:v>
                </c:pt>
                <c:pt idx="31">
                  <c:v>0.0521776953139949</c:v>
                </c:pt>
                <c:pt idx="32">
                  <c:v>0.0504945438522531</c:v>
                </c:pt>
                <c:pt idx="33">
                  <c:v>0.0521776953139949</c:v>
                </c:pt>
                <c:pt idx="34">
                  <c:v>0.0504945438522531</c:v>
                </c:pt>
                <c:pt idx="35">
                  <c:v>0.0471282409287695</c:v>
                </c:pt>
              </c:numCache>
            </c:numRef>
          </c:val>
        </c:ser>
        <c:gapWidth val="150"/>
        <c:overlap val="100"/>
        <c:axId val="10736743"/>
        <c:axId val="63052455"/>
      </c:barChart>
      <c:lineChart>
        <c:grouping val="stacked"/>
        <c:varyColors val="0"/>
        <c:ser>
          <c:idx val="4"/>
          <c:order val="4"/>
          <c:tx>
            <c:strRef>
              <c:f>Staffing!$A$22</c:f>
              <c:strCache>
                <c:ptCount val="1"/>
                <c:pt idx="0">
                  <c:v>Proposed headcount (FTE on contract)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Staffing!$C$3:$BV$3</c:f>
              <c:strCache>
                <c:ptCount val="7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</c:strCache>
            </c:strRef>
          </c:cat>
          <c:val>
            <c:numRef>
              <c:f>Staffing!$C$22:$BV$22</c:f>
              <c:numCache>
                <c:formatCode>0.0;\-0.0;""</c:formatCode>
                <c:ptCount val="7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</c:v>
                </c:pt>
                <c:pt idx="7">
                  <c:v>2</c:v>
                </c:pt>
                <c:pt idx="8">
                  <c:v>1.5</c:v>
                </c:pt>
                <c:pt idx="9">
                  <c:v>2.5</c:v>
                </c:pt>
                <c:pt idx="10">
                  <c:v>3.5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</c:v>
                </c:pt>
                <c:pt idx="15">
                  <c:v>4.5</c:v>
                </c:pt>
                <c:pt idx="16">
                  <c:v>3.5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1.5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736743"/>
        <c:axId val="63052455"/>
      </c:lineChart>
      <c:catAx>
        <c:axId val="107367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Program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M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52455"/>
        <c:crosses val="autoZero"/>
        <c:auto val="1"/>
        <c:lblAlgn val="ctr"/>
        <c:lblOffset val="100"/>
        <c:noMultiLvlLbl val="0"/>
      </c:catAx>
      <c:valAx>
        <c:axId val="63052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\-0.0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367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75</xdr:row>
      <xdr:rowOff>127800</xdr:rowOff>
    </xdr:from>
    <xdr:to>
      <xdr:col>21</xdr:col>
      <xdr:colOff>186840</xdr:colOff>
      <xdr:row>96</xdr:row>
      <xdr:rowOff>87120</xdr:rowOff>
    </xdr:to>
    <xdr:graphicFrame>
      <xdr:nvGraphicFramePr>
        <xdr:cNvPr id="0" name="Chart 1"/>
        <xdr:cNvGraphicFramePr/>
      </xdr:nvGraphicFramePr>
      <xdr:xfrm>
        <a:off x="0" y="15659280"/>
        <a:ext cx="122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A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26.8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26.85" hidden="false" customHeight="false" outlineLevel="0" collapsed="false">
      <c r="A12" s="2" t="s">
        <v>10</v>
      </c>
    </row>
    <row r="13" customFormat="false" ht="26.85" hidden="false" customHeight="false" outlineLevel="0" collapsed="false">
      <c r="A13" s="2" t="s">
        <v>11</v>
      </c>
    </row>
    <row r="14" customFormat="false" ht="26.8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 t="s">
        <v>13</v>
      </c>
    </row>
    <row r="16" customFormat="false" ht="26.85" hidden="false" customHeight="false" outlineLevel="0" collapsed="false">
      <c r="A16" s="2" t="s">
        <v>14</v>
      </c>
    </row>
    <row r="17" customFormat="false" ht="26.85" hidden="false" customHeight="false" outlineLevel="0" collapsed="false">
      <c r="A17" s="2" t="s">
        <v>15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1" t="s">
        <v>16</v>
      </c>
    </row>
    <row r="20" customFormat="false" ht="26.85" hidden="false" customHeight="false" outlineLevel="0" collapsed="false">
      <c r="A20" s="2" t="s">
        <v>17</v>
      </c>
    </row>
    <row r="21" customFormat="false" ht="26.8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1" t="s">
        <v>19</v>
      </c>
    </row>
    <row r="24" customFormat="false" ht="26.85" hidden="false" customHeight="false" outlineLevel="0" collapsed="false">
      <c r="A24" s="2" t="s">
        <v>20</v>
      </c>
    </row>
    <row r="25" customFormat="false" ht="26.85" hidden="false" customHeight="false" outlineLevel="0" collapsed="false">
      <c r="A25" s="2" t="s">
        <v>21</v>
      </c>
    </row>
    <row r="26" customFormat="false" ht="26.8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1" t="s">
        <v>25</v>
      </c>
    </row>
    <row r="31" customFormat="false" ht="26.85" hidden="false" customHeight="false" outlineLevel="0" collapsed="false">
      <c r="A31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3" t="s">
        <v>27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tr">
        <f aca="false">"Complexity: "&amp;Inputs!$B$13&amp;" ("&amp;TEXT(Inputs!$B$16,"0.00")&amp;")   |   SwCI "&amp;Inputs!$B$21&amp;" (×"&amp;TEXT(Inputs!$B$22,"0.00")&amp;")   |   SAR P50 "&amp;TEXT(Inputs!$B$9,"#,##0")&amp;" h, P90 "&amp;TEXT(Inputs!$B$10,"#,##0")&amp;" h"</f>
        <v>Complexity: Moderate (1.00)   |   SwCI 2 (×1.30)   |   SAR P50 800 h, P90 1,200 h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15" hidden="false" customHeight="false" outlineLevel="0" collapsed="false">
      <c r="A4" s="6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</row>
    <row r="5" customFormat="false" ht="15" hidden="false" customHeight="false" outlineLevel="0" collapsed="false">
      <c r="A5" s="8" t="s">
        <v>34</v>
      </c>
      <c r="B5" s="9" t="n">
        <f aca="false">COUNTIFS(BOE!$B$6:$B$60,A5,BOE!$E$6:$E$60,"Y")</f>
        <v>8</v>
      </c>
      <c r="C5" s="10" t="n">
        <f aca="false">SUMIFS(BOE!$R$6:$R$60,BOE!$B$6:$B$60,A5)</f>
        <v>2434.92402464066</v>
      </c>
      <c r="D5" s="10" t="n">
        <f aca="false">SUMIFS(BOE!$T$6:$T$60,BOE!$B$6:$B$60,A5)</f>
        <v>3652.38603696099</v>
      </c>
      <c r="E5" s="11" t="n">
        <f aca="false">IF($C$10&gt;0,C5/$C$10,0)</f>
        <v>0.203704798041918</v>
      </c>
      <c r="F5" s="12" t="n">
        <f aca="false">IF(C5&gt;0,D5/C5,0)</f>
        <v>1.5</v>
      </c>
    </row>
    <row r="6" customFormat="false" ht="15" hidden="false" customHeight="false" outlineLevel="0" collapsed="false">
      <c r="A6" s="8" t="s">
        <v>35</v>
      </c>
      <c r="B6" s="9" t="n">
        <f aca="false">COUNTIFS(BOE!$B$6:$B$60,A6,BOE!$E$6:$E$60,"Y")</f>
        <v>9</v>
      </c>
      <c r="C6" s="10" t="n">
        <f aca="false">SUMIFS(BOE!$R$6:$R$60,BOE!$B$6:$B$60,A6)</f>
        <v>5424</v>
      </c>
      <c r="D6" s="10" t="n">
        <f aca="false">SUMIFS(BOE!$T$6:$T$60,BOE!$B$6:$B$60,A6)</f>
        <v>8136</v>
      </c>
      <c r="E6" s="11" t="n">
        <f aca="false">IF($C$10&gt;0,C6/$C$10,0)</f>
        <v>0.453769733017614</v>
      </c>
      <c r="F6" s="12" t="n">
        <f aca="false">IF(C6&gt;0,D6/C6,0)</f>
        <v>1.5</v>
      </c>
    </row>
    <row r="7" customFormat="false" ht="15" hidden="false" customHeight="false" outlineLevel="0" collapsed="false">
      <c r="A7" s="8" t="s">
        <v>36</v>
      </c>
      <c r="B7" s="9" t="n">
        <f aca="false">COUNTIFS(BOE!$B$6:$B$60,A7,BOE!$E$6:$E$60,"Y")</f>
        <v>3</v>
      </c>
      <c r="C7" s="10" t="n">
        <f aca="false">SUMIFS(BOE!$R$6:$R$60,BOE!$B$6:$B$60,A7)</f>
        <v>1920</v>
      </c>
      <c r="D7" s="10" t="n">
        <f aca="false">SUMIFS(BOE!$T$6:$T$60,BOE!$B$6:$B$60,A7)</f>
        <v>2880</v>
      </c>
      <c r="E7" s="11" t="n">
        <f aca="false">IF($C$10&gt;0,C7/$C$10,0)</f>
        <v>0.160626454165527</v>
      </c>
      <c r="F7" s="12" t="n">
        <f aca="false">IF(C7&gt;0,D7/C7,0)</f>
        <v>1.5</v>
      </c>
    </row>
    <row r="8" customFormat="false" ht="15" hidden="false" customHeight="false" outlineLevel="0" collapsed="false">
      <c r="A8" s="8" t="s">
        <v>37</v>
      </c>
      <c r="B8" s="9" t="n">
        <f aca="false">COUNTIFS(BOE!$B$6:$B$60,A8,BOE!$E$6:$E$60,"Y")</f>
        <v>2</v>
      </c>
      <c r="C8" s="10" t="n">
        <f aca="false">SUMIFS(BOE!$R$6:$R$60,BOE!$B$6:$B$60,A8)</f>
        <v>1352</v>
      </c>
      <c r="D8" s="10" t="n">
        <f aca="false">SUMIFS(BOE!$T$6:$T$60,BOE!$B$6:$B$60,A8)</f>
        <v>2028</v>
      </c>
      <c r="E8" s="11" t="n">
        <f aca="false">IF($C$10&gt;0,C8/$C$10,0)</f>
        <v>0.113107794808225</v>
      </c>
      <c r="F8" s="12" t="n">
        <f aca="false">IF(C8&gt;0,D8/C8,0)</f>
        <v>1.5</v>
      </c>
    </row>
    <row r="9" customFormat="false" ht="15" hidden="false" customHeight="false" outlineLevel="0" collapsed="false">
      <c r="A9" s="8" t="s">
        <v>38</v>
      </c>
      <c r="B9" s="9" t="n">
        <f aca="false">COUNTIFS(BOE!$B$6:$B$60,A9,BOE!$E$6:$E$60,"Y")</f>
        <v>3</v>
      </c>
      <c r="C9" s="10" t="n">
        <f aca="false">SUMIFS(BOE!$R$6:$R$60,BOE!$B$6:$B$60,A9)</f>
        <v>822.275154004107</v>
      </c>
      <c r="D9" s="10" t="n">
        <f aca="false">SUMIFS(BOE!$T$6:$T$60,BOE!$B$6:$B$60,A9)</f>
        <v>1233.41273100616</v>
      </c>
      <c r="E9" s="11" t="n">
        <f aca="false">IF($C$10&gt;0,C9/$C$10,0)</f>
        <v>0.0687912199667148</v>
      </c>
      <c r="F9" s="12" t="n">
        <f aca="false">IF(C9&gt;0,D9/C9,0)</f>
        <v>1.5</v>
      </c>
    </row>
    <row r="10" customFormat="false" ht="15" hidden="false" customHeight="false" outlineLevel="0" collapsed="false">
      <c r="A10" s="13" t="s">
        <v>39</v>
      </c>
      <c r="B10" s="14" t="n">
        <f aca="false">SUM(B5:B9)</f>
        <v>25</v>
      </c>
      <c r="C10" s="15" t="n">
        <f aca="false">SUM(C5:C9)</f>
        <v>11953.1991786448</v>
      </c>
      <c r="D10" s="15" t="n">
        <f aca="false">SUM(D5:D9)</f>
        <v>17929.7987679671</v>
      </c>
      <c r="E10" s="16" t="n">
        <f aca="false">SUM(E5:E9)</f>
        <v>1</v>
      </c>
      <c r="F10" s="17" t="n">
        <f aca="false">IF(C10&gt;0,D10/C10,0)</f>
        <v>1.5</v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</row>
    <row r="12" customFormat="false" ht="15" hidden="false" customHeight="false" outlineLevel="0" collapsed="false">
      <c r="A12" s="18" t="s">
        <v>40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8" t="s">
        <v>41</v>
      </c>
      <c r="B13" s="19" t="n">
        <f aca="false">(Inputs!$B$5-Inputs!$B$4)/(365.25/12)</f>
        <v>35.8767967145791</v>
      </c>
      <c r="C13" s="4"/>
      <c r="D13" s="4"/>
      <c r="E13" s="4"/>
      <c r="F13" s="4"/>
    </row>
    <row r="14" customFormat="false" ht="15" hidden="false" customHeight="false" outlineLevel="0" collapsed="false">
      <c r="A14" s="8" t="s">
        <v>42</v>
      </c>
      <c r="B14" s="20" t="n">
        <f aca="false">IF(B13&gt;0,C10/(B13*Inputs!$B$6),0)</f>
        <v>2.13572778717009</v>
      </c>
      <c r="C14" s="4"/>
      <c r="D14" s="4"/>
      <c r="E14" s="4"/>
      <c r="F14" s="4"/>
    </row>
    <row r="15" customFormat="false" ht="15" hidden="false" customHeight="false" outlineLevel="0" collapsed="false">
      <c r="A15" s="8" t="s">
        <v>43</v>
      </c>
      <c r="B15" s="20" t="n">
        <f aca="false">IF(B13&gt;0,D10/(B13*Inputs!$B$6),0)</f>
        <v>3.20359168075514</v>
      </c>
      <c r="C15" s="4"/>
      <c r="D15" s="4"/>
      <c r="E15" s="4"/>
      <c r="F15" s="4"/>
    </row>
    <row r="16" customFormat="false" ht="15" hidden="false" customHeight="false" outlineLevel="0" collapsed="false">
      <c r="A16" s="8" t="s">
        <v>44</v>
      </c>
      <c r="B16" s="20" t="n">
        <f aca="false">MAX(Phasing!F62:BY62)</f>
        <v>4.13044903783152</v>
      </c>
      <c r="C16" s="4"/>
      <c r="D16" s="4"/>
      <c r="E16" s="4"/>
      <c r="F16" s="4"/>
    </row>
    <row r="17" customFormat="false" ht="15" hidden="false" customHeight="false" outlineLevel="0" collapsed="false">
      <c r="A17" s="8" t="s">
        <v>45</v>
      </c>
      <c r="B17" s="21" t="n">
        <f aca="false">MAX(Phasing!F61:BY61)</f>
        <v>644.350049901717</v>
      </c>
      <c r="C17" s="4"/>
      <c r="D17" s="4"/>
      <c r="E17" s="4"/>
      <c r="F17" s="4"/>
    </row>
    <row r="18" customFormat="false" ht="15" hidden="false" customHeight="false" outlineLevel="0" collapsed="false">
      <c r="A18" s="8" t="s">
        <v>46</v>
      </c>
      <c r="B18" s="22" t="str">
        <f aca="false">Inputs!$B$7</f>
        <v>P50</v>
      </c>
      <c r="C18" s="4"/>
      <c r="D18" s="4"/>
      <c r="E18" s="4"/>
      <c r="F18" s="4"/>
    </row>
    <row r="19" customFormat="false" ht="15" hidden="false" customHeight="false" outlineLevel="0" collapsed="false">
      <c r="A19" s="8" t="s">
        <v>47</v>
      </c>
      <c r="B19" s="21" t="n">
        <f aca="false">Inputs!$B$6</f>
        <v>156</v>
      </c>
      <c r="C19" s="4"/>
      <c r="D19" s="4"/>
      <c r="E19" s="4"/>
      <c r="F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</row>
    <row r="21" customFormat="false" ht="15" hidden="false" customHeight="false" outlineLevel="0" collapsed="false">
      <c r="A21" s="18" t="s">
        <v>48</v>
      </c>
      <c r="B21" s="4"/>
      <c r="C21" s="4"/>
      <c r="D21" s="4"/>
      <c r="E21" s="4"/>
      <c r="F21" s="4"/>
    </row>
    <row r="22" customFormat="false" ht="15" hidden="false" customHeight="false" outlineLevel="0" collapsed="false">
      <c r="A22" s="8" t="s">
        <v>49</v>
      </c>
      <c r="B22" s="12" t="n">
        <f aca="false">SUMPRODUCT((BOE!$F$6:$F$60="SAR")*(BOE!$E$6:$E$60="Y")*(BOE!$G$6:$G$60)*(BOE!$H$6:$H$60))</f>
        <v>10.9</v>
      </c>
      <c r="C22" s="23" t="s">
        <v>50</v>
      </c>
      <c r="D22" s="4"/>
      <c r="E22" s="4"/>
      <c r="F22" s="4"/>
    </row>
    <row r="24" customFormat="false" ht="15" hidden="false" customHeight="false" outlineLevel="0" collapsed="false">
      <c r="A24" s="18" t="s">
        <v>51</v>
      </c>
    </row>
    <row r="25" customFormat="false" ht="15" hidden="false" customHeight="false" outlineLevel="0" collapsed="false">
      <c r="A25" s="24" t="s">
        <v>52</v>
      </c>
      <c r="B25" s="19" t="n">
        <f aca="false">Staffing!B35</f>
        <v>4.5</v>
      </c>
    </row>
    <row r="26" customFormat="false" ht="15" hidden="false" customHeight="false" outlineLevel="0" collapsed="false">
      <c r="A26" s="24" t="s">
        <v>53</v>
      </c>
      <c r="B26" s="20" t="n">
        <f aca="false">Staffing!B36</f>
        <v>2.38888888888889</v>
      </c>
    </row>
    <row r="27" customFormat="false" ht="15" hidden="false" customHeight="false" outlineLevel="0" collapsed="false">
      <c r="A27" s="24" t="s">
        <v>54</v>
      </c>
      <c r="B27" s="19" t="n">
        <f aca="false">Staffing!B37</f>
        <v>86</v>
      </c>
    </row>
    <row r="28" customFormat="false" ht="15" hidden="false" customHeight="false" outlineLevel="0" collapsed="false">
      <c r="A28" s="24" t="s">
        <v>55</v>
      </c>
      <c r="B28" s="25" t="n">
        <f aca="false">Staffing!B40</f>
        <v>0.890965949511387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3" t="s">
        <v>56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57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15" hidden="false" customHeight="false" outlineLevel="0" collapsed="false">
      <c r="A4" s="26" t="s">
        <v>58</v>
      </c>
      <c r="B4" s="27" t="n">
        <v>46391</v>
      </c>
      <c r="C4" s="4"/>
      <c r="D4" s="4"/>
      <c r="E4" s="4"/>
      <c r="F4" s="28" t="s">
        <v>59</v>
      </c>
    </row>
    <row r="5" customFormat="false" ht="15" hidden="false" customHeight="false" outlineLevel="0" collapsed="false">
      <c r="A5" s="26" t="s">
        <v>60</v>
      </c>
      <c r="B5" s="27" t="n">
        <v>47483</v>
      </c>
      <c r="C5" s="4"/>
      <c r="D5" s="4"/>
      <c r="E5" s="4"/>
      <c r="F5" s="28" t="s">
        <v>61</v>
      </c>
    </row>
    <row r="6" customFormat="false" ht="15" hidden="false" customHeight="false" outlineLevel="0" collapsed="false">
      <c r="A6" s="26" t="s">
        <v>47</v>
      </c>
      <c r="B6" s="29" t="n">
        <v>156</v>
      </c>
      <c r="C6" s="4"/>
      <c r="D6" s="4"/>
      <c r="E6" s="4"/>
      <c r="F6" s="28" t="s">
        <v>62</v>
      </c>
    </row>
    <row r="7" customFormat="false" ht="15" hidden="false" customHeight="false" outlineLevel="0" collapsed="false">
      <c r="A7" s="26" t="s">
        <v>63</v>
      </c>
      <c r="B7" s="30" t="s">
        <v>64</v>
      </c>
      <c r="C7" s="4"/>
      <c r="D7" s="4"/>
      <c r="E7" s="4"/>
      <c r="F7" s="28" t="s">
        <v>65</v>
      </c>
    </row>
    <row r="8" customFormat="false" ht="15" hidden="false" customHeight="false" outlineLevel="0" collapsed="false">
      <c r="A8" s="13" t="s">
        <v>66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26" t="s">
        <v>67</v>
      </c>
      <c r="B9" s="31" t="n">
        <v>800</v>
      </c>
      <c r="C9" s="4"/>
      <c r="D9" s="4"/>
      <c r="E9" s="4"/>
      <c r="F9" s="28" t="s">
        <v>68</v>
      </c>
    </row>
    <row r="10" customFormat="false" ht="15" hidden="false" customHeight="false" outlineLevel="0" collapsed="false">
      <c r="A10" s="26" t="s">
        <v>69</v>
      </c>
      <c r="B10" s="31" t="n">
        <v>1200</v>
      </c>
      <c r="C10" s="4"/>
      <c r="D10" s="4"/>
      <c r="E10" s="4"/>
      <c r="F10" s="28" t="s">
        <v>70</v>
      </c>
    </row>
    <row r="11" customFormat="false" ht="15" hidden="false" customHeight="false" outlineLevel="0" collapsed="false">
      <c r="A11" s="26" t="s">
        <v>71</v>
      </c>
      <c r="B11" s="32" t="n">
        <f aca="false">IF(B9&gt;0,B10/B9,1)</f>
        <v>1.5</v>
      </c>
      <c r="C11" s="4"/>
      <c r="D11" s="4"/>
      <c r="E11" s="4"/>
      <c r="F11" s="28" t="s">
        <v>72</v>
      </c>
    </row>
    <row r="12" customFormat="false" ht="15" hidden="false" customHeight="false" outlineLevel="0" collapsed="false">
      <c r="A12" s="13" t="s">
        <v>73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26" t="s">
        <v>74</v>
      </c>
      <c r="B13" s="33" t="s">
        <v>75</v>
      </c>
      <c r="C13" s="4"/>
      <c r="D13" s="6" t="s">
        <v>76</v>
      </c>
      <c r="E13" s="6" t="s">
        <v>77</v>
      </c>
      <c r="F13" s="28" t="s">
        <v>78</v>
      </c>
    </row>
    <row r="14" customFormat="false" ht="15" hidden="false" customHeight="false" outlineLevel="0" collapsed="false">
      <c r="A14" s="26" t="s">
        <v>79</v>
      </c>
      <c r="B14" s="32" t="n">
        <f aca="false">IFERROR(INDEX($E$14:$E$17,MATCH($B$13,$D$14:$D$17,0)),1)</f>
        <v>1</v>
      </c>
      <c r="C14" s="4"/>
      <c r="D14" s="34" t="s">
        <v>80</v>
      </c>
      <c r="E14" s="35" t="n">
        <v>0.8</v>
      </c>
      <c r="F14" s="4"/>
    </row>
    <row r="15" customFormat="false" ht="15" hidden="false" customHeight="false" outlineLevel="0" collapsed="false">
      <c r="A15" s="26" t="s">
        <v>81</v>
      </c>
      <c r="B15" s="36"/>
      <c r="C15" s="4"/>
      <c r="D15" s="34" t="s">
        <v>75</v>
      </c>
      <c r="E15" s="35" t="n">
        <v>1</v>
      </c>
      <c r="F15" s="28" t="s">
        <v>82</v>
      </c>
    </row>
    <row r="16" customFormat="false" ht="15" hidden="false" customHeight="false" outlineLevel="0" collapsed="false">
      <c r="A16" s="26" t="s">
        <v>83</v>
      </c>
      <c r="B16" s="32" t="n">
        <f aca="false">IF(B15&lt;&gt;"",B15,B14)</f>
        <v>1</v>
      </c>
      <c r="C16" s="4"/>
      <c r="D16" s="34" t="s">
        <v>84</v>
      </c>
      <c r="E16" s="35" t="n">
        <v>1.3</v>
      </c>
      <c r="F16" s="28" t="s">
        <v>85</v>
      </c>
    </row>
    <row r="17" customFormat="false" ht="15" hidden="false" customHeight="false" outlineLevel="0" collapsed="false">
      <c r="A17" s="8"/>
      <c r="B17" s="4"/>
      <c r="C17" s="4"/>
      <c r="D17" s="34" t="s">
        <v>86</v>
      </c>
      <c r="E17" s="35" t="n">
        <v>1.6</v>
      </c>
      <c r="F17" s="4"/>
    </row>
    <row r="18" customFormat="false" ht="15" hidden="false" customHeight="true" outlineLevel="0" collapsed="false">
      <c r="A18" s="8"/>
      <c r="B18" s="4"/>
      <c r="C18" s="4"/>
      <c r="D18" s="37" t="s">
        <v>87</v>
      </c>
      <c r="E18" s="37"/>
      <c r="F18" s="37"/>
    </row>
    <row r="19" customFormat="false" ht="15" hidden="false" customHeight="false" outlineLevel="0" collapsed="false">
      <c r="A19" s="8"/>
      <c r="B19" s="4"/>
      <c r="C19" s="4"/>
      <c r="D19" s="37"/>
      <c r="E19" s="37"/>
      <c r="F19" s="37"/>
    </row>
    <row r="20" customFormat="false" ht="15" hidden="false" customHeight="false" outlineLevel="0" collapsed="false">
      <c r="A20" s="13" t="s">
        <v>88</v>
      </c>
      <c r="B20" s="4"/>
      <c r="C20" s="4"/>
      <c r="D20" s="4"/>
      <c r="E20" s="4"/>
      <c r="F20" s="4"/>
    </row>
    <row r="21" customFormat="false" ht="15" hidden="false" customHeight="false" outlineLevel="0" collapsed="false">
      <c r="A21" s="26" t="s">
        <v>89</v>
      </c>
      <c r="B21" s="38" t="n">
        <v>2</v>
      </c>
      <c r="C21" s="4"/>
      <c r="D21" s="6" t="s">
        <v>90</v>
      </c>
      <c r="E21" s="6" t="s">
        <v>91</v>
      </c>
      <c r="F21" s="28" t="s">
        <v>92</v>
      </c>
    </row>
    <row r="22" customFormat="false" ht="15" hidden="false" customHeight="false" outlineLevel="0" collapsed="false">
      <c r="A22" s="26" t="s">
        <v>93</v>
      </c>
      <c r="B22" s="32" t="n">
        <f aca="false">IFERROR(INDEX($E$22:$E$26,MATCH($B$21,$D$22:$D$26,0)),1)</f>
        <v>1.3</v>
      </c>
      <c r="C22" s="4"/>
      <c r="D22" s="34" t="n">
        <v>1</v>
      </c>
      <c r="E22" s="35" t="n">
        <v>1.5</v>
      </c>
      <c r="F22" s="28" t="s">
        <v>94</v>
      </c>
    </row>
    <row r="23" customFormat="false" ht="15" hidden="false" customHeight="false" outlineLevel="0" collapsed="false">
      <c r="A23" s="8"/>
      <c r="B23" s="4"/>
      <c r="C23" s="4"/>
      <c r="D23" s="34" t="n">
        <v>2</v>
      </c>
      <c r="E23" s="35" t="n">
        <v>1.3</v>
      </c>
      <c r="F23" s="4"/>
    </row>
    <row r="24" customFormat="false" ht="15" hidden="false" customHeight="false" outlineLevel="0" collapsed="false">
      <c r="A24" s="8"/>
      <c r="B24" s="4"/>
      <c r="C24" s="4"/>
      <c r="D24" s="34" t="n">
        <v>3</v>
      </c>
      <c r="E24" s="35" t="n">
        <v>1.15</v>
      </c>
      <c r="F24" s="4"/>
    </row>
    <row r="25" customFormat="false" ht="15" hidden="false" customHeight="false" outlineLevel="0" collapsed="false">
      <c r="A25" s="8"/>
      <c r="B25" s="4"/>
      <c r="C25" s="4"/>
      <c r="D25" s="34" t="n">
        <v>4</v>
      </c>
      <c r="E25" s="35" t="n">
        <v>1</v>
      </c>
      <c r="F25" s="4"/>
    </row>
    <row r="26" customFormat="false" ht="15" hidden="false" customHeight="false" outlineLevel="0" collapsed="false">
      <c r="A26" s="8"/>
      <c r="B26" s="4"/>
      <c r="C26" s="4"/>
      <c r="D26" s="34" t="n">
        <v>5</v>
      </c>
      <c r="E26" s="35" t="n">
        <v>0.8</v>
      </c>
      <c r="F26" s="4"/>
    </row>
    <row r="27" customFormat="false" ht="15" hidden="false" customHeight="true" outlineLevel="0" collapsed="false">
      <c r="A27" s="8"/>
      <c r="B27" s="4"/>
      <c r="C27" s="4"/>
      <c r="D27" s="37" t="s">
        <v>95</v>
      </c>
      <c r="E27" s="37"/>
      <c r="F27" s="37"/>
    </row>
    <row r="28" customFormat="false" ht="15" hidden="false" customHeight="false" outlineLevel="0" collapsed="false">
      <c r="A28" s="8"/>
      <c r="B28" s="4"/>
      <c r="C28" s="4"/>
      <c r="D28" s="37"/>
      <c r="E28" s="37"/>
      <c r="F28" s="37"/>
    </row>
    <row r="29" customFormat="false" ht="15" hidden="false" customHeight="false" outlineLevel="0" collapsed="false">
      <c r="A29" s="13" t="s">
        <v>96</v>
      </c>
      <c r="B29" s="4"/>
      <c r="C29" s="4"/>
      <c r="D29" s="4"/>
      <c r="E29" s="4"/>
      <c r="F29" s="4"/>
    </row>
    <row r="30" customFormat="false" ht="15" hidden="false" customHeight="false" outlineLevel="0" collapsed="false">
      <c r="A30" s="26" t="s">
        <v>97</v>
      </c>
      <c r="B30" s="39" t="n">
        <v>6</v>
      </c>
      <c r="C30" s="4"/>
      <c r="D30" s="4"/>
      <c r="E30" s="4"/>
      <c r="F30" s="28" t="s">
        <v>98</v>
      </c>
    </row>
    <row r="31" customFormat="false" ht="15" hidden="false" customHeight="false" outlineLevel="0" collapsed="false">
      <c r="A31" s="26" t="s">
        <v>99</v>
      </c>
      <c r="B31" s="39" t="n">
        <v>8</v>
      </c>
      <c r="C31" s="4"/>
      <c r="D31" s="4"/>
      <c r="E31" s="4"/>
      <c r="F31" s="28" t="s">
        <v>100</v>
      </c>
    </row>
    <row r="32" customFormat="false" ht="15" hidden="false" customHeight="false" outlineLevel="0" collapsed="false">
      <c r="A32" s="26" t="s">
        <v>101</v>
      </c>
      <c r="B32" s="39" t="n">
        <v>20</v>
      </c>
      <c r="C32" s="4"/>
      <c r="D32" s="4"/>
      <c r="E32" s="4"/>
      <c r="F32" s="28" t="s">
        <v>102</v>
      </c>
    </row>
    <row r="33" customFormat="false" ht="15" hidden="false" customHeight="false" outlineLevel="0" collapsed="false">
      <c r="A33" s="26" t="s">
        <v>103</v>
      </c>
      <c r="B33" s="39" t="n">
        <v>6</v>
      </c>
      <c r="C33" s="4"/>
      <c r="D33" s="4"/>
      <c r="E33" s="4"/>
      <c r="F33" s="28" t="s">
        <v>104</v>
      </c>
    </row>
    <row r="34" customFormat="false" ht="15" hidden="false" customHeight="false" outlineLevel="0" collapsed="false">
      <c r="A34" s="26" t="s">
        <v>105</v>
      </c>
      <c r="B34" s="39" t="n">
        <v>4</v>
      </c>
      <c r="C34" s="4"/>
      <c r="D34" s="4"/>
      <c r="E34" s="4"/>
      <c r="F34" s="28" t="s">
        <v>106</v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</row>
    <row r="36" customFormat="false" ht="15" hidden="false" customHeight="false" outlineLevel="0" collapsed="false">
      <c r="A36" s="18" t="s">
        <v>107</v>
      </c>
      <c r="B36" s="4"/>
      <c r="C36" s="4"/>
      <c r="D36" s="4"/>
      <c r="E36" s="4"/>
      <c r="F36" s="4"/>
    </row>
    <row r="37" customFormat="false" ht="15" hidden="false" customHeight="false" outlineLevel="0" collapsed="false">
      <c r="A37" s="6" t="s">
        <v>108</v>
      </c>
      <c r="B37" s="6" t="s">
        <v>109</v>
      </c>
      <c r="C37" s="4"/>
      <c r="D37" s="4"/>
      <c r="E37" s="4"/>
      <c r="F37" s="4"/>
    </row>
    <row r="38" customFormat="false" ht="15" hidden="false" customHeight="false" outlineLevel="0" collapsed="false">
      <c r="A38" s="30" t="s">
        <v>110</v>
      </c>
      <c r="B38" s="28" t="s">
        <v>111</v>
      </c>
      <c r="C38" s="4"/>
      <c r="D38" s="4"/>
      <c r="E38" s="4"/>
      <c r="F38" s="4"/>
    </row>
    <row r="39" customFormat="false" ht="15" hidden="false" customHeight="false" outlineLevel="0" collapsed="false">
      <c r="A39" s="30" t="s">
        <v>112</v>
      </c>
      <c r="B39" s="28" t="s">
        <v>113</v>
      </c>
      <c r="C39" s="4"/>
      <c r="D39" s="4"/>
      <c r="E39" s="4"/>
      <c r="F39" s="4"/>
    </row>
    <row r="40" customFormat="false" ht="15" hidden="false" customHeight="false" outlineLevel="0" collapsed="false">
      <c r="A40" s="30" t="s">
        <v>114</v>
      </c>
      <c r="B40" s="28" t="s">
        <v>115</v>
      </c>
      <c r="C40" s="4"/>
      <c r="D40" s="4"/>
      <c r="E40" s="4"/>
      <c r="F40" s="4"/>
    </row>
    <row r="41" customFormat="false" ht="15" hidden="false" customHeight="false" outlineLevel="0" collapsed="false">
      <c r="A41" s="30" t="s">
        <v>116</v>
      </c>
      <c r="B41" s="28" t="s">
        <v>117</v>
      </c>
      <c r="C41" s="4"/>
      <c r="D41" s="4"/>
      <c r="E41" s="4"/>
      <c r="F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</row>
    <row r="43" customFormat="false" ht="15" hidden="false" customHeight="false" outlineLevel="0" collapsed="false">
      <c r="A43" s="18" t="s">
        <v>118</v>
      </c>
      <c r="B43" s="4"/>
      <c r="C43" s="4"/>
      <c r="D43" s="4"/>
      <c r="E43" s="4"/>
      <c r="F43" s="4"/>
    </row>
    <row r="44" customFormat="false" ht="15" hidden="false" customHeight="false" outlineLevel="0" collapsed="false">
      <c r="A44" s="26" t="s">
        <v>119</v>
      </c>
      <c r="B44" s="39" t="n">
        <v>3</v>
      </c>
      <c r="C44" s="4"/>
      <c r="D44" s="4"/>
      <c r="E44" s="4"/>
      <c r="F44" s="28" t="s">
        <v>120</v>
      </c>
    </row>
    <row r="45" customFormat="false" ht="15" hidden="false" customHeight="false" outlineLevel="0" collapsed="false">
      <c r="A45" s="26" t="s">
        <v>121</v>
      </c>
      <c r="B45" s="40" t="n">
        <v>0.5</v>
      </c>
      <c r="C45" s="4"/>
      <c r="D45" s="4"/>
      <c r="E45" s="4"/>
      <c r="F45" s="28" t="s">
        <v>122</v>
      </c>
    </row>
    <row r="46" customFormat="false" ht="15" hidden="false" customHeight="false" outlineLevel="0" collapsed="false">
      <c r="A46" s="26" t="s">
        <v>123</v>
      </c>
      <c r="B46" s="40" t="n">
        <v>1</v>
      </c>
      <c r="C46" s="4"/>
      <c r="D46" s="4"/>
      <c r="E46" s="4"/>
      <c r="F46" s="28" t="s">
        <v>124</v>
      </c>
    </row>
  </sheetData>
  <mergeCells count="2">
    <mergeCell ref="D18:F19"/>
    <mergeCell ref="D27:F28"/>
  </mergeCells>
  <dataValidations count="3">
    <dataValidation allowBlank="false" errorStyle="stop" operator="between" showDropDown="false" showErrorMessage="false" showInputMessage="false" sqref="B7" type="list">
      <formula1>"P50,P90"</formula1>
      <formula2>0</formula2>
    </dataValidation>
    <dataValidation allowBlank="false" errorStyle="stop" operator="between" showDropDown="false" showErrorMessage="false" showInputMessage="false" sqref="B13" type="list">
      <formula1>$D$14:$D$17</formula1>
      <formula2>0</formula2>
    </dataValidation>
    <dataValidation allowBlank="false" errorStyle="stop" operator="between" showDropDown="false" showErrorMessage="false" showInputMessage="false" sqref="B44" type="list">
      <formula1>"1,3,5"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3" t="s">
        <v>125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126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26.85" hidden="false" customHeight="false" outlineLevel="0" collapsed="false">
      <c r="A4" s="6" t="s">
        <v>127</v>
      </c>
      <c r="B4" s="6" t="s">
        <v>128</v>
      </c>
      <c r="C4" s="6" t="s">
        <v>129</v>
      </c>
      <c r="D4" s="6" t="s">
        <v>130</v>
      </c>
      <c r="E4" s="6" t="s">
        <v>131</v>
      </c>
      <c r="F4" s="6" t="s">
        <v>132</v>
      </c>
    </row>
    <row r="5" customFormat="false" ht="15" hidden="false" customHeight="false" outlineLevel="0" collapsed="false">
      <c r="A5" s="41" t="n">
        <v>1</v>
      </c>
      <c r="B5" s="30" t="s">
        <v>133</v>
      </c>
      <c r="C5" s="40" t="n">
        <v>0</v>
      </c>
      <c r="D5" s="42"/>
      <c r="E5" s="43" t="n">
        <f aca="false">IF(B5="","",IF(D5&lt;&gt;"",D5,IF(C5&lt;&gt;"",EDATE(Inputs!$B$4,C5),"")))</f>
        <v>46391</v>
      </c>
      <c r="F5" s="26" t="s">
        <v>134</v>
      </c>
    </row>
    <row r="6" customFormat="false" ht="15" hidden="false" customHeight="false" outlineLevel="0" collapsed="false">
      <c r="A6" s="41" t="n">
        <v>2</v>
      </c>
      <c r="B6" s="30" t="s">
        <v>135</v>
      </c>
      <c r="C6" s="40" t="n">
        <v>3</v>
      </c>
      <c r="D6" s="42"/>
      <c r="E6" s="43" t="n">
        <f aca="false">IF(B6="","",IF(D6&lt;&gt;"",D6,IF(C6&lt;&gt;"",EDATE(Inputs!$B$4,C6),"")))</f>
        <v>46481</v>
      </c>
      <c r="F6" s="26" t="s">
        <v>136</v>
      </c>
    </row>
    <row r="7" customFormat="false" ht="15" hidden="false" customHeight="false" outlineLevel="0" collapsed="false">
      <c r="A7" s="41" t="n">
        <v>3</v>
      </c>
      <c r="B7" s="30" t="s">
        <v>137</v>
      </c>
      <c r="C7" s="40" t="n">
        <v>6</v>
      </c>
      <c r="D7" s="42"/>
      <c r="E7" s="43" t="n">
        <f aca="false">IF(B7="","",IF(D7&lt;&gt;"",D7,IF(C7&lt;&gt;"",EDATE(Inputs!$B$4,C7),"")))</f>
        <v>46572</v>
      </c>
      <c r="F7" s="26" t="s">
        <v>138</v>
      </c>
    </row>
    <row r="8" customFormat="false" ht="15" hidden="false" customHeight="false" outlineLevel="0" collapsed="false">
      <c r="A8" s="41" t="n">
        <v>4</v>
      </c>
      <c r="B8" s="30" t="s">
        <v>139</v>
      </c>
      <c r="C8" s="40" t="n">
        <v>10</v>
      </c>
      <c r="D8" s="42"/>
      <c r="E8" s="43" t="n">
        <f aca="false">IF(B8="","",IF(D8&lt;&gt;"",D8,IF(C8&lt;&gt;"",EDATE(Inputs!$B$4,C8),"")))</f>
        <v>46695</v>
      </c>
      <c r="F8" s="26" t="s">
        <v>140</v>
      </c>
    </row>
    <row r="9" customFormat="false" ht="15" hidden="false" customHeight="false" outlineLevel="0" collapsed="false">
      <c r="A9" s="41" t="n">
        <v>5</v>
      </c>
      <c r="B9" s="30" t="s">
        <v>141</v>
      </c>
      <c r="C9" s="40" t="n">
        <v>16</v>
      </c>
      <c r="D9" s="42"/>
      <c r="E9" s="43" t="n">
        <f aca="false">IF(B9="","",IF(D9&lt;&gt;"",D9,IF(C9&lt;&gt;"",EDATE(Inputs!$B$4,C9),"")))</f>
        <v>46877</v>
      </c>
      <c r="F9" s="26" t="s">
        <v>142</v>
      </c>
    </row>
    <row r="10" customFormat="false" ht="15" hidden="false" customHeight="false" outlineLevel="0" collapsed="false">
      <c r="A10" s="41" t="n">
        <v>6</v>
      </c>
      <c r="B10" s="30" t="s">
        <v>143</v>
      </c>
      <c r="C10" s="40" t="n">
        <v>24</v>
      </c>
      <c r="D10" s="42"/>
      <c r="E10" s="43" t="n">
        <f aca="false">IF(B10="","",IF(D10&lt;&gt;"",D10,IF(C10&lt;&gt;"",EDATE(Inputs!$B$4,C10),"")))</f>
        <v>47122</v>
      </c>
      <c r="F10" s="26" t="s">
        <v>144</v>
      </c>
    </row>
    <row r="11" customFormat="false" ht="15" hidden="false" customHeight="false" outlineLevel="0" collapsed="false">
      <c r="A11" s="41" t="n">
        <v>7</v>
      </c>
      <c r="B11" s="30" t="s">
        <v>145</v>
      </c>
      <c r="C11" s="40" t="n">
        <v>25</v>
      </c>
      <c r="D11" s="42"/>
      <c r="E11" s="43" t="n">
        <f aca="false">IF(B11="","",IF(D11&lt;&gt;"",D11,IF(C11&lt;&gt;"",EDATE(Inputs!$B$4,C11),"")))</f>
        <v>47153</v>
      </c>
      <c r="F11" s="26" t="s">
        <v>146</v>
      </c>
    </row>
    <row r="12" customFormat="false" ht="15" hidden="false" customHeight="false" outlineLevel="0" collapsed="false">
      <c r="A12" s="41" t="n">
        <v>8</v>
      </c>
      <c r="B12" s="30" t="s">
        <v>147</v>
      </c>
      <c r="C12" s="40" t="n">
        <v>31</v>
      </c>
      <c r="D12" s="42"/>
      <c r="E12" s="43" t="n">
        <f aca="false">IF(B12="","",IF(D12&lt;&gt;"",D12,IF(C12&lt;&gt;"",EDATE(Inputs!$B$4,C12),"")))</f>
        <v>47334</v>
      </c>
      <c r="F12" s="26" t="s">
        <v>148</v>
      </c>
    </row>
    <row r="13" customFormat="false" ht="15" hidden="false" customHeight="false" outlineLevel="0" collapsed="false">
      <c r="A13" s="41" t="n">
        <v>9</v>
      </c>
      <c r="B13" s="30" t="s">
        <v>149</v>
      </c>
      <c r="C13" s="40" t="n">
        <v>33</v>
      </c>
      <c r="D13" s="42"/>
      <c r="E13" s="43" t="n">
        <f aca="false">IF(B13="","",IF(D13&lt;&gt;"",D13,IF(C13&lt;&gt;"",EDATE(Inputs!$B$4,C13),"")))</f>
        <v>47395</v>
      </c>
      <c r="F13" s="26" t="s">
        <v>150</v>
      </c>
    </row>
    <row r="14" customFormat="false" ht="15" hidden="false" customHeight="false" outlineLevel="0" collapsed="false">
      <c r="A14" s="41" t="n">
        <v>10</v>
      </c>
      <c r="B14" s="30" t="s">
        <v>151</v>
      </c>
      <c r="C14" s="44"/>
      <c r="D14" s="45" t="n">
        <f aca="false">Inputs!$B$5</f>
        <v>47483</v>
      </c>
      <c r="E14" s="43" t="n">
        <f aca="false">IF(B14="","",IF(D14&lt;&gt;"",D14,IF(C14&lt;&gt;"",EDATE(Inputs!$B$4,C14),"")))</f>
        <v>47483</v>
      </c>
      <c r="F14" s="26" t="s">
        <v>152</v>
      </c>
    </row>
    <row r="15" customFormat="false" ht="15" hidden="false" customHeight="false" outlineLevel="0" collapsed="false">
      <c r="A15" s="41" t="n">
        <v>11</v>
      </c>
      <c r="B15" s="46"/>
      <c r="C15" s="47"/>
      <c r="D15" s="42"/>
      <c r="E15" s="43" t="str">
        <f aca="false">IF(B15="","",IF(D15&lt;&gt;"",D15,IF(C15&lt;&gt;"",EDATE(Inputs!$B$4,C15),"")))</f>
        <v/>
      </c>
      <c r="F15" s="8"/>
    </row>
    <row r="16" customFormat="false" ht="15" hidden="false" customHeight="false" outlineLevel="0" collapsed="false">
      <c r="A16" s="41" t="n">
        <v>12</v>
      </c>
      <c r="B16" s="46"/>
      <c r="C16" s="47"/>
      <c r="D16" s="42"/>
      <c r="E16" s="43" t="str">
        <f aca="false">IF(B16="","",IF(D16&lt;&gt;"",D16,IF(C16&lt;&gt;"",EDATE(Inputs!$B$4,C16),"")))</f>
        <v/>
      </c>
      <c r="F16" s="8"/>
    </row>
    <row r="17" customFormat="false" ht="15" hidden="false" customHeight="false" outlineLevel="0" collapsed="false">
      <c r="A17" s="41" t="n">
        <v>13</v>
      </c>
      <c r="B17" s="46"/>
      <c r="C17" s="47"/>
      <c r="D17" s="42"/>
      <c r="E17" s="43" t="str">
        <f aca="false">IF(B17="","",IF(D17&lt;&gt;"",D17,IF(C17&lt;&gt;"",EDATE(Inputs!$B$4,C17),"")))</f>
        <v/>
      </c>
      <c r="F17" s="8"/>
    </row>
    <row r="18" customFormat="false" ht="15" hidden="false" customHeight="false" outlineLevel="0" collapsed="false">
      <c r="A18" s="41" t="n">
        <v>14</v>
      </c>
      <c r="B18" s="46"/>
      <c r="C18" s="47"/>
      <c r="D18" s="42"/>
      <c r="E18" s="43" t="str">
        <f aca="false">IF(B18="","",IF(D18&lt;&gt;"",D18,IF(C18&lt;&gt;"",EDATE(Inputs!$B$4,C18),"")))</f>
        <v/>
      </c>
      <c r="F18" s="8"/>
    </row>
    <row r="19" customFormat="false" ht="15" hidden="false" customHeight="false" outlineLevel="0" collapsed="false">
      <c r="A19" s="41" t="n">
        <v>15</v>
      </c>
      <c r="B19" s="46"/>
      <c r="C19" s="47"/>
      <c r="D19" s="42"/>
      <c r="E19" s="43" t="str">
        <f aca="false">IF(B19="","",IF(D19&lt;&gt;"",D19,IF(C19&lt;&gt;"",EDATE(Inputs!$B$4,C19),"")))</f>
        <v/>
      </c>
      <c r="F19" s="8"/>
    </row>
    <row r="20" customFormat="false" ht="15" hidden="false" customHeight="false" outlineLevel="0" collapsed="false">
      <c r="A20" s="41" t="n">
        <v>16</v>
      </c>
      <c r="B20" s="46"/>
      <c r="C20" s="47"/>
      <c r="D20" s="42"/>
      <c r="E20" s="43" t="str">
        <f aca="false">IF(B20="","",IF(D20&lt;&gt;"",D20,IF(C20&lt;&gt;"",EDATE(Inputs!$B$4,C20),"")))</f>
        <v/>
      </c>
      <c r="F20" s="8"/>
    </row>
    <row r="21" customFormat="false" ht="15" hidden="false" customHeight="false" outlineLevel="0" collapsed="false">
      <c r="A21" s="41" t="n">
        <v>17</v>
      </c>
      <c r="B21" s="46"/>
      <c r="C21" s="47"/>
      <c r="D21" s="42"/>
      <c r="E21" s="43" t="str">
        <f aca="false">IF(B21="","",IF(D21&lt;&gt;"",D21,IF(C21&lt;&gt;"",EDATE(Inputs!$B$4,C21),"")))</f>
        <v/>
      </c>
      <c r="F21" s="8"/>
    </row>
    <row r="22" customFormat="false" ht="15" hidden="false" customHeight="false" outlineLevel="0" collapsed="false">
      <c r="A22" s="41" t="n">
        <v>18</v>
      </c>
      <c r="B22" s="46"/>
      <c r="C22" s="47"/>
      <c r="D22" s="42"/>
      <c r="E22" s="43" t="str">
        <f aca="false">IF(B22="","",IF(D22&lt;&gt;"",D22,IF(C22&lt;&gt;"",EDATE(Inputs!$B$4,C22),"")))</f>
        <v/>
      </c>
      <c r="F22" s="8"/>
    </row>
    <row r="23" customFormat="false" ht="15" hidden="false" customHeight="false" outlineLevel="0" collapsed="false">
      <c r="A23" s="41" t="n">
        <v>19</v>
      </c>
      <c r="B23" s="46"/>
      <c r="C23" s="47"/>
      <c r="D23" s="42"/>
      <c r="E23" s="43" t="str">
        <f aca="false">IF(B23="","",IF(D23&lt;&gt;"",D23,IF(C23&lt;&gt;"",EDATE(Inputs!$B$4,C23),"")))</f>
        <v/>
      </c>
      <c r="F23" s="8"/>
    </row>
    <row r="24" customFormat="false" ht="15" hidden="false" customHeight="false" outlineLevel="0" collapsed="false">
      <c r="A24" s="41" t="n">
        <v>20</v>
      </c>
      <c r="B24" s="46"/>
      <c r="C24" s="47"/>
      <c r="D24" s="42"/>
      <c r="E24" s="43" t="str">
        <f aca="false">IF(B24="","",IF(D24&lt;&gt;"",D24,IF(C24&lt;&gt;"",EDATE(Inputs!$B$4,C24),"")))</f>
        <v/>
      </c>
      <c r="F24" s="8"/>
    </row>
    <row r="25" customFormat="false" ht="15" hidden="false" customHeight="false" outlineLevel="0" collapsed="false">
      <c r="A25" s="41" t="n">
        <v>21</v>
      </c>
      <c r="B25" s="46"/>
      <c r="C25" s="47"/>
      <c r="D25" s="42"/>
      <c r="E25" s="43" t="str">
        <f aca="false">IF(B25="","",IF(D25&lt;&gt;"",D25,IF(C25&lt;&gt;"",EDATE(Inputs!$B$4,C25),"")))</f>
        <v/>
      </c>
      <c r="F25" s="8"/>
    </row>
    <row r="26" customFormat="false" ht="15" hidden="false" customHeight="false" outlineLevel="0" collapsed="false">
      <c r="A26" s="41" t="n">
        <v>22</v>
      </c>
      <c r="B26" s="46"/>
      <c r="C26" s="47"/>
      <c r="D26" s="42"/>
      <c r="E26" s="43" t="str">
        <f aca="false">IF(B26="","",IF(D26&lt;&gt;"",D26,IF(C26&lt;&gt;"",EDATE(Inputs!$B$4,C26),"")))</f>
        <v/>
      </c>
      <c r="F26" s="8"/>
    </row>
    <row r="27" customFormat="false" ht="15" hidden="false" customHeight="false" outlineLevel="0" collapsed="false">
      <c r="A27" s="41" t="n">
        <v>23</v>
      </c>
      <c r="B27" s="46"/>
      <c r="C27" s="47"/>
      <c r="D27" s="42"/>
      <c r="E27" s="43" t="str">
        <f aca="false">IF(B27="","",IF(D27&lt;&gt;"",D27,IF(C27&lt;&gt;"",EDATE(Inputs!$B$4,C27),"")))</f>
        <v/>
      </c>
      <c r="F27" s="8"/>
    </row>
    <row r="28" customFormat="false" ht="15" hidden="false" customHeight="false" outlineLevel="0" collapsed="false">
      <c r="A28" s="41" t="n">
        <v>24</v>
      </c>
      <c r="B28" s="46"/>
      <c r="C28" s="47"/>
      <c r="D28" s="42"/>
      <c r="E28" s="43" t="str">
        <f aca="false">IF(B28="","",IF(D28&lt;&gt;"",D28,IF(C28&lt;&gt;"",EDATE(Inputs!$B$4,C28),"")))</f>
        <v/>
      </c>
      <c r="F28" s="8"/>
    </row>
    <row r="29" customFormat="false" ht="15" hidden="false" customHeight="false" outlineLevel="0" collapsed="false">
      <c r="A29" s="41" t="n">
        <v>25</v>
      </c>
      <c r="B29" s="46"/>
      <c r="C29" s="47"/>
      <c r="D29" s="42"/>
      <c r="E29" s="43" t="str">
        <f aca="false">IF(B29="","",IF(D29&lt;&gt;"",D29,IF(C29&lt;&gt;"",EDATE(Inputs!$B$4,C29),"")))</f>
        <v/>
      </c>
      <c r="F29" s="8"/>
    </row>
    <row r="30" customFormat="false" ht="15" hidden="false" customHeight="false" outlineLevel="0" collapsed="false">
      <c r="A30" s="41" t="n">
        <v>26</v>
      </c>
      <c r="B30" s="46"/>
      <c r="C30" s="47"/>
      <c r="D30" s="42"/>
      <c r="E30" s="43" t="str">
        <f aca="false">IF(B30="","",IF(D30&lt;&gt;"",D30,IF(C30&lt;&gt;"",EDATE(Inputs!$B$4,C30),"")))</f>
        <v/>
      </c>
      <c r="F30" s="8"/>
    </row>
    <row r="31" customFormat="false" ht="15" hidden="false" customHeight="false" outlineLevel="0" collapsed="false">
      <c r="A31" s="41" t="n">
        <v>27</v>
      </c>
      <c r="B31" s="46"/>
      <c r="C31" s="47"/>
      <c r="D31" s="42"/>
      <c r="E31" s="43" t="str">
        <f aca="false">IF(B31="","",IF(D31&lt;&gt;"",D31,IF(C31&lt;&gt;"",EDATE(Inputs!$B$4,C31),"")))</f>
        <v/>
      </c>
      <c r="F31" s="8"/>
    </row>
    <row r="32" customFormat="false" ht="15" hidden="false" customHeight="false" outlineLevel="0" collapsed="false">
      <c r="A32" s="41" t="n">
        <v>28</v>
      </c>
      <c r="B32" s="46"/>
      <c r="C32" s="47"/>
      <c r="D32" s="42"/>
      <c r="E32" s="43" t="str">
        <f aca="false">IF(B32="","",IF(D32&lt;&gt;"",D32,IF(C32&lt;&gt;"",EDATE(Inputs!$B$4,C32),"")))</f>
        <v/>
      </c>
      <c r="F32" s="8"/>
    </row>
    <row r="33" customFormat="false" ht="15" hidden="false" customHeight="false" outlineLevel="0" collapsed="false">
      <c r="A33" s="41" t="n">
        <v>29</v>
      </c>
      <c r="B33" s="46"/>
      <c r="C33" s="47"/>
      <c r="D33" s="42"/>
      <c r="E33" s="43" t="str">
        <f aca="false">IF(B33="","",IF(D33&lt;&gt;"",D33,IF(C33&lt;&gt;"",EDATE(Inputs!$B$4,C33),"")))</f>
        <v/>
      </c>
      <c r="F33" s="8"/>
    </row>
    <row r="34" customFormat="false" ht="15" hidden="false" customHeight="false" outlineLevel="0" collapsed="false">
      <c r="A34" s="41" t="n">
        <v>30</v>
      </c>
      <c r="B34" s="46"/>
      <c r="C34" s="47"/>
      <c r="D34" s="42"/>
      <c r="E34" s="43" t="str">
        <f aca="false">IF(B34="","",IF(D34&lt;&gt;"",D34,IF(C34&lt;&gt;"",EDATE(Inputs!$B$4,C34),"")))</f>
        <v/>
      </c>
      <c r="F3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V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4" min="14" style="0" width="8"/>
    <col collapsed="false" customWidth="true" hidden="false" outlineLevel="0" max="16" min="15" style="0" width="12"/>
    <col collapsed="false" customWidth="true" hidden="false" outlineLevel="0" max="17" min="17" style="0" width="8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11"/>
    <col collapsed="false" customWidth="true" hidden="false" outlineLevel="0" max="21" min="21" style="0" width="70"/>
    <col collapsed="false" customWidth="true" hidden="false" outlineLevel="0" max="22" min="22" style="0" width="22"/>
  </cols>
  <sheetData>
    <row r="1" customFormat="false" ht="17.35" hidden="false" customHeight="false" outlineLevel="0" collapsed="false">
      <c r="A1" s="3" t="s">
        <v>153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customFormat="false" ht="15" hidden="false" customHeight="false" outlineLevel="0" collapsed="false">
      <c r="A2" s="5" t="s">
        <v>154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customFormat="false" ht="15" hidden="false" customHeight="false" outlineLevel="0" collapsed="false">
      <c r="A3" s="4" t="s">
        <v>155</v>
      </c>
      <c r="B3" s="48" t="n">
        <f aca="false">Inputs!$B$9</f>
        <v>800</v>
      </c>
      <c r="C3" s="4" t="s">
        <v>156</v>
      </c>
      <c r="D3" s="49" t="n">
        <f aca="false">Inputs!$B$16</f>
        <v>1</v>
      </c>
      <c r="E3" s="4" t="s">
        <v>157</v>
      </c>
      <c r="F3" s="49" t="n">
        <f aca="false">Inputs!$B$22</f>
        <v>1.3</v>
      </c>
      <c r="G3" s="4" t="s">
        <v>158</v>
      </c>
      <c r="H3" s="49" t="n">
        <f aca="false">Inputs!$B$11</f>
        <v>1.5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customFormat="false" ht="45" hidden="false" customHeight="true" outlineLevel="0" collapsed="false">
      <c r="A5" s="6" t="s">
        <v>159</v>
      </c>
      <c r="B5" s="6" t="s">
        <v>28</v>
      </c>
      <c r="C5" s="6" t="s">
        <v>160</v>
      </c>
      <c r="D5" s="6" t="s">
        <v>161</v>
      </c>
      <c r="E5" s="6" t="s">
        <v>162</v>
      </c>
      <c r="F5" s="6" t="s">
        <v>163</v>
      </c>
      <c r="G5" s="6" t="s">
        <v>164</v>
      </c>
      <c r="H5" s="6" t="s">
        <v>165</v>
      </c>
      <c r="I5" s="6" t="s">
        <v>166</v>
      </c>
      <c r="J5" s="6" t="s">
        <v>167</v>
      </c>
      <c r="K5" s="6" t="s">
        <v>168</v>
      </c>
      <c r="L5" s="6" t="s">
        <v>169</v>
      </c>
      <c r="M5" s="6" t="s">
        <v>170</v>
      </c>
      <c r="N5" s="6" t="s">
        <v>171</v>
      </c>
      <c r="O5" s="6" t="s">
        <v>172</v>
      </c>
      <c r="P5" s="6" t="s">
        <v>173</v>
      </c>
      <c r="Q5" s="6" t="s">
        <v>174</v>
      </c>
      <c r="R5" s="6" t="s">
        <v>30</v>
      </c>
      <c r="S5" s="6" t="s">
        <v>175</v>
      </c>
      <c r="T5" s="6" t="s">
        <v>31</v>
      </c>
      <c r="U5" s="6" t="s">
        <v>176</v>
      </c>
      <c r="V5" s="6" t="s">
        <v>177</v>
      </c>
    </row>
    <row r="6" customFormat="false" ht="39.55" hidden="false" customHeight="false" outlineLevel="0" collapsed="false">
      <c r="A6" s="50" t="s">
        <v>178</v>
      </c>
      <c r="B6" s="50" t="s">
        <v>34</v>
      </c>
      <c r="C6" s="51" t="s">
        <v>179</v>
      </c>
      <c r="D6" s="50" t="s">
        <v>180</v>
      </c>
      <c r="E6" s="30" t="s">
        <v>181</v>
      </c>
      <c r="F6" s="30" t="s">
        <v>182</v>
      </c>
      <c r="G6" s="36" t="n">
        <v>20</v>
      </c>
      <c r="H6" s="39" t="n">
        <v>1</v>
      </c>
      <c r="I6" s="30" t="s">
        <v>181</v>
      </c>
      <c r="J6" s="30" t="s">
        <v>183</v>
      </c>
      <c r="K6" s="30" t="s">
        <v>133</v>
      </c>
      <c r="L6" s="30" t="n">
        <v>0</v>
      </c>
      <c r="M6" s="30" t="s">
        <v>151</v>
      </c>
      <c r="N6" s="30" t="n">
        <v>0</v>
      </c>
      <c r="O6" s="43" t="n">
        <f aca="false">IFERROR(INDEX(Milestones!$E$5:$E$34,MATCH($K6,Milestones!$B$5:$B$34,0))+N($L6)*7,"")</f>
        <v>46391</v>
      </c>
      <c r="P6" s="43" t="n">
        <f aca="false">IFERROR(INDEX(Milestones!$E$5:$E$34,MATCH($M6,Milestones!$B$5:$B$34,0))+N($N6)*7,"")</f>
        <v>47483</v>
      </c>
      <c r="Q6" s="52" t="n">
        <f aca="false">IF(OR($O6="",$P6=""),"",MAX(0,($P6-$O6)/(365.25/12)))</f>
        <v>35.8767967145791</v>
      </c>
      <c r="R6" s="53" t="n">
        <f aca="false">IF(OR($A6="",$E6&lt;&gt;"Y"),0,IF($F6="SAR",$G6*Inputs!$B$9,IF($F6="LOE",$G6*N($Q6),$G6))*N($H6)*IF($I6="Y",Inputs!$B$16,1)*IF($J6="Y",Inputs!$B$22,1))</f>
        <v>717.535934291581</v>
      </c>
      <c r="S6" s="36"/>
      <c r="T6" s="53" t="n">
        <f aca="false">$R6*IF($S6&lt;&gt;"",$S6,Inputs!$B$11)</f>
        <v>1076.30390143737</v>
      </c>
      <c r="U6" s="51" t="s">
        <v>184</v>
      </c>
      <c r="V6" s="30" t="s">
        <v>110</v>
      </c>
    </row>
    <row r="7" customFormat="false" ht="39.55" hidden="false" customHeight="false" outlineLevel="0" collapsed="false">
      <c r="A7" s="50" t="s">
        <v>185</v>
      </c>
      <c r="B7" s="50" t="s">
        <v>34</v>
      </c>
      <c r="C7" s="51" t="s">
        <v>186</v>
      </c>
      <c r="D7" s="50" t="s">
        <v>187</v>
      </c>
      <c r="E7" s="30" t="s">
        <v>181</v>
      </c>
      <c r="F7" s="30" t="s">
        <v>188</v>
      </c>
      <c r="G7" s="36" t="n">
        <v>0.4</v>
      </c>
      <c r="H7" s="39" t="n">
        <v>1</v>
      </c>
      <c r="I7" s="30" t="s">
        <v>181</v>
      </c>
      <c r="J7" s="30" t="s">
        <v>183</v>
      </c>
      <c r="K7" s="30" t="s">
        <v>133</v>
      </c>
      <c r="L7" s="30" t="n">
        <v>0</v>
      </c>
      <c r="M7" s="30" t="s">
        <v>135</v>
      </c>
      <c r="N7" s="30" t="n">
        <v>0</v>
      </c>
      <c r="O7" s="43" t="n">
        <f aca="false">IFERROR(INDEX(Milestones!$E$5:$E$34,MATCH($K7,Milestones!$B$5:$B$34,0))+N($L7)*7,"")</f>
        <v>46391</v>
      </c>
      <c r="P7" s="43" t="n">
        <f aca="false">IFERROR(INDEX(Milestones!$E$5:$E$34,MATCH($M7,Milestones!$B$5:$B$34,0))+N($N7)*7,"")</f>
        <v>46481</v>
      </c>
      <c r="Q7" s="52" t="n">
        <f aca="false">IF(OR($O7="",$P7=""),"",MAX(0,($P7-$O7)/(365.25/12)))</f>
        <v>2.95687885010267</v>
      </c>
      <c r="R7" s="53" t="n">
        <f aca="false">IF(OR($A7="",$E7&lt;&gt;"Y"),0,IF($F7="SAR",$G7*Inputs!$B$9,IF($F7="LOE",$G7*N($Q7),$G7))*N($H7)*IF($I7="Y",Inputs!$B$16,1)*IF($J7="Y",Inputs!$B$22,1))</f>
        <v>320</v>
      </c>
      <c r="S7" s="36"/>
      <c r="T7" s="53" t="n">
        <f aca="false">$R7*IF($S7&lt;&gt;"",$S7,Inputs!$B$11)</f>
        <v>480</v>
      </c>
      <c r="U7" s="51" t="s">
        <v>189</v>
      </c>
      <c r="V7" s="30" t="s">
        <v>110</v>
      </c>
    </row>
    <row r="8" customFormat="false" ht="26.85" hidden="false" customHeight="false" outlineLevel="0" collapsed="false">
      <c r="A8" s="50" t="s">
        <v>190</v>
      </c>
      <c r="B8" s="50" t="s">
        <v>34</v>
      </c>
      <c r="C8" s="51" t="s">
        <v>191</v>
      </c>
      <c r="D8" s="50" t="s">
        <v>192</v>
      </c>
      <c r="E8" s="30" t="s">
        <v>183</v>
      </c>
      <c r="F8" s="30" t="s">
        <v>188</v>
      </c>
      <c r="G8" s="36" t="n">
        <v>0.3</v>
      </c>
      <c r="H8" s="39" t="n">
        <v>1</v>
      </c>
      <c r="I8" s="30" t="s">
        <v>181</v>
      </c>
      <c r="J8" s="30" t="s">
        <v>183</v>
      </c>
      <c r="K8" s="30" t="s">
        <v>133</v>
      </c>
      <c r="L8" s="30" t="n">
        <v>0</v>
      </c>
      <c r="M8" s="30" t="s">
        <v>135</v>
      </c>
      <c r="N8" s="30" t="n">
        <v>0</v>
      </c>
      <c r="O8" s="43" t="n">
        <f aca="false">IFERROR(INDEX(Milestones!$E$5:$E$34,MATCH($K8,Milestones!$B$5:$B$34,0))+N($L8)*7,"")</f>
        <v>46391</v>
      </c>
      <c r="P8" s="43" t="n">
        <f aca="false">IFERROR(INDEX(Milestones!$E$5:$E$34,MATCH($M8,Milestones!$B$5:$B$34,0))+N($N8)*7,"")</f>
        <v>46481</v>
      </c>
      <c r="Q8" s="52" t="n">
        <f aca="false">IF(OR($O8="",$P8=""),"",MAX(0,($P8-$O8)/(365.25/12)))</f>
        <v>2.95687885010267</v>
      </c>
      <c r="R8" s="53" t="n">
        <f aca="false">IF(OR($A8="",$E8&lt;&gt;"Y"),0,IF($F8="SAR",$G8*Inputs!$B$9,IF($F8="LOE",$G8*N($Q8),$G8))*N($H8)*IF($I8="Y",Inputs!$B$16,1)*IF($J8="Y",Inputs!$B$22,1))</f>
        <v>0</v>
      </c>
      <c r="S8" s="36"/>
      <c r="T8" s="53" t="n">
        <f aca="false">$R8*IF($S8&lt;&gt;"",$S8,Inputs!$B$11)</f>
        <v>0</v>
      </c>
      <c r="U8" s="51" t="s">
        <v>193</v>
      </c>
      <c r="V8" s="30" t="s">
        <v>110</v>
      </c>
    </row>
    <row r="9" customFormat="false" ht="26.85" hidden="false" customHeight="false" outlineLevel="0" collapsed="false">
      <c r="A9" s="50" t="s">
        <v>194</v>
      </c>
      <c r="B9" s="50" t="s">
        <v>34</v>
      </c>
      <c r="C9" s="51" t="s">
        <v>195</v>
      </c>
      <c r="D9" s="50" t="s">
        <v>196</v>
      </c>
      <c r="E9" s="30" t="s">
        <v>181</v>
      </c>
      <c r="F9" s="30" t="s">
        <v>188</v>
      </c>
      <c r="G9" s="36" t="n">
        <v>0.05</v>
      </c>
      <c r="H9" s="54" t="n">
        <f aca="false">Inputs!$B$33</f>
        <v>6</v>
      </c>
      <c r="I9" s="30" t="s">
        <v>181</v>
      </c>
      <c r="J9" s="30" t="s">
        <v>183</v>
      </c>
      <c r="K9" s="30" t="s">
        <v>135</v>
      </c>
      <c r="L9" s="30" t="n">
        <v>-4</v>
      </c>
      <c r="M9" s="30" t="s">
        <v>151</v>
      </c>
      <c r="N9" s="30" t="n">
        <v>0</v>
      </c>
      <c r="O9" s="43" t="n">
        <f aca="false">IFERROR(INDEX(Milestones!$E$5:$E$34,MATCH($K9,Milestones!$B$5:$B$34,0))+N($L9)*7,"")</f>
        <v>46453</v>
      </c>
      <c r="P9" s="43" t="n">
        <f aca="false">IFERROR(INDEX(Milestones!$E$5:$E$34,MATCH($M9,Milestones!$B$5:$B$34,0))+N($N9)*7,"")</f>
        <v>47483</v>
      </c>
      <c r="Q9" s="52" t="n">
        <f aca="false">IF(OR($O9="",$P9=""),"",MAX(0,($P9-$O9)/(365.25/12)))</f>
        <v>33.8398357289528</v>
      </c>
      <c r="R9" s="53" t="n">
        <f aca="false">IF(OR($A9="",$E9&lt;&gt;"Y"),0,IF($F9="SAR",$G9*Inputs!$B$9,IF($F9="LOE",$G9*N($Q9),$G9))*N($H9)*IF($I9="Y",Inputs!$B$16,1)*IF($J9="Y",Inputs!$B$22,1))</f>
        <v>240</v>
      </c>
      <c r="S9" s="36"/>
      <c r="T9" s="53" t="n">
        <f aca="false">$R9*IF($S9&lt;&gt;"",$S9,Inputs!$B$11)</f>
        <v>360</v>
      </c>
      <c r="U9" s="51" t="s">
        <v>197</v>
      </c>
      <c r="V9" s="30" t="s">
        <v>110</v>
      </c>
    </row>
    <row r="10" customFormat="false" ht="26.85" hidden="false" customHeight="false" outlineLevel="0" collapsed="false">
      <c r="A10" s="50" t="s">
        <v>198</v>
      </c>
      <c r="B10" s="50" t="s">
        <v>34</v>
      </c>
      <c r="C10" s="51" t="s">
        <v>199</v>
      </c>
      <c r="D10" s="50" t="s">
        <v>200</v>
      </c>
      <c r="E10" s="30" t="s">
        <v>181</v>
      </c>
      <c r="F10" s="30" t="s">
        <v>182</v>
      </c>
      <c r="G10" s="36" t="n">
        <v>12</v>
      </c>
      <c r="H10" s="39" t="n">
        <v>1</v>
      </c>
      <c r="I10" s="30" t="s">
        <v>181</v>
      </c>
      <c r="J10" s="30" t="s">
        <v>183</v>
      </c>
      <c r="K10" s="30" t="s">
        <v>133</v>
      </c>
      <c r="L10" s="30" t="n">
        <v>0</v>
      </c>
      <c r="M10" s="30" t="s">
        <v>151</v>
      </c>
      <c r="N10" s="30" t="n">
        <v>0</v>
      </c>
      <c r="O10" s="43" t="n">
        <f aca="false">IFERROR(INDEX(Milestones!$E$5:$E$34,MATCH($K10,Milestones!$B$5:$B$34,0))+N($L10)*7,"")</f>
        <v>46391</v>
      </c>
      <c r="P10" s="43" t="n">
        <f aca="false">IFERROR(INDEX(Milestones!$E$5:$E$34,MATCH($M10,Milestones!$B$5:$B$34,0))+N($N10)*7,"")</f>
        <v>47483</v>
      </c>
      <c r="Q10" s="52" t="n">
        <f aca="false">IF(OR($O10="",$P10=""),"",MAX(0,($P10-$O10)/(365.25/12)))</f>
        <v>35.8767967145791</v>
      </c>
      <c r="R10" s="53" t="n">
        <f aca="false">IF(OR($A10="",$E10&lt;&gt;"Y"),0,IF($F10="SAR",$G10*Inputs!$B$9,IF($F10="LOE",$G10*N($Q10),$G10))*N($H10)*IF($I10="Y",Inputs!$B$16,1)*IF($J10="Y",Inputs!$B$22,1))</f>
        <v>430.521560574949</v>
      </c>
      <c r="S10" s="36"/>
      <c r="T10" s="53" t="n">
        <f aca="false">$R10*IF($S10&lt;&gt;"",$S10,Inputs!$B$11)</f>
        <v>645.782340862423</v>
      </c>
      <c r="U10" s="51" t="s">
        <v>201</v>
      </c>
      <c r="V10" s="30" t="s">
        <v>110</v>
      </c>
    </row>
    <row r="11" customFormat="false" ht="26.85" hidden="false" customHeight="false" outlineLevel="0" collapsed="false">
      <c r="A11" s="50" t="s">
        <v>202</v>
      </c>
      <c r="B11" s="50" t="s">
        <v>34</v>
      </c>
      <c r="C11" s="51" t="s">
        <v>203</v>
      </c>
      <c r="D11" s="50" t="s">
        <v>204</v>
      </c>
      <c r="E11" s="30" t="s">
        <v>181</v>
      </c>
      <c r="F11" s="30" t="s">
        <v>188</v>
      </c>
      <c r="G11" s="36" t="n">
        <v>0.15</v>
      </c>
      <c r="H11" s="39" t="n">
        <v>1</v>
      </c>
      <c r="I11" s="30" t="s">
        <v>181</v>
      </c>
      <c r="J11" s="30" t="s">
        <v>183</v>
      </c>
      <c r="K11" s="30" t="s">
        <v>133</v>
      </c>
      <c r="L11" s="30" t="n">
        <v>0</v>
      </c>
      <c r="M11" s="30" t="s">
        <v>135</v>
      </c>
      <c r="N11" s="30" t="n">
        <v>0</v>
      </c>
      <c r="O11" s="43" t="n">
        <f aca="false">IFERROR(INDEX(Milestones!$E$5:$E$34,MATCH($K11,Milestones!$B$5:$B$34,0))+N($L11)*7,"")</f>
        <v>46391</v>
      </c>
      <c r="P11" s="43" t="n">
        <f aca="false">IFERROR(INDEX(Milestones!$E$5:$E$34,MATCH($M11,Milestones!$B$5:$B$34,0))+N($N11)*7,"")</f>
        <v>46481</v>
      </c>
      <c r="Q11" s="52" t="n">
        <f aca="false">IF(OR($O11="",$P11=""),"",MAX(0,($P11-$O11)/(365.25/12)))</f>
        <v>2.95687885010267</v>
      </c>
      <c r="R11" s="53" t="n">
        <f aca="false">IF(OR($A11="",$E11&lt;&gt;"Y"),0,IF($F11="SAR",$G11*Inputs!$B$9,IF($F11="LOE",$G11*N($Q11),$G11))*N($H11)*IF($I11="Y",Inputs!$B$16,1)*IF($J11="Y",Inputs!$B$22,1))</f>
        <v>120</v>
      </c>
      <c r="S11" s="36"/>
      <c r="T11" s="53" t="n">
        <f aca="false">$R11*IF($S11&lt;&gt;"",$S11,Inputs!$B$11)</f>
        <v>180</v>
      </c>
      <c r="U11" s="51" t="s">
        <v>205</v>
      </c>
      <c r="V11" s="30" t="s">
        <v>116</v>
      </c>
    </row>
    <row r="12" customFormat="false" ht="26.85" hidden="false" customHeight="false" outlineLevel="0" collapsed="false">
      <c r="A12" s="50" t="s">
        <v>206</v>
      </c>
      <c r="B12" s="50" t="s">
        <v>34</v>
      </c>
      <c r="C12" s="51" t="s">
        <v>207</v>
      </c>
      <c r="D12" s="50" t="s">
        <v>208</v>
      </c>
      <c r="E12" s="30" t="s">
        <v>181</v>
      </c>
      <c r="F12" s="30" t="s">
        <v>182</v>
      </c>
      <c r="G12" s="36" t="n">
        <v>8</v>
      </c>
      <c r="H12" s="39" t="n">
        <v>1</v>
      </c>
      <c r="I12" s="30" t="s">
        <v>181</v>
      </c>
      <c r="J12" s="30" t="s">
        <v>183</v>
      </c>
      <c r="K12" s="30" t="s">
        <v>135</v>
      </c>
      <c r="L12" s="30" t="n">
        <v>0</v>
      </c>
      <c r="M12" s="30" t="s">
        <v>151</v>
      </c>
      <c r="N12" s="30" t="n">
        <v>0</v>
      </c>
      <c r="O12" s="43" t="n">
        <f aca="false">IFERROR(INDEX(Milestones!$E$5:$E$34,MATCH($K12,Milestones!$B$5:$B$34,0))+N($L12)*7,"")</f>
        <v>46481</v>
      </c>
      <c r="P12" s="43" t="n">
        <f aca="false">IFERROR(INDEX(Milestones!$E$5:$E$34,MATCH($M12,Milestones!$B$5:$B$34,0))+N($N12)*7,"")</f>
        <v>47483</v>
      </c>
      <c r="Q12" s="52" t="n">
        <f aca="false">IF(OR($O12="",$P12=""),"",MAX(0,($P12-$O12)/(365.25/12)))</f>
        <v>32.9199178644764</v>
      </c>
      <c r="R12" s="53" t="n">
        <f aca="false">IF(OR($A12="",$E12&lt;&gt;"Y"),0,IF($F12="SAR",$G12*Inputs!$B$9,IF($F12="LOE",$G12*N($Q12),$G12))*N($H12)*IF($I12="Y",Inputs!$B$16,1)*IF($J12="Y",Inputs!$B$22,1))</f>
        <v>263.359342915811</v>
      </c>
      <c r="S12" s="36"/>
      <c r="T12" s="53" t="n">
        <f aca="false">$R12*IF($S12&lt;&gt;"",$S12,Inputs!$B$11)</f>
        <v>395.039014373717</v>
      </c>
      <c r="U12" s="51" t="s">
        <v>209</v>
      </c>
      <c r="V12" s="30" t="s">
        <v>116</v>
      </c>
    </row>
    <row r="13" customFormat="false" ht="26.85" hidden="false" customHeight="false" outlineLevel="0" collapsed="false">
      <c r="A13" s="50" t="s">
        <v>210</v>
      </c>
      <c r="B13" s="50" t="s">
        <v>34</v>
      </c>
      <c r="C13" s="51" t="s">
        <v>211</v>
      </c>
      <c r="D13" s="50" t="s">
        <v>212</v>
      </c>
      <c r="E13" s="30" t="s">
        <v>181</v>
      </c>
      <c r="F13" s="30" t="s">
        <v>182</v>
      </c>
      <c r="G13" s="36" t="n">
        <v>4</v>
      </c>
      <c r="H13" s="39" t="n">
        <v>1</v>
      </c>
      <c r="I13" s="30" t="s">
        <v>181</v>
      </c>
      <c r="J13" s="30" t="s">
        <v>183</v>
      </c>
      <c r="K13" s="30" t="s">
        <v>133</v>
      </c>
      <c r="L13" s="30" t="n">
        <v>0</v>
      </c>
      <c r="M13" s="30" t="s">
        <v>151</v>
      </c>
      <c r="N13" s="30" t="n">
        <v>0</v>
      </c>
      <c r="O13" s="43" t="n">
        <f aca="false">IFERROR(INDEX(Milestones!$E$5:$E$34,MATCH($K13,Milestones!$B$5:$B$34,0))+N($L13)*7,"")</f>
        <v>46391</v>
      </c>
      <c r="P13" s="43" t="n">
        <f aca="false">IFERROR(INDEX(Milestones!$E$5:$E$34,MATCH($M13,Milestones!$B$5:$B$34,0))+N($N13)*7,"")</f>
        <v>47483</v>
      </c>
      <c r="Q13" s="52" t="n">
        <f aca="false">IF(OR($O13="",$P13=""),"",MAX(0,($P13-$O13)/(365.25/12)))</f>
        <v>35.8767967145791</v>
      </c>
      <c r="R13" s="53" t="n">
        <f aca="false">IF(OR($A13="",$E13&lt;&gt;"Y"),0,IF($F13="SAR",$G13*Inputs!$B$9,IF($F13="LOE",$G13*N($Q13),$G13))*N($H13)*IF($I13="Y",Inputs!$B$16,1)*IF($J13="Y",Inputs!$B$22,1))</f>
        <v>143.507186858316</v>
      </c>
      <c r="S13" s="36"/>
      <c r="T13" s="53" t="n">
        <f aca="false">$R13*IF($S13&lt;&gt;"",$S13,Inputs!$B$11)</f>
        <v>215.260780287474</v>
      </c>
      <c r="U13" s="51" t="s">
        <v>213</v>
      </c>
      <c r="V13" s="30" t="s">
        <v>110</v>
      </c>
    </row>
    <row r="14" customFormat="false" ht="26.85" hidden="false" customHeight="false" outlineLevel="0" collapsed="false">
      <c r="A14" s="50" t="s">
        <v>214</v>
      </c>
      <c r="B14" s="50" t="s">
        <v>34</v>
      </c>
      <c r="C14" s="51" t="s">
        <v>215</v>
      </c>
      <c r="D14" s="50" t="s">
        <v>216</v>
      </c>
      <c r="E14" s="30" t="s">
        <v>181</v>
      </c>
      <c r="F14" s="30" t="s">
        <v>188</v>
      </c>
      <c r="G14" s="36" t="n">
        <v>0.25</v>
      </c>
      <c r="H14" s="39" t="n">
        <v>1</v>
      </c>
      <c r="I14" s="30" t="s">
        <v>181</v>
      </c>
      <c r="J14" s="30" t="s">
        <v>183</v>
      </c>
      <c r="K14" s="30" t="s">
        <v>133</v>
      </c>
      <c r="L14" s="30" t="n">
        <v>0</v>
      </c>
      <c r="M14" s="30" t="s">
        <v>139</v>
      </c>
      <c r="N14" s="30" t="n">
        <v>0</v>
      </c>
      <c r="O14" s="43" t="n">
        <f aca="false">IFERROR(INDEX(Milestones!$E$5:$E$34,MATCH($K14,Milestones!$B$5:$B$34,0))+N($L14)*7,"")</f>
        <v>46391</v>
      </c>
      <c r="P14" s="43" t="n">
        <f aca="false">IFERROR(INDEX(Milestones!$E$5:$E$34,MATCH($M14,Milestones!$B$5:$B$34,0))+N($N14)*7,"")</f>
        <v>46695</v>
      </c>
      <c r="Q14" s="52" t="n">
        <f aca="false">IF(OR($O14="",$P14=""),"",MAX(0,($P14-$O14)/(365.25/12)))</f>
        <v>9.98767967145791</v>
      </c>
      <c r="R14" s="53" t="n">
        <f aca="false">IF(OR($A14="",$E14&lt;&gt;"Y"),0,IF($F14="SAR",$G14*Inputs!$B$9,IF($F14="LOE",$G14*N($Q14),$G14))*N($H14)*IF($I14="Y",Inputs!$B$16,1)*IF($J14="Y",Inputs!$B$22,1))</f>
        <v>200</v>
      </c>
      <c r="S14" s="36"/>
      <c r="T14" s="53" t="n">
        <f aca="false">$R14*IF($S14&lt;&gt;"",$S14,Inputs!$B$11)</f>
        <v>300</v>
      </c>
      <c r="U14" s="51" t="s">
        <v>217</v>
      </c>
      <c r="V14" s="30" t="s">
        <v>112</v>
      </c>
    </row>
    <row r="15" customFormat="false" ht="26.85" hidden="false" customHeight="false" outlineLevel="0" collapsed="false">
      <c r="A15" s="50" t="s">
        <v>218</v>
      </c>
      <c r="B15" s="50" t="s">
        <v>35</v>
      </c>
      <c r="C15" s="51" t="s">
        <v>219</v>
      </c>
      <c r="D15" s="50" t="s">
        <v>220</v>
      </c>
      <c r="E15" s="30" t="s">
        <v>181</v>
      </c>
      <c r="F15" s="30" t="s">
        <v>188</v>
      </c>
      <c r="G15" s="36" t="n">
        <v>0.2</v>
      </c>
      <c r="H15" s="39" t="n">
        <v>1</v>
      </c>
      <c r="I15" s="30" t="s">
        <v>181</v>
      </c>
      <c r="J15" s="30" t="s">
        <v>183</v>
      </c>
      <c r="K15" s="30" t="s">
        <v>133</v>
      </c>
      <c r="L15" s="30" t="n">
        <v>0</v>
      </c>
      <c r="M15" s="30" t="s">
        <v>135</v>
      </c>
      <c r="N15" s="30" t="n">
        <v>0</v>
      </c>
      <c r="O15" s="43" t="n">
        <f aca="false">IFERROR(INDEX(Milestones!$E$5:$E$34,MATCH($K15,Milestones!$B$5:$B$34,0))+N($L15)*7,"")</f>
        <v>46391</v>
      </c>
      <c r="P15" s="43" t="n">
        <f aca="false">IFERROR(INDEX(Milestones!$E$5:$E$34,MATCH($M15,Milestones!$B$5:$B$34,0))+N($N15)*7,"")</f>
        <v>46481</v>
      </c>
      <c r="Q15" s="52" t="n">
        <f aca="false">IF(OR($O15="",$P15=""),"",MAX(0,($P15-$O15)/(365.25/12)))</f>
        <v>2.95687885010267</v>
      </c>
      <c r="R15" s="53" t="n">
        <f aca="false">IF(OR($A15="",$E15&lt;&gt;"Y"),0,IF($F15="SAR",$G15*Inputs!$B$9,IF($F15="LOE",$G15*N($Q15),$G15))*N($H15)*IF($I15="Y",Inputs!$B$16,1)*IF($J15="Y",Inputs!$B$22,1))</f>
        <v>160</v>
      </c>
      <c r="S15" s="36"/>
      <c r="T15" s="53" t="n">
        <f aca="false">$R15*IF($S15&lt;&gt;"",$S15,Inputs!$B$11)</f>
        <v>240</v>
      </c>
      <c r="U15" s="51" t="s">
        <v>221</v>
      </c>
      <c r="V15" s="30" t="s">
        <v>112</v>
      </c>
    </row>
    <row r="16" customFormat="false" ht="26.85" hidden="false" customHeight="false" outlineLevel="0" collapsed="false">
      <c r="A16" s="50" t="s">
        <v>222</v>
      </c>
      <c r="B16" s="50" t="s">
        <v>35</v>
      </c>
      <c r="C16" s="51" t="s">
        <v>223</v>
      </c>
      <c r="D16" s="50" t="s">
        <v>224</v>
      </c>
      <c r="E16" s="30" t="s">
        <v>181</v>
      </c>
      <c r="F16" s="30" t="s">
        <v>188</v>
      </c>
      <c r="G16" s="36" t="n">
        <v>0.6</v>
      </c>
      <c r="H16" s="39" t="n">
        <v>1</v>
      </c>
      <c r="I16" s="30" t="s">
        <v>181</v>
      </c>
      <c r="J16" s="30" t="s">
        <v>183</v>
      </c>
      <c r="K16" s="30" t="s">
        <v>135</v>
      </c>
      <c r="L16" s="30" t="n">
        <v>0</v>
      </c>
      <c r="M16" s="30" t="s">
        <v>137</v>
      </c>
      <c r="N16" s="30" t="n">
        <v>4</v>
      </c>
      <c r="O16" s="43" t="n">
        <f aca="false">IFERROR(INDEX(Milestones!$E$5:$E$34,MATCH($K16,Milestones!$B$5:$B$34,0))+N($L16)*7,"")</f>
        <v>46481</v>
      </c>
      <c r="P16" s="43" t="n">
        <f aca="false">IFERROR(INDEX(Milestones!$E$5:$E$34,MATCH($M16,Milestones!$B$5:$B$34,0))+N($N16)*7,"")</f>
        <v>46600</v>
      </c>
      <c r="Q16" s="52" t="n">
        <f aca="false">IF(OR($O16="",$P16=""),"",MAX(0,($P16-$O16)/(365.25/12)))</f>
        <v>3.90965092402464</v>
      </c>
      <c r="R16" s="53" t="n">
        <f aca="false">IF(OR($A16="",$E16&lt;&gt;"Y"),0,IF($F16="SAR",$G16*Inputs!$B$9,IF($F16="LOE",$G16*N($Q16),$G16))*N($H16)*IF($I16="Y",Inputs!$B$16,1)*IF($J16="Y",Inputs!$B$22,1))</f>
        <v>480</v>
      </c>
      <c r="S16" s="36"/>
      <c r="T16" s="53" t="n">
        <f aca="false">$R16*IF($S16&lt;&gt;"",$S16,Inputs!$B$11)</f>
        <v>720</v>
      </c>
      <c r="U16" s="51" t="s">
        <v>225</v>
      </c>
      <c r="V16" s="30" t="s">
        <v>112</v>
      </c>
    </row>
    <row r="17" customFormat="false" ht="26.85" hidden="false" customHeight="false" outlineLevel="0" collapsed="false">
      <c r="A17" s="50" t="s">
        <v>226</v>
      </c>
      <c r="B17" s="50" t="s">
        <v>35</v>
      </c>
      <c r="C17" s="51" t="s">
        <v>227</v>
      </c>
      <c r="D17" s="50" t="s">
        <v>228</v>
      </c>
      <c r="E17" s="30" t="s">
        <v>181</v>
      </c>
      <c r="F17" s="30" t="s">
        <v>188</v>
      </c>
      <c r="G17" s="36" t="n">
        <v>0.5</v>
      </c>
      <c r="H17" s="39" t="n">
        <v>1</v>
      </c>
      <c r="I17" s="30" t="s">
        <v>181</v>
      </c>
      <c r="J17" s="30" t="s">
        <v>181</v>
      </c>
      <c r="K17" s="30" t="s">
        <v>135</v>
      </c>
      <c r="L17" s="30" t="n">
        <v>0</v>
      </c>
      <c r="M17" s="30" t="s">
        <v>141</v>
      </c>
      <c r="N17" s="30" t="n">
        <v>0</v>
      </c>
      <c r="O17" s="43" t="n">
        <f aca="false">IFERROR(INDEX(Milestones!$E$5:$E$34,MATCH($K17,Milestones!$B$5:$B$34,0))+N($L17)*7,"")</f>
        <v>46481</v>
      </c>
      <c r="P17" s="43" t="n">
        <f aca="false">IFERROR(INDEX(Milestones!$E$5:$E$34,MATCH($M17,Milestones!$B$5:$B$34,0))+N($N17)*7,"")</f>
        <v>46877</v>
      </c>
      <c r="Q17" s="52" t="n">
        <f aca="false">IF(OR($O17="",$P17=""),"",MAX(0,($P17-$O17)/(365.25/12)))</f>
        <v>13.0102669404517</v>
      </c>
      <c r="R17" s="53" t="n">
        <f aca="false">IF(OR($A17="",$E17&lt;&gt;"Y"),0,IF($F17="SAR",$G17*Inputs!$B$9,IF($F17="LOE",$G17*N($Q17),$G17))*N($H17)*IF($I17="Y",Inputs!$B$16,1)*IF($J17="Y",Inputs!$B$22,1))</f>
        <v>520</v>
      </c>
      <c r="S17" s="36"/>
      <c r="T17" s="53" t="n">
        <f aca="false">$R17*IF($S17&lt;&gt;"",$S17,Inputs!$B$11)</f>
        <v>780</v>
      </c>
      <c r="U17" s="51" t="s">
        <v>229</v>
      </c>
      <c r="V17" s="30" t="s">
        <v>112</v>
      </c>
    </row>
    <row r="18" customFormat="false" ht="26.85" hidden="false" customHeight="false" outlineLevel="0" collapsed="false">
      <c r="A18" s="50" t="s">
        <v>230</v>
      </c>
      <c r="B18" s="50" t="s">
        <v>35</v>
      </c>
      <c r="C18" s="51" t="s">
        <v>231</v>
      </c>
      <c r="D18" s="50" t="s">
        <v>232</v>
      </c>
      <c r="E18" s="30" t="s">
        <v>181</v>
      </c>
      <c r="F18" s="30" t="s">
        <v>188</v>
      </c>
      <c r="G18" s="36" t="n">
        <v>0.3</v>
      </c>
      <c r="H18" s="54" t="n">
        <f aca="false">Inputs!$B$30</f>
        <v>6</v>
      </c>
      <c r="I18" s="30" t="s">
        <v>181</v>
      </c>
      <c r="J18" s="30" t="s">
        <v>181</v>
      </c>
      <c r="K18" s="30" t="s">
        <v>139</v>
      </c>
      <c r="L18" s="30" t="n">
        <v>0</v>
      </c>
      <c r="M18" s="30" t="s">
        <v>141</v>
      </c>
      <c r="N18" s="30" t="n">
        <v>4</v>
      </c>
      <c r="O18" s="43" t="n">
        <f aca="false">IFERROR(INDEX(Milestones!$E$5:$E$34,MATCH($K18,Milestones!$B$5:$B$34,0))+N($L18)*7,"")</f>
        <v>46695</v>
      </c>
      <c r="P18" s="43" t="n">
        <f aca="false">IFERROR(INDEX(Milestones!$E$5:$E$34,MATCH($M18,Milestones!$B$5:$B$34,0))+N($N18)*7,"")</f>
        <v>46905</v>
      </c>
      <c r="Q18" s="52" t="n">
        <f aca="false">IF(OR($O18="",$P18=""),"",MAX(0,($P18-$O18)/(365.25/12)))</f>
        <v>6.8993839835729</v>
      </c>
      <c r="R18" s="53" t="n">
        <f aca="false">IF(OR($A18="",$E18&lt;&gt;"Y"),0,IF($F18="SAR",$G18*Inputs!$B$9,IF($F18="LOE",$G18*N($Q18),$G18))*N($H18)*IF($I18="Y",Inputs!$B$16,1)*IF($J18="Y",Inputs!$B$22,1))</f>
        <v>1872</v>
      </c>
      <c r="S18" s="36"/>
      <c r="T18" s="53" t="n">
        <f aca="false">$R18*IF($S18&lt;&gt;"",$S18,Inputs!$B$11)</f>
        <v>2808</v>
      </c>
      <c r="U18" s="51" t="s">
        <v>233</v>
      </c>
      <c r="V18" s="30" t="s">
        <v>112</v>
      </c>
    </row>
    <row r="19" customFormat="false" ht="26.85" hidden="false" customHeight="false" outlineLevel="0" collapsed="false">
      <c r="A19" s="50" t="s">
        <v>234</v>
      </c>
      <c r="B19" s="50" t="s">
        <v>35</v>
      </c>
      <c r="C19" s="51" t="s">
        <v>235</v>
      </c>
      <c r="D19" s="50" t="s">
        <v>236</v>
      </c>
      <c r="E19" s="30" t="s">
        <v>181</v>
      </c>
      <c r="F19" s="30" t="s">
        <v>188</v>
      </c>
      <c r="G19" s="36" t="n">
        <v>0.8</v>
      </c>
      <c r="H19" s="39" t="n">
        <v>1</v>
      </c>
      <c r="I19" s="30" t="s">
        <v>181</v>
      </c>
      <c r="J19" s="30" t="s">
        <v>181</v>
      </c>
      <c r="K19" s="30" t="s">
        <v>139</v>
      </c>
      <c r="L19" s="30" t="n">
        <v>0</v>
      </c>
      <c r="M19" s="30" t="s">
        <v>141</v>
      </c>
      <c r="N19" s="30" t="n">
        <v>8</v>
      </c>
      <c r="O19" s="43" t="n">
        <f aca="false">IFERROR(INDEX(Milestones!$E$5:$E$34,MATCH($K19,Milestones!$B$5:$B$34,0))+N($L19)*7,"")</f>
        <v>46695</v>
      </c>
      <c r="P19" s="43" t="n">
        <f aca="false">IFERROR(INDEX(Milestones!$E$5:$E$34,MATCH($M19,Milestones!$B$5:$B$34,0))+N($N19)*7,"")</f>
        <v>46933</v>
      </c>
      <c r="Q19" s="52" t="n">
        <f aca="false">IF(OR($O19="",$P19=""),"",MAX(0,($P19-$O19)/(365.25/12)))</f>
        <v>7.81930184804928</v>
      </c>
      <c r="R19" s="53" t="n">
        <f aca="false">IF(OR($A19="",$E19&lt;&gt;"Y"),0,IF($F19="SAR",$G19*Inputs!$B$9,IF($F19="LOE",$G19*N($Q19),$G19))*N($H19)*IF($I19="Y",Inputs!$B$16,1)*IF($J19="Y",Inputs!$B$22,1))</f>
        <v>832</v>
      </c>
      <c r="S19" s="36"/>
      <c r="T19" s="53" t="n">
        <f aca="false">$R19*IF($S19&lt;&gt;"",$S19,Inputs!$B$11)</f>
        <v>1248</v>
      </c>
      <c r="U19" s="51" t="s">
        <v>237</v>
      </c>
      <c r="V19" s="30" t="s">
        <v>112</v>
      </c>
    </row>
    <row r="20" customFormat="false" ht="26.85" hidden="false" customHeight="false" outlineLevel="0" collapsed="false">
      <c r="A20" s="50" t="s">
        <v>238</v>
      </c>
      <c r="B20" s="50" t="s">
        <v>35</v>
      </c>
      <c r="C20" s="51" t="s">
        <v>239</v>
      </c>
      <c r="D20" s="50" t="s">
        <v>240</v>
      </c>
      <c r="E20" s="30" t="s">
        <v>181</v>
      </c>
      <c r="F20" s="30" t="s">
        <v>188</v>
      </c>
      <c r="G20" s="36" t="n">
        <v>0.6</v>
      </c>
      <c r="H20" s="39" t="n">
        <v>1</v>
      </c>
      <c r="I20" s="30" t="s">
        <v>181</v>
      </c>
      <c r="J20" s="30" t="s">
        <v>183</v>
      </c>
      <c r="K20" s="30" t="s">
        <v>141</v>
      </c>
      <c r="L20" s="30" t="n">
        <v>0</v>
      </c>
      <c r="M20" s="30" t="s">
        <v>143</v>
      </c>
      <c r="N20" s="30" t="n">
        <v>0</v>
      </c>
      <c r="O20" s="43" t="n">
        <f aca="false">IFERROR(INDEX(Milestones!$E$5:$E$34,MATCH($K20,Milestones!$B$5:$B$34,0))+N($L20)*7,"")</f>
        <v>46877</v>
      </c>
      <c r="P20" s="43" t="n">
        <f aca="false">IFERROR(INDEX(Milestones!$E$5:$E$34,MATCH($M20,Milestones!$B$5:$B$34,0))+N($N20)*7,"")</f>
        <v>47122</v>
      </c>
      <c r="Q20" s="52" t="n">
        <f aca="false">IF(OR($O20="",$P20=""),"",MAX(0,($P20-$O20)/(365.25/12)))</f>
        <v>8.04928131416838</v>
      </c>
      <c r="R20" s="53" t="n">
        <f aca="false">IF(OR($A20="",$E20&lt;&gt;"Y"),0,IF($F20="SAR",$G20*Inputs!$B$9,IF($F20="LOE",$G20*N($Q20),$G20))*N($H20)*IF($I20="Y",Inputs!$B$16,1)*IF($J20="Y",Inputs!$B$22,1))</f>
        <v>480</v>
      </c>
      <c r="S20" s="36"/>
      <c r="T20" s="53" t="n">
        <f aca="false">$R20*IF($S20&lt;&gt;"",$S20,Inputs!$B$11)</f>
        <v>720</v>
      </c>
      <c r="U20" s="51" t="s">
        <v>241</v>
      </c>
      <c r="V20" s="30" t="s">
        <v>112</v>
      </c>
    </row>
    <row r="21" customFormat="false" ht="26.85" hidden="false" customHeight="false" outlineLevel="0" collapsed="false">
      <c r="A21" s="50" t="s">
        <v>242</v>
      </c>
      <c r="B21" s="50" t="s">
        <v>35</v>
      </c>
      <c r="C21" s="51" t="s">
        <v>243</v>
      </c>
      <c r="D21" s="50" t="s">
        <v>244</v>
      </c>
      <c r="E21" s="30" t="s">
        <v>181</v>
      </c>
      <c r="F21" s="30" t="s">
        <v>188</v>
      </c>
      <c r="G21" s="36" t="n">
        <v>0.35</v>
      </c>
      <c r="H21" s="39" t="n">
        <v>1</v>
      </c>
      <c r="I21" s="30" t="s">
        <v>181</v>
      </c>
      <c r="J21" s="30" t="s">
        <v>183</v>
      </c>
      <c r="K21" s="30" t="s">
        <v>139</v>
      </c>
      <c r="L21" s="30" t="n">
        <v>0</v>
      </c>
      <c r="M21" s="30" t="s">
        <v>141</v>
      </c>
      <c r="N21" s="30" t="n">
        <v>0</v>
      </c>
      <c r="O21" s="43" t="n">
        <f aca="false">IFERROR(INDEX(Milestones!$E$5:$E$34,MATCH($K21,Milestones!$B$5:$B$34,0))+N($L21)*7,"")</f>
        <v>46695</v>
      </c>
      <c r="P21" s="43" t="n">
        <f aca="false">IFERROR(INDEX(Milestones!$E$5:$E$34,MATCH($M21,Milestones!$B$5:$B$34,0))+N($N21)*7,"")</f>
        <v>46877</v>
      </c>
      <c r="Q21" s="52" t="n">
        <f aca="false">IF(OR($O21="",$P21=""),"",MAX(0,($P21-$O21)/(365.25/12)))</f>
        <v>5.97946611909651</v>
      </c>
      <c r="R21" s="53" t="n">
        <f aca="false">IF(OR($A21="",$E21&lt;&gt;"Y"),0,IF($F21="SAR",$G21*Inputs!$B$9,IF($F21="LOE",$G21*N($Q21),$G21))*N($H21)*IF($I21="Y",Inputs!$B$16,1)*IF($J21="Y",Inputs!$B$22,1))</f>
        <v>280</v>
      </c>
      <c r="S21" s="36"/>
      <c r="T21" s="53" t="n">
        <f aca="false">$R21*IF($S21&lt;&gt;"",$S21,Inputs!$B$11)</f>
        <v>420</v>
      </c>
      <c r="U21" s="51" t="s">
        <v>245</v>
      </c>
      <c r="V21" s="30" t="s">
        <v>112</v>
      </c>
    </row>
    <row r="22" customFormat="false" ht="26.85" hidden="false" customHeight="false" outlineLevel="0" collapsed="false">
      <c r="A22" s="50" t="s">
        <v>246</v>
      </c>
      <c r="B22" s="50" t="s">
        <v>35</v>
      </c>
      <c r="C22" s="51" t="s">
        <v>247</v>
      </c>
      <c r="D22" s="50" t="s">
        <v>248</v>
      </c>
      <c r="E22" s="30" t="s">
        <v>181</v>
      </c>
      <c r="F22" s="30" t="s">
        <v>188</v>
      </c>
      <c r="G22" s="36" t="n">
        <v>0.5</v>
      </c>
      <c r="H22" s="39" t="n">
        <v>1</v>
      </c>
      <c r="I22" s="30" t="s">
        <v>181</v>
      </c>
      <c r="J22" s="30" t="s">
        <v>181</v>
      </c>
      <c r="K22" s="30" t="s">
        <v>135</v>
      </c>
      <c r="L22" s="30" t="n">
        <v>0</v>
      </c>
      <c r="M22" s="30" t="s">
        <v>139</v>
      </c>
      <c r="N22" s="30" t="n">
        <v>0</v>
      </c>
      <c r="O22" s="43" t="n">
        <f aca="false">IFERROR(INDEX(Milestones!$E$5:$E$34,MATCH($K22,Milestones!$B$5:$B$34,0))+N($L22)*7,"")</f>
        <v>46481</v>
      </c>
      <c r="P22" s="43" t="n">
        <f aca="false">IFERROR(INDEX(Milestones!$E$5:$E$34,MATCH($M22,Milestones!$B$5:$B$34,0))+N($N22)*7,"")</f>
        <v>46695</v>
      </c>
      <c r="Q22" s="52" t="n">
        <f aca="false">IF(OR($O22="",$P22=""),"",MAX(0,($P22-$O22)/(365.25/12)))</f>
        <v>7.03080082135524</v>
      </c>
      <c r="R22" s="53" t="n">
        <f aca="false">IF(OR($A22="",$E22&lt;&gt;"Y"),0,IF($F22="SAR",$G22*Inputs!$B$9,IF($F22="LOE",$G22*N($Q22),$G22))*N($H22)*IF($I22="Y",Inputs!$B$16,1)*IF($J22="Y",Inputs!$B$22,1))</f>
        <v>520</v>
      </c>
      <c r="S22" s="36"/>
      <c r="T22" s="53" t="n">
        <f aca="false">$R22*IF($S22&lt;&gt;"",$S22,Inputs!$B$11)</f>
        <v>780</v>
      </c>
      <c r="U22" s="51" t="s">
        <v>249</v>
      </c>
      <c r="V22" s="30" t="s">
        <v>114</v>
      </c>
    </row>
    <row r="23" customFormat="false" ht="26.85" hidden="false" customHeight="false" outlineLevel="0" collapsed="false">
      <c r="A23" s="50" t="s">
        <v>250</v>
      </c>
      <c r="B23" s="50" t="s">
        <v>35</v>
      </c>
      <c r="C23" s="51" t="s">
        <v>251</v>
      </c>
      <c r="D23" s="50" t="s">
        <v>252</v>
      </c>
      <c r="E23" s="30" t="s">
        <v>183</v>
      </c>
      <c r="F23" s="30" t="s">
        <v>188</v>
      </c>
      <c r="G23" s="36" t="n">
        <v>0.4</v>
      </c>
      <c r="H23" s="39" t="n">
        <v>1</v>
      </c>
      <c r="I23" s="30" t="s">
        <v>181</v>
      </c>
      <c r="J23" s="30" t="s">
        <v>183</v>
      </c>
      <c r="K23" s="30" t="s">
        <v>139</v>
      </c>
      <c r="L23" s="30" t="n">
        <v>0</v>
      </c>
      <c r="M23" s="30" t="s">
        <v>141</v>
      </c>
      <c r="N23" s="30" t="n">
        <v>0</v>
      </c>
      <c r="O23" s="43" t="n">
        <f aca="false">IFERROR(INDEX(Milestones!$E$5:$E$34,MATCH($K23,Milestones!$B$5:$B$34,0))+N($L23)*7,"")</f>
        <v>46695</v>
      </c>
      <c r="P23" s="43" t="n">
        <f aca="false">IFERROR(INDEX(Milestones!$E$5:$E$34,MATCH($M23,Milestones!$B$5:$B$34,0))+N($N23)*7,"")</f>
        <v>46877</v>
      </c>
      <c r="Q23" s="52" t="n">
        <f aca="false">IF(OR($O23="",$P23=""),"",MAX(0,($P23-$O23)/(365.25/12)))</f>
        <v>5.97946611909651</v>
      </c>
      <c r="R23" s="53" t="n">
        <f aca="false">IF(OR($A23="",$E23&lt;&gt;"Y"),0,IF($F23="SAR",$G23*Inputs!$B$9,IF($F23="LOE",$G23*N($Q23),$G23))*N($H23)*IF($I23="Y",Inputs!$B$16,1)*IF($J23="Y",Inputs!$B$22,1))</f>
        <v>0</v>
      </c>
      <c r="S23" s="36"/>
      <c r="T23" s="53" t="n">
        <f aca="false">$R23*IF($S23&lt;&gt;"",$S23,Inputs!$B$11)</f>
        <v>0</v>
      </c>
      <c r="U23" s="51" t="s">
        <v>253</v>
      </c>
      <c r="V23" s="30" t="s">
        <v>112</v>
      </c>
    </row>
    <row r="24" customFormat="false" ht="26.85" hidden="false" customHeight="false" outlineLevel="0" collapsed="false">
      <c r="A24" s="50" t="s">
        <v>254</v>
      </c>
      <c r="B24" s="50" t="s">
        <v>35</v>
      </c>
      <c r="C24" s="51" t="s">
        <v>255</v>
      </c>
      <c r="D24" s="50" t="s">
        <v>256</v>
      </c>
      <c r="E24" s="30" t="s">
        <v>181</v>
      </c>
      <c r="F24" s="30" t="s">
        <v>188</v>
      </c>
      <c r="G24" s="36" t="n">
        <v>0.35</v>
      </c>
      <c r="H24" s="39" t="n">
        <v>1</v>
      </c>
      <c r="I24" s="30" t="s">
        <v>181</v>
      </c>
      <c r="J24" s="30" t="s">
        <v>183</v>
      </c>
      <c r="K24" s="30" t="s">
        <v>139</v>
      </c>
      <c r="L24" s="30" t="n">
        <v>0</v>
      </c>
      <c r="M24" s="30" t="s">
        <v>141</v>
      </c>
      <c r="N24" s="30" t="n">
        <v>0</v>
      </c>
      <c r="O24" s="43" t="n">
        <f aca="false">IFERROR(INDEX(Milestones!$E$5:$E$34,MATCH($K24,Milestones!$B$5:$B$34,0))+N($L24)*7,"")</f>
        <v>46695</v>
      </c>
      <c r="P24" s="43" t="n">
        <f aca="false">IFERROR(INDEX(Milestones!$E$5:$E$34,MATCH($M24,Milestones!$B$5:$B$34,0))+N($N24)*7,"")</f>
        <v>46877</v>
      </c>
      <c r="Q24" s="52" t="n">
        <f aca="false">IF(OR($O24="",$P24=""),"",MAX(0,($P24-$O24)/(365.25/12)))</f>
        <v>5.97946611909651</v>
      </c>
      <c r="R24" s="53" t="n">
        <f aca="false">IF(OR($A24="",$E24&lt;&gt;"Y"),0,IF($F24="SAR",$G24*Inputs!$B$9,IF($F24="LOE",$G24*N($Q24),$G24))*N($H24)*IF($I24="Y",Inputs!$B$16,1)*IF($J24="Y",Inputs!$B$22,1))</f>
        <v>280</v>
      </c>
      <c r="S24" s="36"/>
      <c r="T24" s="53" t="n">
        <f aca="false">$R24*IF($S24&lt;&gt;"",$S24,Inputs!$B$11)</f>
        <v>420</v>
      </c>
      <c r="U24" s="51" t="s">
        <v>257</v>
      </c>
      <c r="V24" s="30" t="s">
        <v>112</v>
      </c>
    </row>
    <row r="25" customFormat="false" ht="39.55" hidden="false" customHeight="false" outlineLevel="0" collapsed="false">
      <c r="A25" s="50" t="s">
        <v>258</v>
      </c>
      <c r="B25" s="50" t="s">
        <v>36</v>
      </c>
      <c r="C25" s="51" t="s">
        <v>259</v>
      </c>
      <c r="D25" s="50" t="s">
        <v>188</v>
      </c>
      <c r="E25" s="30" t="s">
        <v>181</v>
      </c>
      <c r="F25" s="30" t="s">
        <v>188</v>
      </c>
      <c r="G25" s="36" t="n">
        <v>1</v>
      </c>
      <c r="H25" s="39" t="n">
        <v>1</v>
      </c>
      <c r="I25" s="30" t="s">
        <v>181</v>
      </c>
      <c r="J25" s="30" t="s">
        <v>183</v>
      </c>
      <c r="K25" s="30" t="s">
        <v>143</v>
      </c>
      <c r="L25" s="30" t="n">
        <v>0</v>
      </c>
      <c r="M25" s="30" t="s">
        <v>149</v>
      </c>
      <c r="N25" s="30" t="n">
        <v>0</v>
      </c>
      <c r="O25" s="43" t="n">
        <f aca="false">IFERROR(INDEX(Milestones!$E$5:$E$34,MATCH($K25,Milestones!$B$5:$B$34,0))+N($L25)*7,"")</f>
        <v>47122</v>
      </c>
      <c r="P25" s="43" t="n">
        <f aca="false">IFERROR(INDEX(Milestones!$E$5:$E$34,MATCH($M25,Milestones!$B$5:$B$34,0))+N($N25)*7,"")</f>
        <v>47395</v>
      </c>
      <c r="Q25" s="52" t="n">
        <f aca="false">IF(OR($O25="",$P25=""),"",MAX(0,($P25-$O25)/(365.25/12)))</f>
        <v>8.96919917864476</v>
      </c>
      <c r="R25" s="53" t="n">
        <f aca="false">IF(OR($A25="",$E25&lt;&gt;"Y"),0,IF($F25="SAR",$G25*Inputs!$B$9,IF($F25="LOE",$G25*N($Q25),$G25))*N($H25)*IF($I25="Y",Inputs!$B$16,1)*IF($J25="Y",Inputs!$B$22,1))</f>
        <v>800</v>
      </c>
      <c r="S25" s="36"/>
      <c r="T25" s="53" t="n">
        <f aca="false">$R25*IF($S25&lt;&gt;"",$S25,Inputs!$B$11)</f>
        <v>1200</v>
      </c>
      <c r="U25" s="51" t="s">
        <v>260</v>
      </c>
      <c r="V25" s="30" t="s">
        <v>110</v>
      </c>
    </row>
    <row r="26" customFormat="false" ht="26.85" hidden="false" customHeight="false" outlineLevel="0" collapsed="false">
      <c r="A26" s="50" t="s">
        <v>261</v>
      </c>
      <c r="B26" s="50" t="s">
        <v>36</v>
      </c>
      <c r="C26" s="51" t="s">
        <v>262</v>
      </c>
      <c r="D26" s="50" t="s">
        <v>263</v>
      </c>
      <c r="E26" s="30" t="s">
        <v>183</v>
      </c>
      <c r="F26" s="30" t="s">
        <v>188</v>
      </c>
      <c r="G26" s="36" t="n">
        <v>0.8</v>
      </c>
      <c r="H26" s="39" t="n">
        <v>1</v>
      </c>
      <c r="I26" s="30" t="s">
        <v>181</v>
      </c>
      <c r="J26" s="30" t="s">
        <v>183</v>
      </c>
      <c r="K26" s="30" t="s">
        <v>143</v>
      </c>
      <c r="L26" s="30" t="n">
        <v>0</v>
      </c>
      <c r="M26" s="30" t="s">
        <v>149</v>
      </c>
      <c r="N26" s="30" t="n">
        <v>0</v>
      </c>
      <c r="O26" s="43" t="n">
        <f aca="false">IFERROR(INDEX(Milestones!$E$5:$E$34,MATCH($K26,Milestones!$B$5:$B$34,0))+N($L26)*7,"")</f>
        <v>47122</v>
      </c>
      <c r="P26" s="43" t="n">
        <f aca="false">IFERROR(INDEX(Milestones!$E$5:$E$34,MATCH($M26,Milestones!$B$5:$B$34,0))+N($N26)*7,"")</f>
        <v>47395</v>
      </c>
      <c r="Q26" s="52" t="n">
        <f aca="false">IF(OR($O26="",$P26=""),"",MAX(0,($P26-$O26)/(365.25/12)))</f>
        <v>8.96919917864476</v>
      </c>
      <c r="R26" s="53" t="n">
        <f aca="false">IF(OR($A26="",$E26&lt;&gt;"Y"),0,IF($F26="SAR",$G26*Inputs!$B$9,IF($F26="LOE",$G26*N($Q26),$G26))*N($H26)*IF($I26="Y",Inputs!$B$16,1)*IF($J26="Y",Inputs!$B$22,1))</f>
        <v>0</v>
      </c>
      <c r="S26" s="36"/>
      <c r="T26" s="53" t="n">
        <f aca="false">$R26*IF($S26&lt;&gt;"",$S26,Inputs!$B$11)</f>
        <v>0</v>
      </c>
      <c r="U26" s="51" t="s">
        <v>264</v>
      </c>
      <c r="V26" s="30" t="s">
        <v>110</v>
      </c>
    </row>
    <row r="27" customFormat="false" ht="39.55" hidden="false" customHeight="false" outlineLevel="0" collapsed="false">
      <c r="A27" s="50" t="s">
        <v>265</v>
      </c>
      <c r="B27" s="50" t="s">
        <v>36</v>
      </c>
      <c r="C27" s="51" t="s">
        <v>266</v>
      </c>
      <c r="D27" s="50" t="s">
        <v>267</v>
      </c>
      <c r="E27" s="30" t="s">
        <v>181</v>
      </c>
      <c r="F27" s="30" t="s">
        <v>188</v>
      </c>
      <c r="G27" s="36" t="n">
        <v>0.1</v>
      </c>
      <c r="H27" s="54" t="n">
        <f aca="false">Inputs!$B$31</f>
        <v>8</v>
      </c>
      <c r="I27" s="30" t="s">
        <v>181</v>
      </c>
      <c r="J27" s="30" t="s">
        <v>183</v>
      </c>
      <c r="K27" s="30" t="s">
        <v>145</v>
      </c>
      <c r="L27" s="30" t="n">
        <v>-8</v>
      </c>
      <c r="M27" s="30" t="s">
        <v>147</v>
      </c>
      <c r="N27" s="30" t="n">
        <v>4</v>
      </c>
      <c r="O27" s="43" t="n">
        <f aca="false">IFERROR(INDEX(Milestones!$E$5:$E$34,MATCH($K27,Milestones!$B$5:$B$34,0))+N($L27)*7,"")</f>
        <v>47097</v>
      </c>
      <c r="P27" s="43" t="n">
        <f aca="false">IFERROR(INDEX(Milestones!$E$5:$E$34,MATCH($M27,Milestones!$B$5:$B$34,0))+N($N27)*7,"")</f>
        <v>47362</v>
      </c>
      <c r="Q27" s="52" t="n">
        <f aca="false">IF(OR($O27="",$P27=""),"",MAX(0,($P27-$O27)/(365.25/12)))</f>
        <v>8.70636550308008</v>
      </c>
      <c r="R27" s="53" t="n">
        <f aca="false">IF(OR($A27="",$E27&lt;&gt;"Y"),0,IF($F27="SAR",$G27*Inputs!$B$9,IF($F27="LOE",$G27*N($Q27),$G27))*N($H27)*IF($I27="Y",Inputs!$B$16,1)*IF($J27="Y",Inputs!$B$22,1))</f>
        <v>640</v>
      </c>
      <c r="S27" s="36"/>
      <c r="T27" s="53" t="n">
        <f aca="false">$R27*IF($S27&lt;&gt;"",$S27,Inputs!$B$11)</f>
        <v>960</v>
      </c>
      <c r="U27" s="51" t="s">
        <v>268</v>
      </c>
      <c r="V27" s="30" t="s">
        <v>112</v>
      </c>
    </row>
    <row r="28" customFormat="false" ht="26.85" hidden="false" customHeight="false" outlineLevel="0" collapsed="false">
      <c r="A28" s="50" t="s">
        <v>269</v>
      </c>
      <c r="B28" s="50" t="s">
        <v>36</v>
      </c>
      <c r="C28" s="51" t="s">
        <v>270</v>
      </c>
      <c r="D28" s="50" t="s">
        <v>271</v>
      </c>
      <c r="E28" s="30" t="s">
        <v>181</v>
      </c>
      <c r="F28" s="30" t="s">
        <v>188</v>
      </c>
      <c r="G28" s="36" t="n">
        <v>0.03</v>
      </c>
      <c r="H28" s="54" t="n">
        <f aca="false">Inputs!$B$32</f>
        <v>20</v>
      </c>
      <c r="I28" s="30" t="s">
        <v>181</v>
      </c>
      <c r="J28" s="30" t="s">
        <v>183</v>
      </c>
      <c r="K28" s="30" t="s">
        <v>141</v>
      </c>
      <c r="L28" s="30" t="n">
        <v>0</v>
      </c>
      <c r="M28" s="30" t="s">
        <v>151</v>
      </c>
      <c r="N28" s="30" t="n">
        <v>0</v>
      </c>
      <c r="O28" s="43" t="n">
        <f aca="false">IFERROR(INDEX(Milestones!$E$5:$E$34,MATCH($K28,Milestones!$B$5:$B$34,0))+N($L28)*7,"")</f>
        <v>46877</v>
      </c>
      <c r="P28" s="43" t="n">
        <f aca="false">IFERROR(INDEX(Milestones!$E$5:$E$34,MATCH($M28,Milestones!$B$5:$B$34,0))+N($N28)*7,"")</f>
        <v>47483</v>
      </c>
      <c r="Q28" s="52" t="n">
        <f aca="false">IF(OR($O28="",$P28=""),"",MAX(0,($P28-$O28)/(365.25/12)))</f>
        <v>19.9096509240246</v>
      </c>
      <c r="R28" s="53" t="n">
        <f aca="false">IF(OR($A28="",$E28&lt;&gt;"Y"),0,IF($F28="SAR",$G28*Inputs!$B$9,IF($F28="LOE",$G28*N($Q28),$G28))*N($H28)*IF($I28="Y",Inputs!$B$16,1)*IF($J28="Y",Inputs!$B$22,1))</f>
        <v>480</v>
      </c>
      <c r="S28" s="36"/>
      <c r="T28" s="53" t="n">
        <f aca="false">$R28*IF($S28&lt;&gt;"",$S28,Inputs!$B$11)</f>
        <v>720</v>
      </c>
      <c r="U28" s="51" t="s">
        <v>272</v>
      </c>
      <c r="V28" s="30" t="s">
        <v>112</v>
      </c>
    </row>
    <row r="29" customFormat="false" ht="39.55" hidden="false" customHeight="false" outlineLevel="0" collapsed="false">
      <c r="A29" s="50" t="s">
        <v>273</v>
      </c>
      <c r="B29" s="50" t="s">
        <v>37</v>
      </c>
      <c r="C29" s="51" t="s">
        <v>274</v>
      </c>
      <c r="D29" s="50" t="s">
        <v>275</v>
      </c>
      <c r="E29" s="30" t="s">
        <v>181</v>
      </c>
      <c r="F29" s="30" t="s">
        <v>188</v>
      </c>
      <c r="G29" s="36" t="n">
        <v>0.7</v>
      </c>
      <c r="H29" s="39" t="n">
        <v>1</v>
      </c>
      <c r="I29" s="30" t="s">
        <v>181</v>
      </c>
      <c r="J29" s="30" t="s">
        <v>181</v>
      </c>
      <c r="K29" s="30" t="s">
        <v>141</v>
      </c>
      <c r="L29" s="30" t="n">
        <v>0</v>
      </c>
      <c r="M29" s="30" t="s">
        <v>147</v>
      </c>
      <c r="N29" s="30" t="n">
        <v>0</v>
      </c>
      <c r="O29" s="43" t="n">
        <f aca="false">IFERROR(INDEX(Milestones!$E$5:$E$34,MATCH($K29,Milestones!$B$5:$B$34,0))+N($L29)*7,"")</f>
        <v>46877</v>
      </c>
      <c r="P29" s="43" t="n">
        <f aca="false">IFERROR(INDEX(Milestones!$E$5:$E$34,MATCH($M29,Milestones!$B$5:$B$34,0))+N($N29)*7,"")</f>
        <v>47334</v>
      </c>
      <c r="Q29" s="52" t="n">
        <f aca="false">IF(OR($O29="",$P29=""),"",MAX(0,($P29-$O29)/(365.25/12)))</f>
        <v>15.0143737166324</v>
      </c>
      <c r="R29" s="53" t="n">
        <f aca="false">IF(OR($A29="",$E29&lt;&gt;"Y"),0,IF($F29="SAR",$G29*Inputs!$B$9,IF($F29="LOE",$G29*N($Q29),$G29))*N($H29)*IF($I29="Y",Inputs!$B$16,1)*IF($J29="Y",Inputs!$B$22,1))</f>
        <v>728</v>
      </c>
      <c r="S29" s="36"/>
      <c r="T29" s="53" t="n">
        <f aca="false">$R29*IF($S29&lt;&gt;"",$S29,Inputs!$B$11)</f>
        <v>1092</v>
      </c>
      <c r="U29" s="51" t="s">
        <v>276</v>
      </c>
      <c r="V29" s="30" t="s">
        <v>112</v>
      </c>
    </row>
    <row r="30" customFormat="false" ht="26.85" hidden="false" customHeight="false" outlineLevel="0" collapsed="false">
      <c r="A30" s="50" t="s">
        <v>277</v>
      </c>
      <c r="B30" s="50" t="s">
        <v>37</v>
      </c>
      <c r="C30" s="51" t="s">
        <v>278</v>
      </c>
      <c r="D30" s="50" t="s">
        <v>279</v>
      </c>
      <c r="E30" s="30" t="s">
        <v>183</v>
      </c>
      <c r="F30" s="30" t="s">
        <v>188</v>
      </c>
      <c r="G30" s="36" t="n">
        <v>0.5</v>
      </c>
      <c r="H30" s="39" t="n">
        <v>1</v>
      </c>
      <c r="I30" s="30" t="s">
        <v>181</v>
      </c>
      <c r="J30" s="30" t="s">
        <v>183</v>
      </c>
      <c r="K30" s="30" t="s">
        <v>141</v>
      </c>
      <c r="L30" s="30" t="n">
        <v>0</v>
      </c>
      <c r="M30" s="30" t="s">
        <v>143</v>
      </c>
      <c r="N30" s="30" t="n">
        <v>0</v>
      </c>
      <c r="O30" s="43" t="n">
        <f aca="false">IFERROR(INDEX(Milestones!$E$5:$E$34,MATCH($K30,Milestones!$B$5:$B$34,0))+N($L30)*7,"")</f>
        <v>46877</v>
      </c>
      <c r="P30" s="43" t="n">
        <f aca="false">IFERROR(INDEX(Milestones!$E$5:$E$34,MATCH($M30,Milestones!$B$5:$B$34,0))+N($N30)*7,"")</f>
        <v>47122</v>
      </c>
      <c r="Q30" s="52" t="n">
        <f aca="false">IF(OR($O30="",$P30=""),"",MAX(0,($P30-$O30)/(365.25/12)))</f>
        <v>8.04928131416838</v>
      </c>
      <c r="R30" s="53" t="n">
        <f aca="false">IF(OR($A30="",$E30&lt;&gt;"Y"),0,IF($F30="SAR",$G30*Inputs!$B$9,IF($F30="LOE",$G30*N($Q30),$G30))*N($H30)*IF($I30="Y",Inputs!$B$16,1)*IF($J30="Y",Inputs!$B$22,1))</f>
        <v>0</v>
      </c>
      <c r="S30" s="36"/>
      <c r="T30" s="53" t="n">
        <f aca="false">$R30*IF($S30&lt;&gt;"",$S30,Inputs!$B$11)</f>
        <v>0</v>
      </c>
      <c r="U30" s="51" t="s">
        <v>280</v>
      </c>
      <c r="V30" s="30" t="s">
        <v>112</v>
      </c>
    </row>
    <row r="31" customFormat="false" ht="15" hidden="false" customHeight="false" outlineLevel="0" collapsed="false">
      <c r="A31" s="50" t="s">
        <v>281</v>
      </c>
      <c r="B31" s="50" t="s">
        <v>37</v>
      </c>
      <c r="C31" s="51" t="s">
        <v>282</v>
      </c>
      <c r="D31" s="50" t="s">
        <v>283</v>
      </c>
      <c r="E31" s="30" t="s">
        <v>183</v>
      </c>
      <c r="F31" s="30" t="s">
        <v>188</v>
      </c>
      <c r="G31" s="36" t="n">
        <v>0.3</v>
      </c>
      <c r="H31" s="39" t="n">
        <v>1</v>
      </c>
      <c r="I31" s="30" t="s">
        <v>181</v>
      </c>
      <c r="J31" s="30" t="s">
        <v>183</v>
      </c>
      <c r="K31" s="30" t="s">
        <v>141</v>
      </c>
      <c r="L31" s="30" t="n">
        <v>0</v>
      </c>
      <c r="M31" s="30" t="s">
        <v>143</v>
      </c>
      <c r="N31" s="30" t="n">
        <v>0</v>
      </c>
      <c r="O31" s="43" t="n">
        <f aca="false">IFERROR(INDEX(Milestones!$E$5:$E$34,MATCH($K31,Milestones!$B$5:$B$34,0))+N($L31)*7,"")</f>
        <v>46877</v>
      </c>
      <c r="P31" s="43" t="n">
        <f aca="false">IFERROR(INDEX(Milestones!$E$5:$E$34,MATCH($M31,Milestones!$B$5:$B$34,0))+N($N31)*7,"")</f>
        <v>47122</v>
      </c>
      <c r="Q31" s="52" t="n">
        <f aca="false">IF(OR($O31="",$P31=""),"",MAX(0,($P31-$O31)/(365.25/12)))</f>
        <v>8.04928131416838</v>
      </c>
      <c r="R31" s="53" t="n">
        <f aca="false">IF(OR($A31="",$E31&lt;&gt;"Y"),0,IF($F31="SAR",$G31*Inputs!$B$9,IF($F31="LOE",$G31*N($Q31),$G31))*N($H31)*IF($I31="Y",Inputs!$B$16,1)*IF($J31="Y",Inputs!$B$22,1))</f>
        <v>0</v>
      </c>
      <c r="S31" s="36"/>
      <c r="T31" s="53" t="n">
        <f aca="false">$R31*IF($S31&lt;&gt;"",$S31,Inputs!$B$11)</f>
        <v>0</v>
      </c>
      <c r="U31" s="51" t="s">
        <v>284</v>
      </c>
      <c r="V31" s="30" t="s">
        <v>112</v>
      </c>
    </row>
    <row r="32" customFormat="false" ht="39.55" hidden="false" customHeight="false" outlineLevel="0" collapsed="false">
      <c r="A32" s="50" t="s">
        <v>285</v>
      </c>
      <c r="B32" s="50" t="s">
        <v>37</v>
      </c>
      <c r="C32" s="51" t="s">
        <v>286</v>
      </c>
      <c r="D32" s="50" t="s">
        <v>287</v>
      </c>
      <c r="E32" s="30" t="s">
        <v>181</v>
      </c>
      <c r="F32" s="30" t="s">
        <v>188</v>
      </c>
      <c r="G32" s="36" t="n">
        <v>0.6</v>
      </c>
      <c r="H32" s="39" t="n">
        <v>1</v>
      </c>
      <c r="I32" s="30" t="s">
        <v>181</v>
      </c>
      <c r="J32" s="30" t="s">
        <v>181</v>
      </c>
      <c r="K32" s="30" t="s">
        <v>139</v>
      </c>
      <c r="L32" s="30" t="n">
        <v>0</v>
      </c>
      <c r="M32" s="30" t="s">
        <v>143</v>
      </c>
      <c r="N32" s="30" t="n">
        <v>0</v>
      </c>
      <c r="O32" s="43" t="n">
        <f aca="false">IFERROR(INDEX(Milestones!$E$5:$E$34,MATCH($K32,Milestones!$B$5:$B$34,0))+N($L32)*7,"")</f>
        <v>46695</v>
      </c>
      <c r="P32" s="43" t="n">
        <f aca="false">IFERROR(INDEX(Milestones!$E$5:$E$34,MATCH($M32,Milestones!$B$5:$B$34,0))+N($N32)*7,"")</f>
        <v>47122</v>
      </c>
      <c r="Q32" s="52" t="n">
        <f aca="false">IF(OR($O32="",$P32=""),"",MAX(0,($P32-$O32)/(365.25/12)))</f>
        <v>14.0287474332649</v>
      </c>
      <c r="R32" s="53" t="n">
        <f aca="false">IF(OR($A32="",$E32&lt;&gt;"Y"),0,IF($F32="SAR",$G32*Inputs!$B$9,IF($F32="LOE",$G32*N($Q32),$G32))*N($H32)*IF($I32="Y",Inputs!$B$16,1)*IF($J32="Y",Inputs!$B$22,1))</f>
        <v>624</v>
      </c>
      <c r="S32" s="36"/>
      <c r="T32" s="53" t="n">
        <f aca="false">$R32*IF($S32&lt;&gt;"",$S32,Inputs!$B$11)</f>
        <v>936</v>
      </c>
      <c r="U32" s="51" t="s">
        <v>288</v>
      </c>
      <c r="V32" s="30" t="s">
        <v>114</v>
      </c>
    </row>
    <row r="33" customFormat="false" ht="26.85" hidden="false" customHeight="false" outlineLevel="0" collapsed="false">
      <c r="A33" s="50" t="s">
        <v>289</v>
      </c>
      <c r="B33" s="50" t="s">
        <v>38</v>
      </c>
      <c r="C33" s="51" t="s">
        <v>290</v>
      </c>
      <c r="D33" s="50" t="s">
        <v>291</v>
      </c>
      <c r="E33" s="30" t="s">
        <v>181</v>
      </c>
      <c r="F33" s="30" t="s">
        <v>182</v>
      </c>
      <c r="G33" s="36" t="n">
        <v>8</v>
      </c>
      <c r="H33" s="39" t="n">
        <v>1</v>
      </c>
      <c r="I33" s="30" t="s">
        <v>181</v>
      </c>
      <c r="J33" s="30" t="s">
        <v>183</v>
      </c>
      <c r="K33" s="30" t="s">
        <v>133</v>
      </c>
      <c r="L33" s="30" t="n">
        <v>0</v>
      </c>
      <c r="M33" s="30" t="s">
        <v>151</v>
      </c>
      <c r="N33" s="30" t="n">
        <v>0</v>
      </c>
      <c r="O33" s="43" t="n">
        <f aca="false">IFERROR(INDEX(Milestones!$E$5:$E$34,MATCH($K33,Milestones!$B$5:$B$34,0))+N($L33)*7,"")</f>
        <v>46391</v>
      </c>
      <c r="P33" s="43" t="n">
        <f aca="false">IFERROR(INDEX(Milestones!$E$5:$E$34,MATCH($M33,Milestones!$B$5:$B$34,0))+N($N33)*7,"")</f>
        <v>47483</v>
      </c>
      <c r="Q33" s="52" t="n">
        <f aca="false">IF(OR($O33="",$P33=""),"",MAX(0,($P33-$O33)/(365.25/12)))</f>
        <v>35.8767967145791</v>
      </c>
      <c r="R33" s="53" t="n">
        <f aca="false">IF(OR($A33="",$E33&lt;&gt;"Y"),0,IF($F33="SAR",$G33*Inputs!$B$9,IF($F33="LOE",$G33*N($Q33),$G33))*N($H33)*IF($I33="Y",Inputs!$B$16,1)*IF($J33="Y",Inputs!$B$22,1))</f>
        <v>287.014373716632</v>
      </c>
      <c r="S33" s="36"/>
      <c r="T33" s="53" t="n">
        <f aca="false">$R33*IF($S33&lt;&gt;"",$S33,Inputs!$B$11)</f>
        <v>430.521560574949</v>
      </c>
      <c r="U33" s="51" t="s">
        <v>292</v>
      </c>
      <c r="V33" s="30" t="s">
        <v>110</v>
      </c>
    </row>
    <row r="34" customFormat="false" ht="26.85" hidden="false" customHeight="false" outlineLevel="0" collapsed="false">
      <c r="A34" s="50" t="s">
        <v>293</v>
      </c>
      <c r="B34" s="50" t="s">
        <v>38</v>
      </c>
      <c r="C34" s="51" t="s">
        <v>294</v>
      </c>
      <c r="D34" s="50" t="s">
        <v>295</v>
      </c>
      <c r="E34" s="30" t="s">
        <v>181</v>
      </c>
      <c r="F34" s="30" t="s">
        <v>188</v>
      </c>
      <c r="G34" s="36" t="n">
        <v>0.1</v>
      </c>
      <c r="H34" s="54" t="n">
        <f aca="false">Inputs!$B$34</f>
        <v>4</v>
      </c>
      <c r="I34" s="30" t="s">
        <v>181</v>
      </c>
      <c r="J34" s="30" t="s">
        <v>183</v>
      </c>
      <c r="K34" s="30" t="s">
        <v>135</v>
      </c>
      <c r="L34" s="30" t="n">
        <v>-6</v>
      </c>
      <c r="M34" s="30" t="s">
        <v>143</v>
      </c>
      <c r="N34" s="30" t="n">
        <v>0</v>
      </c>
      <c r="O34" s="43" t="n">
        <f aca="false">IFERROR(INDEX(Milestones!$E$5:$E$34,MATCH($K34,Milestones!$B$5:$B$34,0))+N($L34)*7,"")</f>
        <v>46439</v>
      </c>
      <c r="P34" s="43" t="n">
        <f aca="false">IFERROR(INDEX(Milestones!$E$5:$E$34,MATCH($M34,Milestones!$B$5:$B$34,0))+N($N34)*7,"")</f>
        <v>47122</v>
      </c>
      <c r="Q34" s="52" t="n">
        <f aca="false">IF(OR($O34="",$P34=""),"",MAX(0,($P34-$O34)/(365.25/12)))</f>
        <v>22.4394250513347</v>
      </c>
      <c r="R34" s="53" t="n">
        <f aca="false">IF(OR($A34="",$E34&lt;&gt;"Y"),0,IF($F34="SAR",$G34*Inputs!$B$9,IF($F34="LOE",$G34*N($Q34),$G34))*N($H34)*IF($I34="Y",Inputs!$B$16,1)*IF($J34="Y",Inputs!$B$22,1))</f>
        <v>320</v>
      </c>
      <c r="S34" s="36"/>
      <c r="T34" s="53" t="n">
        <f aca="false">$R34*IF($S34&lt;&gt;"",$S34,Inputs!$B$11)</f>
        <v>480</v>
      </c>
      <c r="U34" s="51" t="s">
        <v>296</v>
      </c>
      <c r="V34" s="30" t="s">
        <v>116</v>
      </c>
    </row>
    <row r="35" customFormat="false" ht="26.85" hidden="false" customHeight="false" outlineLevel="0" collapsed="false">
      <c r="A35" s="50" t="s">
        <v>297</v>
      </c>
      <c r="B35" s="50" t="s">
        <v>38</v>
      </c>
      <c r="C35" s="51" t="s">
        <v>298</v>
      </c>
      <c r="D35" s="50" t="s">
        <v>299</v>
      </c>
      <c r="E35" s="30" t="s">
        <v>181</v>
      </c>
      <c r="F35" s="30" t="s">
        <v>182</v>
      </c>
      <c r="G35" s="36" t="n">
        <v>6</v>
      </c>
      <c r="H35" s="39" t="n">
        <v>1</v>
      </c>
      <c r="I35" s="30" t="s">
        <v>183</v>
      </c>
      <c r="J35" s="30" t="s">
        <v>183</v>
      </c>
      <c r="K35" s="30" t="s">
        <v>133</v>
      </c>
      <c r="L35" s="30" t="n">
        <v>0</v>
      </c>
      <c r="M35" s="30" t="s">
        <v>151</v>
      </c>
      <c r="N35" s="30" t="n">
        <v>0</v>
      </c>
      <c r="O35" s="43" t="n">
        <f aca="false">IFERROR(INDEX(Milestones!$E$5:$E$34,MATCH($K35,Milestones!$B$5:$B$34,0))+N($L35)*7,"")</f>
        <v>46391</v>
      </c>
      <c r="P35" s="43" t="n">
        <f aca="false">IFERROR(INDEX(Milestones!$E$5:$E$34,MATCH($M35,Milestones!$B$5:$B$34,0))+N($N35)*7,"")</f>
        <v>47483</v>
      </c>
      <c r="Q35" s="52" t="n">
        <f aca="false">IF(OR($O35="",$P35=""),"",MAX(0,($P35-$O35)/(365.25/12)))</f>
        <v>35.8767967145791</v>
      </c>
      <c r="R35" s="53" t="n">
        <f aca="false">IF(OR($A35="",$E35&lt;&gt;"Y"),0,IF($F35="SAR",$G35*Inputs!$B$9,IF($F35="LOE",$G35*N($Q35),$G35))*N($H35)*IF($I35="Y",Inputs!$B$16,1)*IF($J35="Y",Inputs!$B$22,1))</f>
        <v>215.260780287474</v>
      </c>
      <c r="S35" s="36"/>
      <c r="T35" s="53" t="n">
        <f aca="false">$R35*IF($S35&lt;&gt;"",$S35,Inputs!$B$11)</f>
        <v>322.891170431212</v>
      </c>
      <c r="U35" s="51" t="s">
        <v>300</v>
      </c>
      <c r="V35" s="30" t="s">
        <v>110</v>
      </c>
    </row>
    <row r="36" customFormat="false" ht="15" hidden="false" customHeight="false" outlineLevel="0" collapsed="false">
      <c r="A36" s="8"/>
      <c r="B36" s="8"/>
      <c r="C36" s="55"/>
      <c r="D36" s="8"/>
      <c r="E36" s="46"/>
      <c r="F36" s="46"/>
      <c r="G36" s="56"/>
      <c r="H36" s="57"/>
      <c r="I36" s="46"/>
      <c r="J36" s="46"/>
      <c r="K36" s="46"/>
      <c r="L36" s="46"/>
      <c r="M36" s="46"/>
      <c r="N36" s="46"/>
      <c r="O36" s="43" t="str">
        <f aca="false">IFERROR(INDEX(Milestones!$E$5:$E$34,MATCH($K36,Milestones!$B$5:$B$34,0))+N($L36)*7,"")</f>
        <v/>
      </c>
      <c r="P36" s="43" t="str">
        <f aca="false">IFERROR(INDEX(Milestones!$E$5:$E$34,MATCH($M36,Milestones!$B$5:$B$34,0))+N($N36)*7,"")</f>
        <v/>
      </c>
      <c r="Q36" s="52" t="str">
        <f aca="false">IF(OR($O36="",$P36=""),"",MAX(0,($P36-$O36)/(365.25/12)))</f>
        <v/>
      </c>
      <c r="R36" s="53" t="n">
        <f aca="false">IF(OR($A36="",$E36&lt;&gt;"Y"),0,IF($F36="SAR",$G36*Inputs!$B$9,IF($F36="LOE",$G36*N($Q36),$G36))*N($H36)*IF($I36="Y",Inputs!$B$16,1)*IF($J36="Y",Inputs!$B$22,1))</f>
        <v>0</v>
      </c>
      <c r="S36" s="56"/>
      <c r="T36" s="53" t="n">
        <f aca="false">$R36*IF($S36&lt;&gt;"",$S36,Inputs!$B$11)</f>
        <v>0</v>
      </c>
      <c r="U36" s="55"/>
      <c r="V36" s="46"/>
    </row>
    <row r="37" customFormat="false" ht="15" hidden="false" customHeight="false" outlineLevel="0" collapsed="false">
      <c r="A37" s="8"/>
      <c r="B37" s="8"/>
      <c r="C37" s="55"/>
      <c r="D37" s="8"/>
      <c r="E37" s="46"/>
      <c r="F37" s="46"/>
      <c r="G37" s="56"/>
      <c r="H37" s="57"/>
      <c r="I37" s="46"/>
      <c r="J37" s="46"/>
      <c r="K37" s="46"/>
      <c r="L37" s="46"/>
      <c r="M37" s="46"/>
      <c r="N37" s="46"/>
      <c r="O37" s="43" t="str">
        <f aca="false">IFERROR(INDEX(Milestones!$E$5:$E$34,MATCH($K37,Milestones!$B$5:$B$34,0))+N($L37)*7,"")</f>
        <v/>
      </c>
      <c r="P37" s="43" t="str">
        <f aca="false">IFERROR(INDEX(Milestones!$E$5:$E$34,MATCH($M37,Milestones!$B$5:$B$34,0))+N($N37)*7,"")</f>
        <v/>
      </c>
      <c r="Q37" s="52" t="str">
        <f aca="false">IF(OR($O37="",$P37=""),"",MAX(0,($P37-$O37)/(365.25/12)))</f>
        <v/>
      </c>
      <c r="R37" s="53" t="n">
        <f aca="false">IF(OR($A37="",$E37&lt;&gt;"Y"),0,IF($F37="SAR",$G37*Inputs!$B$9,IF($F37="LOE",$G37*N($Q37),$G37))*N($H37)*IF($I37="Y",Inputs!$B$16,1)*IF($J37="Y",Inputs!$B$22,1))</f>
        <v>0</v>
      </c>
      <c r="S37" s="56"/>
      <c r="T37" s="53" t="n">
        <f aca="false">$R37*IF($S37&lt;&gt;"",$S37,Inputs!$B$11)</f>
        <v>0</v>
      </c>
      <c r="U37" s="55"/>
      <c r="V37" s="46"/>
    </row>
    <row r="38" customFormat="false" ht="15" hidden="false" customHeight="false" outlineLevel="0" collapsed="false">
      <c r="A38" s="8"/>
      <c r="B38" s="8"/>
      <c r="C38" s="55"/>
      <c r="D38" s="8"/>
      <c r="E38" s="46"/>
      <c r="F38" s="46"/>
      <c r="G38" s="56"/>
      <c r="H38" s="57"/>
      <c r="I38" s="46"/>
      <c r="J38" s="46"/>
      <c r="K38" s="46"/>
      <c r="L38" s="46"/>
      <c r="M38" s="46"/>
      <c r="N38" s="46"/>
      <c r="O38" s="43" t="str">
        <f aca="false">IFERROR(INDEX(Milestones!$E$5:$E$34,MATCH($K38,Milestones!$B$5:$B$34,0))+N($L38)*7,"")</f>
        <v/>
      </c>
      <c r="P38" s="43" t="str">
        <f aca="false">IFERROR(INDEX(Milestones!$E$5:$E$34,MATCH($M38,Milestones!$B$5:$B$34,0))+N($N38)*7,"")</f>
        <v/>
      </c>
      <c r="Q38" s="52" t="str">
        <f aca="false">IF(OR($O38="",$P38=""),"",MAX(0,($P38-$O38)/(365.25/12)))</f>
        <v/>
      </c>
      <c r="R38" s="53" t="n">
        <f aca="false">IF(OR($A38="",$E38&lt;&gt;"Y"),0,IF($F38="SAR",$G38*Inputs!$B$9,IF($F38="LOE",$G38*N($Q38),$G38))*N($H38)*IF($I38="Y",Inputs!$B$16,1)*IF($J38="Y",Inputs!$B$22,1))</f>
        <v>0</v>
      </c>
      <c r="S38" s="56"/>
      <c r="T38" s="53" t="n">
        <f aca="false">$R38*IF($S38&lt;&gt;"",$S38,Inputs!$B$11)</f>
        <v>0</v>
      </c>
      <c r="U38" s="55"/>
      <c r="V38" s="46"/>
    </row>
    <row r="39" customFormat="false" ht="15" hidden="false" customHeight="false" outlineLevel="0" collapsed="false">
      <c r="A39" s="8"/>
      <c r="B39" s="8"/>
      <c r="C39" s="55"/>
      <c r="D39" s="8"/>
      <c r="E39" s="46"/>
      <c r="F39" s="46"/>
      <c r="G39" s="56"/>
      <c r="H39" s="57"/>
      <c r="I39" s="46"/>
      <c r="J39" s="46"/>
      <c r="K39" s="46"/>
      <c r="L39" s="46"/>
      <c r="M39" s="46"/>
      <c r="N39" s="46"/>
      <c r="O39" s="43" t="str">
        <f aca="false">IFERROR(INDEX(Milestones!$E$5:$E$34,MATCH($K39,Milestones!$B$5:$B$34,0))+N($L39)*7,"")</f>
        <v/>
      </c>
      <c r="P39" s="43" t="str">
        <f aca="false">IFERROR(INDEX(Milestones!$E$5:$E$34,MATCH($M39,Milestones!$B$5:$B$34,0))+N($N39)*7,"")</f>
        <v/>
      </c>
      <c r="Q39" s="52" t="str">
        <f aca="false">IF(OR($O39="",$P39=""),"",MAX(0,($P39-$O39)/(365.25/12)))</f>
        <v/>
      </c>
      <c r="R39" s="53" t="n">
        <f aca="false">IF(OR($A39="",$E39&lt;&gt;"Y"),0,IF($F39="SAR",$G39*Inputs!$B$9,IF($F39="LOE",$G39*N($Q39),$G39))*N($H39)*IF($I39="Y",Inputs!$B$16,1)*IF($J39="Y",Inputs!$B$22,1))</f>
        <v>0</v>
      </c>
      <c r="S39" s="56"/>
      <c r="T39" s="53" t="n">
        <f aca="false">$R39*IF($S39&lt;&gt;"",$S39,Inputs!$B$11)</f>
        <v>0</v>
      </c>
      <c r="U39" s="55"/>
      <c r="V39" s="46"/>
    </row>
    <row r="40" customFormat="false" ht="15" hidden="false" customHeight="false" outlineLevel="0" collapsed="false">
      <c r="A40" s="8"/>
      <c r="B40" s="8"/>
      <c r="C40" s="55"/>
      <c r="D40" s="8"/>
      <c r="E40" s="46"/>
      <c r="F40" s="46"/>
      <c r="G40" s="56"/>
      <c r="H40" s="57"/>
      <c r="I40" s="46"/>
      <c r="J40" s="46"/>
      <c r="K40" s="46"/>
      <c r="L40" s="46"/>
      <c r="M40" s="46"/>
      <c r="N40" s="46"/>
      <c r="O40" s="43" t="str">
        <f aca="false">IFERROR(INDEX(Milestones!$E$5:$E$34,MATCH($K40,Milestones!$B$5:$B$34,0))+N($L40)*7,"")</f>
        <v/>
      </c>
      <c r="P40" s="43" t="str">
        <f aca="false">IFERROR(INDEX(Milestones!$E$5:$E$34,MATCH($M40,Milestones!$B$5:$B$34,0))+N($N40)*7,"")</f>
        <v/>
      </c>
      <c r="Q40" s="52" t="str">
        <f aca="false">IF(OR($O40="",$P40=""),"",MAX(0,($P40-$O40)/(365.25/12)))</f>
        <v/>
      </c>
      <c r="R40" s="53" t="n">
        <f aca="false">IF(OR($A40="",$E40&lt;&gt;"Y"),0,IF($F40="SAR",$G40*Inputs!$B$9,IF($F40="LOE",$G40*N($Q40),$G40))*N($H40)*IF($I40="Y",Inputs!$B$16,1)*IF($J40="Y",Inputs!$B$22,1))</f>
        <v>0</v>
      </c>
      <c r="S40" s="56"/>
      <c r="T40" s="53" t="n">
        <f aca="false">$R40*IF($S40&lt;&gt;"",$S40,Inputs!$B$11)</f>
        <v>0</v>
      </c>
      <c r="U40" s="55"/>
      <c r="V40" s="46"/>
    </row>
    <row r="41" customFormat="false" ht="15" hidden="false" customHeight="false" outlineLevel="0" collapsed="false">
      <c r="A41" s="8"/>
      <c r="B41" s="8"/>
      <c r="C41" s="55"/>
      <c r="D41" s="8"/>
      <c r="E41" s="46"/>
      <c r="F41" s="46"/>
      <c r="G41" s="56"/>
      <c r="H41" s="57"/>
      <c r="I41" s="46"/>
      <c r="J41" s="46"/>
      <c r="K41" s="46"/>
      <c r="L41" s="46"/>
      <c r="M41" s="46"/>
      <c r="N41" s="46"/>
      <c r="O41" s="43" t="str">
        <f aca="false">IFERROR(INDEX(Milestones!$E$5:$E$34,MATCH($K41,Milestones!$B$5:$B$34,0))+N($L41)*7,"")</f>
        <v/>
      </c>
      <c r="P41" s="43" t="str">
        <f aca="false">IFERROR(INDEX(Milestones!$E$5:$E$34,MATCH($M41,Milestones!$B$5:$B$34,0))+N($N41)*7,"")</f>
        <v/>
      </c>
      <c r="Q41" s="52" t="str">
        <f aca="false">IF(OR($O41="",$P41=""),"",MAX(0,($P41-$O41)/(365.25/12)))</f>
        <v/>
      </c>
      <c r="R41" s="53" t="n">
        <f aca="false">IF(OR($A41="",$E41&lt;&gt;"Y"),0,IF($F41="SAR",$G41*Inputs!$B$9,IF($F41="LOE",$G41*N($Q41),$G41))*N($H41)*IF($I41="Y",Inputs!$B$16,1)*IF($J41="Y",Inputs!$B$22,1))</f>
        <v>0</v>
      </c>
      <c r="S41" s="56"/>
      <c r="T41" s="53" t="n">
        <f aca="false">$R41*IF($S41&lt;&gt;"",$S41,Inputs!$B$11)</f>
        <v>0</v>
      </c>
      <c r="U41" s="55"/>
      <c r="V41" s="46"/>
    </row>
    <row r="42" customFormat="false" ht="15" hidden="false" customHeight="false" outlineLevel="0" collapsed="false">
      <c r="A42" s="8"/>
      <c r="B42" s="8"/>
      <c r="C42" s="55"/>
      <c r="D42" s="8"/>
      <c r="E42" s="46"/>
      <c r="F42" s="46"/>
      <c r="G42" s="56"/>
      <c r="H42" s="57"/>
      <c r="I42" s="46"/>
      <c r="J42" s="46"/>
      <c r="K42" s="46"/>
      <c r="L42" s="46"/>
      <c r="M42" s="46"/>
      <c r="N42" s="46"/>
      <c r="O42" s="43" t="str">
        <f aca="false">IFERROR(INDEX(Milestones!$E$5:$E$34,MATCH($K42,Milestones!$B$5:$B$34,0))+N($L42)*7,"")</f>
        <v/>
      </c>
      <c r="P42" s="43" t="str">
        <f aca="false">IFERROR(INDEX(Milestones!$E$5:$E$34,MATCH($M42,Milestones!$B$5:$B$34,0))+N($N42)*7,"")</f>
        <v/>
      </c>
      <c r="Q42" s="52" t="str">
        <f aca="false">IF(OR($O42="",$P42=""),"",MAX(0,($P42-$O42)/(365.25/12)))</f>
        <v/>
      </c>
      <c r="R42" s="53" t="n">
        <f aca="false">IF(OR($A42="",$E42&lt;&gt;"Y"),0,IF($F42="SAR",$G42*Inputs!$B$9,IF($F42="LOE",$G42*N($Q42),$G42))*N($H42)*IF($I42="Y",Inputs!$B$16,1)*IF($J42="Y",Inputs!$B$22,1))</f>
        <v>0</v>
      </c>
      <c r="S42" s="56"/>
      <c r="T42" s="53" t="n">
        <f aca="false">$R42*IF($S42&lt;&gt;"",$S42,Inputs!$B$11)</f>
        <v>0</v>
      </c>
      <c r="U42" s="55"/>
      <c r="V42" s="46"/>
    </row>
    <row r="43" customFormat="false" ht="15" hidden="false" customHeight="false" outlineLevel="0" collapsed="false">
      <c r="A43" s="8"/>
      <c r="B43" s="8"/>
      <c r="C43" s="55"/>
      <c r="D43" s="8"/>
      <c r="E43" s="46"/>
      <c r="F43" s="46"/>
      <c r="G43" s="56"/>
      <c r="H43" s="57"/>
      <c r="I43" s="46"/>
      <c r="J43" s="46"/>
      <c r="K43" s="46"/>
      <c r="L43" s="46"/>
      <c r="M43" s="46"/>
      <c r="N43" s="46"/>
      <c r="O43" s="43" t="str">
        <f aca="false">IFERROR(INDEX(Milestones!$E$5:$E$34,MATCH($K43,Milestones!$B$5:$B$34,0))+N($L43)*7,"")</f>
        <v/>
      </c>
      <c r="P43" s="43" t="str">
        <f aca="false">IFERROR(INDEX(Milestones!$E$5:$E$34,MATCH($M43,Milestones!$B$5:$B$34,0))+N($N43)*7,"")</f>
        <v/>
      </c>
      <c r="Q43" s="52" t="str">
        <f aca="false">IF(OR($O43="",$P43=""),"",MAX(0,($P43-$O43)/(365.25/12)))</f>
        <v/>
      </c>
      <c r="R43" s="53" t="n">
        <f aca="false">IF(OR($A43="",$E43&lt;&gt;"Y"),0,IF($F43="SAR",$G43*Inputs!$B$9,IF($F43="LOE",$G43*N($Q43),$G43))*N($H43)*IF($I43="Y",Inputs!$B$16,1)*IF($J43="Y",Inputs!$B$22,1))</f>
        <v>0</v>
      </c>
      <c r="S43" s="56"/>
      <c r="T43" s="53" t="n">
        <f aca="false">$R43*IF($S43&lt;&gt;"",$S43,Inputs!$B$11)</f>
        <v>0</v>
      </c>
      <c r="U43" s="55"/>
      <c r="V43" s="46"/>
    </row>
    <row r="44" customFormat="false" ht="15" hidden="false" customHeight="false" outlineLevel="0" collapsed="false">
      <c r="A44" s="8"/>
      <c r="B44" s="8"/>
      <c r="C44" s="55"/>
      <c r="D44" s="8"/>
      <c r="E44" s="46"/>
      <c r="F44" s="46"/>
      <c r="G44" s="56"/>
      <c r="H44" s="57"/>
      <c r="I44" s="46"/>
      <c r="J44" s="46"/>
      <c r="K44" s="46"/>
      <c r="L44" s="46"/>
      <c r="M44" s="46"/>
      <c r="N44" s="46"/>
      <c r="O44" s="43" t="str">
        <f aca="false">IFERROR(INDEX(Milestones!$E$5:$E$34,MATCH($K44,Milestones!$B$5:$B$34,0))+N($L44)*7,"")</f>
        <v/>
      </c>
      <c r="P44" s="43" t="str">
        <f aca="false">IFERROR(INDEX(Milestones!$E$5:$E$34,MATCH($M44,Milestones!$B$5:$B$34,0))+N($N44)*7,"")</f>
        <v/>
      </c>
      <c r="Q44" s="52" t="str">
        <f aca="false">IF(OR($O44="",$P44=""),"",MAX(0,($P44-$O44)/(365.25/12)))</f>
        <v/>
      </c>
      <c r="R44" s="53" t="n">
        <f aca="false">IF(OR($A44="",$E44&lt;&gt;"Y"),0,IF($F44="SAR",$G44*Inputs!$B$9,IF($F44="LOE",$G44*N($Q44),$G44))*N($H44)*IF($I44="Y",Inputs!$B$16,1)*IF($J44="Y",Inputs!$B$22,1))</f>
        <v>0</v>
      </c>
      <c r="S44" s="56"/>
      <c r="T44" s="53" t="n">
        <f aca="false">$R44*IF($S44&lt;&gt;"",$S44,Inputs!$B$11)</f>
        <v>0</v>
      </c>
      <c r="U44" s="55"/>
      <c r="V44" s="46"/>
    </row>
    <row r="45" customFormat="false" ht="15" hidden="false" customHeight="false" outlineLevel="0" collapsed="false">
      <c r="A45" s="8"/>
      <c r="B45" s="8"/>
      <c r="C45" s="55"/>
      <c r="D45" s="8"/>
      <c r="E45" s="46"/>
      <c r="F45" s="46"/>
      <c r="G45" s="56"/>
      <c r="H45" s="57"/>
      <c r="I45" s="46"/>
      <c r="J45" s="46"/>
      <c r="K45" s="46"/>
      <c r="L45" s="46"/>
      <c r="M45" s="46"/>
      <c r="N45" s="46"/>
      <c r="O45" s="43" t="str">
        <f aca="false">IFERROR(INDEX(Milestones!$E$5:$E$34,MATCH($K45,Milestones!$B$5:$B$34,0))+N($L45)*7,"")</f>
        <v/>
      </c>
      <c r="P45" s="43" t="str">
        <f aca="false">IFERROR(INDEX(Milestones!$E$5:$E$34,MATCH($M45,Milestones!$B$5:$B$34,0))+N($N45)*7,"")</f>
        <v/>
      </c>
      <c r="Q45" s="52" t="str">
        <f aca="false">IF(OR($O45="",$P45=""),"",MAX(0,($P45-$O45)/(365.25/12)))</f>
        <v/>
      </c>
      <c r="R45" s="53" t="n">
        <f aca="false">IF(OR($A45="",$E45&lt;&gt;"Y"),0,IF($F45="SAR",$G45*Inputs!$B$9,IF($F45="LOE",$G45*N($Q45),$G45))*N($H45)*IF($I45="Y",Inputs!$B$16,1)*IF($J45="Y",Inputs!$B$22,1))</f>
        <v>0</v>
      </c>
      <c r="S45" s="56"/>
      <c r="T45" s="53" t="n">
        <f aca="false">$R45*IF($S45&lt;&gt;"",$S45,Inputs!$B$11)</f>
        <v>0</v>
      </c>
      <c r="U45" s="55"/>
      <c r="V45" s="46"/>
    </row>
    <row r="46" customFormat="false" ht="15" hidden="false" customHeight="false" outlineLevel="0" collapsed="false">
      <c r="A46" s="8"/>
      <c r="B46" s="8"/>
      <c r="C46" s="55"/>
      <c r="D46" s="8"/>
      <c r="E46" s="46"/>
      <c r="F46" s="46"/>
      <c r="G46" s="56"/>
      <c r="H46" s="57"/>
      <c r="I46" s="46"/>
      <c r="J46" s="46"/>
      <c r="K46" s="46"/>
      <c r="L46" s="46"/>
      <c r="M46" s="46"/>
      <c r="N46" s="46"/>
      <c r="O46" s="43" t="str">
        <f aca="false">IFERROR(INDEX(Milestones!$E$5:$E$34,MATCH($K46,Milestones!$B$5:$B$34,0))+N($L46)*7,"")</f>
        <v/>
      </c>
      <c r="P46" s="43" t="str">
        <f aca="false">IFERROR(INDEX(Milestones!$E$5:$E$34,MATCH($M46,Milestones!$B$5:$B$34,0))+N($N46)*7,"")</f>
        <v/>
      </c>
      <c r="Q46" s="52" t="str">
        <f aca="false">IF(OR($O46="",$P46=""),"",MAX(0,($P46-$O46)/(365.25/12)))</f>
        <v/>
      </c>
      <c r="R46" s="53" t="n">
        <f aca="false">IF(OR($A46="",$E46&lt;&gt;"Y"),0,IF($F46="SAR",$G46*Inputs!$B$9,IF($F46="LOE",$G46*N($Q46),$G46))*N($H46)*IF($I46="Y",Inputs!$B$16,1)*IF($J46="Y",Inputs!$B$22,1))</f>
        <v>0</v>
      </c>
      <c r="S46" s="56"/>
      <c r="T46" s="53" t="n">
        <f aca="false">$R46*IF($S46&lt;&gt;"",$S46,Inputs!$B$11)</f>
        <v>0</v>
      </c>
      <c r="U46" s="55"/>
      <c r="V46" s="46"/>
    </row>
    <row r="47" customFormat="false" ht="15" hidden="false" customHeight="false" outlineLevel="0" collapsed="false">
      <c r="A47" s="8"/>
      <c r="B47" s="8"/>
      <c r="C47" s="55"/>
      <c r="D47" s="8"/>
      <c r="E47" s="46"/>
      <c r="F47" s="46"/>
      <c r="G47" s="56"/>
      <c r="H47" s="57"/>
      <c r="I47" s="46"/>
      <c r="J47" s="46"/>
      <c r="K47" s="46"/>
      <c r="L47" s="46"/>
      <c r="M47" s="46"/>
      <c r="N47" s="46"/>
      <c r="O47" s="43" t="str">
        <f aca="false">IFERROR(INDEX(Milestones!$E$5:$E$34,MATCH($K47,Milestones!$B$5:$B$34,0))+N($L47)*7,"")</f>
        <v/>
      </c>
      <c r="P47" s="43" t="str">
        <f aca="false">IFERROR(INDEX(Milestones!$E$5:$E$34,MATCH($M47,Milestones!$B$5:$B$34,0))+N($N47)*7,"")</f>
        <v/>
      </c>
      <c r="Q47" s="52" t="str">
        <f aca="false">IF(OR($O47="",$P47=""),"",MAX(0,($P47-$O47)/(365.25/12)))</f>
        <v/>
      </c>
      <c r="R47" s="53" t="n">
        <f aca="false">IF(OR($A47="",$E47&lt;&gt;"Y"),0,IF($F47="SAR",$G47*Inputs!$B$9,IF($F47="LOE",$G47*N($Q47),$G47))*N($H47)*IF($I47="Y",Inputs!$B$16,1)*IF($J47="Y",Inputs!$B$22,1))</f>
        <v>0</v>
      </c>
      <c r="S47" s="56"/>
      <c r="T47" s="53" t="n">
        <f aca="false">$R47*IF($S47&lt;&gt;"",$S47,Inputs!$B$11)</f>
        <v>0</v>
      </c>
      <c r="U47" s="55"/>
      <c r="V47" s="46"/>
    </row>
    <row r="48" customFormat="false" ht="15" hidden="false" customHeight="false" outlineLevel="0" collapsed="false">
      <c r="A48" s="8"/>
      <c r="B48" s="8"/>
      <c r="C48" s="55"/>
      <c r="D48" s="8"/>
      <c r="E48" s="46"/>
      <c r="F48" s="46"/>
      <c r="G48" s="56"/>
      <c r="H48" s="57"/>
      <c r="I48" s="46"/>
      <c r="J48" s="46"/>
      <c r="K48" s="46"/>
      <c r="L48" s="46"/>
      <c r="M48" s="46"/>
      <c r="N48" s="46"/>
      <c r="O48" s="43" t="str">
        <f aca="false">IFERROR(INDEX(Milestones!$E$5:$E$34,MATCH($K48,Milestones!$B$5:$B$34,0))+N($L48)*7,"")</f>
        <v/>
      </c>
      <c r="P48" s="43" t="str">
        <f aca="false">IFERROR(INDEX(Milestones!$E$5:$E$34,MATCH($M48,Milestones!$B$5:$B$34,0))+N($N48)*7,"")</f>
        <v/>
      </c>
      <c r="Q48" s="52" t="str">
        <f aca="false">IF(OR($O48="",$P48=""),"",MAX(0,($P48-$O48)/(365.25/12)))</f>
        <v/>
      </c>
      <c r="R48" s="53" t="n">
        <f aca="false">IF(OR($A48="",$E48&lt;&gt;"Y"),0,IF($F48="SAR",$G48*Inputs!$B$9,IF($F48="LOE",$G48*N($Q48),$G48))*N($H48)*IF($I48="Y",Inputs!$B$16,1)*IF($J48="Y",Inputs!$B$22,1))</f>
        <v>0</v>
      </c>
      <c r="S48" s="56"/>
      <c r="T48" s="53" t="n">
        <f aca="false">$R48*IF($S48&lt;&gt;"",$S48,Inputs!$B$11)</f>
        <v>0</v>
      </c>
      <c r="U48" s="55"/>
      <c r="V48" s="46"/>
    </row>
    <row r="49" customFormat="false" ht="15" hidden="false" customHeight="false" outlineLevel="0" collapsed="false">
      <c r="A49" s="8"/>
      <c r="B49" s="8"/>
      <c r="C49" s="55"/>
      <c r="D49" s="8"/>
      <c r="E49" s="46"/>
      <c r="F49" s="46"/>
      <c r="G49" s="56"/>
      <c r="H49" s="57"/>
      <c r="I49" s="46"/>
      <c r="J49" s="46"/>
      <c r="K49" s="46"/>
      <c r="L49" s="46"/>
      <c r="M49" s="46"/>
      <c r="N49" s="46"/>
      <c r="O49" s="43" t="str">
        <f aca="false">IFERROR(INDEX(Milestones!$E$5:$E$34,MATCH($K49,Milestones!$B$5:$B$34,0))+N($L49)*7,"")</f>
        <v/>
      </c>
      <c r="P49" s="43" t="str">
        <f aca="false">IFERROR(INDEX(Milestones!$E$5:$E$34,MATCH($M49,Milestones!$B$5:$B$34,0))+N($N49)*7,"")</f>
        <v/>
      </c>
      <c r="Q49" s="52" t="str">
        <f aca="false">IF(OR($O49="",$P49=""),"",MAX(0,($P49-$O49)/(365.25/12)))</f>
        <v/>
      </c>
      <c r="R49" s="53" t="n">
        <f aca="false">IF(OR($A49="",$E49&lt;&gt;"Y"),0,IF($F49="SAR",$G49*Inputs!$B$9,IF($F49="LOE",$G49*N($Q49),$G49))*N($H49)*IF($I49="Y",Inputs!$B$16,1)*IF($J49="Y",Inputs!$B$22,1))</f>
        <v>0</v>
      </c>
      <c r="S49" s="56"/>
      <c r="T49" s="53" t="n">
        <f aca="false">$R49*IF($S49&lt;&gt;"",$S49,Inputs!$B$11)</f>
        <v>0</v>
      </c>
      <c r="U49" s="55"/>
      <c r="V49" s="46"/>
    </row>
    <row r="50" customFormat="false" ht="15" hidden="false" customHeight="false" outlineLevel="0" collapsed="false">
      <c r="A50" s="8"/>
      <c r="B50" s="8"/>
      <c r="C50" s="55"/>
      <c r="D50" s="8"/>
      <c r="E50" s="46"/>
      <c r="F50" s="46"/>
      <c r="G50" s="56"/>
      <c r="H50" s="57"/>
      <c r="I50" s="46"/>
      <c r="J50" s="46"/>
      <c r="K50" s="46"/>
      <c r="L50" s="46"/>
      <c r="M50" s="46"/>
      <c r="N50" s="46"/>
      <c r="O50" s="43" t="str">
        <f aca="false">IFERROR(INDEX(Milestones!$E$5:$E$34,MATCH($K50,Milestones!$B$5:$B$34,0))+N($L50)*7,"")</f>
        <v/>
      </c>
      <c r="P50" s="43" t="str">
        <f aca="false">IFERROR(INDEX(Milestones!$E$5:$E$34,MATCH($M50,Milestones!$B$5:$B$34,0))+N($N50)*7,"")</f>
        <v/>
      </c>
      <c r="Q50" s="52" t="str">
        <f aca="false">IF(OR($O50="",$P50=""),"",MAX(0,($P50-$O50)/(365.25/12)))</f>
        <v/>
      </c>
      <c r="R50" s="53" t="n">
        <f aca="false">IF(OR($A50="",$E50&lt;&gt;"Y"),0,IF($F50="SAR",$G50*Inputs!$B$9,IF($F50="LOE",$G50*N($Q50),$G50))*N($H50)*IF($I50="Y",Inputs!$B$16,1)*IF($J50="Y",Inputs!$B$22,1))</f>
        <v>0</v>
      </c>
      <c r="S50" s="56"/>
      <c r="T50" s="53" t="n">
        <f aca="false">$R50*IF($S50&lt;&gt;"",$S50,Inputs!$B$11)</f>
        <v>0</v>
      </c>
      <c r="U50" s="55"/>
      <c r="V50" s="46"/>
    </row>
    <row r="51" customFormat="false" ht="15" hidden="false" customHeight="false" outlineLevel="0" collapsed="false">
      <c r="A51" s="8"/>
      <c r="B51" s="8"/>
      <c r="C51" s="55"/>
      <c r="D51" s="8"/>
      <c r="E51" s="46"/>
      <c r="F51" s="46"/>
      <c r="G51" s="56"/>
      <c r="H51" s="57"/>
      <c r="I51" s="46"/>
      <c r="J51" s="46"/>
      <c r="K51" s="46"/>
      <c r="L51" s="46"/>
      <c r="M51" s="46"/>
      <c r="N51" s="46"/>
      <c r="O51" s="43" t="str">
        <f aca="false">IFERROR(INDEX(Milestones!$E$5:$E$34,MATCH($K51,Milestones!$B$5:$B$34,0))+N($L51)*7,"")</f>
        <v/>
      </c>
      <c r="P51" s="43" t="str">
        <f aca="false">IFERROR(INDEX(Milestones!$E$5:$E$34,MATCH($M51,Milestones!$B$5:$B$34,0))+N($N51)*7,"")</f>
        <v/>
      </c>
      <c r="Q51" s="52" t="str">
        <f aca="false">IF(OR($O51="",$P51=""),"",MAX(0,($P51-$O51)/(365.25/12)))</f>
        <v/>
      </c>
      <c r="R51" s="53" t="n">
        <f aca="false">IF(OR($A51="",$E51&lt;&gt;"Y"),0,IF($F51="SAR",$G51*Inputs!$B$9,IF($F51="LOE",$G51*N($Q51),$G51))*N($H51)*IF($I51="Y",Inputs!$B$16,1)*IF($J51="Y",Inputs!$B$22,1))</f>
        <v>0</v>
      </c>
      <c r="S51" s="56"/>
      <c r="T51" s="53" t="n">
        <f aca="false">$R51*IF($S51&lt;&gt;"",$S51,Inputs!$B$11)</f>
        <v>0</v>
      </c>
      <c r="U51" s="55"/>
      <c r="V51" s="46"/>
    </row>
    <row r="52" customFormat="false" ht="15" hidden="false" customHeight="false" outlineLevel="0" collapsed="false">
      <c r="A52" s="8"/>
      <c r="B52" s="8"/>
      <c r="C52" s="55"/>
      <c r="D52" s="8"/>
      <c r="E52" s="46"/>
      <c r="F52" s="46"/>
      <c r="G52" s="56"/>
      <c r="H52" s="57"/>
      <c r="I52" s="46"/>
      <c r="J52" s="46"/>
      <c r="K52" s="46"/>
      <c r="L52" s="46"/>
      <c r="M52" s="46"/>
      <c r="N52" s="46"/>
      <c r="O52" s="43" t="str">
        <f aca="false">IFERROR(INDEX(Milestones!$E$5:$E$34,MATCH($K52,Milestones!$B$5:$B$34,0))+N($L52)*7,"")</f>
        <v/>
      </c>
      <c r="P52" s="43" t="str">
        <f aca="false">IFERROR(INDEX(Milestones!$E$5:$E$34,MATCH($M52,Milestones!$B$5:$B$34,0))+N($N52)*7,"")</f>
        <v/>
      </c>
      <c r="Q52" s="52" t="str">
        <f aca="false">IF(OR($O52="",$P52=""),"",MAX(0,($P52-$O52)/(365.25/12)))</f>
        <v/>
      </c>
      <c r="R52" s="53" t="n">
        <f aca="false">IF(OR($A52="",$E52&lt;&gt;"Y"),0,IF($F52="SAR",$G52*Inputs!$B$9,IF($F52="LOE",$G52*N($Q52),$G52))*N($H52)*IF($I52="Y",Inputs!$B$16,1)*IF($J52="Y",Inputs!$B$22,1))</f>
        <v>0</v>
      </c>
      <c r="S52" s="56"/>
      <c r="T52" s="53" t="n">
        <f aca="false">$R52*IF($S52&lt;&gt;"",$S52,Inputs!$B$11)</f>
        <v>0</v>
      </c>
      <c r="U52" s="55"/>
      <c r="V52" s="46"/>
    </row>
    <row r="53" customFormat="false" ht="15" hidden="false" customHeight="false" outlineLevel="0" collapsed="false">
      <c r="A53" s="8"/>
      <c r="B53" s="8"/>
      <c r="C53" s="55"/>
      <c r="D53" s="8"/>
      <c r="E53" s="46"/>
      <c r="F53" s="46"/>
      <c r="G53" s="56"/>
      <c r="H53" s="57"/>
      <c r="I53" s="46"/>
      <c r="J53" s="46"/>
      <c r="K53" s="46"/>
      <c r="L53" s="46"/>
      <c r="M53" s="46"/>
      <c r="N53" s="46"/>
      <c r="O53" s="43" t="str">
        <f aca="false">IFERROR(INDEX(Milestones!$E$5:$E$34,MATCH($K53,Milestones!$B$5:$B$34,0))+N($L53)*7,"")</f>
        <v/>
      </c>
      <c r="P53" s="43" t="str">
        <f aca="false">IFERROR(INDEX(Milestones!$E$5:$E$34,MATCH($M53,Milestones!$B$5:$B$34,0))+N($N53)*7,"")</f>
        <v/>
      </c>
      <c r="Q53" s="52" t="str">
        <f aca="false">IF(OR($O53="",$P53=""),"",MAX(0,($P53-$O53)/(365.25/12)))</f>
        <v/>
      </c>
      <c r="R53" s="53" t="n">
        <f aca="false">IF(OR($A53="",$E53&lt;&gt;"Y"),0,IF($F53="SAR",$G53*Inputs!$B$9,IF($F53="LOE",$G53*N($Q53),$G53))*N($H53)*IF($I53="Y",Inputs!$B$16,1)*IF($J53="Y",Inputs!$B$22,1))</f>
        <v>0</v>
      </c>
      <c r="S53" s="56"/>
      <c r="T53" s="53" t="n">
        <f aca="false">$R53*IF($S53&lt;&gt;"",$S53,Inputs!$B$11)</f>
        <v>0</v>
      </c>
      <c r="U53" s="55"/>
      <c r="V53" s="46"/>
    </row>
    <row r="54" customFormat="false" ht="15" hidden="false" customHeight="false" outlineLevel="0" collapsed="false">
      <c r="A54" s="8"/>
      <c r="B54" s="8"/>
      <c r="C54" s="55"/>
      <c r="D54" s="8"/>
      <c r="E54" s="46"/>
      <c r="F54" s="46"/>
      <c r="G54" s="56"/>
      <c r="H54" s="57"/>
      <c r="I54" s="46"/>
      <c r="J54" s="46"/>
      <c r="K54" s="46"/>
      <c r="L54" s="46"/>
      <c r="M54" s="46"/>
      <c r="N54" s="46"/>
      <c r="O54" s="43" t="str">
        <f aca="false">IFERROR(INDEX(Milestones!$E$5:$E$34,MATCH($K54,Milestones!$B$5:$B$34,0))+N($L54)*7,"")</f>
        <v/>
      </c>
      <c r="P54" s="43" t="str">
        <f aca="false">IFERROR(INDEX(Milestones!$E$5:$E$34,MATCH($M54,Milestones!$B$5:$B$34,0))+N($N54)*7,"")</f>
        <v/>
      </c>
      <c r="Q54" s="52" t="str">
        <f aca="false">IF(OR($O54="",$P54=""),"",MAX(0,($P54-$O54)/(365.25/12)))</f>
        <v/>
      </c>
      <c r="R54" s="53" t="n">
        <f aca="false">IF(OR($A54="",$E54&lt;&gt;"Y"),0,IF($F54="SAR",$G54*Inputs!$B$9,IF($F54="LOE",$G54*N($Q54),$G54))*N($H54)*IF($I54="Y",Inputs!$B$16,1)*IF($J54="Y",Inputs!$B$22,1))</f>
        <v>0</v>
      </c>
      <c r="S54" s="56"/>
      <c r="T54" s="53" t="n">
        <f aca="false">$R54*IF($S54&lt;&gt;"",$S54,Inputs!$B$11)</f>
        <v>0</v>
      </c>
      <c r="U54" s="55"/>
      <c r="V54" s="46"/>
    </row>
    <row r="55" customFormat="false" ht="15" hidden="false" customHeight="false" outlineLevel="0" collapsed="false">
      <c r="A55" s="8"/>
      <c r="B55" s="8"/>
      <c r="C55" s="55"/>
      <c r="D55" s="8"/>
      <c r="E55" s="46"/>
      <c r="F55" s="46"/>
      <c r="G55" s="56"/>
      <c r="H55" s="57"/>
      <c r="I55" s="46"/>
      <c r="J55" s="46"/>
      <c r="K55" s="46"/>
      <c r="L55" s="46"/>
      <c r="M55" s="46"/>
      <c r="N55" s="46"/>
      <c r="O55" s="43" t="str">
        <f aca="false">IFERROR(INDEX(Milestones!$E$5:$E$34,MATCH($K55,Milestones!$B$5:$B$34,0))+N($L55)*7,"")</f>
        <v/>
      </c>
      <c r="P55" s="43" t="str">
        <f aca="false">IFERROR(INDEX(Milestones!$E$5:$E$34,MATCH($M55,Milestones!$B$5:$B$34,0))+N($N55)*7,"")</f>
        <v/>
      </c>
      <c r="Q55" s="52" t="str">
        <f aca="false">IF(OR($O55="",$P55=""),"",MAX(0,($P55-$O55)/(365.25/12)))</f>
        <v/>
      </c>
      <c r="R55" s="53" t="n">
        <f aca="false">IF(OR($A55="",$E55&lt;&gt;"Y"),0,IF($F55="SAR",$G55*Inputs!$B$9,IF($F55="LOE",$G55*N($Q55),$G55))*N($H55)*IF($I55="Y",Inputs!$B$16,1)*IF($J55="Y",Inputs!$B$22,1))</f>
        <v>0</v>
      </c>
      <c r="S55" s="56"/>
      <c r="T55" s="53" t="n">
        <f aca="false">$R55*IF($S55&lt;&gt;"",$S55,Inputs!$B$11)</f>
        <v>0</v>
      </c>
      <c r="U55" s="55"/>
      <c r="V55" s="46"/>
    </row>
    <row r="56" customFormat="false" ht="15" hidden="false" customHeight="false" outlineLevel="0" collapsed="false">
      <c r="A56" s="8"/>
      <c r="B56" s="8"/>
      <c r="C56" s="55"/>
      <c r="D56" s="8"/>
      <c r="E56" s="46"/>
      <c r="F56" s="46"/>
      <c r="G56" s="56"/>
      <c r="H56" s="57"/>
      <c r="I56" s="46"/>
      <c r="J56" s="46"/>
      <c r="K56" s="46"/>
      <c r="L56" s="46"/>
      <c r="M56" s="46"/>
      <c r="N56" s="46"/>
      <c r="O56" s="43" t="str">
        <f aca="false">IFERROR(INDEX(Milestones!$E$5:$E$34,MATCH($K56,Milestones!$B$5:$B$34,0))+N($L56)*7,"")</f>
        <v/>
      </c>
      <c r="P56" s="43" t="str">
        <f aca="false">IFERROR(INDEX(Milestones!$E$5:$E$34,MATCH($M56,Milestones!$B$5:$B$34,0))+N($N56)*7,"")</f>
        <v/>
      </c>
      <c r="Q56" s="52" t="str">
        <f aca="false">IF(OR($O56="",$P56=""),"",MAX(0,($P56-$O56)/(365.25/12)))</f>
        <v/>
      </c>
      <c r="R56" s="53" t="n">
        <f aca="false">IF(OR($A56="",$E56&lt;&gt;"Y"),0,IF($F56="SAR",$G56*Inputs!$B$9,IF($F56="LOE",$G56*N($Q56),$G56))*N($H56)*IF($I56="Y",Inputs!$B$16,1)*IF($J56="Y",Inputs!$B$22,1))</f>
        <v>0</v>
      </c>
      <c r="S56" s="56"/>
      <c r="T56" s="53" t="n">
        <f aca="false">$R56*IF($S56&lt;&gt;"",$S56,Inputs!$B$11)</f>
        <v>0</v>
      </c>
      <c r="U56" s="55"/>
      <c r="V56" s="46"/>
    </row>
    <row r="57" customFormat="false" ht="15" hidden="false" customHeight="false" outlineLevel="0" collapsed="false">
      <c r="A57" s="8"/>
      <c r="B57" s="8"/>
      <c r="C57" s="55"/>
      <c r="D57" s="8"/>
      <c r="E57" s="46"/>
      <c r="F57" s="46"/>
      <c r="G57" s="56"/>
      <c r="H57" s="57"/>
      <c r="I57" s="46"/>
      <c r="J57" s="46"/>
      <c r="K57" s="46"/>
      <c r="L57" s="46"/>
      <c r="M57" s="46"/>
      <c r="N57" s="46"/>
      <c r="O57" s="43" t="str">
        <f aca="false">IFERROR(INDEX(Milestones!$E$5:$E$34,MATCH($K57,Milestones!$B$5:$B$34,0))+N($L57)*7,"")</f>
        <v/>
      </c>
      <c r="P57" s="43" t="str">
        <f aca="false">IFERROR(INDEX(Milestones!$E$5:$E$34,MATCH($M57,Milestones!$B$5:$B$34,0))+N($N57)*7,"")</f>
        <v/>
      </c>
      <c r="Q57" s="52" t="str">
        <f aca="false">IF(OR($O57="",$P57=""),"",MAX(0,($P57-$O57)/(365.25/12)))</f>
        <v/>
      </c>
      <c r="R57" s="53" t="n">
        <f aca="false">IF(OR($A57="",$E57&lt;&gt;"Y"),0,IF($F57="SAR",$G57*Inputs!$B$9,IF($F57="LOE",$G57*N($Q57),$G57))*N($H57)*IF($I57="Y",Inputs!$B$16,1)*IF($J57="Y",Inputs!$B$22,1))</f>
        <v>0</v>
      </c>
      <c r="S57" s="56"/>
      <c r="T57" s="53" t="n">
        <f aca="false">$R57*IF($S57&lt;&gt;"",$S57,Inputs!$B$11)</f>
        <v>0</v>
      </c>
      <c r="U57" s="55"/>
      <c r="V57" s="46"/>
    </row>
    <row r="58" customFormat="false" ht="15" hidden="false" customHeight="false" outlineLevel="0" collapsed="false">
      <c r="A58" s="8"/>
      <c r="B58" s="8"/>
      <c r="C58" s="55"/>
      <c r="D58" s="8"/>
      <c r="E58" s="46"/>
      <c r="F58" s="46"/>
      <c r="G58" s="56"/>
      <c r="H58" s="57"/>
      <c r="I58" s="46"/>
      <c r="J58" s="46"/>
      <c r="K58" s="46"/>
      <c r="L58" s="46"/>
      <c r="M58" s="46"/>
      <c r="N58" s="46"/>
      <c r="O58" s="43" t="str">
        <f aca="false">IFERROR(INDEX(Milestones!$E$5:$E$34,MATCH($K58,Milestones!$B$5:$B$34,0))+N($L58)*7,"")</f>
        <v/>
      </c>
      <c r="P58" s="43" t="str">
        <f aca="false">IFERROR(INDEX(Milestones!$E$5:$E$34,MATCH($M58,Milestones!$B$5:$B$34,0))+N($N58)*7,"")</f>
        <v/>
      </c>
      <c r="Q58" s="52" t="str">
        <f aca="false">IF(OR($O58="",$P58=""),"",MAX(0,($P58-$O58)/(365.25/12)))</f>
        <v/>
      </c>
      <c r="R58" s="53" t="n">
        <f aca="false">IF(OR($A58="",$E58&lt;&gt;"Y"),0,IF($F58="SAR",$G58*Inputs!$B$9,IF($F58="LOE",$G58*N($Q58),$G58))*N($H58)*IF($I58="Y",Inputs!$B$16,1)*IF($J58="Y",Inputs!$B$22,1))</f>
        <v>0</v>
      </c>
      <c r="S58" s="56"/>
      <c r="T58" s="53" t="n">
        <f aca="false">$R58*IF($S58&lt;&gt;"",$S58,Inputs!$B$11)</f>
        <v>0</v>
      </c>
      <c r="U58" s="55"/>
      <c r="V58" s="46"/>
    </row>
    <row r="59" customFormat="false" ht="15" hidden="false" customHeight="false" outlineLevel="0" collapsed="false">
      <c r="A59" s="8"/>
      <c r="B59" s="8"/>
      <c r="C59" s="55"/>
      <c r="D59" s="8"/>
      <c r="E59" s="46"/>
      <c r="F59" s="46"/>
      <c r="G59" s="56"/>
      <c r="H59" s="57"/>
      <c r="I59" s="46"/>
      <c r="J59" s="46"/>
      <c r="K59" s="46"/>
      <c r="L59" s="46"/>
      <c r="M59" s="46"/>
      <c r="N59" s="46"/>
      <c r="O59" s="43" t="str">
        <f aca="false">IFERROR(INDEX(Milestones!$E$5:$E$34,MATCH($K59,Milestones!$B$5:$B$34,0))+N($L59)*7,"")</f>
        <v/>
      </c>
      <c r="P59" s="43" t="str">
        <f aca="false">IFERROR(INDEX(Milestones!$E$5:$E$34,MATCH($M59,Milestones!$B$5:$B$34,0))+N($N59)*7,"")</f>
        <v/>
      </c>
      <c r="Q59" s="52" t="str">
        <f aca="false">IF(OR($O59="",$P59=""),"",MAX(0,($P59-$O59)/(365.25/12)))</f>
        <v/>
      </c>
      <c r="R59" s="53" t="n">
        <f aca="false">IF(OR($A59="",$E59&lt;&gt;"Y"),0,IF($F59="SAR",$G59*Inputs!$B$9,IF($F59="LOE",$G59*N($Q59),$G59))*N($H59)*IF($I59="Y",Inputs!$B$16,1)*IF($J59="Y",Inputs!$B$22,1))</f>
        <v>0</v>
      </c>
      <c r="S59" s="56"/>
      <c r="T59" s="53" t="n">
        <f aca="false">$R59*IF($S59&lt;&gt;"",$S59,Inputs!$B$11)</f>
        <v>0</v>
      </c>
      <c r="U59" s="55"/>
      <c r="V59" s="46"/>
    </row>
    <row r="60" customFormat="false" ht="15" hidden="false" customHeight="false" outlineLevel="0" collapsed="false">
      <c r="A60" s="8"/>
      <c r="B60" s="8"/>
      <c r="C60" s="55"/>
      <c r="D60" s="8"/>
      <c r="E60" s="46"/>
      <c r="F60" s="46"/>
      <c r="G60" s="56"/>
      <c r="H60" s="57"/>
      <c r="I60" s="46"/>
      <c r="J60" s="46"/>
      <c r="K60" s="46"/>
      <c r="L60" s="46"/>
      <c r="M60" s="46"/>
      <c r="N60" s="46"/>
      <c r="O60" s="43" t="str">
        <f aca="false">IFERROR(INDEX(Milestones!$E$5:$E$34,MATCH($K60,Milestones!$B$5:$B$34,0))+N($L60)*7,"")</f>
        <v/>
      </c>
      <c r="P60" s="43" t="str">
        <f aca="false">IFERROR(INDEX(Milestones!$E$5:$E$34,MATCH($M60,Milestones!$B$5:$B$34,0))+N($N60)*7,"")</f>
        <v/>
      </c>
      <c r="Q60" s="52" t="str">
        <f aca="false">IF(OR($O60="",$P60=""),"",MAX(0,($P60-$O60)/(365.25/12)))</f>
        <v/>
      </c>
      <c r="R60" s="53" t="n">
        <f aca="false">IF(OR($A60="",$E60&lt;&gt;"Y"),0,IF($F60="SAR",$G60*Inputs!$B$9,IF($F60="LOE",$G60*N($Q60),$G60))*N($H60)*IF($I60="Y",Inputs!$B$16,1)*IF($J60="Y",Inputs!$B$22,1))</f>
        <v>0</v>
      </c>
      <c r="S60" s="56"/>
      <c r="T60" s="53" t="n">
        <f aca="false">$R60*IF($S60&lt;&gt;"",$S60,Inputs!$B$11)</f>
        <v>0</v>
      </c>
      <c r="U60" s="55"/>
      <c r="V60" s="46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customFormat="false" ht="15" hidden="false" customHeight="false" outlineLevel="0" collapsed="false">
      <c r="A62" s="4"/>
      <c r="B62" s="4"/>
      <c r="C62" s="18" t="s">
        <v>301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58" t="n">
        <f aca="false">SUM(R6:R60)</f>
        <v>11953.1991786448</v>
      </c>
      <c r="S62" s="4"/>
      <c r="T62" s="58" t="n">
        <f aca="false">SUM(T6:T60)</f>
        <v>17929.7987679671</v>
      </c>
      <c r="U62" s="4"/>
      <c r="V62" s="4"/>
    </row>
  </sheetData>
  <autoFilter ref="A5:V60"/>
  <dataValidations count="4">
    <dataValidation allowBlank="false" errorStyle="stop" operator="between" showDropDown="false" showErrorMessage="false" showInputMessage="false" sqref="E6:E60 I6:J60" type="list">
      <formula1>"Y,N"</formula1>
      <formula2>0</formula2>
    </dataValidation>
    <dataValidation allowBlank="false" errorStyle="stop" operator="between" showDropDown="false" showErrorMessage="false" showInputMessage="false" sqref="F6:F60" type="list">
      <formula1>"SAR,LOE,FIXED"</formula1>
      <formula2>0</formula2>
    </dataValidation>
    <dataValidation allowBlank="true" errorStyle="stop" operator="between" showDropDown="false" showErrorMessage="false" showInputMessage="false" sqref="K6:K60 M6:M60" type="list">
      <formula1>Milestones!$B$5:$B$34</formula1>
      <formula2>0</formula2>
    </dataValidation>
    <dataValidation allowBlank="true" errorStyle="stop" operator="between" showDropDown="false" showErrorMessage="false" showInputMessage="false" sqref="V6:V60" type="list">
      <formula1>Inputs!$A$38:$A$41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BY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77" min="6" style="0" width="7.5"/>
  </cols>
  <sheetData>
    <row r="1" customFormat="false" ht="17.35" hidden="false" customHeight="false" outlineLevel="0" collapsed="false">
      <c r="A1" s="3" t="s">
        <v>302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</row>
    <row r="2" customFormat="false" ht="15" hidden="false" customHeight="false" outlineLevel="0" collapsed="false">
      <c r="A2" s="5" t="str">
        <f aca="false">"Basis: "&amp;Inputs!$B$7&amp;"   |   Hours per FTE-month: "&amp;TEXT(Inputs!$B$6,"0")</f>
        <v>Basis: P50   |   Hours per FTE-month: 156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</row>
    <row r="3" customFormat="false" ht="15" hidden="false" customHeight="false" outlineLevel="0" collapsed="false">
      <c r="A3" s="4"/>
      <c r="B3" s="4"/>
      <c r="C3" s="4"/>
      <c r="D3" s="4"/>
      <c r="E3" s="18" t="s">
        <v>303</v>
      </c>
      <c r="F3" s="59" t="n">
        <f aca="false">IF(F4="","",1)</f>
        <v>1</v>
      </c>
      <c r="G3" s="59" t="n">
        <f aca="false">IF(G4="","",2)</f>
        <v>2</v>
      </c>
      <c r="H3" s="59" t="n">
        <f aca="false">IF(H4="","",3)</f>
        <v>3</v>
      </c>
      <c r="I3" s="59" t="n">
        <f aca="false">IF(I4="","",4)</f>
        <v>4</v>
      </c>
      <c r="J3" s="59" t="n">
        <f aca="false">IF(J4="","",5)</f>
        <v>5</v>
      </c>
      <c r="K3" s="59" t="n">
        <f aca="false">IF(K4="","",6)</f>
        <v>6</v>
      </c>
      <c r="L3" s="59" t="n">
        <f aca="false">IF(L4="","",7)</f>
        <v>7</v>
      </c>
      <c r="M3" s="59" t="n">
        <f aca="false">IF(M4="","",8)</f>
        <v>8</v>
      </c>
      <c r="N3" s="59" t="n">
        <f aca="false">IF(N4="","",9)</f>
        <v>9</v>
      </c>
      <c r="O3" s="59" t="n">
        <f aca="false">IF(O4="","",10)</f>
        <v>10</v>
      </c>
      <c r="P3" s="59" t="n">
        <f aca="false">IF(P4="","",11)</f>
        <v>11</v>
      </c>
      <c r="Q3" s="59" t="n">
        <f aca="false">IF(Q4="","",12)</f>
        <v>12</v>
      </c>
      <c r="R3" s="59" t="n">
        <f aca="false">IF(R4="","",13)</f>
        <v>13</v>
      </c>
      <c r="S3" s="59" t="n">
        <f aca="false">IF(S4="","",14)</f>
        <v>14</v>
      </c>
      <c r="T3" s="59" t="n">
        <f aca="false">IF(T4="","",15)</f>
        <v>15</v>
      </c>
      <c r="U3" s="59" t="n">
        <f aca="false">IF(U4="","",16)</f>
        <v>16</v>
      </c>
      <c r="V3" s="59" t="n">
        <f aca="false">IF(V4="","",17)</f>
        <v>17</v>
      </c>
      <c r="W3" s="59" t="n">
        <f aca="false">IF(W4="","",18)</f>
        <v>18</v>
      </c>
      <c r="X3" s="59" t="n">
        <f aca="false">IF(X4="","",19)</f>
        <v>19</v>
      </c>
      <c r="Y3" s="59" t="n">
        <f aca="false">IF(Y4="","",20)</f>
        <v>20</v>
      </c>
      <c r="Z3" s="59" t="n">
        <f aca="false">IF(Z4="","",21)</f>
        <v>21</v>
      </c>
      <c r="AA3" s="59" t="n">
        <f aca="false">IF(AA4="","",22)</f>
        <v>22</v>
      </c>
      <c r="AB3" s="59" t="n">
        <f aca="false">IF(AB4="","",23)</f>
        <v>23</v>
      </c>
      <c r="AC3" s="59" t="n">
        <f aca="false">IF(AC4="","",24)</f>
        <v>24</v>
      </c>
      <c r="AD3" s="59" t="n">
        <f aca="false">IF(AD4="","",25)</f>
        <v>25</v>
      </c>
      <c r="AE3" s="59" t="n">
        <f aca="false">IF(AE4="","",26)</f>
        <v>26</v>
      </c>
      <c r="AF3" s="59" t="n">
        <f aca="false">IF(AF4="","",27)</f>
        <v>27</v>
      </c>
      <c r="AG3" s="59" t="n">
        <f aca="false">IF(AG4="","",28)</f>
        <v>28</v>
      </c>
      <c r="AH3" s="59" t="n">
        <f aca="false">IF(AH4="","",29)</f>
        <v>29</v>
      </c>
      <c r="AI3" s="59" t="n">
        <f aca="false">IF(AI4="","",30)</f>
        <v>30</v>
      </c>
      <c r="AJ3" s="59" t="n">
        <f aca="false">IF(AJ4="","",31)</f>
        <v>31</v>
      </c>
      <c r="AK3" s="59" t="n">
        <f aca="false">IF(AK4="","",32)</f>
        <v>32</v>
      </c>
      <c r="AL3" s="59" t="n">
        <f aca="false">IF(AL4="","",33)</f>
        <v>33</v>
      </c>
      <c r="AM3" s="59" t="n">
        <f aca="false">IF(AM4="","",34)</f>
        <v>34</v>
      </c>
      <c r="AN3" s="59" t="n">
        <f aca="false">IF(AN4="","",35)</f>
        <v>35</v>
      </c>
      <c r="AO3" s="59" t="n">
        <f aca="false">IF(AO4="","",36)</f>
        <v>36</v>
      </c>
      <c r="AP3" s="59" t="str">
        <f aca="false">IF(AP4="","",37)</f>
        <v/>
      </c>
      <c r="AQ3" s="59" t="str">
        <f aca="false">IF(AQ4="","",38)</f>
        <v/>
      </c>
      <c r="AR3" s="59" t="str">
        <f aca="false">IF(AR4="","",39)</f>
        <v/>
      </c>
      <c r="AS3" s="59" t="str">
        <f aca="false">IF(AS4="","",40)</f>
        <v/>
      </c>
      <c r="AT3" s="59" t="str">
        <f aca="false">IF(AT4="","",41)</f>
        <v/>
      </c>
      <c r="AU3" s="59" t="str">
        <f aca="false">IF(AU4="","",42)</f>
        <v/>
      </c>
      <c r="AV3" s="59" t="str">
        <f aca="false">IF(AV4="","",43)</f>
        <v/>
      </c>
      <c r="AW3" s="59" t="str">
        <f aca="false">IF(AW4="","",44)</f>
        <v/>
      </c>
      <c r="AX3" s="59" t="str">
        <f aca="false">IF(AX4="","",45)</f>
        <v/>
      </c>
      <c r="AY3" s="59" t="str">
        <f aca="false">IF(AY4="","",46)</f>
        <v/>
      </c>
      <c r="AZ3" s="59" t="str">
        <f aca="false">IF(AZ4="","",47)</f>
        <v/>
      </c>
      <c r="BA3" s="59" t="str">
        <f aca="false">IF(BA4="","",48)</f>
        <v/>
      </c>
      <c r="BB3" s="59" t="str">
        <f aca="false">IF(BB4="","",49)</f>
        <v/>
      </c>
      <c r="BC3" s="59" t="str">
        <f aca="false">IF(BC4="","",50)</f>
        <v/>
      </c>
      <c r="BD3" s="59" t="str">
        <f aca="false">IF(BD4="","",51)</f>
        <v/>
      </c>
      <c r="BE3" s="59" t="str">
        <f aca="false">IF(BE4="","",52)</f>
        <v/>
      </c>
      <c r="BF3" s="59" t="str">
        <f aca="false">IF(BF4="","",53)</f>
        <v/>
      </c>
      <c r="BG3" s="59" t="str">
        <f aca="false">IF(BG4="","",54)</f>
        <v/>
      </c>
      <c r="BH3" s="59" t="str">
        <f aca="false">IF(BH4="","",55)</f>
        <v/>
      </c>
      <c r="BI3" s="59" t="str">
        <f aca="false">IF(BI4="","",56)</f>
        <v/>
      </c>
      <c r="BJ3" s="59" t="str">
        <f aca="false">IF(BJ4="","",57)</f>
        <v/>
      </c>
      <c r="BK3" s="59" t="str">
        <f aca="false">IF(BK4="","",58)</f>
        <v/>
      </c>
      <c r="BL3" s="59" t="str">
        <f aca="false">IF(BL4="","",59)</f>
        <v/>
      </c>
      <c r="BM3" s="59" t="str">
        <f aca="false">IF(BM4="","",60)</f>
        <v/>
      </c>
      <c r="BN3" s="59" t="str">
        <f aca="false">IF(BN4="","",61)</f>
        <v/>
      </c>
      <c r="BO3" s="59" t="str">
        <f aca="false">IF(BO4="","",62)</f>
        <v/>
      </c>
      <c r="BP3" s="59" t="str">
        <f aca="false">IF(BP4="","",63)</f>
        <v/>
      </c>
      <c r="BQ3" s="59" t="str">
        <f aca="false">IF(BQ4="","",64)</f>
        <v/>
      </c>
      <c r="BR3" s="59" t="str">
        <f aca="false">IF(BR4="","",65)</f>
        <v/>
      </c>
      <c r="BS3" s="59" t="str">
        <f aca="false">IF(BS4="","",66)</f>
        <v/>
      </c>
      <c r="BT3" s="59" t="str">
        <f aca="false">IF(BT4="","",67)</f>
        <v/>
      </c>
      <c r="BU3" s="59" t="str">
        <f aca="false">IF(BU4="","",68)</f>
        <v/>
      </c>
      <c r="BV3" s="59" t="str">
        <f aca="false">IF(BV4="","",69)</f>
        <v/>
      </c>
      <c r="BW3" s="59" t="str">
        <f aca="false">IF(BW4="","",70)</f>
        <v/>
      </c>
      <c r="BX3" s="59" t="str">
        <f aca="false">IF(BX4="","",71)</f>
        <v/>
      </c>
      <c r="BY3" s="59" t="str">
        <f aca="false">IF(BY4="","",72)</f>
        <v/>
      </c>
    </row>
    <row r="4" customFormat="false" ht="26.85" hidden="false" customHeight="false" outlineLevel="0" collapsed="false">
      <c r="A4" s="6" t="s">
        <v>159</v>
      </c>
      <c r="B4" s="6" t="s">
        <v>304</v>
      </c>
      <c r="C4" s="6" t="s">
        <v>305</v>
      </c>
      <c r="D4" s="6" t="s">
        <v>306</v>
      </c>
      <c r="E4" s="6" t="s">
        <v>307</v>
      </c>
      <c r="F4" s="60" t="n">
        <f aca="false">IF(EDATE(Inputs!$B$4,0)&gt;Inputs!$B$5,"",EDATE(Inputs!$B$4,0))</f>
        <v>46391</v>
      </c>
      <c r="G4" s="60" t="n">
        <f aca="false">IF(EDATE(Inputs!$B$4,1)&gt;Inputs!$B$5,"",EDATE(Inputs!$B$4,1))</f>
        <v>46422</v>
      </c>
      <c r="H4" s="60" t="n">
        <f aca="false">IF(EDATE(Inputs!$B$4,2)&gt;Inputs!$B$5,"",EDATE(Inputs!$B$4,2))</f>
        <v>46450</v>
      </c>
      <c r="I4" s="60" t="n">
        <f aca="false">IF(EDATE(Inputs!$B$4,3)&gt;Inputs!$B$5,"",EDATE(Inputs!$B$4,3))</f>
        <v>46481</v>
      </c>
      <c r="J4" s="60" t="n">
        <f aca="false">IF(EDATE(Inputs!$B$4,4)&gt;Inputs!$B$5,"",EDATE(Inputs!$B$4,4))</f>
        <v>46511</v>
      </c>
      <c r="K4" s="60" t="n">
        <f aca="false">IF(EDATE(Inputs!$B$4,5)&gt;Inputs!$B$5,"",EDATE(Inputs!$B$4,5))</f>
        <v>46542</v>
      </c>
      <c r="L4" s="60" t="n">
        <f aca="false">IF(EDATE(Inputs!$B$4,6)&gt;Inputs!$B$5,"",EDATE(Inputs!$B$4,6))</f>
        <v>46572</v>
      </c>
      <c r="M4" s="60" t="n">
        <f aca="false">IF(EDATE(Inputs!$B$4,7)&gt;Inputs!$B$5,"",EDATE(Inputs!$B$4,7))</f>
        <v>46603</v>
      </c>
      <c r="N4" s="60" t="n">
        <f aca="false">IF(EDATE(Inputs!$B$4,8)&gt;Inputs!$B$5,"",EDATE(Inputs!$B$4,8))</f>
        <v>46634</v>
      </c>
      <c r="O4" s="60" t="n">
        <f aca="false">IF(EDATE(Inputs!$B$4,9)&gt;Inputs!$B$5,"",EDATE(Inputs!$B$4,9))</f>
        <v>46664</v>
      </c>
      <c r="P4" s="60" t="n">
        <f aca="false">IF(EDATE(Inputs!$B$4,10)&gt;Inputs!$B$5,"",EDATE(Inputs!$B$4,10))</f>
        <v>46695</v>
      </c>
      <c r="Q4" s="60" t="n">
        <f aca="false">IF(EDATE(Inputs!$B$4,11)&gt;Inputs!$B$5,"",EDATE(Inputs!$B$4,11))</f>
        <v>46725</v>
      </c>
      <c r="R4" s="60" t="n">
        <f aca="false">IF(EDATE(Inputs!$B$4,12)&gt;Inputs!$B$5,"",EDATE(Inputs!$B$4,12))</f>
        <v>46756</v>
      </c>
      <c r="S4" s="60" t="n">
        <f aca="false">IF(EDATE(Inputs!$B$4,13)&gt;Inputs!$B$5,"",EDATE(Inputs!$B$4,13))</f>
        <v>46787</v>
      </c>
      <c r="T4" s="60" t="n">
        <f aca="false">IF(EDATE(Inputs!$B$4,14)&gt;Inputs!$B$5,"",EDATE(Inputs!$B$4,14))</f>
        <v>46816</v>
      </c>
      <c r="U4" s="60" t="n">
        <f aca="false">IF(EDATE(Inputs!$B$4,15)&gt;Inputs!$B$5,"",EDATE(Inputs!$B$4,15))</f>
        <v>46847</v>
      </c>
      <c r="V4" s="60" t="n">
        <f aca="false">IF(EDATE(Inputs!$B$4,16)&gt;Inputs!$B$5,"",EDATE(Inputs!$B$4,16))</f>
        <v>46877</v>
      </c>
      <c r="W4" s="60" t="n">
        <f aca="false">IF(EDATE(Inputs!$B$4,17)&gt;Inputs!$B$5,"",EDATE(Inputs!$B$4,17))</f>
        <v>46908</v>
      </c>
      <c r="X4" s="60" t="n">
        <f aca="false">IF(EDATE(Inputs!$B$4,18)&gt;Inputs!$B$5,"",EDATE(Inputs!$B$4,18))</f>
        <v>46938</v>
      </c>
      <c r="Y4" s="60" t="n">
        <f aca="false">IF(EDATE(Inputs!$B$4,19)&gt;Inputs!$B$5,"",EDATE(Inputs!$B$4,19))</f>
        <v>46969</v>
      </c>
      <c r="Z4" s="60" t="n">
        <f aca="false">IF(EDATE(Inputs!$B$4,20)&gt;Inputs!$B$5,"",EDATE(Inputs!$B$4,20))</f>
        <v>47000</v>
      </c>
      <c r="AA4" s="60" t="n">
        <f aca="false">IF(EDATE(Inputs!$B$4,21)&gt;Inputs!$B$5,"",EDATE(Inputs!$B$4,21))</f>
        <v>47030</v>
      </c>
      <c r="AB4" s="60" t="n">
        <f aca="false">IF(EDATE(Inputs!$B$4,22)&gt;Inputs!$B$5,"",EDATE(Inputs!$B$4,22))</f>
        <v>47061</v>
      </c>
      <c r="AC4" s="60" t="n">
        <f aca="false">IF(EDATE(Inputs!$B$4,23)&gt;Inputs!$B$5,"",EDATE(Inputs!$B$4,23))</f>
        <v>47091</v>
      </c>
      <c r="AD4" s="60" t="n">
        <f aca="false">IF(EDATE(Inputs!$B$4,24)&gt;Inputs!$B$5,"",EDATE(Inputs!$B$4,24))</f>
        <v>47122</v>
      </c>
      <c r="AE4" s="60" t="n">
        <f aca="false">IF(EDATE(Inputs!$B$4,25)&gt;Inputs!$B$5,"",EDATE(Inputs!$B$4,25))</f>
        <v>47153</v>
      </c>
      <c r="AF4" s="60" t="n">
        <f aca="false">IF(EDATE(Inputs!$B$4,26)&gt;Inputs!$B$5,"",EDATE(Inputs!$B$4,26))</f>
        <v>47181</v>
      </c>
      <c r="AG4" s="60" t="n">
        <f aca="false">IF(EDATE(Inputs!$B$4,27)&gt;Inputs!$B$5,"",EDATE(Inputs!$B$4,27))</f>
        <v>47212</v>
      </c>
      <c r="AH4" s="60" t="n">
        <f aca="false">IF(EDATE(Inputs!$B$4,28)&gt;Inputs!$B$5,"",EDATE(Inputs!$B$4,28))</f>
        <v>47242</v>
      </c>
      <c r="AI4" s="60" t="n">
        <f aca="false">IF(EDATE(Inputs!$B$4,29)&gt;Inputs!$B$5,"",EDATE(Inputs!$B$4,29))</f>
        <v>47273</v>
      </c>
      <c r="AJ4" s="60" t="n">
        <f aca="false">IF(EDATE(Inputs!$B$4,30)&gt;Inputs!$B$5,"",EDATE(Inputs!$B$4,30))</f>
        <v>47303</v>
      </c>
      <c r="AK4" s="60" t="n">
        <f aca="false">IF(EDATE(Inputs!$B$4,31)&gt;Inputs!$B$5,"",EDATE(Inputs!$B$4,31))</f>
        <v>47334</v>
      </c>
      <c r="AL4" s="60" t="n">
        <f aca="false">IF(EDATE(Inputs!$B$4,32)&gt;Inputs!$B$5,"",EDATE(Inputs!$B$4,32))</f>
        <v>47365</v>
      </c>
      <c r="AM4" s="60" t="n">
        <f aca="false">IF(EDATE(Inputs!$B$4,33)&gt;Inputs!$B$5,"",EDATE(Inputs!$B$4,33))</f>
        <v>47395</v>
      </c>
      <c r="AN4" s="60" t="n">
        <f aca="false">IF(EDATE(Inputs!$B$4,34)&gt;Inputs!$B$5,"",EDATE(Inputs!$B$4,34))</f>
        <v>47426</v>
      </c>
      <c r="AO4" s="60" t="n">
        <f aca="false">IF(EDATE(Inputs!$B$4,35)&gt;Inputs!$B$5,"",EDATE(Inputs!$B$4,35))</f>
        <v>47456</v>
      </c>
      <c r="AP4" s="60" t="str">
        <f aca="false">IF(EDATE(Inputs!$B$4,36)&gt;Inputs!$B$5,"",EDATE(Inputs!$B$4,36))</f>
        <v/>
      </c>
      <c r="AQ4" s="60" t="str">
        <f aca="false">IF(EDATE(Inputs!$B$4,37)&gt;Inputs!$B$5,"",EDATE(Inputs!$B$4,37))</f>
        <v/>
      </c>
      <c r="AR4" s="60" t="str">
        <f aca="false">IF(EDATE(Inputs!$B$4,38)&gt;Inputs!$B$5,"",EDATE(Inputs!$B$4,38))</f>
        <v/>
      </c>
      <c r="AS4" s="60" t="str">
        <f aca="false">IF(EDATE(Inputs!$B$4,39)&gt;Inputs!$B$5,"",EDATE(Inputs!$B$4,39))</f>
        <v/>
      </c>
      <c r="AT4" s="60" t="str">
        <f aca="false">IF(EDATE(Inputs!$B$4,40)&gt;Inputs!$B$5,"",EDATE(Inputs!$B$4,40))</f>
        <v/>
      </c>
      <c r="AU4" s="60" t="str">
        <f aca="false">IF(EDATE(Inputs!$B$4,41)&gt;Inputs!$B$5,"",EDATE(Inputs!$B$4,41))</f>
        <v/>
      </c>
      <c r="AV4" s="60" t="str">
        <f aca="false">IF(EDATE(Inputs!$B$4,42)&gt;Inputs!$B$5,"",EDATE(Inputs!$B$4,42))</f>
        <v/>
      </c>
      <c r="AW4" s="60" t="str">
        <f aca="false">IF(EDATE(Inputs!$B$4,43)&gt;Inputs!$B$5,"",EDATE(Inputs!$B$4,43))</f>
        <v/>
      </c>
      <c r="AX4" s="60" t="str">
        <f aca="false">IF(EDATE(Inputs!$B$4,44)&gt;Inputs!$B$5,"",EDATE(Inputs!$B$4,44))</f>
        <v/>
      </c>
      <c r="AY4" s="60" t="str">
        <f aca="false">IF(EDATE(Inputs!$B$4,45)&gt;Inputs!$B$5,"",EDATE(Inputs!$B$4,45))</f>
        <v/>
      </c>
      <c r="AZ4" s="60" t="str">
        <f aca="false">IF(EDATE(Inputs!$B$4,46)&gt;Inputs!$B$5,"",EDATE(Inputs!$B$4,46))</f>
        <v/>
      </c>
      <c r="BA4" s="60" t="str">
        <f aca="false">IF(EDATE(Inputs!$B$4,47)&gt;Inputs!$B$5,"",EDATE(Inputs!$B$4,47))</f>
        <v/>
      </c>
      <c r="BB4" s="60" t="str">
        <f aca="false">IF(EDATE(Inputs!$B$4,48)&gt;Inputs!$B$5,"",EDATE(Inputs!$B$4,48))</f>
        <v/>
      </c>
      <c r="BC4" s="60" t="str">
        <f aca="false">IF(EDATE(Inputs!$B$4,49)&gt;Inputs!$B$5,"",EDATE(Inputs!$B$4,49))</f>
        <v/>
      </c>
      <c r="BD4" s="60" t="str">
        <f aca="false">IF(EDATE(Inputs!$B$4,50)&gt;Inputs!$B$5,"",EDATE(Inputs!$B$4,50))</f>
        <v/>
      </c>
      <c r="BE4" s="60" t="str">
        <f aca="false">IF(EDATE(Inputs!$B$4,51)&gt;Inputs!$B$5,"",EDATE(Inputs!$B$4,51))</f>
        <v/>
      </c>
      <c r="BF4" s="60" t="str">
        <f aca="false">IF(EDATE(Inputs!$B$4,52)&gt;Inputs!$B$5,"",EDATE(Inputs!$B$4,52))</f>
        <v/>
      </c>
      <c r="BG4" s="60" t="str">
        <f aca="false">IF(EDATE(Inputs!$B$4,53)&gt;Inputs!$B$5,"",EDATE(Inputs!$B$4,53))</f>
        <v/>
      </c>
      <c r="BH4" s="60" t="str">
        <f aca="false">IF(EDATE(Inputs!$B$4,54)&gt;Inputs!$B$5,"",EDATE(Inputs!$B$4,54))</f>
        <v/>
      </c>
      <c r="BI4" s="60" t="str">
        <f aca="false">IF(EDATE(Inputs!$B$4,55)&gt;Inputs!$B$5,"",EDATE(Inputs!$B$4,55))</f>
        <v/>
      </c>
      <c r="BJ4" s="60" t="str">
        <f aca="false">IF(EDATE(Inputs!$B$4,56)&gt;Inputs!$B$5,"",EDATE(Inputs!$B$4,56))</f>
        <v/>
      </c>
      <c r="BK4" s="60" t="str">
        <f aca="false">IF(EDATE(Inputs!$B$4,57)&gt;Inputs!$B$5,"",EDATE(Inputs!$B$4,57))</f>
        <v/>
      </c>
      <c r="BL4" s="60" t="str">
        <f aca="false">IF(EDATE(Inputs!$B$4,58)&gt;Inputs!$B$5,"",EDATE(Inputs!$B$4,58))</f>
        <v/>
      </c>
      <c r="BM4" s="60" t="str">
        <f aca="false">IF(EDATE(Inputs!$B$4,59)&gt;Inputs!$B$5,"",EDATE(Inputs!$B$4,59))</f>
        <v/>
      </c>
      <c r="BN4" s="60" t="str">
        <f aca="false">IF(EDATE(Inputs!$B$4,60)&gt;Inputs!$B$5,"",EDATE(Inputs!$B$4,60))</f>
        <v/>
      </c>
      <c r="BO4" s="60" t="str">
        <f aca="false">IF(EDATE(Inputs!$B$4,61)&gt;Inputs!$B$5,"",EDATE(Inputs!$B$4,61))</f>
        <v/>
      </c>
      <c r="BP4" s="60" t="str">
        <f aca="false">IF(EDATE(Inputs!$B$4,62)&gt;Inputs!$B$5,"",EDATE(Inputs!$B$4,62))</f>
        <v/>
      </c>
      <c r="BQ4" s="60" t="str">
        <f aca="false">IF(EDATE(Inputs!$B$4,63)&gt;Inputs!$B$5,"",EDATE(Inputs!$B$4,63))</f>
        <v/>
      </c>
      <c r="BR4" s="60" t="str">
        <f aca="false">IF(EDATE(Inputs!$B$4,64)&gt;Inputs!$B$5,"",EDATE(Inputs!$B$4,64))</f>
        <v/>
      </c>
      <c r="BS4" s="60" t="str">
        <f aca="false">IF(EDATE(Inputs!$B$4,65)&gt;Inputs!$B$5,"",EDATE(Inputs!$B$4,65))</f>
        <v/>
      </c>
      <c r="BT4" s="60" t="str">
        <f aca="false">IF(EDATE(Inputs!$B$4,66)&gt;Inputs!$B$5,"",EDATE(Inputs!$B$4,66))</f>
        <v/>
      </c>
      <c r="BU4" s="60" t="str">
        <f aca="false">IF(EDATE(Inputs!$B$4,67)&gt;Inputs!$B$5,"",EDATE(Inputs!$B$4,67))</f>
        <v/>
      </c>
      <c r="BV4" s="60" t="str">
        <f aca="false">IF(EDATE(Inputs!$B$4,68)&gt;Inputs!$B$5,"",EDATE(Inputs!$B$4,68))</f>
        <v/>
      </c>
      <c r="BW4" s="60" t="str">
        <f aca="false">IF(EDATE(Inputs!$B$4,69)&gt;Inputs!$B$5,"",EDATE(Inputs!$B$4,69))</f>
        <v/>
      </c>
      <c r="BX4" s="60" t="str">
        <f aca="false">IF(EDATE(Inputs!$B$4,70)&gt;Inputs!$B$5,"",EDATE(Inputs!$B$4,70))</f>
        <v/>
      </c>
      <c r="BY4" s="60" t="str">
        <f aca="false">IF(EDATE(Inputs!$B$4,71)&gt;Inputs!$B$5,"",EDATE(Inputs!$B$4,71))</f>
        <v/>
      </c>
    </row>
    <row r="5" customFormat="false" ht="15" hidden="false" customHeight="false" outlineLevel="0" collapsed="false">
      <c r="A5" s="61" t="str">
        <f aca="false">IF(BOE!$A6="","",BOE!$A6)</f>
        <v>101</v>
      </c>
      <c r="B5" s="61" t="str">
        <f aca="false">IF(BOE!$A6="","",BOE!$C6)</f>
        <v>Hazard identification &amp; mitigation effort using the system safety methodology (program execution)</v>
      </c>
      <c r="C5" s="62" t="n">
        <f aca="false">IF(BOE!$O6="","",BOE!$O6)</f>
        <v>46391</v>
      </c>
      <c r="D5" s="62" t="n">
        <f aca="false">IF(BOE!$P6="","",BOE!$P6)</f>
        <v>47483</v>
      </c>
      <c r="E5" s="63" t="n">
        <f aca="false">IF(Inputs!$B$7="P90",BOE!$T6,BOE!$R6)</f>
        <v>717.535934291581</v>
      </c>
      <c r="F5" s="64" t="n">
        <f aca="false">IF(OR(F$4="",$C5="",$D5="",N($E5)=0),"",$E5*MAX(0,MIN($D5+1,EDATE(F$4,1))-MAX($C5,F$4))/MAX(1,$D5+1-$C5))</f>
        <v>20.3509734337045</v>
      </c>
      <c r="G5" s="64" t="n">
        <f aca="false">IF(OR(G$4="",$C5="",$D5="",N($E5)=0),"",$E5*MAX(0,MIN($D5+1,EDATE(G$4,1))-MAX($C5,G$4))/MAX(1,$D5+1-$C5))</f>
        <v>18.3815243917331</v>
      </c>
      <c r="H5" s="64" t="n">
        <f aca="false">IF(OR(H$4="",$C5="",$D5="",N($E5)=0),"",$E5*MAX(0,MIN($D5+1,EDATE(H$4,1))-MAX($C5,H$4))/MAX(1,$D5+1-$C5))</f>
        <v>20.3509734337045</v>
      </c>
      <c r="I5" s="64" t="n">
        <f aca="false">IF(OR(I$4="",$C5="",$D5="",N($E5)=0),"",$E5*MAX(0,MIN($D5+1,EDATE(I$4,1))-MAX($C5,I$4))/MAX(1,$D5+1-$C5))</f>
        <v>19.694490419714</v>
      </c>
      <c r="J5" s="64" t="n">
        <f aca="false">IF(OR(J$4="",$C5="",$D5="",N($E5)=0),"",$E5*MAX(0,MIN($D5+1,EDATE(J$4,1))-MAX($C5,J$4))/MAX(1,$D5+1-$C5))</f>
        <v>20.3509734337045</v>
      </c>
      <c r="K5" s="64" t="n">
        <f aca="false">IF(OR(K$4="",$C5="",$D5="",N($E5)=0),"",$E5*MAX(0,MIN($D5+1,EDATE(K$4,1))-MAX($C5,K$4))/MAX(1,$D5+1-$C5))</f>
        <v>19.694490419714</v>
      </c>
      <c r="L5" s="64" t="n">
        <f aca="false">IF(OR(L$4="",$C5="",$D5="",N($E5)=0),"",$E5*MAX(0,MIN($D5+1,EDATE(L$4,1))-MAX($C5,L$4))/MAX(1,$D5+1-$C5))</f>
        <v>20.3509734337045</v>
      </c>
      <c r="M5" s="64" t="n">
        <f aca="false">IF(OR(M$4="",$C5="",$D5="",N($E5)=0),"",$E5*MAX(0,MIN($D5+1,EDATE(M$4,1))-MAX($C5,M$4))/MAX(1,$D5+1-$C5))</f>
        <v>20.3509734337045</v>
      </c>
      <c r="N5" s="64" t="n">
        <f aca="false">IF(OR(N$4="",$C5="",$D5="",N($E5)=0),"",$E5*MAX(0,MIN($D5+1,EDATE(N$4,1))-MAX($C5,N$4))/MAX(1,$D5+1-$C5))</f>
        <v>19.694490419714</v>
      </c>
      <c r="O5" s="64" t="n">
        <f aca="false">IF(OR(O$4="",$C5="",$D5="",N($E5)=0),"",$E5*MAX(0,MIN($D5+1,EDATE(O$4,1))-MAX($C5,O$4))/MAX(1,$D5+1-$C5))</f>
        <v>20.3509734337045</v>
      </c>
      <c r="P5" s="64" t="n">
        <f aca="false">IF(OR(P$4="",$C5="",$D5="",N($E5)=0),"",$E5*MAX(0,MIN($D5+1,EDATE(P$4,1))-MAX($C5,P$4))/MAX(1,$D5+1-$C5))</f>
        <v>19.694490419714</v>
      </c>
      <c r="Q5" s="64" t="n">
        <f aca="false">IF(OR(Q$4="",$C5="",$D5="",N($E5)=0),"",$E5*MAX(0,MIN($D5+1,EDATE(Q$4,1))-MAX($C5,Q$4))/MAX(1,$D5+1-$C5))</f>
        <v>20.3509734337045</v>
      </c>
      <c r="R5" s="64" t="n">
        <f aca="false">IF(OR(R$4="",$C5="",$D5="",N($E5)=0),"",$E5*MAX(0,MIN($D5+1,EDATE(R$4,1))-MAX($C5,R$4))/MAX(1,$D5+1-$C5))</f>
        <v>20.3509734337045</v>
      </c>
      <c r="S5" s="64" t="n">
        <f aca="false">IF(OR(S$4="",$C5="",$D5="",N($E5)=0),"",$E5*MAX(0,MIN($D5+1,EDATE(S$4,1))-MAX($C5,S$4))/MAX(1,$D5+1-$C5))</f>
        <v>19.0380074057236</v>
      </c>
      <c r="T5" s="64" t="n">
        <f aca="false">IF(OR(T$4="",$C5="",$D5="",N($E5)=0),"",$E5*MAX(0,MIN($D5+1,EDATE(T$4,1))-MAX($C5,T$4))/MAX(1,$D5+1-$C5))</f>
        <v>20.3509734337045</v>
      </c>
      <c r="U5" s="64" t="n">
        <f aca="false">IF(OR(U$4="",$C5="",$D5="",N($E5)=0),"",$E5*MAX(0,MIN($D5+1,EDATE(U$4,1))-MAX($C5,U$4))/MAX(1,$D5+1-$C5))</f>
        <v>19.694490419714</v>
      </c>
      <c r="V5" s="64" t="n">
        <f aca="false">IF(OR(V$4="",$C5="",$D5="",N($E5)=0),"",$E5*MAX(0,MIN($D5+1,EDATE(V$4,1))-MAX($C5,V$4))/MAX(1,$D5+1-$C5))</f>
        <v>20.3509734337045</v>
      </c>
      <c r="W5" s="64" t="n">
        <f aca="false">IF(OR(W$4="",$C5="",$D5="",N($E5)=0),"",$E5*MAX(0,MIN($D5+1,EDATE(W$4,1))-MAX($C5,W$4))/MAX(1,$D5+1-$C5))</f>
        <v>19.694490419714</v>
      </c>
      <c r="X5" s="64" t="n">
        <f aca="false">IF(OR(X$4="",$C5="",$D5="",N($E5)=0),"",$E5*MAX(0,MIN($D5+1,EDATE(X$4,1))-MAX($C5,X$4))/MAX(1,$D5+1-$C5))</f>
        <v>20.3509734337045</v>
      </c>
      <c r="Y5" s="64" t="n">
        <f aca="false">IF(OR(Y$4="",$C5="",$D5="",N($E5)=0),"",$E5*MAX(0,MIN($D5+1,EDATE(Y$4,1))-MAX($C5,Y$4))/MAX(1,$D5+1-$C5))</f>
        <v>20.3509734337045</v>
      </c>
      <c r="Z5" s="64" t="n">
        <f aca="false">IF(OR(Z$4="",$C5="",$D5="",N($E5)=0),"",$E5*MAX(0,MIN($D5+1,EDATE(Z$4,1))-MAX($C5,Z$4))/MAX(1,$D5+1-$C5))</f>
        <v>19.694490419714</v>
      </c>
      <c r="AA5" s="64" t="n">
        <f aca="false">IF(OR(AA$4="",$C5="",$D5="",N($E5)=0),"",$E5*MAX(0,MIN($D5+1,EDATE(AA$4,1))-MAX($C5,AA$4))/MAX(1,$D5+1-$C5))</f>
        <v>20.3509734337045</v>
      </c>
      <c r="AB5" s="64" t="n">
        <f aca="false">IF(OR(AB$4="",$C5="",$D5="",N($E5)=0),"",$E5*MAX(0,MIN($D5+1,EDATE(AB$4,1))-MAX($C5,AB$4))/MAX(1,$D5+1-$C5))</f>
        <v>19.694490419714</v>
      </c>
      <c r="AC5" s="64" t="n">
        <f aca="false">IF(OR(AC$4="",$C5="",$D5="",N($E5)=0),"",$E5*MAX(0,MIN($D5+1,EDATE(AC$4,1))-MAX($C5,AC$4))/MAX(1,$D5+1-$C5))</f>
        <v>20.3509734337045</v>
      </c>
      <c r="AD5" s="64" t="n">
        <f aca="false">IF(OR(AD$4="",$C5="",$D5="",N($E5)=0),"",$E5*MAX(0,MIN($D5+1,EDATE(AD$4,1))-MAX($C5,AD$4))/MAX(1,$D5+1-$C5))</f>
        <v>20.3509734337045</v>
      </c>
      <c r="AE5" s="64" t="n">
        <f aca="false">IF(OR(AE$4="",$C5="",$D5="",N($E5)=0),"",$E5*MAX(0,MIN($D5+1,EDATE(AE$4,1))-MAX($C5,AE$4))/MAX(1,$D5+1-$C5))</f>
        <v>18.3815243917331</v>
      </c>
      <c r="AF5" s="64" t="n">
        <f aca="false">IF(OR(AF$4="",$C5="",$D5="",N($E5)=0),"",$E5*MAX(0,MIN($D5+1,EDATE(AF$4,1))-MAX($C5,AF$4))/MAX(1,$D5+1-$C5))</f>
        <v>20.3509734337045</v>
      </c>
      <c r="AG5" s="64" t="n">
        <f aca="false">IF(OR(AG$4="",$C5="",$D5="",N($E5)=0),"",$E5*MAX(0,MIN($D5+1,EDATE(AG$4,1))-MAX($C5,AG$4))/MAX(1,$D5+1-$C5))</f>
        <v>19.694490419714</v>
      </c>
      <c r="AH5" s="64" t="n">
        <f aca="false">IF(OR(AH$4="",$C5="",$D5="",N($E5)=0),"",$E5*MAX(0,MIN($D5+1,EDATE(AH$4,1))-MAX($C5,AH$4))/MAX(1,$D5+1-$C5))</f>
        <v>20.3509734337045</v>
      </c>
      <c r="AI5" s="64" t="n">
        <f aca="false">IF(OR(AI$4="",$C5="",$D5="",N($E5)=0),"",$E5*MAX(0,MIN($D5+1,EDATE(AI$4,1))-MAX($C5,AI$4))/MAX(1,$D5+1-$C5))</f>
        <v>19.694490419714</v>
      </c>
      <c r="AJ5" s="64" t="n">
        <f aca="false">IF(OR(AJ$4="",$C5="",$D5="",N($E5)=0),"",$E5*MAX(0,MIN($D5+1,EDATE(AJ$4,1))-MAX($C5,AJ$4))/MAX(1,$D5+1-$C5))</f>
        <v>20.3509734337045</v>
      </c>
      <c r="AK5" s="64" t="n">
        <f aca="false">IF(OR(AK$4="",$C5="",$D5="",N($E5)=0),"",$E5*MAX(0,MIN($D5+1,EDATE(AK$4,1))-MAX($C5,AK$4))/MAX(1,$D5+1-$C5))</f>
        <v>20.3509734337045</v>
      </c>
      <c r="AL5" s="64" t="n">
        <f aca="false">IF(OR(AL$4="",$C5="",$D5="",N($E5)=0),"",$E5*MAX(0,MIN($D5+1,EDATE(AL$4,1))-MAX($C5,AL$4))/MAX(1,$D5+1-$C5))</f>
        <v>19.694490419714</v>
      </c>
      <c r="AM5" s="64" t="n">
        <f aca="false">IF(OR(AM$4="",$C5="",$D5="",N($E5)=0),"",$E5*MAX(0,MIN($D5+1,EDATE(AM$4,1))-MAX($C5,AM$4))/MAX(1,$D5+1-$C5))</f>
        <v>20.3509734337045</v>
      </c>
      <c r="AN5" s="64" t="n">
        <f aca="false">IF(OR(AN$4="",$C5="",$D5="",N($E5)=0),"",$E5*MAX(0,MIN($D5+1,EDATE(AN$4,1))-MAX($C5,AN$4))/MAX(1,$D5+1-$C5))</f>
        <v>19.694490419714</v>
      </c>
      <c r="AO5" s="64" t="n">
        <f aca="false">IF(OR(AO$4="",$C5="",$D5="",N($E5)=0),"",$E5*MAX(0,MIN($D5+1,EDATE(AO$4,1))-MAX($C5,AO$4))/MAX(1,$D5+1-$C5))</f>
        <v>18.3815243917331</v>
      </c>
      <c r="AP5" s="64" t="str">
        <f aca="false">IF(OR(AP$4="",$C5="",$D5="",N($E5)=0),"",$E5*MAX(0,MIN($D5+1,EDATE(AP$4,1))-MAX($C5,AP$4))/MAX(1,$D5+1-$C5))</f>
        <v/>
      </c>
      <c r="AQ5" s="64" t="str">
        <f aca="false">IF(OR(AQ$4="",$C5="",$D5="",N($E5)=0),"",$E5*MAX(0,MIN($D5+1,EDATE(AQ$4,1))-MAX($C5,AQ$4))/MAX(1,$D5+1-$C5))</f>
        <v/>
      </c>
      <c r="AR5" s="64" t="str">
        <f aca="false">IF(OR(AR$4="",$C5="",$D5="",N($E5)=0),"",$E5*MAX(0,MIN($D5+1,EDATE(AR$4,1))-MAX($C5,AR$4))/MAX(1,$D5+1-$C5))</f>
        <v/>
      </c>
      <c r="AS5" s="64" t="str">
        <f aca="false">IF(OR(AS$4="",$C5="",$D5="",N($E5)=0),"",$E5*MAX(0,MIN($D5+1,EDATE(AS$4,1))-MAX($C5,AS$4))/MAX(1,$D5+1-$C5))</f>
        <v/>
      </c>
      <c r="AT5" s="64" t="str">
        <f aca="false">IF(OR(AT$4="",$C5="",$D5="",N($E5)=0),"",$E5*MAX(0,MIN($D5+1,EDATE(AT$4,1))-MAX($C5,AT$4))/MAX(1,$D5+1-$C5))</f>
        <v/>
      </c>
      <c r="AU5" s="64" t="str">
        <f aca="false">IF(OR(AU$4="",$C5="",$D5="",N($E5)=0),"",$E5*MAX(0,MIN($D5+1,EDATE(AU$4,1))-MAX($C5,AU$4))/MAX(1,$D5+1-$C5))</f>
        <v/>
      </c>
      <c r="AV5" s="64" t="str">
        <f aca="false">IF(OR(AV$4="",$C5="",$D5="",N($E5)=0),"",$E5*MAX(0,MIN($D5+1,EDATE(AV$4,1))-MAX($C5,AV$4))/MAX(1,$D5+1-$C5))</f>
        <v/>
      </c>
      <c r="AW5" s="64" t="str">
        <f aca="false">IF(OR(AW$4="",$C5="",$D5="",N($E5)=0),"",$E5*MAX(0,MIN($D5+1,EDATE(AW$4,1))-MAX($C5,AW$4))/MAX(1,$D5+1-$C5))</f>
        <v/>
      </c>
      <c r="AX5" s="64" t="str">
        <f aca="false">IF(OR(AX$4="",$C5="",$D5="",N($E5)=0),"",$E5*MAX(0,MIN($D5+1,EDATE(AX$4,1))-MAX($C5,AX$4))/MAX(1,$D5+1-$C5))</f>
        <v/>
      </c>
      <c r="AY5" s="64" t="str">
        <f aca="false">IF(OR(AY$4="",$C5="",$D5="",N($E5)=0),"",$E5*MAX(0,MIN($D5+1,EDATE(AY$4,1))-MAX($C5,AY$4))/MAX(1,$D5+1-$C5))</f>
        <v/>
      </c>
      <c r="AZ5" s="64" t="str">
        <f aca="false">IF(OR(AZ$4="",$C5="",$D5="",N($E5)=0),"",$E5*MAX(0,MIN($D5+1,EDATE(AZ$4,1))-MAX($C5,AZ$4))/MAX(1,$D5+1-$C5))</f>
        <v/>
      </c>
      <c r="BA5" s="64" t="str">
        <f aca="false">IF(OR(BA$4="",$C5="",$D5="",N($E5)=0),"",$E5*MAX(0,MIN($D5+1,EDATE(BA$4,1))-MAX($C5,BA$4))/MAX(1,$D5+1-$C5))</f>
        <v/>
      </c>
      <c r="BB5" s="64" t="str">
        <f aca="false">IF(OR(BB$4="",$C5="",$D5="",N($E5)=0),"",$E5*MAX(0,MIN($D5+1,EDATE(BB$4,1))-MAX($C5,BB$4))/MAX(1,$D5+1-$C5))</f>
        <v/>
      </c>
      <c r="BC5" s="64" t="str">
        <f aca="false">IF(OR(BC$4="",$C5="",$D5="",N($E5)=0),"",$E5*MAX(0,MIN($D5+1,EDATE(BC$4,1))-MAX($C5,BC$4))/MAX(1,$D5+1-$C5))</f>
        <v/>
      </c>
      <c r="BD5" s="64" t="str">
        <f aca="false">IF(OR(BD$4="",$C5="",$D5="",N($E5)=0),"",$E5*MAX(0,MIN($D5+1,EDATE(BD$4,1))-MAX($C5,BD$4))/MAX(1,$D5+1-$C5))</f>
        <v/>
      </c>
      <c r="BE5" s="64" t="str">
        <f aca="false">IF(OR(BE$4="",$C5="",$D5="",N($E5)=0),"",$E5*MAX(0,MIN($D5+1,EDATE(BE$4,1))-MAX($C5,BE$4))/MAX(1,$D5+1-$C5))</f>
        <v/>
      </c>
      <c r="BF5" s="64" t="str">
        <f aca="false">IF(OR(BF$4="",$C5="",$D5="",N($E5)=0),"",$E5*MAX(0,MIN($D5+1,EDATE(BF$4,1))-MAX($C5,BF$4))/MAX(1,$D5+1-$C5))</f>
        <v/>
      </c>
      <c r="BG5" s="64" t="str">
        <f aca="false">IF(OR(BG$4="",$C5="",$D5="",N($E5)=0),"",$E5*MAX(0,MIN($D5+1,EDATE(BG$4,1))-MAX($C5,BG$4))/MAX(1,$D5+1-$C5))</f>
        <v/>
      </c>
      <c r="BH5" s="64" t="str">
        <f aca="false">IF(OR(BH$4="",$C5="",$D5="",N($E5)=0),"",$E5*MAX(0,MIN($D5+1,EDATE(BH$4,1))-MAX($C5,BH$4))/MAX(1,$D5+1-$C5))</f>
        <v/>
      </c>
      <c r="BI5" s="64" t="str">
        <f aca="false">IF(OR(BI$4="",$C5="",$D5="",N($E5)=0),"",$E5*MAX(0,MIN($D5+1,EDATE(BI$4,1))-MAX($C5,BI$4))/MAX(1,$D5+1-$C5))</f>
        <v/>
      </c>
      <c r="BJ5" s="64" t="str">
        <f aca="false">IF(OR(BJ$4="",$C5="",$D5="",N($E5)=0),"",$E5*MAX(0,MIN($D5+1,EDATE(BJ$4,1))-MAX($C5,BJ$4))/MAX(1,$D5+1-$C5))</f>
        <v/>
      </c>
      <c r="BK5" s="64" t="str">
        <f aca="false">IF(OR(BK$4="",$C5="",$D5="",N($E5)=0),"",$E5*MAX(0,MIN($D5+1,EDATE(BK$4,1))-MAX($C5,BK$4))/MAX(1,$D5+1-$C5))</f>
        <v/>
      </c>
      <c r="BL5" s="64" t="str">
        <f aca="false">IF(OR(BL$4="",$C5="",$D5="",N($E5)=0),"",$E5*MAX(0,MIN($D5+1,EDATE(BL$4,1))-MAX($C5,BL$4))/MAX(1,$D5+1-$C5))</f>
        <v/>
      </c>
      <c r="BM5" s="64" t="str">
        <f aca="false">IF(OR(BM$4="",$C5="",$D5="",N($E5)=0),"",$E5*MAX(0,MIN($D5+1,EDATE(BM$4,1))-MAX($C5,BM$4))/MAX(1,$D5+1-$C5))</f>
        <v/>
      </c>
      <c r="BN5" s="64" t="str">
        <f aca="false">IF(OR(BN$4="",$C5="",$D5="",N($E5)=0),"",$E5*MAX(0,MIN($D5+1,EDATE(BN$4,1))-MAX($C5,BN$4))/MAX(1,$D5+1-$C5))</f>
        <v/>
      </c>
      <c r="BO5" s="64" t="str">
        <f aca="false">IF(OR(BO$4="",$C5="",$D5="",N($E5)=0),"",$E5*MAX(0,MIN($D5+1,EDATE(BO$4,1))-MAX($C5,BO$4))/MAX(1,$D5+1-$C5))</f>
        <v/>
      </c>
      <c r="BP5" s="64" t="str">
        <f aca="false">IF(OR(BP$4="",$C5="",$D5="",N($E5)=0),"",$E5*MAX(0,MIN($D5+1,EDATE(BP$4,1))-MAX($C5,BP$4))/MAX(1,$D5+1-$C5))</f>
        <v/>
      </c>
      <c r="BQ5" s="64" t="str">
        <f aca="false">IF(OR(BQ$4="",$C5="",$D5="",N($E5)=0),"",$E5*MAX(0,MIN($D5+1,EDATE(BQ$4,1))-MAX($C5,BQ$4))/MAX(1,$D5+1-$C5))</f>
        <v/>
      </c>
      <c r="BR5" s="64" t="str">
        <f aca="false">IF(OR(BR$4="",$C5="",$D5="",N($E5)=0),"",$E5*MAX(0,MIN($D5+1,EDATE(BR$4,1))-MAX($C5,BR$4))/MAX(1,$D5+1-$C5))</f>
        <v/>
      </c>
      <c r="BS5" s="64" t="str">
        <f aca="false">IF(OR(BS$4="",$C5="",$D5="",N($E5)=0),"",$E5*MAX(0,MIN($D5+1,EDATE(BS$4,1))-MAX($C5,BS$4))/MAX(1,$D5+1-$C5))</f>
        <v/>
      </c>
      <c r="BT5" s="64" t="str">
        <f aca="false">IF(OR(BT$4="",$C5="",$D5="",N($E5)=0),"",$E5*MAX(0,MIN($D5+1,EDATE(BT$4,1))-MAX($C5,BT$4))/MAX(1,$D5+1-$C5))</f>
        <v/>
      </c>
      <c r="BU5" s="64" t="str">
        <f aca="false">IF(OR(BU$4="",$C5="",$D5="",N($E5)=0),"",$E5*MAX(0,MIN($D5+1,EDATE(BU$4,1))-MAX($C5,BU$4))/MAX(1,$D5+1-$C5))</f>
        <v/>
      </c>
      <c r="BV5" s="64" t="str">
        <f aca="false">IF(OR(BV$4="",$C5="",$D5="",N($E5)=0),"",$E5*MAX(0,MIN($D5+1,EDATE(BV$4,1))-MAX($C5,BV$4))/MAX(1,$D5+1-$C5))</f>
        <v/>
      </c>
      <c r="BW5" s="64" t="str">
        <f aca="false">IF(OR(BW$4="",$C5="",$D5="",N($E5)=0),"",$E5*MAX(0,MIN($D5+1,EDATE(BW$4,1))-MAX($C5,BW$4))/MAX(1,$D5+1-$C5))</f>
        <v/>
      </c>
      <c r="BX5" s="64" t="str">
        <f aca="false">IF(OR(BX$4="",$C5="",$D5="",N($E5)=0),"",$E5*MAX(0,MIN($D5+1,EDATE(BX$4,1))-MAX($C5,BX$4))/MAX(1,$D5+1-$C5))</f>
        <v/>
      </c>
      <c r="BY5" s="64" t="str">
        <f aca="false">IF(OR(BY$4="",$C5="",$D5="",N($E5)=0),"",$E5*MAX(0,MIN($D5+1,EDATE(BY$4,1))-MAX($C5,BY$4))/MAX(1,$D5+1-$C5))</f>
        <v/>
      </c>
    </row>
    <row r="6" customFormat="false" ht="15" hidden="false" customHeight="false" outlineLevel="0" collapsed="false">
      <c r="A6" s="61" t="str">
        <f aca="false">IF(BOE!$A7="","",BOE!$A7)</f>
        <v>102</v>
      </c>
      <c r="B6" s="61" t="str">
        <f aca="false">IF(BOE!$A7="","",BOE!$C7)</f>
        <v>System Safety Program Plan (SSPP)</v>
      </c>
      <c r="C6" s="62" t="n">
        <f aca="false">IF(BOE!$O7="","",BOE!$O7)</f>
        <v>46391</v>
      </c>
      <c r="D6" s="62" t="n">
        <f aca="false">IF(BOE!$P7="","",BOE!$P7)</f>
        <v>46481</v>
      </c>
      <c r="E6" s="63" t="n">
        <f aca="false">IF(Inputs!$B$7="P90",BOE!$T7,BOE!$R7)</f>
        <v>320</v>
      </c>
      <c r="F6" s="64" t="n">
        <f aca="false">IF(OR(F$4="",$C6="",$D6="",N($E6)=0),"",$E6*MAX(0,MIN($D6+1,EDATE(F$4,1))-MAX($C6,F$4))/MAX(1,$D6+1-$C6))</f>
        <v>109.010989010989</v>
      </c>
      <c r="G6" s="64" t="n">
        <f aca="false">IF(OR(G$4="",$C6="",$D6="",N($E6)=0),"",$E6*MAX(0,MIN($D6+1,EDATE(G$4,1))-MAX($C6,G$4))/MAX(1,$D6+1-$C6))</f>
        <v>98.4615384615385</v>
      </c>
      <c r="H6" s="64" t="n">
        <f aca="false">IF(OR(H$4="",$C6="",$D6="",N($E6)=0),"",$E6*MAX(0,MIN($D6+1,EDATE(H$4,1))-MAX($C6,H$4))/MAX(1,$D6+1-$C6))</f>
        <v>109.010989010989</v>
      </c>
      <c r="I6" s="64" t="n">
        <f aca="false">IF(OR(I$4="",$C6="",$D6="",N($E6)=0),"",$E6*MAX(0,MIN($D6+1,EDATE(I$4,1))-MAX($C6,I$4))/MAX(1,$D6+1-$C6))</f>
        <v>3.51648351648352</v>
      </c>
      <c r="J6" s="64" t="n">
        <f aca="false">IF(OR(J$4="",$C6="",$D6="",N($E6)=0),"",$E6*MAX(0,MIN($D6+1,EDATE(J$4,1))-MAX($C6,J$4))/MAX(1,$D6+1-$C6))</f>
        <v>0</v>
      </c>
      <c r="K6" s="64" t="n">
        <f aca="false">IF(OR(K$4="",$C6="",$D6="",N($E6)=0),"",$E6*MAX(0,MIN($D6+1,EDATE(K$4,1))-MAX($C6,K$4))/MAX(1,$D6+1-$C6))</f>
        <v>0</v>
      </c>
      <c r="L6" s="64" t="n">
        <f aca="false">IF(OR(L$4="",$C6="",$D6="",N($E6)=0),"",$E6*MAX(0,MIN($D6+1,EDATE(L$4,1))-MAX($C6,L$4))/MAX(1,$D6+1-$C6))</f>
        <v>0</v>
      </c>
      <c r="M6" s="64" t="n">
        <f aca="false">IF(OR(M$4="",$C6="",$D6="",N($E6)=0),"",$E6*MAX(0,MIN($D6+1,EDATE(M$4,1))-MAX($C6,M$4))/MAX(1,$D6+1-$C6))</f>
        <v>0</v>
      </c>
      <c r="N6" s="64" t="n">
        <f aca="false">IF(OR(N$4="",$C6="",$D6="",N($E6)=0),"",$E6*MAX(0,MIN($D6+1,EDATE(N$4,1))-MAX($C6,N$4))/MAX(1,$D6+1-$C6))</f>
        <v>0</v>
      </c>
      <c r="O6" s="64" t="n">
        <f aca="false">IF(OR(O$4="",$C6="",$D6="",N($E6)=0),"",$E6*MAX(0,MIN($D6+1,EDATE(O$4,1))-MAX($C6,O$4))/MAX(1,$D6+1-$C6))</f>
        <v>0</v>
      </c>
      <c r="P6" s="64" t="n">
        <f aca="false">IF(OR(P$4="",$C6="",$D6="",N($E6)=0),"",$E6*MAX(0,MIN($D6+1,EDATE(P$4,1))-MAX($C6,P$4))/MAX(1,$D6+1-$C6))</f>
        <v>0</v>
      </c>
      <c r="Q6" s="64" t="n">
        <f aca="false">IF(OR(Q$4="",$C6="",$D6="",N($E6)=0),"",$E6*MAX(0,MIN($D6+1,EDATE(Q$4,1))-MAX($C6,Q$4))/MAX(1,$D6+1-$C6))</f>
        <v>0</v>
      </c>
      <c r="R6" s="64" t="n">
        <f aca="false">IF(OR(R$4="",$C6="",$D6="",N($E6)=0),"",$E6*MAX(0,MIN($D6+1,EDATE(R$4,1))-MAX($C6,R$4))/MAX(1,$D6+1-$C6))</f>
        <v>0</v>
      </c>
      <c r="S6" s="64" t="n">
        <f aca="false">IF(OR(S$4="",$C6="",$D6="",N($E6)=0),"",$E6*MAX(0,MIN($D6+1,EDATE(S$4,1))-MAX($C6,S$4))/MAX(1,$D6+1-$C6))</f>
        <v>0</v>
      </c>
      <c r="T6" s="64" t="n">
        <f aca="false">IF(OR(T$4="",$C6="",$D6="",N($E6)=0),"",$E6*MAX(0,MIN($D6+1,EDATE(T$4,1))-MAX($C6,T$4))/MAX(1,$D6+1-$C6))</f>
        <v>0</v>
      </c>
      <c r="U6" s="64" t="n">
        <f aca="false">IF(OR(U$4="",$C6="",$D6="",N($E6)=0),"",$E6*MAX(0,MIN($D6+1,EDATE(U$4,1))-MAX($C6,U$4))/MAX(1,$D6+1-$C6))</f>
        <v>0</v>
      </c>
      <c r="V6" s="64" t="n">
        <f aca="false">IF(OR(V$4="",$C6="",$D6="",N($E6)=0),"",$E6*MAX(0,MIN($D6+1,EDATE(V$4,1))-MAX($C6,V$4))/MAX(1,$D6+1-$C6))</f>
        <v>0</v>
      </c>
      <c r="W6" s="64" t="n">
        <f aca="false">IF(OR(W$4="",$C6="",$D6="",N($E6)=0),"",$E6*MAX(0,MIN($D6+1,EDATE(W$4,1))-MAX($C6,W$4))/MAX(1,$D6+1-$C6))</f>
        <v>0</v>
      </c>
      <c r="X6" s="64" t="n">
        <f aca="false">IF(OR(X$4="",$C6="",$D6="",N($E6)=0),"",$E6*MAX(0,MIN($D6+1,EDATE(X$4,1))-MAX($C6,X$4))/MAX(1,$D6+1-$C6))</f>
        <v>0</v>
      </c>
      <c r="Y6" s="64" t="n">
        <f aca="false">IF(OR(Y$4="",$C6="",$D6="",N($E6)=0),"",$E6*MAX(0,MIN($D6+1,EDATE(Y$4,1))-MAX($C6,Y$4))/MAX(1,$D6+1-$C6))</f>
        <v>0</v>
      </c>
      <c r="Z6" s="64" t="n">
        <f aca="false">IF(OR(Z$4="",$C6="",$D6="",N($E6)=0),"",$E6*MAX(0,MIN($D6+1,EDATE(Z$4,1))-MAX($C6,Z$4))/MAX(1,$D6+1-$C6))</f>
        <v>0</v>
      </c>
      <c r="AA6" s="64" t="n">
        <f aca="false">IF(OR(AA$4="",$C6="",$D6="",N($E6)=0),"",$E6*MAX(0,MIN($D6+1,EDATE(AA$4,1))-MAX($C6,AA$4))/MAX(1,$D6+1-$C6))</f>
        <v>0</v>
      </c>
      <c r="AB6" s="64" t="n">
        <f aca="false">IF(OR(AB$4="",$C6="",$D6="",N($E6)=0),"",$E6*MAX(0,MIN($D6+1,EDATE(AB$4,1))-MAX($C6,AB$4))/MAX(1,$D6+1-$C6))</f>
        <v>0</v>
      </c>
      <c r="AC6" s="64" t="n">
        <f aca="false">IF(OR(AC$4="",$C6="",$D6="",N($E6)=0),"",$E6*MAX(0,MIN($D6+1,EDATE(AC$4,1))-MAX($C6,AC$4))/MAX(1,$D6+1-$C6))</f>
        <v>0</v>
      </c>
      <c r="AD6" s="64" t="n">
        <f aca="false">IF(OR(AD$4="",$C6="",$D6="",N($E6)=0),"",$E6*MAX(0,MIN($D6+1,EDATE(AD$4,1))-MAX($C6,AD$4))/MAX(1,$D6+1-$C6))</f>
        <v>0</v>
      </c>
      <c r="AE6" s="64" t="n">
        <f aca="false">IF(OR(AE$4="",$C6="",$D6="",N($E6)=0),"",$E6*MAX(0,MIN($D6+1,EDATE(AE$4,1))-MAX($C6,AE$4))/MAX(1,$D6+1-$C6))</f>
        <v>0</v>
      </c>
      <c r="AF6" s="64" t="n">
        <f aca="false">IF(OR(AF$4="",$C6="",$D6="",N($E6)=0),"",$E6*MAX(0,MIN($D6+1,EDATE(AF$4,1))-MAX($C6,AF$4))/MAX(1,$D6+1-$C6))</f>
        <v>0</v>
      </c>
      <c r="AG6" s="64" t="n">
        <f aca="false">IF(OR(AG$4="",$C6="",$D6="",N($E6)=0),"",$E6*MAX(0,MIN($D6+1,EDATE(AG$4,1))-MAX($C6,AG$4))/MAX(1,$D6+1-$C6))</f>
        <v>0</v>
      </c>
      <c r="AH6" s="64" t="n">
        <f aca="false">IF(OR(AH$4="",$C6="",$D6="",N($E6)=0),"",$E6*MAX(0,MIN($D6+1,EDATE(AH$4,1))-MAX($C6,AH$4))/MAX(1,$D6+1-$C6))</f>
        <v>0</v>
      </c>
      <c r="AI6" s="64" t="n">
        <f aca="false">IF(OR(AI$4="",$C6="",$D6="",N($E6)=0),"",$E6*MAX(0,MIN($D6+1,EDATE(AI$4,1))-MAX($C6,AI$4))/MAX(1,$D6+1-$C6))</f>
        <v>0</v>
      </c>
      <c r="AJ6" s="64" t="n">
        <f aca="false">IF(OR(AJ$4="",$C6="",$D6="",N($E6)=0),"",$E6*MAX(0,MIN($D6+1,EDATE(AJ$4,1))-MAX($C6,AJ$4))/MAX(1,$D6+1-$C6))</f>
        <v>0</v>
      </c>
      <c r="AK6" s="64" t="n">
        <f aca="false">IF(OR(AK$4="",$C6="",$D6="",N($E6)=0),"",$E6*MAX(0,MIN($D6+1,EDATE(AK$4,1))-MAX($C6,AK$4))/MAX(1,$D6+1-$C6))</f>
        <v>0</v>
      </c>
      <c r="AL6" s="64" t="n">
        <f aca="false">IF(OR(AL$4="",$C6="",$D6="",N($E6)=0),"",$E6*MAX(0,MIN($D6+1,EDATE(AL$4,1))-MAX($C6,AL$4))/MAX(1,$D6+1-$C6))</f>
        <v>0</v>
      </c>
      <c r="AM6" s="64" t="n">
        <f aca="false">IF(OR(AM$4="",$C6="",$D6="",N($E6)=0),"",$E6*MAX(0,MIN($D6+1,EDATE(AM$4,1))-MAX($C6,AM$4))/MAX(1,$D6+1-$C6))</f>
        <v>0</v>
      </c>
      <c r="AN6" s="64" t="n">
        <f aca="false">IF(OR(AN$4="",$C6="",$D6="",N($E6)=0),"",$E6*MAX(0,MIN($D6+1,EDATE(AN$4,1))-MAX($C6,AN$4))/MAX(1,$D6+1-$C6))</f>
        <v>0</v>
      </c>
      <c r="AO6" s="64" t="n">
        <f aca="false">IF(OR(AO$4="",$C6="",$D6="",N($E6)=0),"",$E6*MAX(0,MIN($D6+1,EDATE(AO$4,1))-MAX($C6,AO$4))/MAX(1,$D6+1-$C6))</f>
        <v>0</v>
      </c>
      <c r="AP6" s="64" t="str">
        <f aca="false">IF(OR(AP$4="",$C6="",$D6="",N($E6)=0),"",$E6*MAX(0,MIN($D6+1,EDATE(AP$4,1))-MAX($C6,AP$4))/MAX(1,$D6+1-$C6))</f>
        <v/>
      </c>
      <c r="AQ6" s="64" t="str">
        <f aca="false">IF(OR(AQ$4="",$C6="",$D6="",N($E6)=0),"",$E6*MAX(0,MIN($D6+1,EDATE(AQ$4,1))-MAX($C6,AQ$4))/MAX(1,$D6+1-$C6))</f>
        <v/>
      </c>
      <c r="AR6" s="64" t="str">
        <f aca="false">IF(OR(AR$4="",$C6="",$D6="",N($E6)=0),"",$E6*MAX(0,MIN($D6+1,EDATE(AR$4,1))-MAX($C6,AR$4))/MAX(1,$D6+1-$C6))</f>
        <v/>
      </c>
      <c r="AS6" s="64" t="str">
        <f aca="false">IF(OR(AS$4="",$C6="",$D6="",N($E6)=0),"",$E6*MAX(0,MIN($D6+1,EDATE(AS$4,1))-MAX($C6,AS$4))/MAX(1,$D6+1-$C6))</f>
        <v/>
      </c>
      <c r="AT6" s="64" t="str">
        <f aca="false">IF(OR(AT$4="",$C6="",$D6="",N($E6)=0),"",$E6*MAX(0,MIN($D6+1,EDATE(AT$4,1))-MAX($C6,AT$4))/MAX(1,$D6+1-$C6))</f>
        <v/>
      </c>
      <c r="AU6" s="64" t="str">
        <f aca="false">IF(OR(AU$4="",$C6="",$D6="",N($E6)=0),"",$E6*MAX(0,MIN($D6+1,EDATE(AU$4,1))-MAX($C6,AU$4))/MAX(1,$D6+1-$C6))</f>
        <v/>
      </c>
      <c r="AV6" s="64" t="str">
        <f aca="false">IF(OR(AV$4="",$C6="",$D6="",N($E6)=0),"",$E6*MAX(0,MIN($D6+1,EDATE(AV$4,1))-MAX($C6,AV$4))/MAX(1,$D6+1-$C6))</f>
        <v/>
      </c>
      <c r="AW6" s="64" t="str">
        <f aca="false">IF(OR(AW$4="",$C6="",$D6="",N($E6)=0),"",$E6*MAX(0,MIN($D6+1,EDATE(AW$4,1))-MAX($C6,AW$4))/MAX(1,$D6+1-$C6))</f>
        <v/>
      </c>
      <c r="AX6" s="64" t="str">
        <f aca="false">IF(OR(AX$4="",$C6="",$D6="",N($E6)=0),"",$E6*MAX(0,MIN($D6+1,EDATE(AX$4,1))-MAX($C6,AX$4))/MAX(1,$D6+1-$C6))</f>
        <v/>
      </c>
      <c r="AY6" s="64" t="str">
        <f aca="false">IF(OR(AY$4="",$C6="",$D6="",N($E6)=0),"",$E6*MAX(0,MIN($D6+1,EDATE(AY$4,1))-MAX($C6,AY$4))/MAX(1,$D6+1-$C6))</f>
        <v/>
      </c>
      <c r="AZ6" s="64" t="str">
        <f aca="false">IF(OR(AZ$4="",$C6="",$D6="",N($E6)=0),"",$E6*MAX(0,MIN($D6+1,EDATE(AZ$4,1))-MAX($C6,AZ$4))/MAX(1,$D6+1-$C6))</f>
        <v/>
      </c>
      <c r="BA6" s="64" t="str">
        <f aca="false">IF(OR(BA$4="",$C6="",$D6="",N($E6)=0),"",$E6*MAX(0,MIN($D6+1,EDATE(BA$4,1))-MAX($C6,BA$4))/MAX(1,$D6+1-$C6))</f>
        <v/>
      </c>
      <c r="BB6" s="64" t="str">
        <f aca="false">IF(OR(BB$4="",$C6="",$D6="",N($E6)=0),"",$E6*MAX(0,MIN($D6+1,EDATE(BB$4,1))-MAX($C6,BB$4))/MAX(1,$D6+1-$C6))</f>
        <v/>
      </c>
      <c r="BC6" s="64" t="str">
        <f aca="false">IF(OR(BC$4="",$C6="",$D6="",N($E6)=0),"",$E6*MAX(0,MIN($D6+1,EDATE(BC$4,1))-MAX($C6,BC$4))/MAX(1,$D6+1-$C6))</f>
        <v/>
      </c>
      <c r="BD6" s="64" t="str">
        <f aca="false">IF(OR(BD$4="",$C6="",$D6="",N($E6)=0),"",$E6*MAX(0,MIN($D6+1,EDATE(BD$4,1))-MAX($C6,BD$4))/MAX(1,$D6+1-$C6))</f>
        <v/>
      </c>
      <c r="BE6" s="64" t="str">
        <f aca="false">IF(OR(BE$4="",$C6="",$D6="",N($E6)=0),"",$E6*MAX(0,MIN($D6+1,EDATE(BE$4,1))-MAX($C6,BE$4))/MAX(1,$D6+1-$C6))</f>
        <v/>
      </c>
      <c r="BF6" s="64" t="str">
        <f aca="false">IF(OR(BF$4="",$C6="",$D6="",N($E6)=0),"",$E6*MAX(0,MIN($D6+1,EDATE(BF$4,1))-MAX($C6,BF$4))/MAX(1,$D6+1-$C6))</f>
        <v/>
      </c>
      <c r="BG6" s="64" t="str">
        <f aca="false">IF(OR(BG$4="",$C6="",$D6="",N($E6)=0),"",$E6*MAX(0,MIN($D6+1,EDATE(BG$4,1))-MAX($C6,BG$4))/MAX(1,$D6+1-$C6))</f>
        <v/>
      </c>
      <c r="BH6" s="64" t="str">
        <f aca="false">IF(OR(BH$4="",$C6="",$D6="",N($E6)=0),"",$E6*MAX(0,MIN($D6+1,EDATE(BH$4,1))-MAX($C6,BH$4))/MAX(1,$D6+1-$C6))</f>
        <v/>
      </c>
      <c r="BI6" s="64" t="str">
        <f aca="false">IF(OR(BI$4="",$C6="",$D6="",N($E6)=0),"",$E6*MAX(0,MIN($D6+1,EDATE(BI$4,1))-MAX($C6,BI$4))/MAX(1,$D6+1-$C6))</f>
        <v/>
      </c>
      <c r="BJ6" s="64" t="str">
        <f aca="false">IF(OR(BJ$4="",$C6="",$D6="",N($E6)=0),"",$E6*MAX(0,MIN($D6+1,EDATE(BJ$4,1))-MAX($C6,BJ$4))/MAX(1,$D6+1-$C6))</f>
        <v/>
      </c>
      <c r="BK6" s="64" t="str">
        <f aca="false">IF(OR(BK$4="",$C6="",$D6="",N($E6)=0),"",$E6*MAX(0,MIN($D6+1,EDATE(BK$4,1))-MAX($C6,BK$4))/MAX(1,$D6+1-$C6))</f>
        <v/>
      </c>
      <c r="BL6" s="64" t="str">
        <f aca="false">IF(OR(BL$4="",$C6="",$D6="",N($E6)=0),"",$E6*MAX(0,MIN($D6+1,EDATE(BL$4,1))-MAX($C6,BL$4))/MAX(1,$D6+1-$C6))</f>
        <v/>
      </c>
      <c r="BM6" s="64" t="str">
        <f aca="false">IF(OR(BM$4="",$C6="",$D6="",N($E6)=0),"",$E6*MAX(0,MIN($D6+1,EDATE(BM$4,1))-MAX($C6,BM$4))/MAX(1,$D6+1-$C6))</f>
        <v/>
      </c>
      <c r="BN6" s="64" t="str">
        <f aca="false">IF(OR(BN$4="",$C6="",$D6="",N($E6)=0),"",$E6*MAX(0,MIN($D6+1,EDATE(BN$4,1))-MAX($C6,BN$4))/MAX(1,$D6+1-$C6))</f>
        <v/>
      </c>
      <c r="BO6" s="64" t="str">
        <f aca="false">IF(OR(BO$4="",$C6="",$D6="",N($E6)=0),"",$E6*MAX(0,MIN($D6+1,EDATE(BO$4,1))-MAX($C6,BO$4))/MAX(1,$D6+1-$C6))</f>
        <v/>
      </c>
      <c r="BP6" s="64" t="str">
        <f aca="false">IF(OR(BP$4="",$C6="",$D6="",N($E6)=0),"",$E6*MAX(0,MIN($D6+1,EDATE(BP$4,1))-MAX($C6,BP$4))/MAX(1,$D6+1-$C6))</f>
        <v/>
      </c>
      <c r="BQ6" s="64" t="str">
        <f aca="false">IF(OR(BQ$4="",$C6="",$D6="",N($E6)=0),"",$E6*MAX(0,MIN($D6+1,EDATE(BQ$4,1))-MAX($C6,BQ$4))/MAX(1,$D6+1-$C6))</f>
        <v/>
      </c>
      <c r="BR6" s="64" t="str">
        <f aca="false">IF(OR(BR$4="",$C6="",$D6="",N($E6)=0),"",$E6*MAX(0,MIN($D6+1,EDATE(BR$4,1))-MAX($C6,BR$4))/MAX(1,$D6+1-$C6))</f>
        <v/>
      </c>
      <c r="BS6" s="64" t="str">
        <f aca="false">IF(OR(BS$4="",$C6="",$D6="",N($E6)=0),"",$E6*MAX(0,MIN($D6+1,EDATE(BS$4,1))-MAX($C6,BS$4))/MAX(1,$D6+1-$C6))</f>
        <v/>
      </c>
      <c r="BT6" s="64" t="str">
        <f aca="false">IF(OR(BT$4="",$C6="",$D6="",N($E6)=0),"",$E6*MAX(0,MIN($D6+1,EDATE(BT$4,1))-MAX($C6,BT$4))/MAX(1,$D6+1-$C6))</f>
        <v/>
      </c>
      <c r="BU6" s="64" t="str">
        <f aca="false">IF(OR(BU$4="",$C6="",$D6="",N($E6)=0),"",$E6*MAX(0,MIN($D6+1,EDATE(BU$4,1))-MAX($C6,BU$4))/MAX(1,$D6+1-$C6))</f>
        <v/>
      </c>
      <c r="BV6" s="64" t="str">
        <f aca="false">IF(OR(BV$4="",$C6="",$D6="",N($E6)=0),"",$E6*MAX(0,MIN($D6+1,EDATE(BV$4,1))-MAX($C6,BV$4))/MAX(1,$D6+1-$C6))</f>
        <v/>
      </c>
      <c r="BW6" s="64" t="str">
        <f aca="false">IF(OR(BW$4="",$C6="",$D6="",N($E6)=0),"",$E6*MAX(0,MIN($D6+1,EDATE(BW$4,1))-MAX($C6,BW$4))/MAX(1,$D6+1-$C6))</f>
        <v/>
      </c>
      <c r="BX6" s="64" t="str">
        <f aca="false">IF(OR(BX$4="",$C6="",$D6="",N($E6)=0),"",$E6*MAX(0,MIN($D6+1,EDATE(BX$4,1))-MAX($C6,BX$4))/MAX(1,$D6+1-$C6))</f>
        <v/>
      </c>
      <c r="BY6" s="64" t="str">
        <f aca="false">IF(OR(BY$4="",$C6="",$D6="",N($E6)=0),"",$E6*MAX(0,MIN($D6+1,EDATE(BY$4,1))-MAX($C6,BY$4))/MAX(1,$D6+1-$C6))</f>
        <v/>
      </c>
    </row>
    <row r="7" customFormat="false" ht="15" hidden="false" customHeight="false" outlineLevel="0" collapsed="false">
      <c r="A7" s="61" t="str">
        <f aca="false">IF(BOE!$A8="","",BOE!$A8)</f>
        <v>103</v>
      </c>
      <c r="B7" s="61" t="str">
        <f aca="false">IF(BOE!$A8="","",BOE!$C8)</f>
        <v>Hazard Management Plan (HMP) — other functional disciplines</v>
      </c>
      <c r="C7" s="62" t="n">
        <f aca="false">IF(BOE!$O8="","",BOE!$O8)</f>
        <v>46391</v>
      </c>
      <c r="D7" s="62" t="n">
        <f aca="false">IF(BOE!$P8="","",BOE!$P8)</f>
        <v>46481</v>
      </c>
      <c r="E7" s="63" t="n">
        <f aca="false">IF(Inputs!$B$7="P90",BOE!$T8,BOE!$R8)</f>
        <v>0</v>
      </c>
      <c r="F7" s="64" t="str">
        <f aca="false">IF(OR(F$4="",$C7="",$D7="",N($E7)=0),"",$E7*MAX(0,MIN($D7+1,EDATE(F$4,1))-MAX($C7,F$4))/MAX(1,$D7+1-$C7))</f>
        <v/>
      </c>
      <c r="G7" s="64" t="str">
        <f aca="false">IF(OR(G$4="",$C7="",$D7="",N($E7)=0),"",$E7*MAX(0,MIN($D7+1,EDATE(G$4,1))-MAX($C7,G$4))/MAX(1,$D7+1-$C7))</f>
        <v/>
      </c>
      <c r="H7" s="64" t="str">
        <f aca="false">IF(OR(H$4="",$C7="",$D7="",N($E7)=0),"",$E7*MAX(0,MIN($D7+1,EDATE(H$4,1))-MAX($C7,H$4))/MAX(1,$D7+1-$C7))</f>
        <v/>
      </c>
      <c r="I7" s="64" t="str">
        <f aca="false">IF(OR(I$4="",$C7="",$D7="",N($E7)=0),"",$E7*MAX(0,MIN($D7+1,EDATE(I$4,1))-MAX($C7,I$4))/MAX(1,$D7+1-$C7))</f>
        <v/>
      </c>
      <c r="J7" s="64" t="str">
        <f aca="false">IF(OR(J$4="",$C7="",$D7="",N($E7)=0),"",$E7*MAX(0,MIN($D7+1,EDATE(J$4,1))-MAX($C7,J$4))/MAX(1,$D7+1-$C7))</f>
        <v/>
      </c>
      <c r="K7" s="64" t="str">
        <f aca="false">IF(OR(K$4="",$C7="",$D7="",N($E7)=0),"",$E7*MAX(0,MIN($D7+1,EDATE(K$4,1))-MAX($C7,K$4))/MAX(1,$D7+1-$C7))</f>
        <v/>
      </c>
      <c r="L7" s="64" t="str">
        <f aca="false">IF(OR(L$4="",$C7="",$D7="",N($E7)=0),"",$E7*MAX(0,MIN($D7+1,EDATE(L$4,1))-MAX($C7,L$4))/MAX(1,$D7+1-$C7))</f>
        <v/>
      </c>
      <c r="M7" s="64" t="str">
        <f aca="false">IF(OR(M$4="",$C7="",$D7="",N($E7)=0),"",$E7*MAX(0,MIN($D7+1,EDATE(M$4,1))-MAX($C7,M$4))/MAX(1,$D7+1-$C7))</f>
        <v/>
      </c>
      <c r="N7" s="64" t="str">
        <f aca="false">IF(OR(N$4="",$C7="",$D7="",N($E7)=0),"",$E7*MAX(0,MIN($D7+1,EDATE(N$4,1))-MAX($C7,N$4))/MAX(1,$D7+1-$C7))</f>
        <v/>
      </c>
      <c r="O7" s="64" t="str">
        <f aca="false">IF(OR(O$4="",$C7="",$D7="",N($E7)=0),"",$E7*MAX(0,MIN($D7+1,EDATE(O$4,1))-MAX($C7,O$4))/MAX(1,$D7+1-$C7))</f>
        <v/>
      </c>
      <c r="P7" s="64" t="str">
        <f aca="false">IF(OR(P$4="",$C7="",$D7="",N($E7)=0),"",$E7*MAX(0,MIN($D7+1,EDATE(P$4,1))-MAX($C7,P$4))/MAX(1,$D7+1-$C7))</f>
        <v/>
      </c>
      <c r="Q7" s="64" t="str">
        <f aca="false">IF(OR(Q$4="",$C7="",$D7="",N($E7)=0),"",$E7*MAX(0,MIN($D7+1,EDATE(Q$4,1))-MAX($C7,Q$4))/MAX(1,$D7+1-$C7))</f>
        <v/>
      </c>
      <c r="R7" s="64" t="str">
        <f aca="false">IF(OR(R$4="",$C7="",$D7="",N($E7)=0),"",$E7*MAX(0,MIN($D7+1,EDATE(R$4,1))-MAX($C7,R$4))/MAX(1,$D7+1-$C7))</f>
        <v/>
      </c>
      <c r="S7" s="64" t="str">
        <f aca="false">IF(OR(S$4="",$C7="",$D7="",N($E7)=0),"",$E7*MAX(0,MIN($D7+1,EDATE(S$4,1))-MAX($C7,S$4))/MAX(1,$D7+1-$C7))</f>
        <v/>
      </c>
      <c r="T7" s="64" t="str">
        <f aca="false">IF(OR(T$4="",$C7="",$D7="",N($E7)=0),"",$E7*MAX(0,MIN($D7+1,EDATE(T$4,1))-MAX($C7,T$4))/MAX(1,$D7+1-$C7))</f>
        <v/>
      </c>
      <c r="U7" s="64" t="str">
        <f aca="false">IF(OR(U$4="",$C7="",$D7="",N($E7)=0),"",$E7*MAX(0,MIN($D7+1,EDATE(U$4,1))-MAX($C7,U$4))/MAX(1,$D7+1-$C7))</f>
        <v/>
      </c>
      <c r="V7" s="64" t="str">
        <f aca="false">IF(OR(V$4="",$C7="",$D7="",N($E7)=0),"",$E7*MAX(0,MIN($D7+1,EDATE(V$4,1))-MAX($C7,V$4))/MAX(1,$D7+1-$C7))</f>
        <v/>
      </c>
      <c r="W7" s="64" t="str">
        <f aca="false">IF(OR(W$4="",$C7="",$D7="",N($E7)=0),"",$E7*MAX(0,MIN($D7+1,EDATE(W$4,1))-MAX($C7,W$4))/MAX(1,$D7+1-$C7))</f>
        <v/>
      </c>
      <c r="X7" s="64" t="str">
        <f aca="false">IF(OR(X$4="",$C7="",$D7="",N($E7)=0),"",$E7*MAX(0,MIN($D7+1,EDATE(X$4,1))-MAX($C7,X$4))/MAX(1,$D7+1-$C7))</f>
        <v/>
      </c>
      <c r="Y7" s="64" t="str">
        <f aca="false">IF(OR(Y$4="",$C7="",$D7="",N($E7)=0),"",$E7*MAX(0,MIN($D7+1,EDATE(Y$4,1))-MAX($C7,Y$4))/MAX(1,$D7+1-$C7))</f>
        <v/>
      </c>
      <c r="Z7" s="64" t="str">
        <f aca="false">IF(OR(Z$4="",$C7="",$D7="",N($E7)=0),"",$E7*MAX(0,MIN($D7+1,EDATE(Z$4,1))-MAX($C7,Z$4))/MAX(1,$D7+1-$C7))</f>
        <v/>
      </c>
      <c r="AA7" s="64" t="str">
        <f aca="false">IF(OR(AA$4="",$C7="",$D7="",N($E7)=0),"",$E7*MAX(0,MIN($D7+1,EDATE(AA$4,1))-MAX($C7,AA$4))/MAX(1,$D7+1-$C7))</f>
        <v/>
      </c>
      <c r="AB7" s="64" t="str">
        <f aca="false">IF(OR(AB$4="",$C7="",$D7="",N($E7)=0),"",$E7*MAX(0,MIN($D7+1,EDATE(AB$4,1))-MAX($C7,AB$4))/MAX(1,$D7+1-$C7))</f>
        <v/>
      </c>
      <c r="AC7" s="64" t="str">
        <f aca="false">IF(OR(AC$4="",$C7="",$D7="",N($E7)=0),"",$E7*MAX(0,MIN($D7+1,EDATE(AC$4,1))-MAX($C7,AC$4))/MAX(1,$D7+1-$C7))</f>
        <v/>
      </c>
      <c r="AD7" s="64" t="str">
        <f aca="false">IF(OR(AD$4="",$C7="",$D7="",N($E7)=0),"",$E7*MAX(0,MIN($D7+1,EDATE(AD$4,1))-MAX($C7,AD$4))/MAX(1,$D7+1-$C7))</f>
        <v/>
      </c>
      <c r="AE7" s="64" t="str">
        <f aca="false">IF(OR(AE$4="",$C7="",$D7="",N($E7)=0),"",$E7*MAX(0,MIN($D7+1,EDATE(AE$4,1))-MAX($C7,AE$4))/MAX(1,$D7+1-$C7))</f>
        <v/>
      </c>
      <c r="AF7" s="64" t="str">
        <f aca="false">IF(OR(AF$4="",$C7="",$D7="",N($E7)=0),"",$E7*MAX(0,MIN($D7+1,EDATE(AF$4,1))-MAX($C7,AF$4))/MAX(1,$D7+1-$C7))</f>
        <v/>
      </c>
      <c r="AG7" s="64" t="str">
        <f aca="false">IF(OR(AG$4="",$C7="",$D7="",N($E7)=0),"",$E7*MAX(0,MIN($D7+1,EDATE(AG$4,1))-MAX($C7,AG$4))/MAX(1,$D7+1-$C7))</f>
        <v/>
      </c>
      <c r="AH7" s="64" t="str">
        <f aca="false">IF(OR(AH$4="",$C7="",$D7="",N($E7)=0),"",$E7*MAX(0,MIN($D7+1,EDATE(AH$4,1))-MAX($C7,AH$4))/MAX(1,$D7+1-$C7))</f>
        <v/>
      </c>
      <c r="AI7" s="64" t="str">
        <f aca="false">IF(OR(AI$4="",$C7="",$D7="",N($E7)=0),"",$E7*MAX(0,MIN($D7+1,EDATE(AI$4,1))-MAX($C7,AI$4))/MAX(1,$D7+1-$C7))</f>
        <v/>
      </c>
      <c r="AJ7" s="64" t="str">
        <f aca="false">IF(OR(AJ$4="",$C7="",$D7="",N($E7)=0),"",$E7*MAX(0,MIN($D7+1,EDATE(AJ$4,1))-MAX($C7,AJ$4))/MAX(1,$D7+1-$C7))</f>
        <v/>
      </c>
      <c r="AK7" s="64" t="str">
        <f aca="false">IF(OR(AK$4="",$C7="",$D7="",N($E7)=0),"",$E7*MAX(0,MIN($D7+1,EDATE(AK$4,1))-MAX($C7,AK$4))/MAX(1,$D7+1-$C7))</f>
        <v/>
      </c>
      <c r="AL7" s="64" t="str">
        <f aca="false">IF(OR(AL$4="",$C7="",$D7="",N($E7)=0),"",$E7*MAX(0,MIN($D7+1,EDATE(AL$4,1))-MAX($C7,AL$4))/MAX(1,$D7+1-$C7))</f>
        <v/>
      </c>
      <c r="AM7" s="64" t="str">
        <f aca="false">IF(OR(AM$4="",$C7="",$D7="",N($E7)=0),"",$E7*MAX(0,MIN($D7+1,EDATE(AM$4,1))-MAX($C7,AM$4))/MAX(1,$D7+1-$C7))</f>
        <v/>
      </c>
      <c r="AN7" s="64" t="str">
        <f aca="false">IF(OR(AN$4="",$C7="",$D7="",N($E7)=0),"",$E7*MAX(0,MIN($D7+1,EDATE(AN$4,1))-MAX($C7,AN$4))/MAX(1,$D7+1-$C7))</f>
        <v/>
      </c>
      <c r="AO7" s="64" t="str">
        <f aca="false">IF(OR(AO$4="",$C7="",$D7="",N($E7)=0),"",$E7*MAX(0,MIN($D7+1,EDATE(AO$4,1))-MAX($C7,AO$4))/MAX(1,$D7+1-$C7))</f>
        <v/>
      </c>
      <c r="AP7" s="64" t="str">
        <f aca="false">IF(OR(AP$4="",$C7="",$D7="",N($E7)=0),"",$E7*MAX(0,MIN($D7+1,EDATE(AP$4,1))-MAX($C7,AP$4))/MAX(1,$D7+1-$C7))</f>
        <v/>
      </c>
      <c r="AQ7" s="64" t="str">
        <f aca="false">IF(OR(AQ$4="",$C7="",$D7="",N($E7)=0),"",$E7*MAX(0,MIN($D7+1,EDATE(AQ$4,1))-MAX($C7,AQ$4))/MAX(1,$D7+1-$C7))</f>
        <v/>
      </c>
      <c r="AR7" s="64" t="str">
        <f aca="false">IF(OR(AR$4="",$C7="",$D7="",N($E7)=0),"",$E7*MAX(0,MIN($D7+1,EDATE(AR$4,1))-MAX($C7,AR$4))/MAX(1,$D7+1-$C7))</f>
        <v/>
      </c>
      <c r="AS7" s="64" t="str">
        <f aca="false">IF(OR(AS$4="",$C7="",$D7="",N($E7)=0),"",$E7*MAX(0,MIN($D7+1,EDATE(AS$4,1))-MAX($C7,AS$4))/MAX(1,$D7+1-$C7))</f>
        <v/>
      </c>
      <c r="AT7" s="64" t="str">
        <f aca="false">IF(OR(AT$4="",$C7="",$D7="",N($E7)=0),"",$E7*MAX(0,MIN($D7+1,EDATE(AT$4,1))-MAX($C7,AT$4))/MAX(1,$D7+1-$C7))</f>
        <v/>
      </c>
      <c r="AU7" s="64" t="str">
        <f aca="false">IF(OR(AU$4="",$C7="",$D7="",N($E7)=0),"",$E7*MAX(0,MIN($D7+1,EDATE(AU$4,1))-MAX($C7,AU$4))/MAX(1,$D7+1-$C7))</f>
        <v/>
      </c>
      <c r="AV7" s="64" t="str">
        <f aca="false">IF(OR(AV$4="",$C7="",$D7="",N($E7)=0),"",$E7*MAX(0,MIN($D7+1,EDATE(AV$4,1))-MAX($C7,AV$4))/MAX(1,$D7+1-$C7))</f>
        <v/>
      </c>
      <c r="AW7" s="64" t="str">
        <f aca="false">IF(OR(AW$4="",$C7="",$D7="",N($E7)=0),"",$E7*MAX(0,MIN($D7+1,EDATE(AW$4,1))-MAX($C7,AW$4))/MAX(1,$D7+1-$C7))</f>
        <v/>
      </c>
      <c r="AX7" s="64" t="str">
        <f aca="false">IF(OR(AX$4="",$C7="",$D7="",N($E7)=0),"",$E7*MAX(0,MIN($D7+1,EDATE(AX$4,1))-MAX($C7,AX$4))/MAX(1,$D7+1-$C7))</f>
        <v/>
      </c>
      <c r="AY7" s="64" t="str">
        <f aca="false">IF(OR(AY$4="",$C7="",$D7="",N($E7)=0),"",$E7*MAX(0,MIN($D7+1,EDATE(AY$4,1))-MAX($C7,AY$4))/MAX(1,$D7+1-$C7))</f>
        <v/>
      </c>
      <c r="AZ7" s="64" t="str">
        <f aca="false">IF(OR(AZ$4="",$C7="",$D7="",N($E7)=0),"",$E7*MAX(0,MIN($D7+1,EDATE(AZ$4,1))-MAX($C7,AZ$4))/MAX(1,$D7+1-$C7))</f>
        <v/>
      </c>
      <c r="BA7" s="64" t="str">
        <f aca="false">IF(OR(BA$4="",$C7="",$D7="",N($E7)=0),"",$E7*MAX(0,MIN($D7+1,EDATE(BA$4,1))-MAX($C7,BA$4))/MAX(1,$D7+1-$C7))</f>
        <v/>
      </c>
      <c r="BB7" s="64" t="str">
        <f aca="false">IF(OR(BB$4="",$C7="",$D7="",N($E7)=0),"",$E7*MAX(0,MIN($D7+1,EDATE(BB$4,1))-MAX($C7,BB$4))/MAX(1,$D7+1-$C7))</f>
        <v/>
      </c>
      <c r="BC7" s="64" t="str">
        <f aca="false">IF(OR(BC$4="",$C7="",$D7="",N($E7)=0),"",$E7*MAX(0,MIN($D7+1,EDATE(BC$4,1))-MAX($C7,BC$4))/MAX(1,$D7+1-$C7))</f>
        <v/>
      </c>
      <c r="BD7" s="64" t="str">
        <f aca="false">IF(OR(BD$4="",$C7="",$D7="",N($E7)=0),"",$E7*MAX(0,MIN($D7+1,EDATE(BD$4,1))-MAX($C7,BD$4))/MAX(1,$D7+1-$C7))</f>
        <v/>
      </c>
      <c r="BE7" s="64" t="str">
        <f aca="false">IF(OR(BE$4="",$C7="",$D7="",N($E7)=0),"",$E7*MAX(0,MIN($D7+1,EDATE(BE$4,1))-MAX($C7,BE$4))/MAX(1,$D7+1-$C7))</f>
        <v/>
      </c>
      <c r="BF7" s="64" t="str">
        <f aca="false">IF(OR(BF$4="",$C7="",$D7="",N($E7)=0),"",$E7*MAX(0,MIN($D7+1,EDATE(BF$4,1))-MAX($C7,BF$4))/MAX(1,$D7+1-$C7))</f>
        <v/>
      </c>
      <c r="BG7" s="64" t="str">
        <f aca="false">IF(OR(BG$4="",$C7="",$D7="",N($E7)=0),"",$E7*MAX(0,MIN($D7+1,EDATE(BG$4,1))-MAX($C7,BG$4))/MAX(1,$D7+1-$C7))</f>
        <v/>
      </c>
      <c r="BH7" s="64" t="str">
        <f aca="false">IF(OR(BH$4="",$C7="",$D7="",N($E7)=0),"",$E7*MAX(0,MIN($D7+1,EDATE(BH$4,1))-MAX($C7,BH$4))/MAX(1,$D7+1-$C7))</f>
        <v/>
      </c>
      <c r="BI7" s="64" t="str">
        <f aca="false">IF(OR(BI$4="",$C7="",$D7="",N($E7)=0),"",$E7*MAX(0,MIN($D7+1,EDATE(BI$4,1))-MAX($C7,BI$4))/MAX(1,$D7+1-$C7))</f>
        <v/>
      </c>
      <c r="BJ7" s="64" t="str">
        <f aca="false">IF(OR(BJ$4="",$C7="",$D7="",N($E7)=0),"",$E7*MAX(0,MIN($D7+1,EDATE(BJ$4,1))-MAX($C7,BJ$4))/MAX(1,$D7+1-$C7))</f>
        <v/>
      </c>
      <c r="BK7" s="64" t="str">
        <f aca="false">IF(OR(BK$4="",$C7="",$D7="",N($E7)=0),"",$E7*MAX(0,MIN($D7+1,EDATE(BK$4,1))-MAX($C7,BK$4))/MAX(1,$D7+1-$C7))</f>
        <v/>
      </c>
      <c r="BL7" s="64" t="str">
        <f aca="false">IF(OR(BL$4="",$C7="",$D7="",N($E7)=0),"",$E7*MAX(0,MIN($D7+1,EDATE(BL$4,1))-MAX($C7,BL$4))/MAX(1,$D7+1-$C7))</f>
        <v/>
      </c>
      <c r="BM7" s="64" t="str">
        <f aca="false">IF(OR(BM$4="",$C7="",$D7="",N($E7)=0),"",$E7*MAX(0,MIN($D7+1,EDATE(BM$4,1))-MAX($C7,BM$4))/MAX(1,$D7+1-$C7))</f>
        <v/>
      </c>
      <c r="BN7" s="64" t="str">
        <f aca="false">IF(OR(BN$4="",$C7="",$D7="",N($E7)=0),"",$E7*MAX(0,MIN($D7+1,EDATE(BN$4,1))-MAX($C7,BN$4))/MAX(1,$D7+1-$C7))</f>
        <v/>
      </c>
      <c r="BO7" s="64" t="str">
        <f aca="false">IF(OR(BO$4="",$C7="",$D7="",N($E7)=0),"",$E7*MAX(0,MIN($D7+1,EDATE(BO$4,1))-MAX($C7,BO$4))/MAX(1,$D7+1-$C7))</f>
        <v/>
      </c>
      <c r="BP7" s="64" t="str">
        <f aca="false">IF(OR(BP$4="",$C7="",$D7="",N($E7)=0),"",$E7*MAX(0,MIN($D7+1,EDATE(BP$4,1))-MAX($C7,BP$4))/MAX(1,$D7+1-$C7))</f>
        <v/>
      </c>
      <c r="BQ7" s="64" t="str">
        <f aca="false">IF(OR(BQ$4="",$C7="",$D7="",N($E7)=0),"",$E7*MAX(0,MIN($D7+1,EDATE(BQ$4,1))-MAX($C7,BQ$4))/MAX(1,$D7+1-$C7))</f>
        <v/>
      </c>
      <c r="BR7" s="64" t="str">
        <f aca="false">IF(OR(BR$4="",$C7="",$D7="",N($E7)=0),"",$E7*MAX(0,MIN($D7+1,EDATE(BR$4,1))-MAX($C7,BR$4))/MAX(1,$D7+1-$C7))</f>
        <v/>
      </c>
      <c r="BS7" s="64" t="str">
        <f aca="false">IF(OR(BS$4="",$C7="",$D7="",N($E7)=0),"",$E7*MAX(0,MIN($D7+1,EDATE(BS$4,1))-MAX($C7,BS$4))/MAX(1,$D7+1-$C7))</f>
        <v/>
      </c>
      <c r="BT7" s="64" t="str">
        <f aca="false">IF(OR(BT$4="",$C7="",$D7="",N($E7)=0),"",$E7*MAX(0,MIN($D7+1,EDATE(BT$4,1))-MAX($C7,BT$4))/MAX(1,$D7+1-$C7))</f>
        <v/>
      </c>
      <c r="BU7" s="64" t="str">
        <f aca="false">IF(OR(BU$4="",$C7="",$D7="",N($E7)=0),"",$E7*MAX(0,MIN($D7+1,EDATE(BU$4,1))-MAX($C7,BU$4))/MAX(1,$D7+1-$C7))</f>
        <v/>
      </c>
      <c r="BV7" s="64" t="str">
        <f aca="false">IF(OR(BV$4="",$C7="",$D7="",N($E7)=0),"",$E7*MAX(0,MIN($D7+1,EDATE(BV$4,1))-MAX($C7,BV$4))/MAX(1,$D7+1-$C7))</f>
        <v/>
      </c>
      <c r="BW7" s="64" t="str">
        <f aca="false">IF(OR(BW$4="",$C7="",$D7="",N($E7)=0),"",$E7*MAX(0,MIN($D7+1,EDATE(BW$4,1))-MAX($C7,BW$4))/MAX(1,$D7+1-$C7))</f>
        <v/>
      </c>
      <c r="BX7" s="64" t="str">
        <f aca="false">IF(OR(BX$4="",$C7="",$D7="",N($E7)=0),"",$E7*MAX(0,MIN($D7+1,EDATE(BX$4,1))-MAX($C7,BX$4))/MAX(1,$D7+1-$C7))</f>
        <v/>
      </c>
      <c r="BY7" s="64" t="str">
        <f aca="false">IF(OR(BY$4="",$C7="",$D7="",N($E7)=0),"",$E7*MAX(0,MIN($D7+1,EDATE(BY$4,1))-MAX($C7,BY$4))/MAX(1,$D7+1-$C7))</f>
        <v/>
      </c>
    </row>
    <row r="8" customFormat="false" ht="15" hidden="false" customHeight="false" outlineLevel="0" collapsed="false">
      <c r="A8" s="61" t="str">
        <f aca="false">IF(BOE!$A9="","",BOE!$A9)</f>
        <v>104</v>
      </c>
      <c r="B8" s="61" t="str">
        <f aca="false">IF(BOE!$A9="","",BOE!$C9)</f>
        <v>Support of Government reviews / audits / boards</v>
      </c>
      <c r="C8" s="62" t="n">
        <f aca="false">IF(BOE!$O9="","",BOE!$O9)</f>
        <v>46453</v>
      </c>
      <c r="D8" s="62" t="n">
        <f aca="false">IF(BOE!$P9="","",BOE!$P9)</f>
        <v>47483</v>
      </c>
      <c r="E8" s="63" t="n">
        <f aca="false">IF(Inputs!$B$7="P90",BOE!$T9,BOE!$R9)</f>
        <v>240</v>
      </c>
      <c r="F8" s="64" t="n">
        <f aca="false">IF(OR(F$4="",$C8="",$D8="",N($E8)=0),"",$E8*MAX(0,MIN($D8+1,EDATE(F$4,1))-MAX($C8,F$4))/MAX(1,$D8+1-$C8))</f>
        <v>0</v>
      </c>
      <c r="G8" s="64" t="n">
        <f aca="false">IF(OR(G$4="",$C8="",$D8="",N($E8)=0),"",$E8*MAX(0,MIN($D8+1,EDATE(G$4,1))-MAX($C8,G$4))/MAX(1,$D8+1-$C8))</f>
        <v>0</v>
      </c>
      <c r="H8" s="64" t="n">
        <f aca="false">IF(OR(H$4="",$C8="",$D8="",N($E8)=0),"",$E8*MAX(0,MIN($D8+1,EDATE(H$4,1))-MAX($C8,H$4))/MAX(1,$D8+1-$C8))</f>
        <v>6.51794374393792</v>
      </c>
      <c r="I8" s="64" t="n">
        <f aca="false">IF(OR(I$4="",$C8="",$D8="",N($E8)=0),"",$E8*MAX(0,MIN($D8+1,EDATE(I$4,1))-MAX($C8,I$4))/MAX(1,$D8+1-$C8))</f>
        <v>6.9835111542192</v>
      </c>
      <c r="J8" s="64" t="n">
        <f aca="false">IF(OR(J$4="",$C8="",$D8="",N($E8)=0),"",$E8*MAX(0,MIN($D8+1,EDATE(J$4,1))-MAX($C8,J$4))/MAX(1,$D8+1-$C8))</f>
        <v>7.21629485935985</v>
      </c>
      <c r="K8" s="64" t="n">
        <f aca="false">IF(OR(K$4="",$C8="",$D8="",N($E8)=0),"",$E8*MAX(0,MIN($D8+1,EDATE(K$4,1))-MAX($C8,K$4))/MAX(1,$D8+1-$C8))</f>
        <v>6.9835111542192</v>
      </c>
      <c r="L8" s="64" t="n">
        <f aca="false">IF(OR(L$4="",$C8="",$D8="",N($E8)=0),"",$E8*MAX(0,MIN($D8+1,EDATE(L$4,1))-MAX($C8,L$4))/MAX(1,$D8+1-$C8))</f>
        <v>7.21629485935985</v>
      </c>
      <c r="M8" s="64" t="n">
        <f aca="false">IF(OR(M$4="",$C8="",$D8="",N($E8)=0),"",$E8*MAX(0,MIN($D8+1,EDATE(M$4,1))-MAX($C8,M$4))/MAX(1,$D8+1-$C8))</f>
        <v>7.21629485935985</v>
      </c>
      <c r="N8" s="64" t="n">
        <f aca="false">IF(OR(N$4="",$C8="",$D8="",N($E8)=0),"",$E8*MAX(0,MIN($D8+1,EDATE(N$4,1))-MAX($C8,N$4))/MAX(1,$D8+1-$C8))</f>
        <v>6.9835111542192</v>
      </c>
      <c r="O8" s="64" t="n">
        <f aca="false">IF(OR(O$4="",$C8="",$D8="",N($E8)=0),"",$E8*MAX(0,MIN($D8+1,EDATE(O$4,1))-MAX($C8,O$4))/MAX(1,$D8+1-$C8))</f>
        <v>7.21629485935985</v>
      </c>
      <c r="P8" s="64" t="n">
        <f aca="false">IF(OR(P$4="",$C8="",$D8="",N($E8)=0),"",$E8*MAX(0,MIN($D8+1,EDATE(P$4,1))-MAX($C8,P$4))/MAX(1,$D8+1-$C8))</f>
        <v>6.9835111542192</v>
      </c>
      <c r="Q8" s="64" t="n">
        <f aca="false">IF(OR(Q$4="",$C8="",$D8="",N($E8)=0),"",$E8*MAX(0,MIN($D8+1,EDATE(Q$4,1))-MAX($C8,Q$4))/MAX(1,$D8+1-$C8))</f>
        <v>7.21629485935985</v>
      </c>
      <c r="R8" s="64" t="n">
        <f aca="false">IF(OR(R$4="",$C8="",$D8="",N($E8)=0),"",$E8*MAX(0,MIN($D8+1,EDATE(R$4,1))-MAX($C8,R$4))/MAX(1,$D8+1-$C8))</f>
        <v>7.21629485935985</v>
      </c>
      <c r="S8" s="64" t="n">
        <f aca="false">IF(OR(S$4="",$C8="",$D8="",N($E8)=0),"",$E8*MAX(0,MIN($D8+1,EDATE(S$4,1))-MAX($C8,S$4))/MAX(1,$D8+1-$C8))</f>
        <v>6.75072744907857</v>
      </c>
      <c r="T8" s="64" t="n">
        <f aca="false">IF(OR(T$4="",$C8="",$D8="",N($E8)=0),"",$E8*MAX(0,MIN($D8+1,EDATE(T$4,1))-MAX($C8,T$4))/MAX(1,$D8+1-$C8))</f>
        <v>7.21629485935985</v>
      </c>
      <c r="U8" s="64" t="n">
        <f aca="false">IF(OR(U$4="",$C8="",$D8="",N($E8)=0),"",$E8*MAX(0,MIN($D8+1,EDATE(U$4,1))-MAX($C8,U$4))/MAX(1,$D8+1-$C8))</f>
        <v>6.9835111542192</v>
      </c>
      <c r="V8" s="64" t="n">
        <f aca="false">IF(OR(V$4="",$C8="",$D8="",N($E8)=0),"",$E8*MAX(0,MIN($D8+1,EDATE(V$4,1))-MAX($C8,V$4))/MAX(1,$D8+1-$C8))</f>
        <v>7.21629485935985</v>
      </c>
      <c r="W8" s="64" t="n">
        <f aca="false">IF(OR(W$4="",$C8="",$D8="",N($E8)=0),"",$E8*MAX(0,MIN($D8+1,EDATE(W$4,1))-MAX($C8,W$4))/MAX(1,$D8+1-$C8))</f>
        <v>6.9835111542192</v>
      </c>
      <c r="X8" s="64" t="n">
        <f aca="false">IF(OR(X$4="",$C8="",$D8="",N($E8)=0),"",$E8*MAX(0,MIN($D8+1,EDATE(X$4,1))-MAX($C8,X$4))/MAX(1,$D8+1-$C8))</f>
        <v>7.21629485935985</v>
      </c>
      <c r="Y8" s="64" t="n">
        <f aca="false">IF(OR(Y$4="",$C8="",$D8="",N($E8)=0),"",$E8*MAX(0,MIN($D8+1,EDATE(Y$4,1))-MAX($C8,Y$4))/MAX(1,$D8+1-$C8))</f>
        <v>7.21629485935985</v>
      </c>
      <c r="Z8" s="64" t="n">
        <f aca="false">IF(OR(Z$4="",$C8="",$D8="",N($E8)=0),"",$E8*MAX(0,MIN($D8+1,EDATE(Z$4,1))-MAX($C8,Z$4))/MAX(1,$D8+1-$C8))</f>
        <v>6.9835111542192</v>
      </c>
      <c r="AA8" s="64" t="n">
        <f aca="false">IF(OR(AA$4="",$C8="",$D8="",N($E8)=0),"",$E8*MAX(0,MIN($D8+1,EDATE(AA$4,1))-MAX($C8,AA$4))/MAX(1,$D8+1-$C8))</f>
        <v>7.21629485935985</v>
      </c>
      <c r="AB8" s="64" t="n">
        <f aca="false">IF(OR(AB$4="",$C8="",$D8="",N($E8)=0),"",$E8*MAX(0,MIN($D8+1,EDATE(AB$4,1))-MAX($C8,AB$4))/MAX(1,$D8+1-$C8))</f>
        <v>6.9835111542192</v>
      </c>
      <c r="AC8" s="64" t="n">
        <f aca="false">IF(OR(AC$4="",$C8="",$D8="",N($E8)=0),"",$E8*MAX(0,MIN($D8+1,EDATE(AC$4,1))-MAX($C8,AC$4))/MAX(1,$D8+1-$C8))</f>
        <v>7.21629485935985</v>
      </c>
      <c r="AD8" s="64" t="n">
        <f aca="false">IF(OR(AD$4="",$C8="",$D8="",N($E8)=0),"",$E8*MAX(0,MIN($D8+1,EDATE(AD$4,1))-MAX($C8,AD$4))/MAX(1,$D8+1-$C8))</f>
        <v>7.21629485935985</v>
      </c>
      <c r="AE8" s="64" t="n">
        <f aca="false">IF(OR(AE$4="",$C8="",$D8="",N($E8)=0),"",$E8*MAX(0,MIN($D8+1,EDATE(AE$4,1))-MAX($C8,AE$4))/MAX(1,$D8+1-$C8))</f>
        <v>6.51794374393792</v>
      </c>
      <c r="AF8" s="64" t="n">
        <f aca="false">IF(OR(AF$4="",$C8="",$D8="",N($E8)=0),"",$E8*MAX(0,MIN($D8+1,EDATE(AF$4,1))-MAX($C8,AF$4))/MAX(1,$D8+1-$C8))</f>
        <v>7.21629485935985</v>
      </c>
      <c r="AG8" s="64" t="n">
        <f aca="false">IF(OR(AG$4="",$C8="",$D8="",N($E8)=0),"",$E8*MAX(0,MIN($D8+1,EDATE(AG$4,1))-MAX($C8,AG$4))/MAX(1,$D8+1-$C8))</f>
        <v>6.9835111542192</v>
      </c>
      <c r="AH8" s="64" t="n">
        <f aca="false">IF(OR(AH$4="",$C8="",$D8="",N($E8)=0),"",$E8*MAX(0,MIN($D8+1,EDATE(AH$4,1))-MAX($C8,AH$4))/MAX(1,$D8+1-$C8))</f>
        <v>7.21629485935985</v>
      </c>
      <c r="AI8" s="64" t="n">
        <f aca="false">IF(OR(AI$4="",$C8="",$D8="",N($E8)=0),"",$E8*MAX(0,MIN($D8+1,EDATE(AI$4,1))-MAX($C8,AI$4))/MAX(1,$D8+1-$C8))</f>
        <v>6.9835111542192</v>
      </c>
      <c r="AJ8" s="64" t="n">
        <f aca="false">IF(OR(AJ$4="",$C8="",$D8="",N($E8)=0),"",$E8*MAX(0,MIN($D8+1,EDATE(AJ$4,1))-MAX($C8,AJ$4))/MAX(1,$D8+1-$C8))</f>
        <v>7.21629485935985</v>
      </c>
      <c r="AK8" s="64" t="n">
        <f aca="false">IF(OR(AK$4="",$C8="",$D8="",N($E8)=0),"",$E8*MAX(0,MIN($D8+1,EDATE(AK$4,1))-MAX($C8,AK$4))/MAX(1,$D8+1-$C8))</f>
        <v>7.21629485935985</v>
      </c>
      <c r="AL8" s="64" t="n">
        <f aca="false">IF(OR(AL$4="",$C8="",$D8="",N($E8)=0),"",$E8*MAX(0,MIN($D8+1,EDATE(AL$4,1))-MAX($C8,AL$4))/MAX(1,$D8+1-$C8))</f>
        <v>6.9835111542192</v>
      </c>
      <c r="AM8" s="64" t="n">
        <f aca="false">IF(OR(AM$4="",$C8="",$D8="",N($E8)=0),"",$E8*MAX(0,MIN($D8+1,EDATE(AM$4,1))-MAX($C8,AM$4))/MAX(1,$D8+1-$C8))</f>
        <v>7.21629485935985</v>
      </c>
      <c r="AN8" s="64" t="n">
        <f aca="false">IF(OR(AN$4="",$C8="",$D8="",N($E8)=0),"",$E8*MAX(0,MIN($D8+1,EDATE(AN$4,1))-MAX($C8,AN$4))/MAX(1,$D8+1-$C8))</f>
        <v>6.9835111542192</v>
      </c>
      <c r="AO8" s="64" t="n">
        <f aca="false">IF(OR(AO$4="",$C8="",$D8="",N($E8)=0),"",$E8*MAX(0,MIN($D8+1,EDATE(AO$4,1))-MAX($C8,AO$4))/MAX(1,$D8+1-$C8))</f>
        <v>6.51794374393792</v>
      </c>
      <c r="AP8" s="64" t="str">
        <f aca="false">IF(OR(AP$4="",$C8="",$D8="",N($E8)=0),"",$E8*MAX(0,MIN($D8+1,EDATE(AP$4,1))-MAX($C8,AP$4))/MAX(1,$D8+1-$C8))</f>
        <v/>
      </c>
      <c r="AQ8" s="64" t="str">
        <f aca="false">IF(OR(AQ$4="",$C8="",$D8="",N($E8)=0),"",$E8*MAX(0,MIN($D8+1,EDATE(AQ$4,1))-MAX($C8,AQ$4))/MAX(1,$D8+1-$C8))</f>
        <v/>
      </c>
      <c r="AR8" s="64" t="str">
        <f aca="false">IF(OR(AR$4="",$C8="",$D8="",N($E8)=0),"",$E8*MAX(0,MIN($D8+1,EDATE(AR$4,1))-MAX($C8,AR$4))/MAX(1,$D8+1-$C8))</f>
        <v/>
      </c>
      <c r="AS8" s="64" t="str">
        <f aca="false">IF(OR(AS$4="",$C8="",$D8="",N($E8)=0),"",$E8*MAX(0,MIN($D8+1,EDATE(AS$4,1))-MAX($C8,AS$4))/MAX(1,$D8+1-$C8))</f>
        <v/>
      </c>
      <c r="AT8" s="64" t="str">
        <f aca="false">IF(OR(AT$4="",$C8="",$D8="",N($E8)=0),"",$E8*MAX(0,MIN($D8+1,EDATE(AT$4,1))-MAX($C8,AT$4))/MAX(1,$D8+1-$C8))</f>
        <v/>
      </c>
      <c r="AU8" s="64" t="str">
        <f aca="false">IF(OR(AU$4="",$C8="",$D8="",N($E8)=0),"",$E8*MAX(0,MIN($D8+1,EDATE(AU$4,1))-MAX($C8,AU$4))/MAX(1,$D8+1-$C8))</f>
        <v/>
      </c>
      <c r="AV8" s="64" t="str">
        <f aca="false">IF(OR(AV$4="",$C8="",$D8="",N($E8)=0),"",$E8*MAX(0,MIN($D8+1,EDATE(AV$4,1))-MAX($C8,AV$4))/MAX(1,$D8+1-$C8))</f>
        <v/>
      </c>
      <c r="AW8" s="64" t="str">
        <f aca="false">IF(OR(AW$4="",$C8="",$D8="",N($E8)=0),"",$E8*MAX(0,MIN($D8+1,EDATE(AW$4,1))-MAX($C8,AW$4))/MAX(1,$D8+1-$C8))</f>
        <v/>
      </c>
      <c r="AX8" s="64" t="str">
        <f aca="false">IF(OR(AX$4="",$C8="",$D8="",N($E8)=0),"",$E8*MAX(0,MIN($D8+1,EDATE(AX$4,1))-MAX($C8,AX$4))/MAX(1,$D8+1-$C8))</f>
        <v/>
      </c>
      <c r="AY8" s="64" t="str">
        <f aca="false">IF(OR(AY$4="",$C8="",$D8="",N($E8)=0),"",$E8*MAX(0,MIN($D8+1,EDATE(AY$4,1))-MAX($C8,AY$4))/MAX(1,$D8+1-$C8))</f>
        <v/>
      </c>
      <c r="AZ8" s="64" t="str">
        <f aca="false">IF(OR(AZ$4="",$C8="",$D8="",N($E8)=0),"",$E8*MAX(0,MIN($D8+1,EDATE(AZ$4,1))-MAX($C8,AZ$4))/MAX(1,$D8+1-$C8))</f>
        <v/>
      </c>
      <c r="BA8" s="64" t="str">
        <f aca="false">IF(OR(BA$4="",$C8="",$D8="",N($E8)=0),"",$E8*MAX(0,MIN($D8+1,EDATE(BA$4,1))-MAX($C8,BA$4))/MAX(1,$D8+1-$C8))</f>
        <v/>
      </c>
      <c r="BB8" s="64" t="str">
        <f aca="false">IF(OR(BB$4="",$C8="",$D8="",N($E8)=0),"",$E8*MAX(0,MIN($D8+1,EDATE(BB$4,1))-MAX($C8,BB$4))/MAX(1,$D8+1-$C8))</f>
        <v/>
      </c>
      <c r="BC8" s="64" t="str">
        <f aca="false">IF(OR(BC$4="",$C8="",$D8="",N($E8)=0),"",$E8*MAX(0,MIN($D8+1,EDATE(BC$4,1))-MAX($C8,BC$4))/MAX(1,$D8+1-$C8))</f>
        <v/>
      </c>
      <c r="BD8" s="64" t="str">
        <f aca="false">IF(OR(BD$4="",$C8="",$D8="",N($E8)=0),"",$E8*MAX(0,MIN($D8+1,EDATE(BD$4,1))-MAX($C8,BD$4))/MAX(1,$D8+1-$C8))</f>
        <v/>
      </c>
      <c r="BE8" s="64" t="str">
        <f aca="false">IF(OR(BE$4="",$C8="",$D8="",N($E8)=0),"",$E8*MAX(0,MIN($D8+1,EDATE(BE$4,1))-MAX($C8,BE$4))/MAX(1,$D8+1-$C8))</f>
        <v/>
      </c>
      <c r="BF8" s="64" t="str">
        <f aca="false">IF(OR(BF$4="",$C8="",$D8="",N($E8)=0),"",$E8*MAX(0,MIN($D8+1,EDATE(BF$4,1))-MAX($C8,BF$4))/MAX(1,$D8+1-$C8))</f>
        <v/>
      </c>
      <c r="BG8" s="64" t="str">
        <f aca="false">IF(OR(BG$4="",$C8="",$D8="",N($E8)=0),"",$E8*MAX(0,MIN($D8+1,EDATE(BG$4,1))-MAX($C8,BG$4))/MAX(1,$D8+1-$C8))</f>
        <v/>
      </c>
      <c r="BH8" s="64" t="str">
        <f aca="false">IF(OR(BH$4="",$C8="",$D8="",N($E8)=0),"",$E8*MAX(0,MIN($D8+1,EDATE(BH$4,1))-MAX($C8,BH$4))/MAX(1,$D8+1-$C8))</f>
        <v/>
      </c>
      <c r="BI8" s="64" t="str">
        <f aca="false">IF(OR(BI$4="",$C8="",$D8="",N($E8)=0),"",$E8*MAX(0,MIN($D8+1,EDATE(BI$4,1))-MAX($C8,BI$4))/MAX(1,$D8+1-$C8))</f>
        <v/>
      </c>
      <c r="BJ8" s="64" t="str">
        <f aca="false">IF(OR(BJ$4="",$C8="",$D8="",N($E8)=0),"",$E8*MAX(0,MIN($D8+1,EDATE(BJ$4,1))-MAX($C8,BJ$4))/MAX(1,$D8+1-$C8))</f>
        <v/>
      </c>
      <c r="BK8" s="64" t="str">
        <f aca="false">IF(OR(BK$4="",$C8="",$D8="",N($E8)=0),"",$E8*MAX(0,MIN($D8+1,EDATE(BK$4,1))-MAX($C8,BK$4))/MAX(1,$D8+1-$C8))</f>
        <v/>
      </c>
      <c r="BL8" s="64" t="str">
        <f aca="false">IF(OR(BL$4="",$C8="",$D8="",N($E8)=0),"",$E8*MAX(0,MIN($D8+1,EDATE(BL$4,1))-MAX($C8,BL$4))/MAX(1,$D8+1-$C8))</f>
        <v/>
      </c>
      <c r="BM8" s="64" t="str">
        <f aca="false">IF(OR(BM$4="",$C8="",$D8="",N($E8)=0),"",$E8*MAX(0,MIN($D8+1,EDATE(BM$4,1))-MAX($C8,BM$4))/MAX(1,$D8+1-$C8))</f>
        <v/>
      </c>
      <c r="BN8" s="64" t="str">
        <f aca="false">IF(OR(BN$4="",$C8="",$D8="",N($E8)=0),"",$E8*MAX(0,MIN($D8+1,EDATE(BN$4,1))-MAX($C8,BN$4))/MAX(1,$D8+1-$C8))</f>
        <v/>
      </c>
      <c r="BO8" s="64" t="str">
        <f aca="false">IF(OR(BO$4="",$C8="",$D8="",N($E8)=0),"",$E8*MAX(0,MIN($D8+1,EDATE(BO$4,1))-MAX($C8,BO$4))/MAX(1,$D8+1-$C8))</f>
        <v/>
      </c>
      <c r="BP8" s="64" t="str">
        <f aca="false">IF(OR(BP$4="",$C8="",$D8="",N($E8)=0),"",$E8*MAX(0,MIN($D8+1,EDATE(BP$4,1))-MAX($C8,BP$4))/MAX(1,$D8+1-$C8))</f>
        <v/>
      </c>
      <c r="BQ8" s="64" t="str">
        <f aca="false">IF(OR(BQ$4="",$C8="",$D8="",N($E8)=0),"",$E8*MAX(0,MIN($D8+1,EDATE(BQ$4,1))-MAX($C8,BQ$4))/MAX(1,$D8+1-$C8))</f>
        <v/>
      </c>
      <c r="BR8" s="64" t="str">
        <f aca="false">IF(OR(BR$4="",$C8="",$D8="",N($E8)=0),"",$E8*MAX(0,MIN($D8+1,EDATE(BR$4,1))-MAX($C8,BR$4))/MAX(1,$D8+1-$C8))</f>
        <v/>
      </c>
      <c r="BS8" s="64" t="str">
        <f aca="false">IF(OR(BS$4="",$C8="",$D8="",N($E8)=0),"",$E8*MAX(0,MIN($D8+1,EDATE(BS$4,1))-MAX($C8,BS$4))/MAX(1,$D8+1-$C8))</f>
        <v/>
      </c>
      <c r="BT8" s="64" t="str">
        <f aca="false">IF(OR(BT$4="",$C8="",$D8="",N($E8)=0),"",$E8*MAX(0,MIN($D8+1,EDATE(BT$4,1))-MAX($C8,BT$4))/MAX(1,$D8+1-$C8))</f>
        <v/>
      </c>
      <c r="BU8" s="64" t="str">
        <f aca="false">IF(OR(BU$4="",$C8="",$D8="",N($E8)=0),"",$E8*MAX(0,MIN($D8+1,EDATE(BU$4,1))-MAX($C8,BU$4))/MAX(1,$D8+1-$C8))</f>
        <v/>
      </c>
      <c r="BV8" s="64" t="str">
        <f aca="false">IF(OR(BV$4="",$C8="",$D8="",N($E8)=0),"",$E8*MAX(0,MIN($D8+1,EDATE(BV$4,1))-MAX($C8,BV$4))/MAX(1,$D8+1-$C8))</f>
        <v/>
      </c>
      <c r="BW8" s="64" t="str">
        <f aca="false">IF(OR(BW$4="",$C8="",$D8="",N($E8)=0),"",$E8*MAX(0,MIN($D8+1,EDATE(BW$4,1))-MAX($C8,BW$4))/MAX(1,$D8+1-$C8))</f>
        <v/>
      </c>
      <c r="BX8" s="64" t="str">
        <f aca="false">IF(OR(BX$4="",$C8="",$D8="",N($E8)=0),"",$E8*MAX(0,MIN($D8+1,EDATE(BX$4,1))-MAX($C8,BX$4))/MAX(1,$D8+1-$C8))</f>
        <v/>
      </c>
      <c r="BY8" s="64" t="str">
        <f aca="false">IF(OR(BY$4="",$C8="",$D8="",N($E8)=0),"",$E8*MAX(0,MIN($D8+1,EDATE(BY$4,1))-MAX($C8,BY$4))/MAX(1,$D8+1-$C8))</f>
        <v/>
      </c>
    </row>
    <row r="9" customFormat="false" ht="15" hidden="false" customHeight="false" outlineLevel="0" collapsed="false">
      <c r="A9" s="61" t="str">
        <f aca="false">IF(BOE!$A10="","",BOE!$A10)</f>
        <v>105</v>
      </c>
      <c r="B9" s="61" t="str">
        <f aca="false">IF(BOE!$A10="","",BOE!$C10)</f>
        <v>Integrated Product Team / Working Group support</v>
      </c>
      <c r="C9" s="62" t="n">
        <f aca="false">IF(BOE!$O10="","",BOE!$O10)</f>
        <v>46391</v>
      </c>
      <c r="D9" s="62" t="n">
        <f aca="false">IF(BOE!$P10="","",BOE!$P10)</f>
        <v>47483</v>
      </c>
      <c r="E9" s="63" t="n">
        <f aca="false">IF(Inputs!$B$7="P90",BOE!$T10,BOE!$R10)</f>
        <v>430.521560574949</v>
      </c>
      <c r="F9" s="64" t="n">
        <f aca="false">IF(OR(F$4="",$C9="",$D9="",N($E9)=0),"",$E9*MAX(0,MIN($D9+1,EDATE(F$4,1))-MAX($C9,F$4))/MAX(1,$D9+1-$C9))</f>
        <v>12.2105840602227</v>
      </c>
      <c r="G9" s="64" t="n">
        <f aca="false">IF(OR(G$4="",$C9="",$D9="",N($E9)=0),"",$E9*MAX(0,MIN($D9+1,EDATE(G$4,1))-MAX($C9,G$4))/MAX(1,$D9+1-$C9))</f>
        <v>11.0289146350399</v>
      </c>
      <c r="H9" s="64" t="n">
        <f aca="false">IF(OR(H$4="",$C9="",$D9="",N($E9)=0),"",$E9*MAX(0,MIN($D9+1,EDATE(H$4,1))-MAX($C9,H$4))/MAX(1,$D9+1-$C9))</f>
        <v>12.2105840602227</v>
      </c>
      <c r="I9" s="64" t="n">
        <f aca="false">IF(OR(I$4="",$C9="",$D9="",N($E9)=0),"",$E9*MAX(0,MIN($D9+1,EDATE(I$4,1))-MAX($C9,I$4))/MAX(1,$D9+1-$C9))</f>
        <v>11.8166942518284</v>
      </c>
      <c r="J9" s="64" t="n">
        <f aca="false">IF(OR(J$4="",$C9="",$D9="",N($E9)=0),"",$E9*MAX(0,MIN($D9+1,EDATE(J$4,1))-MAX($C9,J$4))/MAX(1,$D9+1-$C9))</f>
        <v>12.2105840602227</v>
      </c>
      <c r="K9" s="64" t="n">
        <f aca="false">IF(OR(K$4="",$C9="",$D9="",N($E9)=0),"",$E9*MAX(0,MIN($D9+1,EDATE(K$4,1))-MAX($C9,K$4))/MAX(1,$D9+1-$C9))</f>
        <v>11.8166942518284</v>
      </c>
      <c r="L9" s="64" t="n">
        <f aca="false">IF(OR(L$4="",$C9="",$D9="",N($E9)=0),"",$E9*MAX(0,MIN($D9+1,EDATE(L$4,1))-MAX($C9,L$4))/MAX(1,$D9+1-$C9))</f>
        <v>12.2105840602227</v>
      </c>
      <c r="M9" s="64" t="n">
        <f aca="false">IF(OR(M$4="",$C9="",$D9="",N($E9)=0),"",$E9*MAX(0,MIN($D9+1,EDATE(M$4,1))-MAX($C9,M$4))/MAX(1,$D9+1-$C9))</f>
        <v>12.2105840602227</v>
      </c>
      <c r="N9" s="64" t="n">
        <f aca="false">IF(OR(N$4="",$C9="",$D9="",N($E9)=0),"",$E9*MAX(0,MIN($D9+1,EDATE(N$4,1))-MAX($C9,N$4))/MAX(1,$D9+1-$C9))</f>
        <v>11.8166942518284</v>
      </c>
      <c r="O9" s="64" t="n">
        <f aca="false">IF(OR(O$4="",$C9="",$D9="",N($E9)=0),"",$E9*MAX(0,MIN($D9+1,EDATE(O$4,1))-MAX($C9,O$4))/MAX(1,$D9+1-$C9))</f>
        <v>12.2105840602227</v>
      </c>
      <c r="P9" s="64" t="n">
        <f aca="false">IF(OR(P$4="",$C9="",$D9="",N($E9)=0),"",$E9*MAX(0,MIN($D9+1,EDATE(P$4,1))-MAX($C9,P$4))/MAX(1,$D9+1-$C9))</f>
        <v>11.8166942518284</v>
      </c>
      <c r="Q9" s="64" t="n">
        <f aca="false">IF(OR(Q$4="",$C9="",$D9="",N($E9)=0),"",$E9*MAX(0,MIN($D9+1,EDATE(Q$4,1))-MAX($C9,Q$4))/MAX(1,$D9+1-$C9))</f>
        <v>12.2105840602227</v>
      </c>
      <c r="R9" s="64" t="n">
        <f aca="false">IF(OR(R$4="",$C9="",$D9="",N($E9)=0),"",$E9*MAX(0,MIN($D9+1,EDATE(R$4,1))-MAX($C9,R$4))/MAX(1,$D9+1-$C9))</f>
        <v>12.2105840602227</v>
      </c>
      <c r="S9" s="64" t="n">
        <f aca="false">IF(OR(S$4="",$C9="",$D9="",N($E9)=0),"",$E9*MAX(0,MIN($D9+1,EDATE(S$4,1))-MAX($C9,S$4))/MAX(1,$D9+1-$C9))</f>
        <v>11.4228044434341</v>
      </c>
      <c r="T9" s="64" t="n">
        <f aca="false">IF(OR(T$4="",$C9="",$D9="",N($E9)=0),"",$E9*MAX(0,MIN($D9+1,EDATE(T$4,1))-MAX($C9,T$4))/MAX(1,$D9+1-$C9))</f>
        <v>12.2105840602227</v>
      </c>
      <c r="U9" s="64" t="n">
        <f aca="false">IF(OR(U$4="",$C9="",$D9="",N($E9)=0),"",$E9*MAX(0,MIN($D9+1,EDATE(U$4,1))-MAX($C9,U$4))/MAX(1,$D9+1-$C9))</f>
        <v>11.8166942518284</v>
      </c>
      <c r="V9" s="64" t="n">
        <f aca="false">IF(OR(V$4="",$C9="",$D9="",N($E9)=0),"",$E9*MAX(0,MIN($D9+1,EDATE(V$4,1))-MAX($C9,V$4))/MAX(1,$D9+1-$C9))</f>
        <v>12.2105840602227</v>
      </c>
      <c r="W9" s="64" t="n">
        <f aca="false">IF(OR(W$4="",$C9="",$D9="",N($E9)=0),"",$E9*MAX(0,MIN($D9+1,EDATE(W$4,1))-MAX($C9,W$4))/MAX(1,$D9+1-$C9))</f>
        <v>11.8166942518284</v>
      </c>
      <c r="X9" s="64" t="n">
        <f aca="false">IF(OR(X$4="",$C9="",$D9="",N($E9)=0),"",$E9*MAX(0,MIN($D9+1,EDATE(X$4,1))-MAX($C9,X$4))/MAX(1,$D9+1-$C9))</f>
        <v>12.2105840602227</v>
      </c>
      <c r="Y9" s="64" t="n">
        <f aca="false">IF(OR(Y$4="",$C9="",$D9="",N($E9)=0),"",$E9*MAX(0,MIN($D9+1,EDATE(Y$4,1))-MAX($C9,Y$4))/MAX(1,$D9+1-$C9))</f>
        <v>12.2105840602227</v>
      </c>
      <c r="Z9" s="64" t="n">
        <f aca="false">IF(OR(Z$4="",$C9="",$D9="",N($E9)=0),"",$E9*MAX(0,MIN($D9+1,EDATE(Z$4,1))-MAX($C9,Z$4))/MAX(1,$D9+1-$C9))</f>
        <v>11.8166942518284</v>
      </c>
      <c r="AA9" s="64" t="n">
        <f aca="false">IF(OR(AA$4="",$C9="",$D9="",N($E9)=0),"",$E9*MAX(0,MIN($D9+1,EDATE(AA$4,1))-MAX($C9,AA$4))/MAX(1,$D9+1-$C9))</f>
        <v>12.2105840602227</v>
      </c>
      <c r="AB9" s="64" t="n">
        <f aca="false">IF(OR(AB$4="",$C9="",$D9="",N($E9)=0),"",$E9*MAX(0,MIN($D9+1,EDATE(AB$4,1))-MAX($C9,AB$4))/MAX(1,$D9+1-$C9))</f>
        <v>11.8166942518284</v>
      </c>
      <c r="AC9" s="64" t="n">
        <f aca="false">IF(OR(AC$4="",$C9="",$D9="",N($E9)=0),"",$E9*MAX(0,MIN($D9+1,EDATE(AC$4,1))-MAX($C9,AC$4))/MAX(1,$D9+1-$C9))</f>
        <v>12.2105840602227</v>
      </c>
      <c r="AD9" s="64" t="n">
        <f aca="false">IF(OR(AD$4="",$C9="",$D9="",N($E9)=0),"",$E9*MAX(0,MIN($D9+1,EDATE(AD$4,1))-MAX($C9,AD$4))/MAX(1,$D9+1-$C9))</f>
        <v>12.2105840602227</v>
      </c>
      <c r="AE9" s="64" t="n">
        <f aca="false">IF(OR(AE$4="",$C9="",$D9="",N($E9)=0),"",$E9*MAX(0,MIN($D9+1,EDATE(AE$4,1))-MAX($C9,AE$4))/MAX(1,$D9+1-$C9))</f>
        <v>11.0289146350399</v>
      </c>
      <c r="AF9" s="64" t="n">
        <f aca="false">IF(OR(AF$4="",$C9="",$D9="",N($E9)=0),"",$E9*MAX(0,MIN($D9+1,EDATE(AF$4,1))-MAX($C9,AF$4))/MAX(1,$D9+1-$C9))</f>
        <v>12.2105840602227</v>
      </c>
      <c r="AG9" s="64" t="n">
        <f aca="false">IF(OR(AG$4="",$C9="",$D9="",N($E9)=0),"",$E9*MAX(0,MIN($D9+1,EDATE(AG$4,1))-MAX($C9,AG$4))/MAX(1,$D9+1-$C9))</f>
        <v>11.8166942518284</v>
      </c>
      <c r="AH9" s="64" t="n">
        <f aca="false">IF(OR(AH$4="",$C9="",$D9="",N($E9)=0),"",$E9*MAX(0,MIN($D9+1,EDATE(AH$4,1))-MAX($C9,AH$4))/MAX(1,$D9+1-$C9))</f>
        <v>12.2105840602227</v>
      </c>
      <c r="AI9" s="64" t="n">
        <f aca="false">IF(OR(AI$4="",$C9="",$D9="",N($E9)=0),"",$E9*MAX(0,MIN($D9+1,EDATE(AI$4,1))-MAX($C9,AI$4))/MAX(1,$D9+1-$C9))</f>
        <v>11.8166942518284</v>
      </c>
      <c r="AJ9" s="64" t="n">
        <f aca="false">IF(OR(AJ$4="",$C9="",$D9="",N($E9)=0),"",$E9*MAX(0,MIN($D9+1,EDATE(AJ$4,1))-MAX($C9,AJ$4))/MAX(1,$D9+1-$C9))</f>
        <v>12.2105840602227</v>
      </c>
      <c r="AK9" s="64" t="n">
        <f aca="false">IF(OR(AK$4="",$C9="",$D9="",N($E9)=0),"",$E9*MAX(0,MIN($D9+1,EDATE(AK$4,1))-MAX($C9,AK$4))/MAX(1,$D9+1-$C9))</f>
        <v>12.2105840602227</v>
      </c>
      <c r="AL9" s="64" t="n">
        <f aca="false">IF(OR(AL$4="",$C9="",$D9="",N($E9)=0),"",$E9*MAX(0,MIN($D9+1,EDATE(AL$4,1))-MAX($C9,AL$4))/MAX(1,$D9+1-$C9))</f>
        <v>11.8166942518284</v>
      </c>
      <c r="AM9" s="64" t="n">
        <f aca="false">IF(OR(AM$4="",$C9="",$D9="",N($E9)=0),"",$E9*MAX(0,MIN($D9+1,EDATE(AM$4,1))-MAX($C9,AM$4))/MAX(1,$D9+1-$C9))</f>
        <v>12.2105840602227</v>
      </c>
      <c r="AN9" s="64" t="n">
        <f aca="false">IF(OR(AN$4="",$C9="",$D9="",N($E9)=0),"",$E9*MAX(0,MIN($D9+1,EDATE(AN$4,1))-MAX($C9,AN$4))/MAX(1,$D9+1-$C9))</f>
        <v>11.8166942518284</v>
      </c>
      <c r="AO9" s="64" t="n">
        <f aca="false">IF(OR(AO$4="",$C9="",$D9="",N($E9)=0),"",$E9*MAX(0,MIN($D9+1,EDATE(AO$4,1))-MAX($C9,AO$4))/MAX(1,$D9+1-$C9))</f>
        <v>11.0289146350399</v>
      </c>
      <c r="AP9" s="64" t="str">
        <f aca="false">IF(OR(AP$4="",$C9="",$D9="",N($E9)=0),"",$E9*MAX(0,MIN($D9+1,EDATE(AP$4,1))-MAX($C9,AP$4))/MAX(1,$D9+1-$C9))</f>
        <v/>
      </c>
      <c r="AQ9" s="64" t="str">
        <f aca="false">IF(OR(AQ$4="",$C9="",$D9="",N($E9)=0),"",$E9*MAX(0,MIN($D9+1,EDATE(AQ$4,1))-MAX($C9,AQ$4))/MAX(1,$D9+1-$C9))</f>
        <v/>
      </c>
      <c r="AR9" s="64" t="str">
        <f aca="false">IF(OR(AR$4="",$C9="",$D9="",N($E9)=0),"",$E9*MAX(0,MIN($D9+1,EDATE(AR$4,1))-MAX($C9,AR$4))/MAX(1,$D9+1-$C9))</f>
        <v/>
      </c>
      <c r="AS9" s="64" t="str">
        <f aca="false">IF(OR(AS$4="",$C9="",$D9="",N($E9)=0),"",$E9*MAX(0,MIN($D9+1,EDATE(AS$4,1))-MAX($C9,AS$4))/MAX(1,$D9+1-$C9))</f>
        <v/>
      </c>
      <c r="AT9" s="64" t="str">
        <f aca="false">IF(OR(AT$4="",$C9="",$D9="",N($E9)=0),"",$E9*MAX(0,MIN($D9+1,EDATE(AT$4,1))-MAX($C9,AT$4))/MAX(1,$D9+1-$C9))</f>
        <v/>
      </c>
      <c r="AU9" s="64" t="str">
        <f aca="false">IF(OR(AU$4="",$C9="",$D9="",N($E9)=0),"",$E9*MAX(0,MIN($D9+1,EDATE(AU$4,1))-MAX($C9,AU$4))/MAX(1,$D9+1-$C9))</f>
        <v/>
      </c>
      <c r="AV9" s="64" t="str">
        <f aca="false">IF(OR(AV$4="",$C9="",$D9="",N($E9)=0),"",$E9*MAX(0,MIN($D9+1,EDATE(AV$4,1))-MAX($C9,AV$4))/MAX(1,$D9+1-$C9))</f>
        <v/>
      </c>
      <c r="AW9" s="64" t="str">
        <f aca="false">IF(OR(AW$4="",$C9="",$D9="",N($E9)=0),"",$E9*MAX(0,MIN($D9+1,EDATE(AW$4,1))-MAX($C9,AW$4))/MAX(1,$D9+1-$C9))</f>
        <v/>
      </c>
      <c r="AX9" s="64" t="str">
        <f aca="false">IF(OR(AX$4="",$C9="",$D9="",N($E9)=0),"",$E9*MAX(0,MIN($D9+1,EDATE(AX$4,1))-MAX($C9,AX$4))/MAX(1,$D9+1-$C9))</f>
        <v/>
      </c>
      <c r="AY9" s="64" t="str">
        <f aca="false">IF(OR(AY$4="",$C9="",$D9="",N($E9)=0),"",$E9*MAX(0,MIN($D9+1,EDATE(AY$4,1))-MAX($C9,AY$4))/MAX(1,$D9+1-$C9))</f>
        <v/>
      </c>
      <c r="AZ9" s="64" t="str">
        <f aca="false">IF(OR(AZ$4="",$C9="",$D9="",N($E9)=0),"",$E9*MAX(0,MIN($D9+1,EDATE(AZ$4,1))-MAX($C9,AZ$4))/MAX(1,$D9+1-$C9))</f>
        <v/>
      </c>
      <c r="BA9" s="64" t="str">
        <f aca="false">IF(OR(BA$4="",$C9="",$D9="",N($E9)=0),"",$E9*MAX(0,MIN($D9+1,EDATE(BA$4,1))-MAX($C9,BA$4))/MAX(1,$D9+1-$C9))</f>
        <v/>
      </c>
      <c r="BB9" s="64" t="str">
        <f aca="false">IF(OR(BB$4="",$C9="",$D9="",N($E9)=0),"",$E9*MAX(0,MIN($D9+1,EDATE(BB$4,1))-MAX($C9,BB$4))/MAX(1,$D9+1-$C9))</f>
        <v/>
      </c>
      <c r="BC9" s="64" t="str">
        <f aca="false">IF(OR(BC$4="",$C9="",$D9="",N($E9)=0),"",$E9*MAX(0,MIN($D9+1,EDATE(BC$4,1))-MAX($C9,BC$4))/MAX(1,$D9+1-$C9))</f>
        <v/>
      </c>
      <c r="BD9" s="64" t="str">
        <f aca="false">IF(OR(BD$4="",$C9="",$D9="",N($E9)=0),"",$E9*MAX(0,MIN($D9+1,EDATE(BD$4,1))-MAX($C9,BD$4))/MAX(1,$D9+1-$C9))</f>
        <v/>
      </c>
      <c r="BE9" s="64" t="str">
        <f aca="false">IF(OR(BE$4="",$C9="",$D9="",N($E9)=0),"",$E9*MAX(0,MIN($D9+1,EDATE(BE$4,1))-MAX($C9,BE$4))/MAX(1,$D9+1-$C9))</f>
        <v/>
      </c>
      <c r="BF9" s="64" t="str">
        <f aca="false">IF(OR(BF$4="",$C9="",$D9="",N($E9)=0),"",$E9*MAX(0,MIN($D9+1,EDATE(BF$4,1))-MAX($C9,BF$4))/MAX(1,$D9+1-$C9))</f>
        <v/>
      </c>
      <c r="BG9" s="64" t="str">
        <f aca="false">IF(OR(BG$4="",$C9="",$D9="",N($E9)=0),"",$E9*MAX(0,MIN($D9+1,EDATE(BG$4,1))-MAX($C9,BG$4))/MAX(1,$D9+1-$C9))</f>
        <v/>
      </c>
      <c r="BH9" s="64" t="str">
        <f aca="false">IF(OR(BH$4="",$C9="",$D9="",N($E9)=0),"",$E9*MAX(0,MIN($D9+1,EDATE(BH$4,1))-MAX($C9,BH$4))/MAX(1,$D9+1-$C9))</f>
        <v/>
      </c>
      <c r="BI9" s="64" t="str">
        <f aca="false">IF(OR(BI$4="",$C9="",$D9="",N($E9)=0),"",$E9*MAX(0,MIN($D9+1,EDATE(BI$4,1))-MAX($C9,BI$4))/MAX(1,$D9+1-$C9))</f>
        <v/>
      </c>
      <c r="BJ9" s="64" t="str">
        <f aca="false">IF(OR(BJ$4="",$C9="",$D9="",N($E9)=0),"",$E9*MAX(0,MIN($D9+1,EDATE(BJ$4,1))-MAX($C9,BJ$4))/MAX(1,$D9+1-$C9))</f>
        <v/>
      </c>
      <c r="BK9" s="64" t="str">
        <f aca="false">IF(OR(BK$4="",$C9="",$D9="",N($E9)=0),"",$E9*MAX(0,MIN($D9+1,EDATE(BK$4,1))-MAX($C9,BK$4))/MAX(1,$D9+1-$C9))</f>
        <v/>
      </c>
      <c r="BL9" s="64" t="str">
        <f aca="false">IF(OR(BL$4="",$C9="",$D9="",N($E9)=0),"",$E9*MAX(0,MIN($D9+1,EDATE(BL$4,1))-MAX($C9,BL$4))/MAX(1,$D9+1-$C9))</f>
        <v/>
      </c>
      <c r="BM9" s="64" t="str">
        <f aca="false">IF(OR(BM$4="",$C9="",$D9="",N($E9)=0),"",$E9*MAX(0,MIN($D9+1,EDATE(BM$4,1))-MAX($C9,BM$4))/MAX(1,$D9+1-$C9))</f>
        <v/>
      </c>
      <c r="BN9" s="64" t="str">
        <f aca="false">IF(OR(BN$4="",$C9="",$D9="",N($E9)=0),"",$E9*MAX(0,MIN($D9+1,EDATE(BN$4,1))-MAX($C9,BN$4))/MAX(1,$D9+1-$C9))</f>
        <v/>
      </c>
      <c r="BO9" s="64" t="str">
        <f aca="false">IF(OR(BO$4="",$C9="",$D9="",N($E9)=0),"",$E9*MAX(0,MIN($D9+1,EDATE(BO$4,1))-MAX($C9,BO$4))/MAX(1,$D9+1-$C9))</f>
        <v/>
      </c>
      <c r="BP9" s="64" t="str">
        <f aca="false">IF(OR(BP$4="",$C9="",$D9="",N($E9)=0),"",$E9*MAX(0,MIN($D9+1,EDATE(BP$4,1))-MAX($C9,BP$4))/MAX(1,$D9+1-$C9))</f>
        <v/>
      </c>
      <c r="BQ9" s="64" t="str">
        <f aca="false">IF(OR(BQ$4="",$C9="",$D9="",N($E9)=0),"",$E9*MAX(0,MIN($D9+1,EDATE(BQ$4,1))-MAX($C9,BQ$4))/MAX(1,$D9+1-$C9))</f>
        <v/>
      </c>
      <c r="BR9" s="64" t="str">
        <f aca="false">IF(OR(BR$4="",$C9="",$D9="",N($E9)=0),"",$E9*MAX(0,MIN($D9+1,EDATE(BR$4,1))-MAX($C9,BR$4))/MAX(1,$D9+1-$C9))</f>
        <v/>
      </c>
      <c r="BS9" s="64" t="str">
        <f aca="false">IF(OR(BS$4="",$C9="",$D9="",N($E9)=0),"",$E9*MAX(0,MIN($D9+1,EDATE(BS$4,1))-MAX($C9,BS$4))/MAX(1,$D9+1-$C9))</f>
        <v/>
      </c>
      <c r="BT9" s="64" t="str">
        <f aca="false">IF(OR(BT$4="",$C9="",$D9="",N($E9)=0),"",$E9*MAX(0,MIN($D9+1,EDATE(BT$4,1))-MAX($C9,BT$4))/MAX(1,$D9+1-$C9))</f>
        <v/>
      </c>
      <c r="BU9" s="64" t="str">
        <f aca="false">IF(OR(BU$4="",$C9="",$D9="",N($E9)=0),"",$E9*MAX(0,MIN($D9+1,EDATE(BU$4,1))-MAX($C9,BU$4))/MAX(1,$D9+1-$C9))</f>
        <v/>
      </c>
      <c r="BV9" s="64" t="str">
        <f aca="false">IF(OR(BV$4="",$C9="",$D9="",N($E9)=0),"",$E9*MAX(0,MIN($D9+1,EDATE(BV$4,1))-MAX($C9,BV$4))/MAX(1,$D9+1-$C9))</f>
        <v/>
      </c>
      <c r="BW9" s="64" t="str">
        <f aca="false">IF(OR(BW$4="",$C9="",$D9="",N($E9)=0),"",$E9*MAX(0,MIN($D9+1,EDATE(BW$4,1))-MAX($C9,BW$4))/MAX(1,$D9+1-$C9))</f>
        <v/>
      </c>
      <c r="BX9" s="64" t="str">
        <f aca="false">IF(OR(BX$4="",$C9="",$D9="",N($E9)=0),"",$E9*MAX(0,MIN($D9+1,EDATE(BX$4,1))-MAX($C9,BX$4))/MAX(1,$D9+1-$C9))</f>
        <v/>
      </c>
      <c r="BY9" s="64" t="str">
        <f aca="false">IF(OR(BY$4="",$C9="",$D9="",N($E9)=0),"",$E9*MAX(0,MIN($D9+1,EDATE(BY$4,1))-MAX($C9,BY$4))/MAX(1,$D9+1-$C9))</f>
        <v/>
      </c>
    </row>
    <row r="10" customFormat="false" ht="15" hidden="false" customHeight="false" outlineLevel="0" collapsed="false">
      <c r="A10" s="61" t="str">
        <f aca="false">IF(BOE!$A11="","",BOE!$A11)</f>
        <v>106a</v>
      </c>
      <c r="B10" s="61" t="str">
        <f aca="false">IF(BOE!$A11="","",BOE!$C11)</f>
        <v>Hazard Tracking System — establish</v>
      </c>
      <c r="C10" s="62" t="n">
        <f aca="false">IF(BOE!$O11="","",BOE!$O11)</f>
        <v>46391</v>
      </c>
      <c r="D10" s="62" t="n">
        <f aca="false">IF(BOE!$P11="","",BOE!$P11)</f>
        <v>46481</v>
      </c>
      <c r="E10" s="63" t="n">
        <f aca="false">IF(Inputs!$B$7="P90",BOE!$T11,BOE!$R11)</f>
        <v>120</v>
      </c>
      <c r="F10" s="64" t="n">
        <f aca="false">IF(OR(F$4="",$C10="",$D10="",N($E10)=0),"",$E10*MAX(0,MIN($D10+1,EDATE(F$4,1))-MAX($C10,F$4))/MAX(1,$D10+1-$C10))</f>
        <v>40.8791208791209</v>
      </c>
      <c r="G10" s="64" t="n">
        <f aca="false">IF(OR(G$4="",$C10="",$D10="",N($E10)=0),"",$E10*MAX(0,MIN($D10+1,EDATE(G$4,1))-MAX($C10,G$4))/MAX(1,$D10+1-$C10))</f>
        <v>36.9230769230769</v>
      </c>
      <c r="H10" s="64" t="n">
        <f aca="false">IF(OR(H$4="",$C10="",$D10="",N($E10)=0),"",$E10*MAX(0,MIN($D10+1,EDATE(H$4,1))-MAX($C10,H$4))/MAX(1,$D10+1-$C10))</f>
        <v>40.8791208791209</v>
      </c>
      <c r="I10" s="64" t="n">
        <f aca="false">IF(OR(I$4="",$C10="",$D10="",N($E10)=0),"",$E10*MAX(0,MIN($D10+1,EDATE(I$4,1))-MAX($C10,I$4))/MAX(1,$D10+1-$C10))</f>
        <v>1.31868131868132</v>
      </c>
      <c r="J10" s="64" t="n">
        <f aca="false">IF(OR(J$4="",$C10="",$D10="",N($E10)=0),"",$E10*MAX(0,MIN($D10+1,EDATE(J$4,1))-MAX($C10,J$4))/MAX(1,$D10+1-$C10))</f>
        <v>0</v>
      </c>
      <c r="K10" s="64" t="n">
        <f aca="false">IF(OR(K$4="",$C10="",$D10="",N($E10)=0),"",$E10*MAX(0,MIN($D10+1,EDATE(K$4,1))-MAX($C10,K$4))/MAX(1,$D10+1-$C10))</f>
        <v>0</v>
      </c>
      <c r="L10" s="64" t="n">
        <f aca="false">IF(OR(L$4="",$C10="",$D10="",N($E10)=0),"",$E10*MAX(0,MIN($D10+1,EDATE(L$4,1))-MAX($C10,L$4))/MAX(1,$D10+1-$C10))</f>
        <v>0</v>
      </c>
      <c r="M10" s="64" t="n">
        <f aca="false">IF(OR(M$4="",$C10="",$D10="",N($E10)=0),"",$E10*MAX(0,MIN($D10+1,EDATE(M$4,1))-MAX($C10,M$4))/MAX(1,$D10+1-$C10))</f>
        <v>0</v>
      </c>
      <c r="N10" s="64" t="n">
        <f aca="false">IF(OR(N$4="",$C10="",$D10="",N($E10)=0),"",$E10*MAX(0,MIN($D10+1,EDATE(N$4,1))-MAX($C10,N$4))/MAX(1,$D10+1-$C10))</f>
        <v>0</v>
      </c>
      <c r="O10" s="64" t="n">
        <f aca="false">IF(OR(O$4="",$C10="",$D10="",N($E10)=0),"",$E10*MAX(0,MIN($D10+1,EDATE(O$4,1))-MAX($C10,O$4))/MAX(1,$D10+1-$C10))</f>
        <v>0</v>
      </c>
      <c r="P10" s="64" t="n">
        <f aca="false">IF(OR(P$4="",$C10="",$D10="",N($E10)=0),"",$E10*MAX(0,MIN($D10+1,EDATE(P$4,1))-MAX($C10,P$4))/MAX(1,$D10+1-$C10))</f>
        <v>0</v>
      </c>
      <c r="Q10" s="64" t="n">
        <f aca="false">IF(OR(Q$4="",$C10="",$D10="",N($E10)=0),"",$E10*MAX(0,MIN($D10+1,EDATE(Q$4,1))-MAX($C10,Q$4))/MAX(1,$D10+1-$C10))</f>
        <v>0</v>
      </c>
      <c r="R10" s="64" t="n">
        <f aca="false">IF(OR(R$4="",$C10="",$D10="",N($E10)=0),"",$E10*MAX(0,MIN($D10+1,EDATE(R$4,1))-MAX($C10,R$4))/MAX(1,$D10+1-$C10))</f>
        <v>0</v>
      </c>
      <c r="S10" s="64" t="n">
        <f aca="false">IF(OR(S$4="",$C10="",$D10="",N($E10)=0),"",$E10*MAX(0,MIN($D10+1,EDATE(S$4,1))-MAX($C10,S$4))/MAX(1,$D10+1-$C10))</f>
        <v>0</v>
      </c>
      <c r="T10" s="64" t="n">
        <f aca="false">IF(OR(T$4="",$C10="",$D10="",N($E10)=0),"",$E10*MAX(0,MIN($D10+1,EDATE(T$4,1))-MAX($C10,T$4))/MAX(1,$D10+1-$C10))</f>
        <v>0</v>
      </c>
      <c r="U10" s="64" t="n">
        <f aca="false">IF(OR(U$4="",$C10="",$D10="",N($E10)=0),"",$E10*MAX(0,MIN($D10+1,EDATE(U$4,1))-MAX($C10,U$4))/MAX(1,$D10+1-$C10))</f>
        <v>0</v>
      </c>
      <c r="V10" s="64" t="n">
        <f aca="false">IF(OR(V$4="",$C10="",$D10="",N($E10)=0),"",$E10*MAX(0,MIN($D10+1,EDATE(V$4,1))-MAX($C10,V$4))/MAX(1,$D10+1-$C10))</f>
        <v>0</v>
      </c>
      <c r="W10" s="64" t="n">
        <f aca="false">IF(OR(W$4="",$C10="",$D10="",N($E10)=0),"",$E10*MAX(0,MIN($D10+1,EDATE(W$4,1))-MAX($C10,W$4))/MAX(1,$D10+1-$C10))</f>
        <v>0</v>
      </c>
      <c r="X10" s="64" t="n">
        <f aca="false">IF(OR(X$4="",$C10="",$D10="",N($E10)=0),"",$E10*MAX(0,MIN($D10+1,EDATE(X$4,1))-MAX($C10,X$4))/MAX(1,$D10+1-$C10))</f>
        <v>0</v>
      </c>
      <c r="Y10" s="64" t="n">
        <f aca="false">IF(OR(Y$4="",$C10="",$D10="",N($E10)=0),"",$E10*MAX(0,MIN($D10+1,EDATE(Y$4,1))-MAX($C10,Y$4))/MAX(1,$D10+1-$C10))</f>
        <v>0</v>
      </c>
      <c r="Z10" s="64" t="n">
        <f aca="false">IF(OR(Z$4="",$C10="",$D10="",N($E10)=0),"",$E10*MAX(0,MIN($D10+1,EDATE(Z$4,1))-MAX($C10,Z$4))/MAX(1,$D10+1-$C10))</f>
        <v>0</v>
      </c>
      <c r="AA10" s="64" t="n">
        <f aca="false">IF(OR(AA$4="",$C10="",$D10="",N($E10)=0),"",$E10*MAX(0,MIN($D10+1,EDATE(AA$4,1))-MAX($C10,AA$4))/MAX(1,$D10+1-$C10))</f>
        <v>0</v>
      </c>
      <c r="AB10" s="64" t="n">
        <f aca="false">IF(OR(AB$4="",$C10="",$D10="",N($E10)=0),"",$E10*MAX(0,MIN($D10+1,EDATE(AB$4,1))-MAX($C10,AB$4))/MAX(1,$D10+1-$C10))</f>
        <v>0</v>
      </c>
      <c r="AC10" s="64" t="n">
        <f aca="false">IF(OR(AC$4="",$C10="",$D10="",N($E10)=0),"",$E10*MAX(0,MIN($D10+1,EDATE(AC$4,1))-MAX($C10,AC$4))/MAX(1,$D10+1-$C10))</f>
        <v>0</v>
      </c>
      <c r="AD10" s="64" t="n">
        <f aca="false">IF(OR(AD$4="",$C10="",$D10="",N($E10)=0),"",$E10*MAX(0,MIN($D10+1,EDATE(AD$4,1))-MAX($C10,AD$4))/MAX(1,$D10+1-$C10))</f>
        <v>0</v>
      </c>
      <c r="AE10" s="64" t="n">
        <f aca="false">IF(OR(AE$4="",$C10="",$D10="",N($E10)=0),"",$E10*MAX(0,MIN($D10+1,EDATE(AE$4,1))-MAX($C10,AE$4))/MAX(1,$D10+1-$C10))</f>
        <v>0</v>
      </c>
      <c r="AF10" s="64" t="n">
        <f aca="false">IF(OR(AF$4="",$C10="",$D10="",N($E10)=0),"",$E10*MAX(0,MIN($D10+1,EDATE(AF$4,1))-MAX($C10,AF$4))/MAX(1,$D10+1-$C10))</f>
        <v>0</v>
      </c>
      <c r="AG10" s="64" t="n">
        <f aca="false">IF(OR(AG$4="",$C10="",$D10="",N($E10)=0),"",$E10*MAX(0,MIN($D10+1,EDATE(AG$4,1))-MAX($C10,AG$4))/MAX(1,$D10+1-$C10))</f>
        <v>0</v>
      </c>
      <c r="AH10" s="64" t="n">
        <f aca="false">IF(OR(AH$4="",$C10="",$D10="",N($E10)=0),"",$E10*MAX(0,MIN($D10+1,EDATE(AH$4,1))-MAX($C10,AH$4))/MAX(1,$D10+1-$C10))</f>
        <v>0</v>
      </c>
      <c r="AI10" s="64" t="n">
        <f aca="false">IF(OR(AI$4="",$C10="",$D10="",N($E10)=0),"",$E10*MAX(0,MIN($D10+1,EDATE(AI$4,1))-MAX($C10,AI$4))/MAX(1,$D10+1-$C10))</f>
        <v>0</v>
      </c>
      <c r="AJ10" s="64" t="n">
        <f aca="false">IF(OR(AJ$4="",$C10="",$D10="",N($E10)=0),"",$E10*MAX(0,MIN($D10+1,EDATE(AJ$4,1))-MAX($C10,AJ$4))/MAX(1,$D10+1-$C10))</f>
        <v>0</v>
      </c>
      <c r="AK10" s="64" t="n">
        <f aca="false">IF(OR(AK$4="",$C10="",$D10="",N($E10)=0),"",$E10*MAX(0,MIN($D10+1,EDATE(AK$4,1))-MAX($C10,AK$4))/MAX(1,$D10+1-$C10))</f>
        <v>0</v>
      </c>
      <c r="AL10" s="64" t="n">
        <f aca="false">IF(OR(AL$4="",$C10="",$D10="",N($E10)=0),"",$E10*MAX(0,MIN($D10+1,EDATE(AL$4,1))-MAX($C10,AL$4))/MAX(1,$D10+1-$C10))</f>
        <v>0</v>
      </c>
      <c r="AM10" s="64" t="n">
        <f aca="false">IF(OR(AM$4="",$C10="",$D10="",N($E10)=0),"",$E10*MAX(0,MIN($D10+1,EDATE(AM$4,1))-MAX($C10,AM$4))/MAX(1,$D10+1-$C10))</f>
        <v>0</v>
      </c>
      <c r="AN10" s="64" t="n">
        <f aca="false">IF(OR(AN$4="",$C10="",$D10="",N($E10)=0),"",$E10*MAX(0,MIN($D10+1,EDATE(AN$4,1))-MAX($C10,AN$4))/MAX(1,$D10+1-$C10))</f>
        <v>0</v>
      </c>
      <c r="AO10" s="64" t="n">
        <f aca="false">IF(OR(AO$4="",$C10="",$D10="",N($E10)=0),"",$E10*MAX(0,MIN($D10+1,EDATE(AO$4,1))-MAX($C10,AO$4))/MAX(1,$D10+1-$C10))</f>
        <v>0</v>
      </c>
      <c r="AP10" s="64" t="str">
        <f aca="false">IF(OR(AP$4="",$C10="",$D10="",N($E10)=0),"",$E10*MAX(0,MIN($D10+1,EDATE(AP$4,1))-MAX($C10,AP$4))/MAX(1,$D10+1-$C10))</f>
        <v/>
      </c>
      <c r="AQ10" s="64" t="str">
        <f aca="false">IF(OR(AQ$4="",$C10="",$D10="",N($E10)=0),"",$E10*MAX(0,MIN($D10+1,EDATE(AQ$4,1))-MAX($C10,AQ$4))/MAX(1,$D10+1-$C10))</f>
        <v/>
      </c>
      <c r="AR10" s="64" t="str">
        <f aca="false">IF(OR(AR$4="",$C10="",$D10="",N($E10)=0),"",$E10*MAX(0,MIN($D10+1,EDATE(AR$4,1))-MAX($C10,AR$4))/MAX(1,$D10+1-$C10))</f>
        <v/>
      </c>
      <c r="AS10" s="64" t="str">
        <f aca="false">IF(OR(AS$4="",$C10="",$D10="",N($E10)=0),"",$E10*MAX(0,MIN($D10+1,EDATE(AS$4,1))-MAX($C10,AS$4))/MAX(1,$D10+1-$C10))</f>
        <v/>
      </c>
      <c r="AT10" s="64" t="str">
        <f aca="false">IF(OR(AT$4="",$C10="",$D10="",N($E10)=0),"",$E10*MAX(0,MIN($D10+1,EDATE(AT$4,1))-MAX($C10,AT$4))/MAX(1,$D10+1-$C10))</f>
        <v/>
      </c>
      <c r="AU10" s="64" t="str">
        <f aca="false">IF(OR(AU$4="",$C10="",$D10="",N($E10)=0),"",$E10*MAX(0,MIN($D10+1,EDATE(AU$4,1))-MAX($C10,AU$4))/MAX(1,$D10+1-$C10))</f>
        <v/>
      </c>
      <c r="AV10" s="64" t="str">
        <f aca="false">IF(OR(AV$4="",$C10="",$D10="",N($E10)=0),"",$E10*MAX(0,MIN($D10+1,EDATE(AV$4,1))-MAX($C10,AV$4))/MAX(1,$D10+1-$C10))</f>
        <v/>
      </c>
      <c r="AW10" s="64" t="str">
        <f aca="false">IF(OR(AW$4="",$C10="",$D10="",N($E10)=0),"",$E10*MAX(0,MIN($D10+1,EDATE(AW$4,1))-MAX($C10,AW$4))/MAX(1,$D10+1-$C10))</f>
        <v/>
      </c>
      <c r="AX10" s="64" t="str">
        <f aca="false">IF(OR(AX$4="",$C10="",$D10="",N($E10)=0),"",$E10*MAX(0,MIN($D10+1,EDATE(AX$4,1))-MAX($C10,AX$4))/MAX(1,$D10+1-$C10))</f>
        <v/>
      </c>
      <c r="AY10" s="64" t="str">
        <f aca="false">IF(OR(AY$4="",$C10="",$D10="",N($E10)=0),"",$E10*MAX(0,MIN($D10+1,EDATE(AY$4,1))-MAX($C10,AY$4))/MAX(1,$D10+1-$C10))</f>
        <v/>
      </c>
      <c r="AZ10" s="64" t="str">
        <f aca="false">IF(OR(AZ$4="",$C10="",$D10="",N($E10)=0),"",$E10*MAX(0,MIN($D10+1,EDATE(AZ$4,1))-MAX($C10,AZ$4))/MAX(1,$D10+1-$C10))</f>
        <v/>
      </c>
      <c r="BA10" s="64" t="str">
        <f aca="false">IF(OR(BA$4="",$C10="",$D10="",N($E10)=0),"",$E10*MAX(0,MIN($D10+1,EDATE(BA$4,1))-MAX($C10,BA$4))/MAX(1,$D10+1-$C10))</f>
        <v/>
      </c>
      <c r="BB10" s="64" t="str">
        <f aca="false">IF(OR(BB$4="",$C10="",$D10="",N($E10)=0),"",$E10*MAX(0,MIN($D10+1,EDATE(BB$4,1))-MAX($C10,BB$4))/MAX(1,$D10+1-$C10))</f>
        <v/>
      </c>
      <c r="BC10" s="64" t="str">
        <f aca="false">IF(OR(BC$4="",$C10="",$D10="",N($E10)=0),"",$E10*MAX(0,MIN($D10+1,EDATE(BC$4,1))-MAX($C10,BC$4))/MAX(1,$D10+1-$C10))</f>
        <v/>
      </c>
      <c r="BD10" s="64" t="str">
        <f aca="false">IF(OR(BD$4="",$C10="",$D10="",N($E10)=0),"",$E10*MAX(0,MIN($D10+1,EDATE(BD$4,1))-MAX($C10,BD$4))/MAX(1,$D10+1-$C10))</f>
        <v/>
      </c>
      <c r="BE10" s="64" t="str">
        <f aca="false">IF(OR(BE$4="",$C10="",$D10="",N($E10)=0),"",$E10*MAX(0,MIN($D10+1,EDATE(BE$4,1))-MAX($C10,BE$4))/MAX(1,$D10+1-$C10))</f>
        <v/>
      </c>
      <c r="BF10" s="64" t="str">
        <f aca="false">IF(OR(BF$4="",$C10="",$D10="",N($E10)=0),"",$E10*MAX(0,MIN($D10+1,EDATE(BF$4,1))-MAX($C10,BF$4))/MAX(1,$D10+1-$C10))</f>
        <v/>
      </c>
      <c r="BG10" s="64" t="str">
        <f aca="false">IF(OR(BG$4="",$C10="",$D10="",N($E10)=0),"",$E10*MAX(0,MIN($D10+1,EDATE(BG$4,1))-MAX($C10,BG$4))/MAX(1,$D10+1-$C10))</f>
        <v/>
      </c>
      <c r="BH10" s="64" t="str">
        <f aca="false">IF(OR(BH$4="",$C10="",$D10="",N($E10)=0),"",$E10*MAX(0,MIN($D10+1,EDATE(BH$4,1))-MAX($C10,BH$4))/MAX(1,$D10+1-$C10))</f>
        <v/>
      </c>
      <c r="BI10" s="64" t="str">
        <f aca="false">IF(OR(BI$4="",$C10="",$D10="",N($E10)=0),"",$E10*MAX(0,MIN($D10+1,EDATE(BI$4,1))-MAX($C10,BI$4))/MAX(1,$D10+1-$C10))</f>
        <v/>
      </c>
      <c r="BJ10" s="64" t="str">
        <f aca="false">IF(OR(BJ$4="",$C10="",$D10="",N($E10)=0),"",$E10*MAX(0,MIN($D10+1,EDATE(BJ$4,1))-MAX($C10,BJ$4))/MAX(1,$D10+1-$C10))</f>
        <v/>
      </c>
      <c r="BK10" s="64" t="str">
        <f aca="false">IF(OR(BK$4="",$C10="",$D10="",N($E10)=0),"",$E10*MAX(0,MIN($D10+1,EDATE(BK$4,1))-MAX($C10,BK$4))/MAX(1,$D10+1-$C10))</f>
        <v/>
      </c>
      <c r="BL10" s="64" t="str">
        <f aca="false">IF(OR(BL$4="",$C10="",$D10="",N($E10)=0),"",$E10*MAX(0,MIN($D10+1,EDATE(BL$4,1))-MAX($C10,BL$4))/MAX(1,$D10+1-$C10))</f>
        <v/>
      </c>
      <c r="BM10" s="64" t="str">
        <f aca="false">IF(OR(BM$4="",$C10="",$D10="",N($E10)=0),"",$E10*MAX(0,MIN($D10+1,EDATE(BM$4,1))-MAX($C10,BM$4))/MAX(1,$D10+1-$C10))</f>
        <v/>
      </c>
      <c r="BN10" s="64" t="str">
        <f aca="false">IF(OR(BN$4="",$C10="",$D10="",N($E10)=0),"",$E10*MAX(0,MIN($D10+1,EDATE(BN$4,1))-MAX($C10,BN$4))/MAX(1,$D10+1-$C10))</f>
        <v/>
      </c>
      <c r="BO10" s="64" t="str">
        <f aca="false">IF(OR(BO$4="",$C10="",$D10="",N($E10)=0),"",$E10*MAX(0,MIN($D10+1,EDATE(BO$4,1))-MAX($C10,BO$4))/MAX(1,$D10+1-$C10))</f>
        <v/>
      </c>
      <c r="BP10" s="64" t="str">
        <f aca="false">IF(OR(BP$4="",$C10="",$D10="",N($E10)=0),"",$E10*MAX(0,MIN($D10+1,EDATE(BP$4,1))-MAX($C10,BP$4))/MAX(1,$D10+1-$C10))</f>
        <v/>
      </c>
      <c r="BQ10" s="64" t="str">
        <f aca="false">IF(OR(BQ$4="",$C10="",$D10="",N($E10)=0),"",$E10*MAX(0,MIN($D10+1,EDATE(BQ$4,1))-MAX($C10,BQ$4))/MAX(1,$D10+1-$C10))</f>
        <v/>
      </c>
      <c r="BR10" s="64" t="str">
        <f aca="false">IF(OR(BR$4="",$C10="",$D10="",N($E10)=0),"",$E10*MAX(0,MIN($D10+1,EDATE(BR$4,1))-MAX($C10,BR$4))/MAX(1,$D10+1-$C10))</f>
        <v/>
      </c>
      <c r="BS10" s="64" t="str">
        <f aca="false">IF(OR(BS$4="",$C10="",$D10="",N($E10)=0),"",$E10*MAX(0,MIN($D10+1,EDATE(BS$4,1))-MAX($C10,BS$4))/MAX(1,$D10+1-$C10))</f>
        <v/>
      </c>
      <c r="BT10" s="64" t="str">
        <f aca="false">IF(OR(BT$4="",$C10="",$D10="",N($E10)=0),"",$E10*MAX(0,MIN($D10+1,EDATE(BT$4,1))-MAX($C10,BT$4))/MAX(1,$D10+1-$C10))</f>
        <v/>
      </c>
      <c r="BU10" s="64" t="str">
        <f aca="false">IF(OR(BU$4="",$C10="",$D10="",N($E10)=0),"",$E10*MAX(0,MIN($D10+1,EDATE(BU$4,1))-MAX($C10,BU$4))/MAX(1,$D10+1-$C10))</f>
        <v/>
      </c>
      <c r="BV10" s="64" t="str">
        <f aca="false">IF(OR(BV$4="",$C10="",$D10="",N($E10)=0),"",$E10*MAX(0,MIN($D10+1,EDATE(BV$4,1))-MAX($C10,BV$4))/MAX(1,$D10+1-$C10))</f>
        <v/>
      </c>
      <c r="BW10" s="64" t="str">
        <f aca="false">IF(OR(BW$4="",$C10="",$D10="",N($E10)=0),"",$E10*MAX(0,MIN($D10+1,EDATE(BW$4,1))-MAX($C10,BW$4))/MAX(1,$D10+1-$C10))</f>
        <v/>
      </c>
      <c r="BX10" s="64" t="str">
        <f aca="false">IF(OR(BX$4="",$C10="",$D10="",N($E10)=0),"",$E10*MAX(0,MIN($D10+1,EDATE(BX$4,1))-MAX($C10,BX$4))/MAX(1,$D10+1-$C10))</f>
        <v/>
      </c>
      <c r="BY10" s="64" t="str">
        <f aca="false">IF(OR(BY$4="",$C10="",$D10="",N($E10)=0),"",$E10*MAX(0,MIN($D10+1,EDATE(BY$4,1))-MAX($C10,BY$4))/MAX(1,$D10+1-$C10))</f>
        <v/>
      </c>
    </row>
    <row r="11" customFormat="false" ht="15" hidden="false" customHeight="false" outlineLevel="0" collapsed="false">
      <c r="A11" s="61" t="str">
        <f aca="false">IF(BOE!$A12="","",BOE!$A12)</f>
        <v>106b</v>
      </c>
      <c r="B11" s="61" t="str">
        <f aca="false">IF(BOE!$A12="","",BOE!$C12)</f>
        <v>Hazard Tracking System — maintain</v>
      </c>
      <c r="C11" s="62" t="n">
        <f aca="false">IF(BOE!$O12="","",BOE!$O12)</f>
        <v>46481</v>
      </c>
      <c r="D11" s="62" t="n">
        <f aca="false">IF(BOE!$P12="","",BOE!$P12)</f>
        <v>47483</v>
      </c>
      <c r="E11" s="63" t="n">
        <f aca="false">IF(Inputs!$B$7="P90",BOE!$T12,BOE!$R12)</f>
        <v>263.359342915811</v>
      </c>
      <c r="F11" s="64" t="n">
        <f aca="false">IF(OR(F$4="",$C11="",$D11="",N($E11)=0),"",$E11*MAX(0,MIN($D11+1,EDATE(F$4,1))-MAX($C11,F$4))/MAX(1,$D11+1-$C11))</f>
        <v>0</v>
      </c>
      <c r="G11" s="64" t="n">
        <f aca="false">IF(OR(G$4="",$C11="",$D11="",N($E11)=0),"",$E11*MAX(0,MIN($D11+1,EDATE(G$4,1))-MAX($C11,G$4))/MAX(1,$D11+1-$C11))</f>
        <v>0</v>
      </c>
      <c r="H11" s="64" t="n">
        <f aca="false">IF(OR(H$4="",$C11="",$D11="",N($E11)=0),"",$E11*MAX(0,MIN($D11+1,EDATE(H$4,1))-MAX($C11,H$4))/MAX(1,$D11+1-$C11))</f>
        <v>0</v>
      </c>
      <c r="I11" s="64" t="n">
        <f aca="false">IF(OR(I$4="",$C11="",$D11="",N($E11)=0),"",$E11*MAX(0,MIN($D11+1,EDATE(I$4,1))-MAX($C11,I$4))/MAX(1,$D11+1-$C11))</f>
        <v>7.87714884095148</v>
      </c>
      <c r="J11" s="64" t="n">
        <f aca="false">IF(OR(J$4="",$C11="",$D11="",N($E11)=0),"",$E11*MAX(0,MIN($D11+1,EDATE(J$4,1))-MAX($C11,J$4))/MAX(1,$D11+1-$C11))</f>
        <v>8.1397204689832</v>
      </c>
      <c r="K11" s="64" t="n">
        <f aca="false">IF(OR(K$4="",$C11="",$D11="",N($E11)=0),"",$E11*MAX(0,MIN($D11+1,EDATE(K$4,1))-MAX($C11,K$4))/MAX(1,$D11+1-$C11))</f>
        <v>7.87714884095148</v>
      </c>
      <c r="L11" s="64" t="n">
        <f aca="false">IF(OR(L$4="",$C11="",$D11="",N($E11)=0),"",$E11*MAX(0,MIN($D11+1,EDATE(L$4,1))-MAX($C11,L$4))/MAX(1,$D11+1-$C11))</f>
        <v>8.1397204689832</v>
      </c>
      <c r="M11" s="64" t="n">
        <f aca="false">IF(OR(M$4="",$C11="",$D11="",N($E11)=0),"",$E11*MAX(0,MIN($D11+1,EDATE(M$4,1))-MAX($C11,M$4))/MAX(1,$D11+1-$C11))</f>
        <v>8.1397204689832</v>
      </c>
      <c r="N11" s="64" t="n">
        <f aca="false">IF(OR(N$4="",$C11="",$D11="",N($E11)=0),"",$E11*MAX(0,MIN($D11+1,EDATE(N$4,1))-MAX($C11,N$4))/MAX(1,$D11+1-$C11))</f>
        <v>7.87714884095148</v>
      </c>
      <c r="O11" s="64" t="n">
        <f aca="false">IF(OR(O$4="",$C11="",$D11="",N($E11)=0),"",$E11*MAX(0,MIN($D11+1,EDATE(O$4,1))-MAX($C11,O$4))/MAX(1,$D11+1-$C11))</f>
        <v>8.1397204689832</v>
      </c>
      <c r="P11" s="64" t="n">
        <f aca="false">IF(OR(P$4="",$C11="",$D11="",N($E11)=0),"",$E11*MAX(0,MIN($D11+1,EDATE(P$4,1))-MAX($C11,P$4))/MAX(1,$D11+1-$C11))</f>
        <v>7.87714884095148</v>
      </c>
      <c r="Q11" s="64" t="n">
        <f aca="false">IF(OR(Q$4="",$C11="",$D11="",N($E11)=0),"",$E11*MAX(0,MIN($D11+1,EDATE(Q$4,1))-MAX($C11,Q$4))/MAX(1,$D11+1-$C11))</f>
        <v>8.1397204689832</v>
      </c>
      <c r="R11" s="64" t="n">
        <f aca="false">IF(OR(R$4="",$C11="",$D11="",N($E11)=0),"",$E11*MAX(0,MIN($D11+1,EDATE(R$4,1))-MAX($C11,R$4))/MAX(1,$D11+1-$C11))</f>
        <v>8.1397204689832</v>
      </c>
      <c r="S11" s="64" t="n">
        <f aca="false">IF(OR(S$4="",$C11="",$D11="",N($E11)=0),"",$E11*MAX(0,MIN($D11+1,EDATE(S$4,1))-MAX($C11,S$4))/MAX(1,$D11+1-$C11))</f>
        <v>7.61457721291976</v>
      </c>
      <c r="T11" s="64" t="n">
        <f aca="false">IF(OR(T$4="",$C11="",$D11="",N($E11)=0),"",$E11*MAX(0,MIN($D11+1,EDATE(T$4,1))-MAX($C11,T$4))/MAX(1,$D11+1-$C11))</f>
        <v>8.1397204689832</v>
      </c>
      <c r="U11" s="64" t="n">
        <f aca="false">IF(OR(U$4="",$C11="",$D11="",N($E11)=0),"",$E11*MAX(0,MIN($D11+1,EDATE(U$4,1))-MAX($C11,U$4))/MAX(1,$D11+1-$C11))</f>
        <v>7.87714884095148</v>
      </c>
      <c r="V11" s="64" t="n">
        <f aca="false">IF(OR(V$4="",$C11="",$D11="",N($E11)=0),"",$E11*MAX(0,MIN($D11+1,EDATE(V$4,1))-MAX($C11,V$4))/MAX(1,$D11+1-$C11))</f>
        <v>8.1397204689832</v>
      </c>
      <c r="W11" s="64" t="n">
        <f aca="false">IF(OR(W$4="",$C11="",$D11="",N($E11)=0),"",$E11*MAX(0,MIN($D11+1,EDATE(W$4,1))-MAX($C11,W$4))/MAX(1,$D11+1-$C11))</f>
        <v>7.87714884095148</v>
      </c>
      <c r="X11" s="64" t="n">
        <f aca="false">IF(OR(X$4="",$C11="",$D11="",N($E11)=0),"",$E11*MAX(0,MIN($D11+1,EDATE(X$4,1))-MAX($C11,X$4))/MAX(1,$D11+1-$C11))</f>
        <v>8.1397204689832</v>
      </c>
      <c r="Y11" s="64" t="n">
        <f aca="false">IF(OR(Y$4="",$C11="",$D11="",N($E11)=0),"",$E11*MAX(0,MIN($D11+1,EDATE(Y$4,1))-MAX($C11,Y$4))/MAX(1,$D11+1-$C11))</f>
        <v>8.1397204689832</v>
      </c>
      <c r="Z11" s="64" t="n">
        <f aca="false">IF(OR(Z$4="",$C11="",$D11="",N($E11)=0),"",$E11*MAX(0,MIN($D11+1,EDATE(Z$4,1))-MAX($C11,Z$4))/MAX(1,$D11+1-$C11))</f>
        <v>7.87714884095148</v>
      </c>
      <c r="AA11" s="64" t="n">
        <f aca="false">IF(OR(AA$4="",$C11="",$D11="",N($E11)=0),"",$E11*MAX(0,MIN($D11+1,EDATE(AA$4,1))-MAX($C11,AA$4))/MAX(1,$D11+1-$C11))</f>
        <v>8.1397204689832</v>
      </c>
      <c r="AB11" s="64" t="n">
        <f aca="false">IF(OR(AB$4="",$C11="",$D11="",N($E11)=0),"",$E11*MAX(0,MIN($D11+1,EDATE(AB$4,1))-MAX($C11,AB$4))/MAX(1,$D11+1-$C11))</f>
        <v>7.87714884095148</v>
      </c>
      <c r="AC11" s="64" t="n">
        <f aca="false">IF(OR(AC$4="",$C11="",$D11="",N($E11)=0),"",$E11*MAX(0,MIN($D11+1,EDATE(AC$4,1))-MAX($C11,AC$4))/MAX(1,$D11+1-$C11))</f>
        <v>8.1397204689832</v>
      </c>
      <c r="AD11" s="64" t="n">
        <f aca="false">IF(OR(AD$4="",$C11="",$D11="",N($E11)=0),"",$E11*MAX(0,MIN($D11+1,EDATE(AD$4,1))-MAX($C11,AD$4))/MAX(1,$D11+1-$C11))</f>
        <v>8.1397204689832</v>
      </c>
      <c r="AE11" s="64" t="n">
        <f aca="false">IF(OR(AE$4="",$C11="",$D11="",N($E11)=0),"",$E11*MAX(0,MIN($D11+1,EDATE(AE$4,1))-MAX($C11,AE$4))/MAX(1,$D11+1-$C11))</f>
        <v>7.35200558488805</v>
      </c>
      <c r="AF11" s="64" t="n">
        <f aca="false">IF(OR(AF$4="",$C11="",$D11="",N($E11)=0),"",$E11*MAX(0,MIN($D11+1,EDATE(AF$4,1))-MAX($C11,AF$4))/MAX(1,$D11+1-$C11))</f>
        <v>8.1397204689832</v>
      </c>
      <c r="AG11" s="64" t="n">
        <f aca="false">IF(OR(AG$4="",$C11="",$D11="",N($E11)=0),"",$E11*MAX(0,MIN($D11+1,EDATE(AG$4,1))-MAX($C11,AG$4))/MAX(1,$D11+1-$C11))</f>
        <v>7.87714884095148</v>
      </c>
      <c r="AH11" s="64" t="n">
        <f aca="false">IF(OR(AH$4="",$C11="",$D11="",N($E11)=0),"",$E11*MAX(0,MIN($D11+1,EDATE(AH$4,1))-MAX($C11,AH$4))/MAX(1,$D11+1-$C11))</f>
        <v>8.1397204689832</v>
      </c>
      <c r="AI11" s="64" t="n">
        <f aca="false">IF(OR(AI$4="",$C11="",$D11="",N($E11)=0),"",$E11*MAX(0,MIN($D11+1,EDATE(AI$4,1))-MAX($C11,AI$4))/MAX(1,$D11+1-$C11))</f>
        <v>7.87714884095148</v>
      </c>
      <c r="AJ11" s="64" t="n">
        <f aca="false">IF(OR(AJ$4="",$C11="",$D11="",N($E11)=0),"",$E11*MAX(0,MIN($D11+1,EDATE(AJ$4,1))-MAX($C11,AJ$4))/MAX(1,$D11+1-$C11))</f>
        <v>8.1397204689832</v>
      </c>
      <c r="AK11" s="64" t="n">
        <f aca="false">IF(OR(AK$4="",$C11="",$D11="",N($E11)=0),"",$E11*MAX(0,MIN($D11+1,EDATE(AK$4,1))-MAX($C11,AK$4))/MAX(1,$D11+1-$C11))</f>
        <v>8.1397204689832</v>
      </c>
      <c r="AL11" s="64" t="n">
        <f aca="false">IF(OR(AL$4="",$C11="",$D11="",N($E11)=0),"",$E11*MAX(0,MIN($D11+1,EDATE(AL$4,1))-MAX($C11,AL$4))/MAX(1,$D11+1-$C11))</f>
        <v>7.87714884095148</v>
      </c>
      <c r="AM11" s="64" t="n">
        <f aca="false">IF(OR(AM$4="",$C11="",$D11="",N($E11)=0),"",$E11*MAX(0,MIN($D11+1,EDATE(AM$4,1))-MAX($C11,AM$4))/MAX(1,$D11+1-$C11))</f>
        <v>8.1397204689832</v>
      </c>
      <c r="AN11" s="64" t="n">
        <f aca="false">IF(OR(AN$4="",$C11="",$D11="",N($E11)=0),"",$E11*MAX(0,MIN($D11+1,EDATE(AN$4,1))-MAX($C11,AN$4))/MAX(1,$D11+1-$C11))</f>
        <v>7.87714884095148</v>
      </c>
      <c r="AO11" s="64" t="n">
        <f aca="false">IF(OR(AO$4="",$C11="",$D11="",N($E11)=0),"",$E11*MAX(0,MIN($D11+1,EDATE(AO$4,1))-MAX($C11,AO$4))/MAX(1,$D11+1-$C11))</f>
        <v>7.35200558488805</v>
      </c>
      <c r="AP11" s="64" t="str">
        <f aca="false">IF(OR(AP$4="",$C11="",$D11="",N($E11)=0),"",$E11*MAX(0,MIN($D11+1,EDATE(AP$4,1))-MAX($C11,AP$4))/MAX(1,$D11+1-$C11))</f>
        <v/>
      </c>
      <c r="AQ11" s="64" t="str">
        <f aca="false">IF(OR(AQ$4="",$C11="",$D11="",N($E11)=0),"",$E11*MAX(0,MIN($D11+1,EDATE(AQ$4,1))-MAX($C11,AQ$4))/MAX(1,$D11+1-$C11))</f>
        <v/>
      </c>
      <c r="AR11" s="64" t="str">
        <f aca="false">IF(OR(AR$4="",$C11="",$D11="",N($E11)=0),"",$E11*MAX(0,MIN($D11+1,EDATE(AR$4,1))-MAX($C11,AR$4))/MAX(1,$D11+1-$C11))</f>
        <v/>
      </c>
      <c r="AS11" s="64" t="str">
        <f aca="false">IF(OR(AS$4="",$C11="",$D11="",N($E11)=0),"",$E11*MAX(0,MIN($D11+1,EDATE(AS$4,1))-MAX($C11,AS$4))/MAX(1,$D11+1-$C11))</f>
        <v/>
      </c>
      <c r="AT11" s="64" t="str">
        <f aca="false">IF(OR(AT$4="",$C11="",$D11="",N($E11)=0),"",$E11*MAX(0,MIN($D11+1,EDATE(AT$4,1))-MAX($C11,AT$4))/MAX(1,$D11+1-$C11))</f>
        <v/>
      </c>
      <c r="AU11" s="64" t="str">
        <f aca="false">IF(OR(AU$4="",$C11="",$D11="",N($E11)=0),"",$E11*MAX(0,MIN($D11+1,EDATE(AU$4,1))-MAX($C11,AU$4))/MAX(1,$D11+1-$C11))</f>
        <v/>
      </c>
      <c r="AV11" s="64" t="str">
        <f aca="false">IF(OR(AV$4="",$C11="",$D11="",N($E11)=0),"",$E11*MAX(0,MIN($D11+1,EDATE(AV$4,1))-MAX($C11,AV$4))/MAX(1,$D11+1-$C11))</f>
        <v/>
      </c>
      <c r="AW11" s="64" t="str">
        <f aca="false">IF(OR(AW$4="",$C11="",$D11="",N($E11)=0),"",$E11*MAX(0,MIN($D11+1,EDATE(AW$4,1))-MAX($C11,AW$4))/MAX(1,$D11+1-$C11))</f>
        <v/>
      </c>
      <c r="AX11" s="64" t="str">
        <f aca="false">IF(OR(AX$4="",$C11="",$D11="",N($E11)=0),"",$E11*MAX(0,MIN($D11+1,EDATE(AX$4,1))-MAX($C11,AX$4))/MAX(1,$D11+1-$C11))</f>
        <v/>
      </c>
      <c r="AY11" s="64" t="str">
        <f aca="false">IF(OR(AY$4="",$C11="",$D11="",N($E11)=0),"",$E11*MAX(0,MIN($D11+1,EDATE(AY$4,1))-MAX($C11,AY$4))/MAX(1,$D11+1-$C11))</f>
        <v/>
      </c>
      <c r="AZ11" s="64" t="str">
        <f aca="false">IF(OR(AZ$4="",$C11="",$D11="",N($E11)=0),"",$E11*MAX(0,MIN($D11+1,EDATE(AZ$4,1))-MAX($C11,AZ$4))/MAX(1,$D11+1-$C11))</f>
        <v/>
      </c>
      <c r="BA11" s="64" t="str">
        <f aca="false">IF(OR(BA$4="",$C11="",$D11="",N($E11)=0),"",$E11*MAX(0,MIN($D11+1,EDATE(BA$4,1))-MAX($C11,BA$4))/MAX(1,$D11+1-$C11))</f>
        <v/>
      </c>
      <c r="BB11" s="64" t="str">
        <f aca="false">IF(OR(BB$4="",$C11="",$D11="",N($E11)=0),"",$E11*MAX(0,MIN($D11+1,EDATE(BB$4,1))-MAX($C11,BB$4))/MAX(1,$D11+1-$C11))</f>
        <v/>
      </c>
      <c r="BC11" s="64" t="str">
        <f aca="false">IF(OR(BC$4="",$C11="",$D11="",N($E11)=0),"",$E11*MAX(0,MIN($D11+1,EDATE(BC$4,1))-MAX($C11,BC$4))/MAX(1,$D11+1-$C11))</f>
        <v/>
      </c>
      <c r="BD11" s="64" t="str">
        <f aca="false">IF(OR(BD$4="",$C11="",$D11="",N($E11)=0),"",$E11*MAX(0,MIN($D11+1,EDATE(BD$4,1))-MAX($C11,BD$4))/MAX(1,$D11+1-$C11))</f>
        <v/>
      </c>
      <c r="BE11" s="64" t="str">
        <f aca="false">IF(OR(BE$4="",$C11="",$D11="",N($E11)=0),"",$E11*MAX(0,MIN($D11+1,EDATE(BE$4,1))-MAX($C11,BE$4))/MAX(1,$D11+1-$C11))</f>
        <v/>
      </c>
      <c r="BF11" s="64" t="str">
        <f aca="false">IF(OR(BF$4="",$C11="",$D11="",N($E11)=0),"",$E11*MAX(0,MIN($D11+1,EDATE(BF$4,1))-MAX($C11,BF$4))/MAX(1,$D11+1-$C11))</f>
        <v/>
      </c>
      <c r="BG11" s="64" t="str">
        <f aca="false">IF(OR(BG$4="",$C11="",$D11="",N($E11)=0),"",$E11*MAX(0,MIN($D11+1,EDATE(BG$4,1))-MAX($C11,BG$4))/MAX(1,$D11+1-$C11))</f>
        <v/>
      </c>
      <c r="BH11" s="64" t="str">
        <f aca="false">IF(OR(BH$4="",$C11="",$D11="",N($E11)=0),"",$E11*MAX(0,MIN($D11+1,EDATE(BH$4,1))-MAX($C11,BH$4))/MAX(1,$D11+1-$C11))</f>
        <v/>
      </c>
      <c r="BI11" s="64" t="str">
        <f aca="false">IF(OR(BI$4="",$C11="",$D11="",N($E11)=0),"",$E11*MAX(0,MIN($D11+1,EDATE(BI$4,1))-MAX($C11,BI$4))/MAX(1,$D11+1-$C11))</f>
        <v/>
      </c>
      <c r="BJ11" s="64" t="str">
        <f aca="false">IF(OR(BJ$4="",$C11="",$D11="",N($E11)=0),"",$E11*MAX(0,MIN($D11+1,EDATE(BJ$4,1))-MAX($C11,BJ$4))/MAX(1,$D11+1-$C11))</f>
        <v/>
      </c>
      <c r="BK11" s="64" t="str">
        <f aca="false">IF(OR(BK$4="",$C11="",$D11="",N($E11)=0),"",$E11*MAX(0,MIN($D11+1,EDATE(BK$4,1))-MAX($C11,BK$4))/MAX(1,$D11+1-$C11))</f>
        <v/>
      </c>
      <c r="BL11" s="64" t="str">
        <f aca="false">IF(OR(BL$4="",$C11="",$D11="",N($E11)=0),"",$E11*MAX(0,MIN($D11+1,EDATE(BL$4,1))-MAX($C11,BL$4))/MAX(1,$D11+1-$C11))</f>
        <v/>
      </c>
      <c r="BM11" s="64" t="str">
        <f aca="false">IF(OR(BM$4="",$C11="",$D11="",N($E11)=0),"",$E11*MAX(0,MIN($D11+1,EDATE(BM$4,1))-MAX($C11,BM$4))/MAX(1,$D11+1-$C11))</f>
        <v/>
      </c>
      <c r="BN11" s="64" t="str">
        <f aca="false">IF(OR(BN$4="",$C11="",$D11="",N($E11)=0),"",$E11*MAX(0,MIN($D11+1,EDATE(BN$4,1))-MAX($C11,BN$4))/MAX(1,$D11+1-$C11))</f>
        <v/>
      </c>
      <c r="BO11" s="64" t="str">
        <f aca="false">IF(OR(BO$4="",$C11="",$D11="",N($E11)=0),"",$E11*MAX(0,MIN($D11+1,EDATE(BO$4,1))-MAX($C11,BO$4))/MAX(1,$D11+1-$C11))</f>
        <v/>
      </c>
      <c r="BP11" s="64" t="str">
        <f aca="false">IF(OR(BP$4="",$C11="",$D11="",N($E11)=0),"",$E11*MAX(0,MIN($D11+1,EDATE(BP$4,1))-MAX($C11,BP$4))/MAX(1,$D11+1-$C11))</f>
        <v/>
      </c>
      <c r="BQ11" s="64" t="str">
        <f aca="false">IF(OR(BQ$4="",$C11="",$D11="",N($E11)=0),"",$E11*MAX(0,MIN($D11+1,EDATE(BQ$4,1))-MAX($C11,BQ$4))/MAX(1,$D11+1-$C11))</f>
        <v/>
      </c>
      <c r="BR11" s="64" t="str">
        <f aca="false">IF(OR(BR$4="",$C11="",$D11="",N($E11)=0),"",$E11*MAX(0,MIN($D11+1,EDATE(BR$4,1))-MAX($C11,BR$4))/MAX(1,$D11+1-$C11))</f>
        <v/>
      </c>
      <c r="BS11" s="64" t="str">
        <f aca="false">IF(OR(BS$4="",$C11="",$D11="",N($E11)=0),"",$E11*MAX(0,MIN($D11+1,EDATE(BS$4,1))-MAX($C11,BS$4))/MAX(1,$D11+1-$C11))</f>
        <v/>
      </c>
      <c r="BT11" s="64" t="str">
        <f aca="false">IF(OR(BT$4="",$C11="",$D11="",N($E11)=0),"",$E11*MAX(0,MIN($D11+1,EDATE(BT$4,1))-MAX($C11,BT$4))/MAX(1,$D11+1-$C11))</f>
        <v/>
      </c>
      <c r="BU11" s="64" t="str">
        <f aca="false">IF(OR(BU$4="",$C11="",$D11="",N($E11)=0),"",$E11*MAX(0,MIN($D11+1,EDATE(BU$4,1))-MAX($C11,BU$4))/MAX(1,$D11+1-$C11))</f>
        <v/>
      </c>
      <c r="BV11" s="64" t="str">
        <f aca="false">IF(OR(BV$4="",$C11="",$D11="",N($E11)=0),"",$E11*MAX(0,MIN($D11+1,EDATE(BV$4,1))-MAX($C11,BV$4))/MAX(1,$D11+1-$C11))</f>
        <v/>
      </c>
      <c r="BW11" s="64" t="str">
        <f aca="false">IF(OR(BW$4="",$C11="",$D11="",N($E11)=0),"",$E11*MAX(0,MIN($D11+1,EDATE(BW$4,1))-MAX($C11,BW$4))/MAX(1,$D11+1-$C11))</f>
        <v/>
      </c>
      <c r="BX11" s="64" t="str">
        <f aca="false">IF(OR(BX$4="",$C11="",$D11="",N($E11)=0),"",$E11*MAX(0,MIN($D11+1,EDATE(BX$4,1))-MAX($C11,BX$4))/MAX(1,$D11+1-$C11))</f>
        <v/>
      </c>
      <c r="BY11" s="64" t="str">
        <f aca="false">IF(OR(BY$4="",$C11="",$D11="",N($E11)=0),"",$E11*MAX(0,MIN($D11+1,EDATE(BY$4,1))-MAX($C11,BY$4))/MAX(1,$D11+1-$C11))</f>
        <v/>
      </c>
    </row>
    <row r="12" customFormat="false" ht="15" hidden="false" customHeight="false" outlineLevel="0" collapsed="false">
      <c r="A12" s="61" t="str">
        <f aca="false">IF(BOE!$A13="","",BOE!$A13)</f>
        <v>107</v>
      </c>
      <c r="B12" s="61" t="str">
        <f aca="false">IF(BOE!$A13="","",BOE!$C13)</f>
        <v>Hazard Management Progress Report</v>
      </c>
      <c r="C12" s="62" t="n">
        <f aca="false">IF(BOE!$O13="","",BOE!$O13)</f>
        <v>46391</v>
      </c>
      <c r="D12" s="62" t="n">
        <f aca="false">IF(BOE!$P13="","",BOE!$P13)</f>
        <v>47483</v>
      </c>
      <c r="E12" s="63" t="n">
        <f aca="false">IF(Inputs!$B$7="P90",BOE!$T13,BOE!$R13)</f>
        <v>143.507186858316</v>
      </c>
      <c r="F12" s="64" t="n">
        <f aca="false">IF(OR(F$4="",$C12="",$D12="",N($E12)=0),"",$E12*MAX(0,MIN($D12+1,EDATE(F$4,1))-MAX($C12,F$4))/MAX(1,$D12+1-$C12))</f>
        <v>4.0701946867409</v>
      </c>
      <c r="G12" s="64" t="n">
        <f aca="false">IF(OR(G$4="",$C12="",$D12="",N($E12)=0),"",$E12*MAX(0,MIN($D12+1,EDATE(G$4,1))-MAX($C12,G$4))/MAX(1,$D12+1-$C12))</f>
        <v>3.67630487834662</v>
      </c>
      <c r="H12" s="64" t="n">
        <f aca="false">IF(OR(H$4="",$C12="",$D12="",N($E12)=0),"",$E12*MAX(0,MIN($D12+1,EDATE(H$4,1))-MAX($C12,H$4))/MAX(1,$D12+1-$C12))</f>
        <v>4.0701946867409</v>
      </c>
      <c r="I12" s="64" t="n">
        <f aca="false">IF(OR(I$4="",$C12="",$D12="",N($E12)=0),"",$E12*MAX(0,MIN($D12+1,EDATE(I$4,1))-MAX($C12,I$4))/MAX(1,$D12+1-$C12))</f>
        <v>3.93889808394281</v>
      </c>
      <c r="J12" s="64" t="n">
        <f aca="false">IF(OR(J$4="",$C12="",$D12="",N($E12)=0),"",$E12*MAX(0,MIN($D12+1,EDATE(J$4,1))-MAX($C12,J$4))/MAX(1,$D12+1-$C12))</f>
        <v>4.0701946867409</v>
      </c>
      <c r="K12" s="64" t="n">
        <f aca="false">IF(OR(K$4="",$C12="",$D12="",N($E12)=0),"",$E12*MAX(0,MIN($D12+1,EDATE(K$4,1))-MAX($C12,K$4))/MAX(1,$D12+1-$C12))</f>
        <v>3.93889808394281</v>
      </c>
      <c r="L12" s="64" t="n">
        <f aca="false">IF(OR(L$4="",$C12="",$D12="",N($E12)=0),"",$E12*MAX(0,MIN($D12+1,EDATE(L$4,1))-MAX($C12,L$4))/MAX(1,$D12+1-$C12))</f>
        <v>4.0701946867409</v>
      </c>
      <c r="M12" s="64" t="n">
        <f aca="false">IF(OR(M$4="",$C12="",$D12="",N($E12)=0),"",$E12*MAX(0,MIN($D12+1,EDATE(M$4,1))-MAX($C12,M$4))/MAX(1,$D12+1-$C12))</f>
        <v>4.0701946867409</v>
      </c>
      <c r="N12" s="64" t="n">
        <f aca="false">IF(OR(N$4="",$C12="",$D12="",N($E12)=0),"",$E12*MAX(0,MIN($D12+1,EDATE(N$4,1))-MAX($C12,N$4))/MAX(1,$D12+1-$C12))</f>
        <v>3.93889808394281</v>
      </c>
      <c r="O12" s="64" t="n">
        <f aca="false">IF(OR(O$4="",$C12="",$D12="",N($E12)=0),"",$E12*MAX(0,MIN($D12+1,EDATE(O$4,1))-MAX($C12,O$4))/MAX(1,$D12+1-$C12))</f>
        <v>4.0701946867409</v>
      </c>
      <c r="P12" s="64" t="n">
        <f aca="false">IF(OR(P$4="",$C12="",$D12="",N($E12)=0),"",$E12*MAX(0,MIN($D12+1,EDATE(P$4,1))-MAX($C12,P$4))/MAX(1,$D12+1-$C12))</f>
        <v>3.93889808394281</v>
      </c>
      <c r="Q12" s="64" t="n">
        <f aca="false">IF(OR(Q$4="",$C12="",$D12="",N($E12)=0),"",$E12*MAX(0,MIN($D12+1,EDATE(Q$4,1))-MAX($C12,Q$4))/MAX(1,$D12+1-$C12))</f>
        <v>4.0701946867409</v>
      </c>
      <c r="R12" s="64" t="n">
        <f aca="false">IF(OR(R$4="",$C12="",$D12="",N($E12)=0),"",$E12*MAX(0,MIN($D12+1,EDATE(R$4,1))-MAX($C12,R$4))/MAX(1,$D12+1-$C12))</f>
        <v>4.0701946867409</v>
      </c>
      <c r="S12" s="64" t="n">
        <f aca="false">IF(OR(S$4="",$C12="",$D12="",N($E12)=0),"",$E12*MAX(0,MIN($D12+1,EDATE(S$4,1))-MAX($C12,S$4))/MAX(1,$D12+1-$C12))</f>
        <v>3.80760148114471</v>
      </c>
      <c r="T12" s="64" t="n">
        <f aca="false">IF(OR(T$4="",$C12="",$D12="",N($E12)=0),"",$E12*MAX(0,MIN($D12+1,EDATE(T$4,1))-MAX($C12,T$4))/MAX(1,$D12+1-$C12))</f>
        <v>4.0701946867409</v>
      </c>
      <c r="U12" s="64" t="n">
        <f aca="false">IF(OR(U$4="",$C12="",$D12="",N($E12)=0),"",$E12*MAX(0,MIN($D12+1,EDATE(U$4,1))-MAX($C12,U$4))/MAX(1,$D12+1-$C12))</f>
        <v>3.93889808394281</v>
      </c>
      <c r="V12" s="64" t="n">
        <f aca="false">IF(OR(V$4="",$C12="",$D12="",N($E12)=0),"",$E12*MAX(0,MIN($D12+1,EDATE(V$4,1))-MAX($C12,V$4))/MAX(1,$D12+1-$C12))</f>
        <v>4.0701946867409</v>
      </c>
      <c r="W12" s="64" t="n">
        <f aca="false">IF(OR(W$4="",$C12="",$D12="",N($E12)=0),"",$E12*MAX(0,MIN($D12+1,EDATE(W$4,1))-MAX($C12,W$4))/MAX(1,$D12+1-$C12))</f>
        <v>3.93889808394281</v>
      </c>
      <c r="X12" s="64" t="n">
        <f aca="false">IF(OR(X$4="",$C12="",$D12="",N($E12)=0),"",$E12*MAX(0,MIN($D12+1,EDATE(X$4,1))-MAX($C12,X$4))/MAX(1,$D12+1-$C12))</f>
        <v>4.0701946867409</v>
      </c>
      <c r="Y12" s="64" t="n">
        <f aca="false">IF(OR(Y$4="",$C12="",$D12="",N($E12)=0),"",$E12*MAX(0,MIN($D12+1,EDATE(Y$4,1))-MAX($C12,Y$4))/MAX(1,$D12+1-$C12))</f>
        <v>4.0701946867409</v>
      </c>
      <c r="Z12" s="64" t="n">
        <f aca="false">IF(OR(Z$4="",$C12="",$D12="",N($E12)=0),"",$E12*MAX(0,MIN($D12+1,EDATE(Z$4,1))-MAX($C12,Z$4))/MAX(1,$D12+1-$C12))</f>
        <v>3.93889808394281</v>
      </c>
      <c r="AA12" s="64" t="n">
        <f aca="false">IF(OR(AA$4="",$C12="",$D12="",N($E12)=0),"",$E12*MAX(0,MIN($D12+1,EDATE(AA$4,1))-MAX($C12,AA$4))/MAX(1,$D12+1-$C12))</f>
        <v>4.0701946867409</v>
      </c>
      <c r="AB12" s="64" t="n">
        <f aca="false">IF(OR(AB$4="",$C12="",$D12="",N($E12)=0),"",$E12*MAX(0,MIN($D12+1,EDATE(AB$4,1))-MAX($C12,AB$4))/MAX(1,$D12+1-$C12))</f>
        <v>3.93889808394281</v>
      </c>
      <c r="AC12" s="64" t="n">
        <f aca="false">IF(OR(AC$4="",$C12="",$D12="",N($E12)=0),"",$E12*MAX(0,MIN($D12+1,EDATE(AC$4,1))-MAX($C12,AC$4))/MAX(1,$D12+1-$C12))</f>
        <v>4.0701946867409</v>
      </c>
      <c r="AD12" s="64" t="n">
        <f aca="false">IF(OR(AD$4="",$C12="",$D12="",N($E12)=0),"",$E12*MAX(0,MIN($D12+1,EDATE(AD$4,1))-MAX($C12,AD$4))/MAX(1,$D12+1-$C12))</f>
        <v>4.0701946867409</v>
      </c>
      <c r="AE12" s="64" t="n">
        <f aca="false">IF(OR(AE$4="",$C12="",$D12="",N($E12)=0),"",$E12*MAX(0,MIN($D12+1,EDATE(AE$4,1))-MAX($C12,AE$4))/MAX(1,$D12+1-$C12))</f>
        <v>3.67630487834662</v>
      </c>
      <c r="AF12" s="64" t="n">
        <f aca="false">IF(OR(AF$4="",$C12="",$D12="",N($E12)=0),"",$E12*MAX(0,MIN($D12+1,EDATE(AF$4,1))-MAX($C12,AF$4))/MAX(1,$D12+1-$C12))</f>
        <v>4.0701946867409</v>
      </c>
      <c r="AG12" s="64" t="n">
        <f aca="false">IF(OR(AG$4="",$C12="",$D12="",N($E12)=0),"",$E12*MAX(0,MIN($D12+1,EDATE(AG$4,1))-MAX($C12,AG$4))/MAX(1,$D12+1-$C12))</f>
        <v>3.93889808394281</v>
      </c>
      <c r="AH12" s="64" t="n">
        <f aca="false">IF(OR(AH$4="",$C12="",$D12="",N($E12)=0),"",$E12*MAX(0,MIN($D12+1,EDATE(AH$4,1))-MAX($C12,AH$4))/MAX(1,$D12+1-$C12))</f>
        <v>4.0701946867409</v>
      </c>
      <c r="AI12" s="64" t="n">
        <f aca="false">IF(OR(AI$4="",$C12="",$D12="",N($E12)=0),"",$E12*MAX(0,MIN($D12+1,EDATE(AI$4,1))-MAX($C12,AI$4))/MAX(1,$D12+1-$C12))</f>
        <v>3.93889808394281</v>
      </c>
      <c r="AJ12" s="64" t="n">
        <f aca="false">IF(OR(AJ$4="",$C12="",$D12="",N($E12)=0),"",$E12*MAX(0,MIN($D12+1,EDATE(AJ$4,1))-MAX($C12,AJ$4))/MAX(1,$D12+1-$C12))</f>
        <v>4.0701946867409</v>
      </c>
      <c r="AK12" s="64" t="n">
        <f aca="false">IF(OR(AK$4="",$C12="",$D12="",N($E12)=0),"",$E12*MAX(0,MIN($D12+1,EDATE(AK$4,1))-MAX($C12,AK$4))/MAX(1,$D12+1-$C12))</f>
        <v>4.0701946867409</v>
      </c>
      <c r="AL12" s="64" t="n">
        <f aca="false">IF(OR(AL$4="",$C12="",$D12="",N($E12)=0),"",$E12*MAX(0,MIN($D12+1,EDATE(AL$4,1))-MAX($C12,AL$4))/MAX(1,$D12+1-$C12))</f>
        <v>3.93889808394281</v>
      </c>
      <c r="AM12" s="64" t="n">
        <f aca="false">IF(OR(AM$4="",$C12="",$D12="",N($E12)=0),"",$E12*MAX(0,MIN($D12+1,EDATE(AM$4,1))-MAX($C12,AM$4))/MAX(1,$D12+1-$C12))</f>
        <v>4.0701946867409</v>
      </c>
      <c r="AN12" s="64" t="n">
        <f aca="false">IF(OR(AN$4="",$C12="",$D12="",N($E12)=0),"",$E12*MAX(0,MIN($D12+1,EDATE(AN$4,1))-MAX($C12,AN$4))/MAX(1,$D12+1-$C12))</f>
        <v>3.93889808394281</v>
      </c>
      <c r="AO12" s="64" t="n">
        <f aca="false">IF(OR(AO$4="",$C12="",$D12="",N($E12)=0),"",$E12*MAX(0,MIN($D12+1,EDATE(AO$4,1))-MAX($C12,AO$4))/MAX(1,$D12+1-$C12))</f>
        <v>3.67630487834662</v>
      </c>
      <c r="AP12" s="64" t="str">
        <f aca="false">IF(OR(AP$4="",$C12="",$D12="",N($E12)=0),"",$E12*MAX(0,MIN($D12+1,EDATE(AP$4,1))-MAX($C12,AP$4))/MAX(1,$D12+1-$C12))</f>
        <v/>
      </c>
      <c r="AQ12" s="64" t="str">
        <f aca="false">IF(OR(AQ$4="",$C12="",$D12="",N($E12)=0),"",$E12*MAX(0,MIN($D12+1,EDATE(AQ$4,1))-MAX($C12,AQ$4))/MAX(1,$D12+1-$C12))</f>
        <v/>
      </c>
      <c r="AR12" s="64" t="str">
        <f aca="false">IF(OR(AR$4="",$C12="",$D12="",N($E12)=0),"",$E12*MAX(0,MIN($D12+1,EDATE(AR$4,1))-MAX($C12,AR$4))/MAX(1,$D12+1-$C12))</f>
        <v/>
      </c>
      <c r="AS12" s="64" t="str">
        <f aca="false">IF(OR(AS$4="",$C12="",$D12="",N($E12)=0),"",$E12*MAX(0,MIN($D12+1,EDATE(AS$4,1))-MAX($C12,AS$4))/MAX(1,$D12+1-$C12))</f>
        <v/>
      </c>
      <c r="AT12" s="64" t="str">
        <f aca="false">IF(OR(AT$4="",$C12="",$D12="",N($E12)=0),"",$E12*MAX(0,MIN($D12+1,EDATE(AT$4,1))-MAX($C12,AT$4))/MAX(1,$D12+1-$C12))</f>
        <v/>
      </c>
      <c r="AU12" s="64" t="str">
        <f aca="false">IF(OR(AU$4="",$C12="",$D12="",N($E12)=0),"",$E12*MAX(0,MIN($D12+1,EDATE(AU$4,1))-MAX($C12,AU$4))/MAX(1,$D12+1-$C12))</f>
        <v/>
      </c>
      <c r="AV12" s="64" t="str">
        <f aca="false">IF(OR(AV$4="",$C12="",$D12="",N($E12)=0),"",$E12*MAX(0,MIN($D12+1,EDATE(AV$4,1))-MAX($C12,AV$4))/MAX(1,$D12+1-$C12))</f>
        <v/>
      </c>
      <c r="AW12" s="64" t="str">
        <f aca="false">IF(OR(AW$4="",$C12="",$D12="",N($E12)=0),"",$E12*MAX(0,MIN($D12+1,EDATE(AW$4,1))-MAX($C12,AW$4))/MAX(1,$D12+1-$C12))</f>
        <v/>
      </c>
      <c r="AX12" s="64" t="str">
        <f aca="false">IF(OR(AX$4="",$C12="",$D12="",N($E12)=0),"",$E12*MAX(0,MIN($D12+1,EDATE(AX$4,1))-MAX($C12,AX$4))/MAX(1,$D12+1-$C12))</f>
        <v/>
      </c>
      <c r="AY12" s="64" t="str">
        <f aca="false">IF(OR(AY$4="",$C12="",$D12="",N($E12)=0),"",$E12*MAX(0,MIN($D12+1,EDATE(AY$4,1))-MAX($C12,AY$4))/MAX(1,$D12+1-$C12))</f>
        <v/>
      </c>
      <c r="AZ12" s="64" t="str">
        <f aca="false">IF(OR(AZ$4="",$C12="",$D12="",N($E12)=0),"",$E12*MAX(0,MIN($D12+1,EDATE(AZ$4,1))-MAX($C12,AZ$4))/MAX(1,$D12+1-$C12))</f>
        <v/>
      </c>
      <c r="BA12" s="64" t="str">
        <f aca="false">IF(OR(BA$4="",$C12="",$D12="",N($E12)=0),"",$E12*MAX(0,MIN($D12+1,EDATE(BA$4,1))-MAX($C12,BA$4))/MAX(1,$D12+1-$C12))</f>
        <v/>
      </c>
      <c r="BB12" s="64" t="str">
        <f aca="false">IF(OR(BB$4="",$C12="",$D12="",N($E12)=0),"",$E12*MAX(0,MIN($D12+1,EDATE(BB$4,1))-MAX($C12,BB$4))/MAX(1,$D12+1-$C12))</f>
        <v/>
      </c>
      <c r="BC12" s="64" t="str">
        <f aca="false">IF(OR(BC$4="",$C12="",$D12="",N($E12)=0),"",$E12*MAX(0,MIN($D12+1,EDATE(BC$4,1))-MAX($C12,BC$4))/MAX(1,$D12+1-$C12))</f>
        <v/>
      </c>
      <c r="BD12" s="64" t="str">
        <f aca="false">IF(OR(BD$4="",$C12="",$D12="",N($E12)=0),"",$E12*MAX(0,MIN($D12+1,EDATE(BD$4,1))-MAX($C12,BD$4))/MAX(1,$D12+1-$C12))</f>
        <v/>
      </c>
      <c r="BE12" s="64" t="str">
        <f aca="false">IF(OR(BE$4="",$C12="",$D12="",N($E12)=0),"",$E12*MAX(0,MIN($D12+1,EDATE(BE$4,1))-MAX($C12,BE$4))/MAX(1,$D12+1-$C12))</f>
        <v/>
      </c>
      <c r="BF12" s="64" t="str">
        <f aca="false">IF(OR(BF$4="",$C12="",$D12="",N($E12)=0),"",$E12*MAX(0,MIN($D12+1,EDATE(BF$4,1))-MAX($C12,BF$4))/MAX(1,$D12+1-$C12))</f>
        <v/>
      </c>
      <c r="BG12" s="64" t="str">
        <f aca="false">IF(OR(BG$4="",$C12="",$D12="",N($E12)=0),"",$E12*MAX(0,MIN($D12+1,EDATE(BG$4,1))-MAX($C12,BG$4))/MAX(1,$D12+1-$C12))</f>
        <v/>
      </c>
      <c r="BH12" s="64" t="str">
        <f aca="false">IF(OR(BH$4="",$C12="",$D12="",N($E12)=0),"",$E12*MAX(0,MIN($D12+1,EDATE(BH$4,1))-MAX($C12,BH$4))/MAX(1,$D12+1-$C12))</f>
        <v/>
      </c>
      <c r="BI12" s="64" t="str">
        <f aca="false">IF(OR(BI$4="",$C12="",$D12="",N($E12)=0),"",$E12*MAX(0,MIN($D12+1,EDATE(BI$4,1))-MAX($C12,BI$4))/MAX(1,$D12+1-$C12))</f>
        <v/>
      </c>
      <c r="BJ12" s="64" t="str">
        <f aca="false">IF(OR(BJ$4="",$C12="",$D12="",N($E12)=0),"",$E12*MAX(0,MIN($D12+1,EDATE(BJ$4,1))-MAX($C12,BJ$4))/MAX(1,$D12+1-$C12))</f>
        <v/>
      </c>
      <c r="BK12" s="64" t="str">
        <f aca="false">IF(OR(BK$4="",$C12="",$D12="",N($E12)=0),"",$E12*MAX(0,MIN($D12+1,EDATE(BK$4,1))-MAX($C12,BK$4))/MAX(1,$D12+1-$C12))</f>
        <v/>
      </c>
      <c r="BL12" s="64" t="str">
        <f aca="false">IF(OR(BL$4="",$C12="",$D12="",N($E12)=0),"",$E12*MAX(0,MIN($D12+1,EDATE(BL$4,1))-MAX($C12,BL$4))/MAX(1,$D12+1-$C12))</f>
        <v/>
      </c>
      <c r="BM12" s="64" t="str">
        <f aca="false">IF(OR(BM$4="",$C12="",$D12="",N($E12)=0),"",$E12*MAX(0,MIN($D12+1,EDATE(BM$4,1))-MAX($C12,BM$4))/MAX(1,$D12+1-$C12))</f>
        <v/>
      </c>
      <c r="BN12" s="64" t="str">
        <f aca="false">IF(OR(BN$4="",$C12="",$D12="",N($E12)=0),"",$E12*MAX(0,MIN($D12+1,EDATE(BN$4,1))-MAX($C12,BN$4))/MAX(1,$D12+1-$C12))</f>
        <v/>
      </c>
      <c r="BO12" s="64" t="str">
        <f aca="false">IF(OR(BO$4="",$C12="",$D12="",N($E12)=0),"",$E12*MAX(0,MIN($D12+1,EDATE(BO$4,1))-MAX($C12,BO$4))/MAX(1,$D12+1-$C12))</f>
        <v/>
      </c>
      <c r="BP12" s="64" t="str">
        <f aca="false">IF(OR(BP$4="",$C12="",$D12="",N($E12)=0),"",$E12*MAX(0,MIN($D12+1,EDATE(BP$4,1))-MAX($C12,BP$4))/MAX(1,$D12+1-$C12))</f>
        <v/>
      </c>
      <c r="BQ12" s="64" t="str">
        <f aca="false">IF(OR(BQ$4="",$C12="",$D12="",N($E12)=0),"",$E12*MAX(0,MIN($D12+1,EDATE(BQ$4,1))-MAX($C12,BQ$4))/MAX(1,$D12+1-$C12))</f>
        <v/>
      </c>
      <c r="BR12" s="64" t="str">
        <f aca="false">IF(OR(BR$4="",$C12="",$D12="",N($E12)=0),"",$E12*MAX(0,MIN($D12+1,EDATE(BR$4,1))-MAX($C12,BR$4))/MAX(1,$D12+1-$C12))</f>
        <v/>
      </c>
      <c r="BS12" s="64" t="str">
        <f aca="false">IF(OR(BS$4="",$C12="",$D12="",N($E12)=0),"",$E12*MAX(0,MIN($D12+1,EDATE(BS$4,1))-MAX($C12,BS$4))/MAX(1,$D12+1-$C12))</f>
        <v/>
      </c>
      <c r="BT12" s="64" t="str">
        <f aca="false">IF(OR(BT$4="",$C12="",$D12="",N($E12)=0),"",$E12*MAX(0,MIN($D12+1,EDATE(BT$4,1))-MAX($C12,BT$4))/MAX(1,$D12+1-$C12))</f>
        <v/>
      </c>
      <c r="BU12" s="64" t="str">
        <f aca="false">IF(OR(BU$4="",$C12="",$D12="",N($E12)=0),"",$E12*MAX(0,MIN($D12+1,EDATE(BU$4,1))-MAX($C12,BU$4))/MAX(1,$D12+1-$C12))</f>
        <v/>
      </c>
      <c r="BV12" s="64" t="str">
        <f aca="false">IF(OR(BV$4="",$C12="",$D12="",N($E12)=0),"",$E12*MAX(0,MIN($D12+1,EDATE(BV$4,1))-MAX($C12,BV$4))/MAX(1,$D12+1-$C12))</f>
        <v/>
      </c>
      <c r="BW12" s="64" t="str">
        <f aca="false">IF(OR(BW$4="",$C12="",$D12="",N($E12)=0),"",$E12*MAX(0,MIN($D12+1,EDATE(BW$4,1))-MAX($C12,BW$4))/MAX(1,$D12+1-$C12))</f>
        <v/>
      </c>
      <c r="BX12" s="64" t="str">
        <f aca="false">IF(OR(BX$4="",$C12="",$D12="",N($E12)=0),"",$E12*MAX(0,MIN($D12+1,EDATE(BX$4,1))-MAX($C12,BX$4))/MAX(1,$D12+1-$C12))</f>
        <v/>
      </c>
      <c r="BY12" s="64" t="str">
        <f aca="false">IF(OR(BY$4="",$C12="",$D12="",N($E12)=0),"",$E12*MAX(0,MIN($D12+1,EDATE(BY$4,1))-MAX($C12,BY$4))/MAX(1,$D12+1-$C12))</f>
        <v/>
      </c>
    </row>
    <row r="13" customFormat="false" ht="15" hidden="false" customHeight="false" outlineLevel="0" collapsed="false">
      <c r="A13" s="61" t="str">
        <f aca="false">IF(BOE!$A14="","",BOE!$A14)</f>
        <v>108</v>
      </c>
      <c r="B13" s="61" t="str">
        <f aca="false">IF(BOE!$A14="","",BOE!$C14)</f>
        <v>Hazardous Materials Management Plan (HMMP)</v>
      </c>
      <c r="C13" s="62" t="n">
        <f aca="false">IF(BOE!$O14="","",BOE!$O14)</f>
        <v>46391</v>
      </c>
      <c r="D13" s="62" t="n">
        <f aca="false">IF(BOE!$P14="","",BOE!$P14)</f>
        <v>46695</v>
      </c>
      <c r="E13" s="63" t="n">
        <f aca="false">IF(Inputs!$B$7="P90",BOE!$T14,BOE!$R14)</f>
        <v>200</v>
      </c>
      <c r="F13" s="64" t="n">
        <f aca="false">IF(OR(F$4="",$C13="",$D13="",N($E13)=0),"",$E13*MAX(0,MIN($D13+1,EDATE(F$4,1))-MAX($C13,F$4))/MAX(1,$D13+1-$C13))</f>
        <v>20.327868852459</v>
      </c>
      <c r="G13" s="64" t="n">
        <f aca="false">IF(OR(G$4="",$C13="",$D13="",N($E13)=0),"",$E13*MAX(0,MIN($D13+1,EDATE(G$4,1))-MAX($C13,G$4))/MAX(1,$D13+1-$C13))</f>
        <v>18.3606557377049</v>
      </c>
      <c r="H13" s="64" t="n">
        <f aca="false">IF(OR(H$4="",$C13="",$D13="",N($E13)=0),"",$E13*MAX(0,MIN($D13+1,EDATE(H$4,1))-MAX($C13,H$4))/MAX(1,$D13+1-$C13))</f>
        <v>20.327868852459</v>
      </c>
      <c r="I13" s="64" t="n">
        <f aca="false">IF(OR(I$4="",$C13="",$D13="",N($E13)=0),"",$E13*MAX(0,MIN($D13+1,EDATE(I$4,1))-MAX($C13,I$4))/MAX(1,$D13+1-$C13))</f>
        <v>19.672131147541</v>
      </c>
      <c r="J13" s="64" t="n">
        <f aca="false">IF(OR(J$4="",$C13="",$D13="",N($E13)=0),"",$E13*MAX(0,MIN($D13+1,EDATE(J$4,1))-MAX($C13,J$4))/MAX(1,$D13+1-$C13))</f>
        <v>20.327868852459</v>
      </c>
      <c r="K13" s="64" t="n">
        <f aca="false">IF(OR(K$4="",$C13="",$D13="",N($E13)=0),"",$E13*MAX(0,MIN($D13+1,EDATE(K$4,1))-MAX($C13,K$4))/MAX(1,$D13+1-$C13))</f>
        <v>19.672131147541</v>
      </c>
      <c r="L13" s="64" t="n">
        <f aca="false">IF(OR(L$4="",$C13="",$D13="",N($E13)=0),"",$E13*MAX(0,MIN($D13+1,EDATE(L$4,1))-MAX($C13,L$4))/MAX(1,$D13+1-$C13))</f>
        <v>20.327868852459</v>
      </c>
      <c r="M13" s="64" t="n">
        <f aca="false">IF(OR(M$4="",$C13="",$D13="",N($E13)=0),"",$E13*MAX(0,MIN($D13+1,EDATE(M$4,1))-MAX($C13,M$4))/MAX(1,$D13+1-$C13))</f>
        <v>20.327868852459</v>
      </c>
      <c r="N13" s="64" t="n">
        <f aca="false">IF(OR(N$4="",$C13="",$D13="",N($E13)=0),"",$E13*MAX(0,MIN($D13+1,EDATE(N$4,1))-MAX($C13,N$4))/MAX(1,$D13+1-$C13))</f>
        <v>19.672131147541</v>
      </c>
      <c r="O13" s="64" t="n">
        <f aca="false">IF(OR(O$4="",$C13="",$D13="",N($E13)=0),"",$E13*MAX(0,MIN($D13+1,EDATE(O$4,1))-MAX($C13,O$4))/MAX(1,$D13+1-$C13))</f>
        <v>20.327868852459</v>
      </c>
      <c r="P13" s="64" t="n">
        <f aca="false">IF(OR(P$4="",$C13="",$D13="",N($E13)=0),"",$E13*MAX(0,MIN($D13+1,EDATE(P$4,1))-MAX($C13,P$4))/MAX(1,$D13+1-$C13))</f>
        <v>0.655737704918033</v>
      </c>
      <c r="Q13" s="64" t="n">
        <f aca="false">IF(OR(Q$4="",$C13="",$D13="",N($E13)=0),"",$E13*MAX(0,MIN($D13+1,EDATE(Q$4,1))-MAX($C13,Q$4))/MAX(1,$D13+1-$C13))</f>
        <v>0</v>
      </c>
      <c r="R13" s="64" t="n">
        <f aca="false">IF(OR(R$4="",$C13="",$D13="",N($E13)=0),"",$E13*MAX(0,MIN($D13+1,EDATE(R$4,1))-MAX($C13,R$4))/MAX(1,$D13+1-$C13))</f>
        <v>0</v>
      </c>
      <c r="S13" s="64" t="n">
        <f aca="false">IF(OR(S$4="",$C13="",$D13="",N($E13)=0),"",$E13*MAX(0,MIN($D13+1,EDATE(S$4,1))-MAX($C13,S$4))/MAX(1,$D13+1-$C13))</f>
        <v>0</v>
      </c>
      <c r="T13" s="64" t="n">
        <f aca="false">IF(OR(T$4="",$C13="",$D13="",N($E13)=0),"",$E13*MAX(0,MIN($D13+1,EDATE(T$4,1))-MAX($C13,T$4))/MAX(1,$D13+1-$C13))</f>
        <v>0</v>
      </c>
      <c r="U13" s="64" t="n">
        <f aca="false">IF(OR(U$4="",$C13="",$D13="",N($E13)=0),"",$E13*MAX(0,MIN($D13+1,EDATE(U$4,1))-MAX($C13,U$4))/MAX(1,$D13+1-$C13))</f>
        <v>0</v>
      </c>
      <c r="V13" s="64" t="n">
        <f aca="false">IF(OR(V$4="",$C13="",$D13="",N($E13)=0),"",$E13*MAX(0,MIN($D13+1,EDATE(V$4,1))-MAX($C13,V$4))/MAX(1,$D13+1-$C13))</f>
        <v>0</v>
      </c>
      <c r="W13" s="64" t="n">
        <f aca="false">IF(OR(W$4="",$C13="",$D13="",N($E13)=0),"",$E13*MAX(0,MIN($D13+1,EDATE(W$4,1))-MAX($C13,W$4))/MAX(1,$D13+1-$C13))</f>
        <v>0</v>
      </c>
      <c r="X13" s="64" t="n">
        <f aca="false">IF(OR(X$4="",$C13="",$D13="",N($E13)=0),"",$E13*MAX(0,MIN($D13+1,EDATE(X$4,1))-MAX($C13,X$4))/MAX(1,$D13+1-$C13))</f>
        <v>0</v>
      </c>
      <c r="Y13" s="64" t="n">
        <f aca="false">IF(OR(Y$4="",$C13="",$D13="",N($E13)=0),"",$E13*MAX(0,MIN($D13+1,EDATE(Y$4,1))-MAX($C13,Y$4))/MAX(1,$D13+1-$C13))</f>
        <v>0</v>
      </c>
      <c r="Z13" s="64" t="n">
        <f aca="false">IF(OR(Z$4="",$C13="",$D13="",N($E13)=0),"",$E13*MAX(0,MIN($D13+1,EDATE(Z$4,1))-MAX($C13,Z$4))/MAX(1,$D13+1-$C13))</f>
        <v>0</v>
      </c>
      <c r="AA13" s="64" t="n">
        <f aca="false">IF(OR(AA$4="",$C13="",$D13="",N($E13)=0),"",$E13*MAX(0,MIN($D13+1,EDATE(AA$4,1))-MAX($C13,AA$4))/MAX(1,$D13+1-$C13))</f>
        <v>0</v>
      </c>
      <c r="AB13" s="64" t="n">
        <f aca="false">IF(OR(AB$4="",$C13="",$D13="",N($E13)=0),"",$E13*MAX(0,MIN($D13+1,EDATE(AB$4,1))-MAX($C13,AB$4))/MAX(1,$D13+1-$C13))</f>
        <v>0</v>
      </c>
      <c r="AC13" s="64" t="n">
        <f aca="false">IF(OR(AC$4="",$C13="",$D13="",N($E13)=0),"",$E13*MAX(0,MIN($D13+1,EDATE(AC$4,1))-MAX($C13,AC$4))/MAX(1,$D13+1-$C13))</f>
        <v>0</v>
      </c>
      <c r="AD13" s="64" t="n">
        <f aca="false">IF(OR(AD$4="",$C13="",$D13="",N($E13)=0),"",$E13*MAX(0,MIN($D13+1,EDATE(AD$4,1))-MAX($C13,AD$4))/MAX(1,$D13+1-$C13))</f>
        <v>0</v>
      </c>
      <c r="AE13" s="64" t="n">
        <f aca="false">IF(OR(AE$4="",$C13="",$D13="",N($E13)=0),"",$E13*MAX(0,MIN($D13+1,EDATE(AE$4,1))-MAX($C13,AE$4))/MAX(1,$D13+1-$C13))</f>
        <v>0</v>
      </c>
      <c r="AF13" s="64" t="n">
        <f aca="false">IF(OR(AF$4="",$C13="",$D13="",N($E13)=0),"",$E13*MAX(0,MIN($D13+1,EDATE(AF$4,1))-MAX($C13,AF$4))/MAX(1,$D13+1-$C13))</f>
        <v>0</v>
      </c>
      <c r="AG13" s="64" t="n">
        <f aca="false">IF(OR(AG$4="",$C13="",$D13="",N($E13)=0),"",$E13*MAX(0,MIN($D13+1,EDATE(AG$4,1))-MAX($C13,AG$4))/MAX(1,$D13+1-$C13))</f>
        <v>0</v>
      </c>
      <c r="AH13" s="64" t="n">
        <f aca="false">IF(OR(AH$4="",$C13="",$D13="",N($E13)=0),"",$E13*MAX(0,MIN($D13+1,EDATE(AH$4,1))-MAX($C13,AH$4))/MAX(1,$D13+1-$C13))</f>
        <v>0</v>
      </c>
      <c r="AI13" s="64" t="n">
        <f aca="false">IF(OR(AI$4="",$C13="",$D13="",N($E13)=0),"",$E13*MAX(0,MIN($D13+1,EDATE(AI$4,1))-MAX($C13,AI$4))/MAX(1,$D13+1-$C13))</f>
        <v>0</v>
      </c>
      <c r="AJ13" s="64" t="n">
        <f aca="false">IF(OR(AJ$4="",$C13="",$D13="",N($E13)=0),"",$E13*MAX(0,MIN($D13+1,EDATE(AJ$4,1))-MAX($C13,AJ$4))/MAX(1,$D13+1-$C13))</f>
        <v>0</v>
      </c>
      <c r="AK13" s="64" t="n">
        <f aca="false">IF(OR(AK$4="",$C13="",$D13="",N($E13)=0),"",$E13*MAX(0,MIN($D13+1,EDATE(AK$4,1))-MAX($C13,AK$4))/MAX(1,$D13+1-$C13))</f>
        <v>0</v>
      </c>
      <c r="AL13" s="64" t="n">
        <f aca="false">IF(OR(AL$4="",$C13="",$D13="",N($E13)=0),"",$E13*MAX(0,MIN($D13+1,EDATE(AL$4,1))-MAX($C13,AL$4))/MAX(1,$D13+1-$C13))</f>
        <v>0</v>
      </c>
      <c r="AM13" s="64" t="n">
        <f aca="false">IF(OR(AM$4="",$C13="",$D13="",N($E13)=0),"",$E13*MAX(0,MIN($D13+1,EDATE(AM$4,1))-MAX($C13,AM$4))/MAX(1,$D13+1-$C13))</f>
        <v>0</v>
      </c>
      <c r="AN13" s="64" t="n">
        <f aca="false">IF(OR(AN$4="",$C13="",$D13="",N($E13)=0),"",$E13*MAX(0,MIN($D13+1,EDATE(AN$4,1))-MAX($C13,AN$4))/MAX(1,$D13+1-$C13))</f>
        <v>0</v>
      </c>
      <c r="AO13" s="64" t="n">
        <f aca="false">IF(OR(AO$4="",$C13="",$D13="",N($E13)=0),"",$E13*MAX(0,MIN($D13+1,EDATE(AO$4,1))-MAX($C13,AO$4))/MAX(1,$D13+1-$C13))</f>
        <v>0</v>
      </c>
      <c r="AP13" s="64" t="str">
        <f aca="false">IF(OR(AP$4="",$C13="",$D13="",N($E13)=0),"",$E13*MAX(0,MIN($D13+1,EDATE(AP$4,1))-MAX($C13,AP$4))/MAX(1,$D13+1-$C13))</f>
        <v/>
      </c>
      <c r="AQ13" s="64" t="str">
        <f aca="false">IF(OR(AQ$4="",$C13="",$D13="",N($E13)=0),"",$E13*MAX(0,MIN($D13+1,EDATE(AQ$4,1))-MAX($C13,AQ$4))/MAX(1,$D13+1-$C13))</f>
        <v/>
      </c>
      <c r="AR13" s="64" t="str">
        <f aca="false">IF(OR(AR$4="",$C13="",$D13="",N($E13)=0),"",$E13*MAX(0,MIN($D13+1,EDATE(AR$4,1))-MAX($C13,AR$4))/MAX(1,$D13+1-$C13))</f>
        <v/>
      </c>
      <c r="AS13" s="64" t="str">
        <f aca="false">IF(OR(AS$4="",$C13="",$D13="",N($E13)=0),"",$E13*MAX(0,MIN($D13+1,EDATE(AS$4,1))-MAX($C13,AS$4))/MAX(1,$D13+1-$C13))</f>
        <v/>
      </c>
      <c r="AT13" s="64" t="str">
        <f aca="false">IF(OR(AT$4="",$C13="",$D13="",N($E13)=0),"",$E13*MAX(0,MIN($D13+1,EDATE(AT$4,1))-MAX($C13,AT$4))/MAX(1,$D13+1-$C13))</f>
        <v/>
      </c>
      <c r="AU13" s="64" t="str">
        <f aca="false">IF(OR(AU$4="",$C13="",$D13="",N($E13)=0),"",$E13*MAX(0,MIN($D13+1,EDATE(AU$4,1))-MAX($C13,AU$4))/MAX(1,$D13+1-$C13))</f>
        <v/>
      </c>
      <c r="AV13" s="64" t="str">
        <f aca="false">IF(OR(AV$4="",$C13="",$D13="",N($E13)=0),"",$E13*MAX(0,MIN($D13+1,EDATE(AV$4,1))-MAX($C13,AV$4))/MAX(1,$D13+1-$C13))</f>
        <v/>
      </c>
      <c r="AW13" s="64" t="str">
        <f aca="false">IF(OR(AW$4="",$C13="",$D13="",N($E13)=0),"",$E13*MAX(0,MIN($D13+1,EDATE(AW$4,1))-MAX($C13,AW$4))/MAX(1,$D13+1-$C13))</f>
        <v/>
      </c>
      <c r="AX13" s="64" t="str">
        <f aca="false">IF(OR(AX$4="",$C13="",$D13="",N($E13)=0),"",$E13*MAX(0,MIN($D13+1,EDATE(AX$4,1))-MAX($C13,AX$4))/MAX(1,$D13+1-$C13))</f>
        <v/>
      </c>
      <c r="AY13" s="64" t="str">
        <f aca="false">IF(OR(AY$4="",$C13="",$D13="",N($E13)=0),"",$E13*MAX(0,MIN($D13+1,EDATE(AY$4,1))-MAX($C13,AY$4))/MAX(1,$D13+1-$C13))</f>
        <v/>
      </c>
      <c r="AZ13" s="64" t="str">
        <f aca="false">IF(OR(AZ$4="",$C13="",$D13="",N($E13)=0),"",$E13*MAX(0,MIN($D13+1,EDATE(AZ$4,1))-MAX($C13,AZ$4))/MAX(1,$D13+1-$C13))</f>
        <v/>
      </c>
      <c r="BA13" s="64" t="str">
        <f aca="false">IF(OR(BA$4="",$C13="",$D13="",N($E13)=0),"",$E13*MAX(0,MIN($D13+1,EDATE(BA$4,1))-MAX($C13,BA$4))/MAX(1,$D13+1-$C13))</f>
        <v/>
      </c>
      <c r="BB13" s="64" t="str">
        <f aca="false">IF(OR(BB$4="",$C13="",$D13="",N($E13)=0),"",$E13*MAX(0,MIN($D13+1,EDATE(BB$4,1))-MAX($C13,BB$4))/MAX(1,$D13+1-$C13))</f>
        <v/>
      </c>
      <c r="BC13" s="64" t="str">
        <f aca="false">IF(OR(BC$4="",$C13="",$D13="",N($E13)=0),"",$E13*MAX(0,MIN($D13+1,EDATE(BC$4,1))-MAX($C13,BC$4))/MAX(1,$D13+1-$C13))</f>
        <v/>
      </c>
      <c r="BD13" s="64" t="str">
        <f aca="false">IF(OR(BD$4="",$C13="",$D13="",N($E13)=0),"",$E13*MAX(0,MIN($D13+1,EDATE(BD$4,1))-MAX($C13,BD$4))/MAX(1,$D13+1-$C13))</f>
        <v/>
      </c>
      <c r="BE13" s="64" t="str">
        <f aca="false">IF(OR(BE$4="",$C13="",$D13="",N($E13)=0),"",$E13*MAX(0,MIN($D13+1,EDATE(BE$4,1))-MAX($C13,BE$4))/MAX(1,$D13+1-$C13))</f>
        <v/>
      </c>
      <c r="BF13" s="64" t="str">
        <f aca="false">IF(OR(BF$4="",$C13="",$D13="",N($E13)=0),"",$E13*MAX(0,MIN($D13+1,EDATE(BF$4,1))-MAX($C13,BF$4))/MAX(1,$D13+1-$C13))</f>
        <v/>
      </c>
      <c r="BG13" s="64" t="str">
        <f aca="false">IF(OR(BG$4="",$C13="",$D13="",N($E13)=0),"",$E13*MAX(0,MIN($D13+1,EDATE(BG$4,1))-MAX($C13,BG$4))/MAX(1,$D13+1-$C13))</f>
        <v/>
      </c>
      <c r="BH13" s="64" t="str">
        <f aca="false">IF(OR(BH$4="",$C13="",$D13="",N($E13)=0),"",$E13*MAX(0,MIN($D13+1,EDATE(BH$4,1))-MAX($C13,BH$4))/MAX(1,$D13+1-$C13))</f>
        <v/>
      </c>
      <c r="BI13" s="64" t="str">
        <f aca="false">IF(OR(BI$4="",$C13="",$D13="",N($E13)=0),"",$E13*MAX(0,MIN($D13+1,EDATE(BI$4,1))-MAX($C13,BI$4))/MAX(1,$D13+1-$C13))</f>
        <v/>
      </c>
      <c r="BJ13" s="64" t="str">
        <f aca="false">IF(OR(BJ$4="",$C13="",$D13="",N($E13)=0),"",$E13*MAX(0,MIN($D13+1,EDATE(BJ$4,1))-MAX($C13,BJ$4))/MAX(1,$D13+1-$C13))</f>
        <v/>
      </c>
      <c r="BK13" s="64" t="str">
        <f aca="false">IF(OR(BK$4="",$C13="",$D13="",N($E13)=0),"",$E13*MAX(0,MIN($D13+1,EDATE(BK$4,1))-MAX($C13,BK$4))/MAX(1,$D13+1-$C13))</f>
        <v/>
      </c>
      <c r="BL13" s="64" t="str">
        <f aca="false">IF(OR(BL$4="",$C13="",$D13="",N($E13)=0),"",$E13*MAX(0,MIN($D13+1,EDATE(BL$4,1))-MAX($C13,BL$4))/MAX(1,$D13+1-$C13))</f>
        <v/>
      </c>
      <c r="BM13" s="64" t="str">
        <f aca="false">IF(OR(BM$4="",$C13="",$D13="",N($E13)=0),"",$E13*MAX(0,MIN($D13+1,EDATE(BM$4,1))-MAX($C13,BM$4))/MAX(1,$D13+1-$C13))</f>
        <v/>
      </c>
      <c r="BN13" s="64" t="str">
        <f aca="false">IF(OR(BN$4="",$C13="",$D13="",N($E13)=0),"",$E13*MAX(0,MIN($D13+1,EDATE(BN$4,1))-MAX($C13,BN$4))/MAX(1,$D13+1-$C13))</f>
        <v/>
      </c>
      <c r="BO13" s="64" t="str">
        <f aca="false">IF(OR(BO$4="",$C13="",$D13="",N($E13)=0),"",$E13*MAX(0,MIN($D13+1,EDATE(BO$4,1))-MAX($C13,BO$4))/MAX(1,$D13+1-$C13))</f>
        <v/>
      </c>
      <c r="BP13" s="64" t="str">
        <f aca="false">IF(OR(BP$4="",$C13="",$D13="",N($E13)=0),"",$E13*MAX(0,MIN($D13+1,EDATE(BP$4,1))-MAX($C13,BP$4))/MAX(1,$D13+1-$C13))</f>
        <v/>
      </c>
      <c r="BQ13" s="64" t="str">
        <f aca="false">IF(OR(BQ$4="",$C13="",$D13="",N($E13)=0),"",$E13*MAX(0,MIN($D13+1,EDATE(BQ$4,1))-MAX($C13,BQ$4))/MAX(1,$D13+1-$C13))</f>
        <v/>
      </c>
      <c r="BR13" s="64" t="str">
        <f aca="false">IF(OR(BR$4="",$C13="",$D13="",N($E13)=0),"",$E13*MAX(0,MIN($D13+1,EDATE(BR$4,1))-MAX($C13,BR$4))/MAX(1,$D13+1-$C13))</f>
        <v/>
      </c>
      <c r="BS13" s="64" t="str">
        <f aca="false">IF(OR(BS$4="",$C13="",$D13="",N($E13)=0),"",$E13*MAX(0,MIN($D13+1,EDATE(BS$4,1))-MAX($C13,BS$4))/MAX(1,$D13+1-$C13))</f>
        <v/>
      </c>
      <c r="BT13" s="64" t="str">
        <f aca="false">IF(OR(BT$4="",$C13="",$D13="",N($E13)=0),"",$E13*MAX(0,MIN($D13+1,EDATE(BT$4,1))-MAX($C13,BT$4))/MAX(1,$D13+1-$C13))</f>
        <v/>
      </c>
      <c r="BU13" s="64" t="str">
        <f aca="false">IF(OR(BU$4="",$C13="",$D13="",N($E13)=0),"",$E13*MAX(0,MIN($D13+1,EDATE(BU$4,1))-MAX($C13,BU$4))/MAX(1,$D13+1-$C13))</f>
        <v/>
      </c>
      <c r="BV13" s="64" t="str">
        <f aca="false">IF(OR(BV$4="",$C13="",$D13="",N($E13)=0),"",$E13*MAX(0,MIN($D13+1,EDATE(BV$4,1))-MAX($C13,BV$4))/MAX(1,$D13+1-$C13))</f>
        <v/>
      </c>
      <c r="BW13" s="64" t="str">
        <f aca="false">IF(OR(BW$4="",$C13="",$D13="",N($E13)=0),"",$E13*MAX(0,MIN($D13+1,EDATE(BW$4,1))-MAX($C13,BW$4))/MAX(1,$D13+1-$C13))</f>
        <v/>
      </c>
      <c r="BX13" s="64" t="str">
        <f aca="false">IF(OR(BX$4="",$C13="",$D13="",N($E13)=0),"",$E13*MAX(0,MIN($D13+1,EDATE(BX$4,1))-MAX($C13,BX$4))/MAX(1,$D13+1-$C13))</f>
        <v/>
      </c>
      <c r="BY13" s="64" t="str">
        <f aca="false">IF(OR(BY$4="",$C13="",$D13="",N($E13)=0),"",$E13*MAX(0,MIN($D13+1,EDATE(BY$4,1))-MAX($C13,BY$4))/MAX(1,$D13+1-$C13))</f>
        <v/>
      </c>
    </row>
    <row r="14" customFormat="false" ht="15" hidden="false" customHeight="false" outlineLevel="0" collapsed="false">
      <c r="A14" s="61" t="str">
        <f aca="false">IF(BOE!$A15="","",BOE!$A15)</f>
        <v>201</v>
      </c>
      <c r="B14" s="61" t="str">
        <f aca="false">IF(BOE!$A15="","",BOE!$C15)</f>
        <v>Preliminary Hazard List (PHL)</v>
      </c>
      <c r="C14" s="62" t="n">
        <f aca="false">IF(BOE!$O15="","",BOE!$O15)</f>
        <v>46391</v>
      </c>
      <c r="D14" s="62" t="n">
        <f aca="false">IF(BOE!$P15="","",BOE!$P15)</f>
        <v>46481</v>
      </c>
      <c r="E14" s="63" t="n">
        <f aca="false">IF(Inputs!$B$7="P90",BOE!$T15,BOE!$R15)</f>
        <v>160</v>
      </c>
      <c r="F14" s="64" t="n">
        <f aca="false">IF(OR(F$4="",$C14="",$D14="",N($E14)=0),"",$E14*MAX(0,MIN($D14+1,EDATE(F$4,1))-MAX($C14,F$4))/MAX(1,$D14+1-$C14))</f>
        <v>54.5054945054945</v>
      </c>
      <c r="G14" s="64" t="n">
        <f aca="false">IF(OR(G$4="",$C14="",$D14="",N($E14)=0),"",$E14*MAX(0,MIN($D14+1,EDATE(G$4,1))-MAX($C14,G$4))/MAX(1,$D14+1-$C14))</f>
        <v>49.2307692307692</v>
      </c>
      <c r="H14" s="64" t="n">
        <f aca="false">IF(OR(H$4="",$C14="",$D14="",N($E14)=0),"",$E14*MAX(0,MIN($D14+1,EDATE(H$4,1))-MAX($C14,H$4))/MAX(1,$D14+1-$C14))</f>
        <v>54.5054945054945</v>
      </c>
      <c r="I14" s="64" t="n">
        <f aca="false">IF(OR(I$4="",$C14="",$D14="",N($E14)=0),"",$E14*MAX(0,MIN($D14+1,EDATE(I$4,1))-MAX($C14,I$4))/MAX(1,$D14+1-$C14))</f>
        <v>1.75824175824176</v>
      </c>
      <c r="J14" s="64" t="n">
        <f aca="false">IF(OR(J$4="",$C14="",$D14="",N($E14)=0),"",$E14*MAX(0,MIN($D14+1,EDATE(J$4,1))-MAX($C14,J$4))/MAX(1,$D14+1-$C14))</f>
        <v>0</v>
      </c>
      <c r="K14" s="64" t="n">
        <f aca="false">IF(OR(K$4="",$C14="",$D14="",N($E14)=0),"",$E14*MAX(0,MIN($D14+1,EDATE(K$4,1))-MAX($C14,K$4))/MAX(1,$D14+1-$C14))</f>
        <v>0</v>
      </c>
      <c r="L14" s="64" t="n">
        <f aca="false">IF(OR(L$4="",$C14="",$D14="",N($E14)=0),"",$E14*MAX(0,MIN($D14+1,EDATE(L$4,1))-MAX($C14,L$4))/MAX(1,$D14+1-$C14))</f>
        <v>0</v>
      </c>
      <c r="M14" s="64" t="n">
        <f aca="false">IF(OR(M$4="",$C14="",$D14="",N($E14)=0),"",$E14*MAX(0,MIN($D14+1,EDATE(M$4,1))-MAX($C14,M$4))/MAX(1,$D14+1-$C14))</f>
        <v>0</v>
      </c>
      <c r="N14" s="64" t="n">
        <f aca="false">IF(OR(N$4="",$C14="",$D14="",N($E14)=0),"",$E14*MAX(0,MIN($D14+1,EDATE(N$4,1))-MAX($C14,N$4))/MAX(1,$D14+1-$C14))</f>
        <v>0</v>
      </c>
      <c r="O14" s="64" t="n">
        <f aca="false">IF(OR(O$4="",$C14="",$D14="",N($E14)=0),"",$E14*MAX(0,MIN($D14+1,EDATE(O$4,1))-MAX($C14,O$4))/MAX(1,$D14+1-$C14))</f>
        <v>0</v>
      </c>
      <c r="P14" s="64" t="n">
        <f aca="false">IF(OR(P$4="",$C14="",$D14="",N($E14)=0),"",$E14*MAX(0,MIN($D14+1,EDATE(P$4,1))-MAX($C14,P$4))/MAX(1,$D14+1-$C14))</f>
        <v>0</v>
      </c>
      <c r="Q14" s="64" t="n">
        <f aca="false">IF(OR(Q$4="",$C14="",$D14="",N($E14)=0),"",$E14*MAX(0,MIN($D14+1,EDATE(Q$4,1))-MAX($C14,Q$4))/MAX(1,$D14+1-$C14))</f>
        <v>0</v>
      </c>
      <c r="R14" s="64" t="n">
        <f aca="false">IF(OR(R$4="",$C14="",$D14="",N($E14)=0),"",$E14*MAX(0,MIN($D14+1,EDATE(R$4,1))-MAX($C14,R$4))/MAX(1,$D14+1-$C14))</f>
        <v>0</v>
      </c>
      <c r="S14" s="64" t="n">
        <f aca="false">IF(OR(S$4="",$C14="",$D14="",N($E14)=0),"",$E14*MAX(0,MIN($D14+1,EDATE(S$4,1))-MAX($C14,S$4))/MAX(1,$D14+1-$C14))</f>
        <v>0</v>
      </c>
      <c r="T14" s="64" t="n">
        <f aca="false">IF(OR(T$4="",$C14="",$D14="",N($E14)=0),"",$E14*MAX(0,MIN($D14+1,EDATE(T$4,1))-MAX($C14,T$4))/MAX(1,$D14+1-$C14))</f>
        <v>0</v>
      </c>
      <c r="U14" s="64" t="n">
        <f aca="false">IF(OR(U$4="",$C14="",$D14="",N($E14)=0),"",$E14*MAX(0,MIN($D14+1,EDATE(U$4,1))-MAX($C14,U$4))/MAX(1,$D14+1-$C14))</f>
        <v>0</v>
      </c>
      <c r="V14" s="64" t="n">
        <f aca="false">IF(OR(V$4="",$C14="",$D14="",N($E14)=0),"",$E14*MAX(0,MIN($D14+1,EDATE(V$4,1))-MAX($C14,V$4))/MAX(1,$D14+1-$C14))</f>
        <v>0</v>
      </c>
      <c r="W14" s="64" t="n">
        <f aca="false">IF(OR(W$4="",$C14="",$D14="",N($E14)=0),"",$E14*MAX(0,MIN($D14+1,EDATE(W$4,1))-MAX($C14,W$4))/MAX(1,$D14+1-$C14))</f>
        <v>0</v>
      </c>
      <c r="X14" s="64" t="n">
        <f aca="false">IF(OR(X$4="",$C14="",$D14="",N($E14)=0),"",$E14*MAX(0,MIN($D14+1,EDATE(X$4,1))-MAX($C14,X$4))/MAX(1,$D14+1-$C14))</f>
        <v>0</v>
      </c>
      <c r="Y14" s="64" t="n">
        <f aca="false">IF(OR(Y$4="",$C14="",$D14="",N($E14)=0),"",$E14*MAX(0,MIN($D14+1,EDATE(Y$4,1))-MAX($C14,Y$4))/MAX(1,$D14+1-$C14))</f>
        <v>0</v>
      </c>
      <c r="Z14" s="64" t="n">
        <f aca="false">IF(OR(Z$4="",$C14="",$D14="",N($E14)=0),"",$E14*MAX(0,MIN($D14+1,EDATE(Z$4,1))-MAX($C14,Z$4))/MAX(1,$D14+1-$C14))</f>
        <v>0</v>
      </c>
      <c r="AA14" s="64" t="n">
        <f aca="false">IF(OR(AA$4="",$C14="",$D14="",N($E14)=0),"",$E14*MAX(0,MIN($D14+1,EDATE(AA$4,1))-MAX($C14,AA$4))/MAX(1,$D14+1-$C14))</f>
        <v>0</v>
      </c>
      <c r="AB14" s="64" t="n">
        <f aca="false">IF(OR(AB$4="",$C14="",$D14="",N($E14)=0),"",$E14*MAX(0,MIN($D14+1,EDATE(AB$4,1))-MAX($C14,AB$4))/MAX(1,$D14+1-$C14))</f>
        <v>0</v>
      </c>
      <c r="AC14" s="64" t="n">
        <f aca="false">IF(OR(AC$4="",$C14="",$D14="",N($E14)=0),"",$E14*MAX(0,MIN($D14+1,EDATE(AC$4,1))-MAX($C14,AC$4))/MAX(1,$D14+1-$C14))</f>
        <v>0</v>
      </c>
      <c r="AD14" s="64" t="n">
        <f aca="false">IF(OR(AD$4="",$C14="",$D14="",N($E14)=0),"",$E14*MAX(0,MIN($D14+1,EDATE(AD$4,1))-MAX($C14,AD$4))/MAX(1,$D14+1-$C14))</f>
        <v>0</v>
      </c>
      <c r="AE14" s="64" t="n">
        <f aca="false">IF(OR(AE$4="",$C14="",$D14="",N($E14)=0),"",$E14*MAX(0,MIN($D14+1,EDATE(AE$4,1))-MAX($C14,AE$4))/MAX(1,$D14+1-$C14))</f>
        <v>0</v>
      </c>
      <c r="AF14" s="64" t="n">
        <f aca="false">IF(OR(AF$4="",$C14="",$D14="",N($E14)=0),"",$E14*MAX(0,MIN($D14+1,EDATE(AF$4,1))-MAX($C14,AF$4))/MAX(1,$D14+1-$C14))</f>
        <v>0</v>
      </c>
      <c r="AG14" s="64" t="n">
        <f aca="false">IF(OR(AG$4="",$C14="",$D14="",N($E14)=0),"",$E14*MAX(0,MIN($D14+1,EDATE(AG$4,1))-MAX($C14,AG$4))/MAX(1,$D14+1-$C14))</f>
        <v>0</v>
      </c>
      <c r="AH14" s="64" t="n">
        <f aca="false">IF(OR(AH$4="",$C14="",$D14="",N($E14)=0),"",$E14*MAX(0,MIN($D14+1,EDATE(AH$4,1))-MAX($C14,AH$4))/MAX(1,$D14+1-$C14))</f>
        <v>0</v>
      </c>
      <c r="AI14" s="64" t="n">
        <f aca="false">IF(OR(AI$4="",$C14="",$D14="",N($E14)=0),"",$E14*MAX(0,MIN($D14+1,EDATE(AI$4,1))-MAX($C14,AI$4))/MAX(1,$D14+1-$C14))</f>
        <v>0</v>
      </c>
      <c r="AJ14" s="64" t="n">
        <f aca="false">IF(OR(AJ$4="",$C14="",$D14="",N($E14)=0),"",$E14*MAX(0,MIN($D14+1,EDATE(AJ$4,1))-MAX($C14,AJ$4))/MAX(1,$D14+1-$C14))</f>
        <v>0</v>
      </c>
      <c r="AK14" s="64" t="n">
        <f aca="false">IF(OR(AK$4="",$C14="",$D14="",N($E14)=0),"",$E14*MAX(0,MIN($D14+1,EDATE(AK$4,1))-MAX($C14,AK$4))/MAX(1,$D14+1-$C14))</f>
        <v>0</v>
      </c>
      <c r="AL14" s="64" t="n">
        <f aca="false">IF(OR(AL$4="",$C14="",$D14="",N($E14)=0),"",$E14*MAX(0,MIN($D14+1,EDATE(AL$4,1))-MAX($C14,AL$4))/MAX(1,$D14+1-$C14))</f>
        <v>0</v>
      </c>
      <c r="AM14" s="64" t="n">
        <f aca="false">IF(OR(AM$4="",$C14="",$D14="",N($E14)=0),"",$E14*MAX(0,MIN($D14+1,EDATE(AM$4,1))-MAX($C14,AM$4))/MAX(1,$D14+1-$C14))</f>
        <v>0</v>
      </c>
      <c r="AN14" s="64" t="n">
        <f aca="false">IF(OR(AN$4="",$C14="",$D14="",N($E14)=0),"",$E14*MAX(0,MIN($D14+1,EDATE(AN$4,1))-MAX($C14,AN$4))/MAX(1,$D14+1-$C14))</f>
        <v>0</v>
      </c>
      <c r="AO14" s="64" t="n">
        <f aca="false">IF(OR(AO$4="",$C14="",$D14="",N($E14)=0),"",$E14*MAX(0,MIN($D14+1,EDATE(AO$4,1))-MAX($C14,AO$4))/MAX(1,$D14+1-$C14))</f>
        <v>0</v>
      </c>
      <c r="AP14" s="64" t="str">
        <f aca="false">IF(OR(AP$4="",$C14="",$D14="",N($E14)=0),"",$E14*MAX(0,MIN($D14+1,EDATE(AP$4,1))-MAX($C14,AP$4))/MAX(1,$D14+1-$C14))</f>
        <v/>
      </c>
      <c r="AQ14" s="64" t="str">
        <f aca="false">IF(OR(AQ$4="",$C14="",$D14="",N($E14)=0),"",$E14*MAX(0,MIN($D14+1,EDATE(AQ$4,1))-MAX($C14,AQ$4))/MAX(1,$D14+1-$C14))</f>
        <v/>
      </c>
      <c r="AR14" s="64" t="str">
        <f aca="false">IF(OR(AR$4="",$C14="",$D14="",N($E14)=0),"",$E14*MAX(0,MIN($D14+1,EDATE(AR$4,1))-MAX($C14,AR$4))/MAX(1,$D14+1-$C14))</f>
        <v/>
      </c>
      <c r="AS14" s="64" t="str">
        <f aca="false">IF(OR(AS$4="",$C14="",$D14="",N($E14)=0),"",$E14*MAX(0,MIN($D14+1,EDATE(AS$4,1))-MAX($C14,AS$4))/MAX(1,$D14+1-$C14))</f>
        <v/>
      </c>
      <c r="AT14" s="64" t="str">
        <f aca="false">IF(OR(AT$4="",$C14="",$D14="",N($E14)=0),"",$E14*MAX(0,MIN($D14+1,EDATE(AT$4,1))-MAX($C14,AT$4))/MAX(1,$D14+1-$C14))</f>
        <v/>
      </c>
      <c r="AU14" s="64" t="str">
        <f aca="false">IF(OR(AU$4="",$C14="",$D14="",N($E14)=0),"",$E14*MAX(0,MIN($D14+1,EDATE(AU$4,1))-MAX($C14,AU$4))/MAX(1,$D14+1-$C14))</f>
        <v/>
      </c>
      <c r="AV14" s="64" t="str">
        <f aca="false">IF(OR(AV$4="",$C14="",$D14="",N($E14)=0),"",$E14*MAX(0,MIN($D14+1,EDATE(AV$4,1))-MAX($C14,AV$4))/MAX(1,$D14+1-$C14))</f>
        <v/>
      </c>
      <c r="AW14" s="64" t="str">
        <f aca="false">IF(OR(AW$4="",$C14="",$D14="",N($E14)=0),"",$E14*MAX(0,MIN($D14+1,EDATE(AW$4,1))-MAX($C14,AW$4))/MAX(1,$D14+1-$C14))</f>
        <v/>
      </c>
      <c r="AX14" s="64" t="str">
        <f aca="false">IF(OR(AX$4="",$C14="",$D14="",N($E14)=0),"",$E14*MAX(0,MIN($D14+1,EDATE(AX$4,1))-MAX($C14,AX$4))/MAX(1,$D14+1-$C14))</f>
        <v/>
      </c>
      <c r="AY14" s="64" t="str">
        <f aca="false">IF(OR(AY$4="",$C14="",$D14="",N($E14)=0),"",$E14*MAX(0,MIN($D14+1,EDATE(AY$4,1))-MAX($C14,AY$4))/MAX(1,$D14+1-$C14))</f>
        <v/>
      </c>
      <c r="AZ14" s="64" t="str">
        <f aca="false">IF(OR(AZ$4="",$C14="",$D14="",N($E14)=0),"",$E14*MAX(0,MIN($D14+1,EDATE(AZ$4,1))-MAX($C14,AZ$4))/MAX(1,$D14+1-$C14))</f>
        <v/>
      </c>
      <c r="BA14" s="64" t="str">
        <f aca="false">IF(OR(BA$4="",$C14="",$D14="",N($E14)=0),"",$E14*MAX(0,MIN($D14+1,EDATE(BA$4,1))-MAX($C14,BA$4))/MAX(1,$D14+1-$C14))</f>
        <v/>
      </c>
      <c r="BB14" s="64" t="str">
        <f aca="false">IF(OR(BB$4="",$C14="",$D14="",N($E14)=0),"",$E14*MAX(0,MIN($D14+1,EDATE(BB$4,1))-MAX($C14,BB$4))/MAX(1,$D14+1-$C14))</f>
        <v/>
      </c>
      <c r="BC14" s="64" t="str">
        <f aca="false">IF(OR(BC$4="",$C14="",$D14="",N($E14)=0),"",$E14*MAX(0,MIN($D14+1,EDATE(BC$4,1))-MAX($C14,BC$4))/MAX(1,$D14+1-$C14))</f>
        <v/>
      </c>
      <c r="BD14" s="64" t="str">
        <f aca="false">IF(OR(BD$4="",$C14="",$D14="",N($E14)=0),"",$E14*MAX(0,MIN($D14+1,EDATE(BD$4,1))-MAX($C14,BD$4))/MAX(1,$D14+1-$C14))</f>
        <v/>
      </c>
      <c r="BE14" s="64" t="str">
        <f aca="false">IF(OR(BE$4="",$C14="",$D14="",N($E14)=0),"",$E14*MAX(0,MIN($D14+1,EDATE(BE$4,1))-MAX($C14,BE$4))/MAX(1,$D14+1-$C14))</f>
        <v/>
      </c>
      <c r="BF14" s="64" t="str">
        <f aca="false">IF(OR(BF$4="",$C14="",$D14="",N($E14)=0),"",$E14*MAX(0,MIN($D14+1,EDATE(BF$4,1))-MAX($C14,BF$4))/MAX(1,$D14+1-$C14))</f>
        <v/>
      </c>
      <c r="BG14" s="64" t="str">
        <f aca="false">IF(OR(BG$4="",$C14="",$D14="",N($E14)=0),"",$E14*MAX(0,MIN($D14+1,EDATE(BG$4,1))-MAX($C14,BG$4))/MAX(1,$D14+1-$C14))</f>
        <v/>
      </c>
      <c r="BH14" s="64" t="str">
        <f aca="false">IF(OR(BH$4="",$C14="",$D14="",N($E14)=0),"",$E14*MAX(0,MIN($D14+1,EDATE(BH$4,1))-MAX($C14,BH$4))/MAX(1,$D14+1-$C14))</f>
        <v/>
      </c>
      <c r="BI14" s="64" t="str">
        <f aca="false">IF(OR(BI$4="",$C14="",$D14="",N($E14)=0),"",$E14*MAX(0,MIN($D14+1,EDATE(BI$4,1))-MAX($C14,BI$4))/MAX(1,$D14+1-$C14))</f>
        <v/>
      </c>
      <c r="BJ14" s="64" t="str">
        <f aca="false">IF(OR(BJ$4="",$C14="",$D14="",N($E14)=0),"",$E14*MAX(0,MIN($D14+1,EDATE(BJ$4,1))-MAX($C14,BJ$4))/MAX(1,$D14+1-$C14))</f>
        <v/>
      </c>
      <c r="BK14" s="64" t="str">
        <f aca="false">IF(OR(BK$4="",$C14="",$D14="",N($E14)=0),"",$E14*MAX(0,MIN($D14+1,EDATE(BK$4,1))-MAX($C14,BK$4))/MAX(1,$D14+1-$C14))</f>
        <v/>
      </c>
      <c r="BL14" s="64" t="str">
        <f aca="false">IF(OR(BL$4="",$C14="",$D14="",N($E14)=0),"",$E14*MAX(0,MIN($D14+1,EDATE(BL$4,1))-MAX($C14,BL$4))/MAX(1,$D14+1-$C14))</f>
        <v/>
      </c>
      <c r="BM14" s="64" t="str">
        <f aca="false">IF(OR(BM$4="",$C14="",$D14="",N($E14)=0),"",$E14*MAX(0,MIN($D14+1,EDATE(BM$4,1))-MAX($C14,BM$4))/MAX(1,$D14+1-$C14))</f>
        <v/>
      </c>
      <c r="BN14" s="64" t="str">
        <f aca="false">IF(OR(BN$4="",$C14="",$D14="",N($E14)=0),"",$E14*MAX(0,MIN($D14+1,EDATE(BN$4,1))-MAX($C14,BN$4))/MAX(1,$D14+1-$C14))</f>
        <v/>
      </c>
      <c r="BO14" s="64" t="str">
        <f aca="false">IF(OR(BO$4="",$C14="",$D14="",N($E14)=0),"",$E14*MAX(0,MIN($D14+1,EDATE(BO$4,1))-MAX($C14,BO$4))/MAX(1,$D14+1-$C14))</f>
        <v/>
      </c>
      <c r="BP14" s="64" t="str">
        <f aca="false">IF(OR(BP$4="",$C14="",$D14="",N($E14)=0),"",$E14*MAX(0,MIN($D14+1,EDATE(BP$4,1))-MAX($C14,BP$4))/MAX(1,$D14+1-$C14))</f>
        <v/>
      </c>
      <c r="BQ14" s="64" t="str">
        <f aca="false">IF(OR(BQ$4="",$C14="",$D14="",N($E14)=0),"",$E14*MAX(0,MIN($D14+1,EDATE(BQ$4,1))-MAX($C14,BQ$4))/MAX(1,$D14+1-$C14))</f>
        <v/>
      </c>
      <c r="BR14" s="64" t="str">
        <f aca="false">IF(OR(BR$4="",$C14="",$D14="",N($E14)=0),"",$E14*MAX(0,MIN($D14+1,EDATE(BR$4,1))-MAX($C14,BR$4))/MAX(1,$D14+1-$C14))</f>
        <v/>
      </c>
      <c r="BS14" s="64" t="str">
        <f aca="false">IF(OR(BS$4="",$C14="",$D14="",N($E14)=0),"",$E14*MAX(0,MIN($D14+1,EDATE(BS$4,1))-MAX($C14,BS$4))/MAX(1,$D14+1-$C14))</f>
        <v/>
      </c>
      <c r="BT14" s="64" t="str">
        <f aca="false">IF(OR(BT$4="",$C14="",$D14="",N($E14)=0),"",$E14*MAX(0,MIN($D14+1,EDATE(BT$4,1))-MAX($C14,BT$4))/MAX(1,$D14+1-$C14))</f>
        <v/>
      </c>
      <c r="BU14" s="64" t="str">
        <f aca="false">IF(OR(BU$4="",$C14="",$D14="",N($E14)=0),"",$E14*MAX(0,MIN($D14+1,EDATE(BU$4,1))-MAX($C14,BU$4))/MAX(1,$D14+1-$C14))</f>
        <v/>
      </c>
      <c r="BV14" s="64" t="str">
        <f aca="false">IF(OR(BV$4="",$C14="",$D14="",N($E14)=0),"",$E14*MAX(0,MIN($D14+1,EDATE(BV$4,1))-MAX($C14,BV$4))/MAX(1,$D14+1-$C14))</f>
        <v/>
      </c>
      <c r="BW14" s="64" t="str">
        <f aca="false">IF(OR(BW$4="",$C14="",$D14="",N($E14)=0),"",$E14*MAX(0,MIN($D14+1,EDATE(BW$4,1))-MAX($C14,BW$4))/MAX(1,$D14+1-$C14))</f>
        <v/>
      </c>
      <c r="BX14" s="64" t="str">
        <f aca="false">IF(OR(BX$4="",$C14="",$D14="",N($E14)=0),"",$E14*MAX(0,MIN($D14+1,EDATE(BX$4,1))-MAX($C14,BX$4))/MAX(1,$D14+1-$C14))</f>
        <v/>
      </c>
      <c r="BY14" s="64" t="str">
        <f aca="false">IF(OR(BY$4="",$C14="",$D14="",N($E14)=0),"",$E14*MAX(0,MIN($D14+1,EDATE(BY$4,1))-MAX($C14,BY$4))/MAX(1,$D14+1-$C14))</f>
        <v/>
      </c>
    </row>
    <row r="15" customFormat="false" ht="15" hidden="false" customHeight="false" outlineLevel="0" collapsed="false">
      <c r="A15" s="61" t="str">
        <f aca="false">IF(BOE!$A16="","",BOE!$A16)</f>
        <v>202</v>
      </c>
      <c r="B15" s="61" t="str">
        <f aca="false">IF(BOE!$A16="","",BOE!$C16)</f>
        <v>Preliminary Hazard Analysis (PHA)</v>
      </c>
      <c r="C15" s="62" t="n">
        <f aca="false">IF(BOE!$O16="","",BOE!$O16)</f>
        <v>46481</v>
      </c>
      <c r="D15" s="62" t="n">
        <f aca="false">IF(BOE!$P16="","",BOE!$P16)</f>
        <v>46600</v>
      </c>
      <c r="E15" s="63" t="n">
        <f aca="false">IF(Inputs!$B$7="P90",BOE!$T16,BOE!$R16)</f>
        <v>480</v>
      </c>
      <c r="F15" s="64" t="n">
        <f aca="false">IF(OR(F$4="",$C15="",$D15="",N($E15)=0),"",$E15*MAX(0,MIN($D15+1,EDATE(F$4,1))-MAX($C15,F$4))/MAX(1,$D15+1-$C15))</f>
        <v>0</v>
      </c>
      <c r="G15" s="64" t="n">
        <f aca="false">IF(OR(G$4="",$C15="",$D15="",N($E15)=0),"",$E15*MAX(0,MIN($D15+1,EDATE(G$4,1))-MAX($C15,G$4))/MAX(1,$D15+1-$C15))</f>
        <v>0</v>
      </c>
      <c r="H15" s="64" t="n">
        <f aca="false">IF(OR(H$4="",$C15="",$D15="",N($E15)=0),"",$E15*MAX(0,MIN($D15+1,EDATE(H$4,1))-MAX($C15,H$4))/MAX(1,$D15+1-$C15))</f>
        <v>0</v>
      </c>
      <c r="I15" s="64" t="n">
        <f aca="false">IF(OR(I$4="",$C15="",$D15="",N($E15)=0),"",$E15*MAX(0,MIN($D15+1,EDATE(I$4,1))-MAX($C15,I$4))/MAX(1,$D15+1-$C15))</f>
        <v>120</v>
      </c>
      <c r="J15" s="64" t="n">
        <f aca="false">IF(OR(J$4="",$C15="",$D15="",N($E15)=0),"",$E15*MAX(0,MIN($D15+1,EDATE(J$4,1))-MAX($C15,J$4))/MAX(1,$D15+1-$C15))</f>
        <v>124</v>
      </c>
      <c r="K15" s="64" t="n">
        <f aca="false">IF(OR(K$4="",$C15="",$D15="",N($E15)=0),"",$E15*MAX(0,MIN($D15+1,EDATE(K$4,1))-MAX($C15,K$4))/MAX(1,$D15+1-$C15))</f>
        <v>120</v>
      </c>
      <c r="L15" s="64" t="n">
        <f aca="false">IF(OR(L$4="",$C15="",$D15="",N($E15)=0),"",$E15*MAX(0,MIN($D15+1,EDATE(L$4,1))-MAX($C15,L$4))/MAX(1,$D15+1-$C15))</f>
        <v>116</v>
      </c>
      <c r="M15" s="64" t="n">
        <f aca="false">IF(OR(M$4="",$C15="",$D15="",N($E15)=0),"",$E15*MAX(0,MIN($D15+1,EDATE(M$4,1))-MAX($C15,M$4))/MAX(1,$D15+1-$C15))</f>
        <v>0</v>
      </c>
      <c r="N15" s="64" t="n">
        <f aca="false">IF(OR(N$4="",$C15="",$D15="",N($E15)=0),"",$E15*MAX(0,MIN($D15+1,EDATE(N$4,1))-MAX($C15,N$4))/MAX(1,$D15+1-$C15))</f>
        <v>0</v>
      </c>
      <c r="O15" s="64" t="n">
        <f aca="false">IF(OR(O$4="",$C15="",$D15="",N($E15)=0),"",$E15*MAX(0,MIN($D15+1,EDATE(O$4,1))-MAX($C15,O$4))/MAX(1,$D15+1-$C15))</f>
        <v>0</v>
      </c>
      <c r="P15" s="64" t="n">
        <f aca="false">IF(OR(P$4="",$C15="",$D15="",N($E15)=0),"",$E15*MAX(0,MIN($D15+1,EDATE(P$4,1))-MAX($C15,P$4))/MAX(1,$D15+1-$C15))</f>
        <v>0</v>
      </c>
      <c r="Q15" s="64" t="n">
        <f aca="false">IF(OR(Q$4="",$C15="",$D15="",N($E15)=0),"",$E15*MAX(0,MIN($D15+1,EDATE(Q$4,1))-MAX($C15,Q$4))/MAX(1,$D15+1-$C15))</f>
        <v>0</v>
      </c>
      <c r="R15" s="64" t="n">
        <f aca="false">IF(OR(R$4="",$C15="",$D15="",N($E15)=0),"",$E15*MAX(0,MIN($D15+1,EDATE(R$4,1))-MAX($C15,R$4))/MAX(1,$D15+1-$C15))</f>
        <v>0</v>
      </c>
      <c r="S15" s="64" t="n">
        <f aca="false">IF(OR(S$4="",$C15="",$D15="",N($E15)=0),"",$E15*MAX(0,MIN($D15+1,EDATE(S$4,1))-MAX($C15,S$4))/MAX(1,$D15+1-$C15))</f>
        <v>0</v>
      </c>
      <c r="T15" s="64" t="n">
        <f aca="false">IF(OR(T$4="",$C15="",$D15="",N($E15)=0),"",$E15*MAX(0,MIN($D15+1,EDATE(T$4,1))-MAX($C15,T$4))/MAX(1,$D15+1-$C15))</f>
        <v>0</v>
      </c>
      <c r="U15" s="64" t="n">
        <f aca="false">IF(OR(U$4="",$C15="",$D15="",N($E15)=0),"",$E15*MAX(0,MIN($D15+1,EDATE(U$4,1))-MAX($C15,U$4))/MAX(1,$D15+1-$C15))</f>
        <v>0</v>
      </c>
      <c r="V15" s="64" t="n">
        <f aca="false">IF(OR(V$4="",$C15="",$D15="",N($E15)=0),"",$E15*MAX(0,MIN($D15+1,EDATE(V$4,1))-MAX($C15,V$4))/MAX(1,$D15+1-$C15))</f>
        <v>0</v>
      </c>
      <c r="W15" s="64" t="n">
        <f aca="false">IF(OR(W$4="",$C15="",$D15="",N($E15)=0),"",$E15*MAX(0,MIN($D15+1,EDATE(W$4,1))-MAX($C15,W$4))/MAX(1,$D15+1-$C15))</f>
        <v>0</v>
      </c>
      <c r="X15" s="64" t="n">
        <f aca="false">IF(OR(X$4="",$C15="",$D15="",N($E15)=0),"",$E15*MAX(0,MIN($D15+1,EDATE(X$4,1))-MAX($C15,X$4))/MAX(1,$D15+1-$C15))</f>
        <v>0</v>
      </c>
      <c r="Y15" s="64" t="n">
        <f aca="false">IF(OR(Y$4="",$C15="",$D15="",N($E15)=0),"",$E15*MAX(0,MIN($D15+1,EDATE(Y$4,1))-MAX($C15,Y$4))/MAX(1,$D15+1-$C15))</f>
        <v>0</v>
      </c>
      <c r="Z15" s="64" t="n">
        <f aca="false">IF(OR(Z$4="",$C15="",$D15="",N($E15)=0),"",$E15*MAX(0,MIN($D15+1,EDATE(Z$4,1))-MAX($C15,Z$4))/MAX(1,$D15+1-$C15))</f>
        <v>0</v>
      </c>
      <c r="AA15" s="64" t="n">
        <f aca="false">IF(OR(AA$4="",$C15="",$D15="",N($E15)=0),"",$E15*MAX(0,MIN($D15+1,EDATE(AA$4,1))-MAX($C15,AA$4))/MAX(1,$D15+1-$C15))</f>
        <v>0</v>
      </c>
      <c r="AB15" s="64" t="n">
        <f aca="false">IF(OR(AB$4="",$C15="",$D15="",N($E15)=0),"",$E15*MAX(0,MIN($D15+1,EDATE(AB$4,1))-MAX($C15,AB$4))/MAX(1,$D15+1-$C15))</f>
        <v>0</v>
      </c>
      <c r="AC15" s="64" t="n">
        <f aca="false">IF(OR(AC$4="",$C15="",$D15="",N($E15)=0),"",$E15*MAX(0,MIN($D15+1,EDATE(AC$4,1))-MAX($C15,AC$4))/MAX(1,$D15+1-$C15))</f>
        <v>0</v>
      </c>
      <c r="AD15" s="64" t="n">
        <f aca="false">IF(OR(AD$4="",$C15="",$D15="",N($E15)=0),"",$E15*MAX(0,MIN($D15+1,EDATE(AD$4,1))-MAX($C15,AD$4))/MAX(1,$D15+1-$C15))</f>
        <v>0</v>
      </c>
      <c r="AE15" s="64" t="n">
        <f aca="false">IF(OR(AE$4="",$C15="",$D15="",N($E15)=0),"",$E15*MAX(0,MIN($D15+1,EDATE(AE$4,1))-MAX($C15,AE$4))/MAX(1,$D15+1-$C15))</f>
        <v>0</v>
      </c>
      <c r="AF15" s="64" t="n">
        <f aca="false">IF(OR(AF$4="",$C15="",$D15="",N($E15)=0),"",$E15*MAX(0,MIN($D15+1,EDATE(AF$4,1))-MAX($C15,AF$4))/MAX(1,$D15+1-$C15))</f>
        <v>0</v>
      </c>
      <c r="AG15" s="64" t="n">
        <f aca="false">IF(OR(AG$4="",$C15="",$D15="",N($E15)=0),"",$E15*MAX(0,MIN($D15+1,EDATE(AG$4,1))-MAX($C15,AG$4))/MAX(1,$D15+1-$C15))</f>
        <v>0</v>
      </c>
      <c r="AH15" s="64" t="n">
        <f aca="false">IF(OR(AH$4="",$C15="",$D15="",N($E15)=0),"",$E15*MAX(0,MIN($D15+1,EDATE(AH$4,1))-MAX($C15,AH$4))/MAX(1,$D15+1-$C15))</f>
        <v>0</v>
      </c>
      <c r="AI15" s="64" t="n">
        <f aca="false">IF(OR(AI$4="",$C15="",$D15="",N($E15)=0),"",$E15*MAX(0,MIN($D15+1,EDATE(AI$4,1))-MAX($C15,AI$4))/MAX(1,$D15+1-$C15))</f>
        <v>0</v>
      </c>
      <c r="AJ15" s="64" t="n">
        <f aca="false">IF(OR(AJ$4="",$C15="",$D15="",N($E15)=0),"",$E15*MAX(0,MIN($D15+1,EDATE(AJ$4,1))-MAX($C15,AJ$4))/MAX(1,$D15+1-$C15))</f>
        <v>0</v>
      </c>
      <c r="AK15" s="64" t="n">
        <f aca="false">IF(OR(AK$4="",$C15="",$D15="",N($E15)=0),"",$E15*MAX(0,MIN($D15+1,EDATE(AK$4,1))-MAX($C15,AK$4))/MAX(1,$D15+1-$C15))</f>
        <v>0</v>
      </c>
      <c r="AL15" s="64" t="n">
        <f aca="false">IF(OR(AL$4="",$C15="",$D15="",N($E15)=0),"",$E15*MAX(0,MIN($D15+1,EDATE(AL$4,1))-MAX($C15,AL$4))/MAX(1,$D15+1-$C15))</f>
        <v>0</v>
      </c>
      <c r="AM15" s="64" t="n">
        <f aca="false">IF(OR(AM$4="",$C15="",$D15="",N($E15)=0),"",$E15*MAX(0,MIN($D15+1,EDATE(AM$4,1))-MAX($C15,AM$4))/MAX(1,$D15+1-$C15))</f>
        <v>0</v>
      </c>
      <c r="AN15" s="64" t="n">
        <f aca="false">IF(OR(AN$4="",$C15="",$D15="",N($E15)=0),"",$E15*MAX(0,MIN($D15+1,EDATE(AN$4,1))-MAX($C15,AN$4))/MAX(1,$D15+1-$C15))</f>
        <v>0</v>
      </c>
      <c r="AO15" s="64" t="n">
        <f aca="false">IF(OR(AO$4="",$C15="",$D15="",N($E15)=0),"",$E15*MAX(0,MIN($D15+1,EDATE(AO$4,1))-MAX($C15,AO$4))/MAX(1,$D15+1-$C15))</f>
        <v>0</v>
      </c>
      <c r="AP15" s="64" t="str">
        <f aca="false">IF(OR(AP$4="",$C15="",$D15="",N($E15)=0),"",$E15*MAX(0,MIN($D15+1,EDATE(AP$4,1))-MAX($C15,AP$4))/MAX(1,$D15+1-$C15))</f>
        <v/>
      </c>
      <c r="AQ15" s="64" t="str">
        <f aca="false">IF(OR(AQ$4="",$C15="",$D15="",N($E15)=0),"",$E15*MAX(0,MIN($D15+1,EDATE(AQ$4,1))-MAX($C15,AQ$4))/MAX(1,$D15+1-$C15))</f>
        <v/>
      </c>
      <c r="AR15" s="64" t="str">
        <f aca="false">IF(OR(AR$4="",$C15="",$D15="",N($E15)=0),"",$E15*MAX(0,MIN($D15+1,EDATE(AR$4,1))-MAX($C15,AR$4))/MAX(1,$D15+1-$C15))</f>
        <v/>
      </c>
      <c r="AS15" s="64" t="str">
        <f aca="false">IF(OR(AS$4="",$C15="",$D15="",N($E15)=0),"",$E15*MAX(0,MIN($D15+1,EDATE(AS$4,1))-MAX($C15,AS$4))/MAX(1,$D15+1-$C15))</f>
        <v/>
      </c>
      <c r="AT15" s="64" t="str">
        <f aca="false">IF(OR(AT$4="",$C15="",$D15="",N($E15)=0),"",$E15*MAX(0,MIN($D15+1,EDATE(AT$4,1))-MAX($C15,AT$4))/MAX(1,$D15+1-$C15))</f>
        <v/>
      </c>
      <c r="AU15" s="64" t="str">
        <f aca="false">IF(OR(AU$4="",$C15="",$D15="",N($E15)=0),"",$E15*MAX(0,MIN($D15+1,EDATE(AU$4,1))-MAX($C15,AU$4))/MAX(1,$D15+1-$C15))</f>
        <v/>
      </c>
      <c r="AV15" s="64" t="str">
        <f aca="false">IF(OR(AV$4="",$C15="",$D15="",N($E15)=0),"",$E15*MAX(0,MIN($D15+1,EDATE(AV$4,1))-MAX($C15,AV$4))/MAX(1,$D15+1-$C15))</f>
        <v/>
      </c>
      <c r="AW15" s="64" t="str">
        <f aca="false">IF(OR(AW$4="",$C15="",$D15="",N($E15)=0),"",$E15*MAX(0,MIN($D15+1,EDATE(AW$4,1))-MAX($C15,AW$4))/MAX(1,$D15+1-$C15))</f>
        <v/>
      </c>
      <c r="AX15" s="64" t="str">
        <f aca="false">IF(OR(AX$4="",$C15="",$D15="",N($E15)=0),"",$E15*MAX(0,MIN($D15+1,EDATE(AX$4,1))-MAX($C15,AX$4))/MAX(1,$D15+1-$C15))</f>
        <v/>
      </c>
      <c r="AY15" s="64" t="str">
        <f aca="false">IF(OR(AY$4="",$C15="",$D15="",N($E15)=0),"",$E15*MAX(0,MIN($D15+1,EDATE(AY$4,1))-MAX($C15,AY$4))/MAX(1,$D15+1-$C15))</f>
        <v/>
      </c>
      <c r="AZ15" s="64" t="str">
        <f aca="false">IF(OR(AZ$4="",$C15="",$D15="",N($E15)=0),"",$E15*MAX(0,MIN($D15+1,EDATE(AZ$4,1))-MAX($C15,AZ$4))/MAX(1,$D15+1-$C15))</f>
        <v/>
      </c>
      <c r="BA15" s="64" t="str">
        <f aca="false">IF(OR(BA$4="",$C15="",$D15="",N($E15)=0),"",$E15*MAX(0,MIN($D15+1,EDATE(BA$4,1))-MAX($C15,BA$4))/MAX(1,$D15+1-$C15))</f>
        <v/>
      </c>
      <c r="BB15" s="64" t="str">
        <f aca="false">IF(OR(BB$4="",$C15="",$D15="",N($E15)=0),"",$E15*MAX(0,MIN($D15+1,EDATE(BB$4,1))-MAX($C15,BB$4))/MAX(1,$D15+1-$C15))</f>
        <v/>
      </c>
      <c r="BC15" s="64" t="str">
        <f aca="false">IF(OR(BC$4="",$C15="",$D15="",N($E15)=0),"",$E15*MAX(0,MIN($D15+1,EDATE(BC$4,1))-MAX($C15,BC$4))/MAX(1,$D15+1-$C15))</f>
        <v/>
      </c>
      <c r="BD15" s="64" t="str">
        <f aca="false">IF(OR(BD$4="",$C15="",$D15="",N($E15)=0),"",$E15*MAX(0,MIN($D15+1,EDATE(BD$4,1))-MAX($C15,BD$4))/MAX(1,$D15+1-$C15))</f>
        <v/>
      </c>
      <c r="BE15" s="64" t="str">
        <f aca="false">IF(OR(BE$4="",$C15="",$D15="",N($E15)=0),"",$E15*MAX(0,MIN($D15+1,EDATE(BE$4,1))-MAX($C15,BE$4))/MAX(1,$D15+1-$C15))</f>
        <v/>
      </c>
      <c r="BF15" s="64" t="str">
        <f aca="false">IF(OR(BF$4="",$C15="",$D15="",N($E15)=0),"",$E15*MAX(0,MIN($D15+1,EDATE(BF$4,1))-MAX($C15,BF$4))/MAX(1,$D15+1-$C15))</f>
        <v/>
      </c>
      <c r="BG15" s="64" t="str">
        <f aca="false">IF(OR(BG$4="",$C15="",$D15="",N($E15)=0),"",$E15*MAX(0,MIN($D15+1,EDATE(BG$4,1))-MAX($C15,BG$4))/MAX(1,$D15+1-$C15))</f>
        <v/>
      </c>
      <c r="BH15" s="64" t="str">
        <f aca="false">IF(OR(BH$4="",$C15="",$D15="",N($E15)=0),"",$E15*MAX(0,MIN($D15+1,EDATE(BH$4,1))-MAX($C15,BH$4))/MAX(1,$D15+1-$C15))</f>
        <v/>
      </c>
      <c r="BI15" s="64" t="str">
        <f aca="false">IF(OR(BI$4="",$C15="",$D15="",N($E15)=0),"",$E15*MAX(0,MIN($D15+1,EDATE(BI$4,1))-MAX($C15,BI$4))/MAX(1,$D15+1-$C15))</f>
        <v/>
      </c>
      <c r="BJ15" s="64" t="str">
        <f aca="false">IF(OR(BJ$4="",$C15="",$D15="",N($E15)=0),"",$E15*MAX(0,MIN($D15+1,EDATE(BJ$4,1))-MAX($C15,BJ$4))/MAX(1,$D15+1-$C15))</f>
        <v/>
      </c>
      <c r="BK15" s="64" t="str">
        <f aca="false">IF(OR(BK$4="",$C15="",$D15="",N($E15)=0),"",$E15*MAX(0,MIN($D15+1,EDATE(BK$4,1))-MAX($C15,BK$4))/MAX(1,$D15+1-$C15))</f>
        <v/>
      </c>
      <c r="BL15" s="64" t="str">
        <f aca="false">IF(OR(BL$4="",$C15="",$D15="",N($E15)=0),"",$E15*MAX(0,MIN($D15+1,EDATE(BL$4,1))-MAX($C15,BL$4))/MAX(1,$D15+1-$C15))</f>
        <v/>
      </c>
      <c r="BM15" s="64" t="str">
        <f aca="false">IF(OR(BM$4="",$C15="",$D15="",N($E15)=0),"",$E15*MAX(0,MIN($D15+1,EDATE(BM$4,1))-MAX($C15,BM$4))/MAX(1,$D15+1-$C15))</f>
        <v/>
      </c>
      <c r="BN15" s="64" t="str">
        <f aca="false">IF(OR(BN$4="",$C15="",$D15="",N($E15)=0),"",$E15*MAX(0,MIN($D15+1,EDATE(BN$4,1))-MAX($C15,BN$4))/MAX(1,$D15+1-$C15))</f>
        <v/>
      </c>
      <c r="BO15" s="64" t="str">
        <f aca="false">IF(OR(BO$4="",$C15="",$D15="",N($E15)=0),"",$E15*MAX(0,MIN($D15+1,EDATE(BO$4,1))-MAX($C15,BO$4))/MAX(1,$D15+1-$C15))</f>
        <v/>
      </c>
      <c r="BP15" s="64" t="str">
        <f aca="false">IF(OR(BP$4="",$C15="",$D15="",N($E15)=0),"",$E15*MAX(0,MIN($D15+1,EDATE(BP$4,1))-MAX($C15,BP$4))/MAX(1,$D15+1-$C15))</f>
        <v/>
      </c>
      <c r="BQ15" s="64" t="str">
        <f aca="false">IF(OR(BQ$4="",$C15="",$D15="",N($E15)=0),"",$E15*MAX(0,MIN($D15+1,EDATE(BQ$4,1))-MAX($C15,BQ$4))/MAX(1,$D15+1-$C15))</f>
        <v/>
      </c>
      <c r="BR15" s="64" t="str">
        <f aca="false">IF(OR(BR$4="",$C15="",$D15="",N($E15)=0),"",$E15*MAX(0,MIN($D15+1,EDATE(BR$4,1))-MAX($C15,BR$4))/MAX(1,$D15+1-$C15))</f>
        <v/>
      </c>
      <c r="BS15" s="64" t="str">
        <f aca="false">IF(OR(BS$4="",$C15="",$D15="",N($E15)=0),"",$E15*MAX(0,MIN($D15+1,EDATE(BS$4,1))-MAX($C15,BS$4))/MAX(1,$D15+1-$C15))</f>
        <v/>
      </c>
      <c r="BT15" s="64" t="str">
        <f aca="false">IF(OR(BT$4="",$C15="",$D15="",N($E15)=0),"",$E15*MAX(0,MIN($D15+1,EDATE(BT$4,1))-MAX($C15,BT$4))/MAX(1,$D15+1-$C15))</f>
        <v/>
      </c>
      <c r="BU15" s="64" t="str">
        <f aca="false">IF(OR(BU$4="",$C15="",$D15="",N($E15)=0),"",$E15*MAX(0,MIN($D15+1,EDATE(BU$4,1))-MAX($C15,BU$4))/MAX(1,$D15+1-$C15))</f>
        <v/>
      </c>
      <c r="BV15" s="64" t="str">
        <f aca="false">IF(OR(BV$4="",$C15="",$D15="",N($E15)=0),"",$E15*MAX(0,MIN($D15+1,EDATE(BV$4,1))-MAX($C15,BV$4))/MAX(1,$D15+1-$C15))</f>
        <v/>
      </c>
      <c r="BW15" s="64" t="str">
        <f aca="false">IF(OR(BW$4="",$C15="",$D15="",N($E15)=0),"",$E15*MAX(0,MIN($D15+1,EDATE(BW$4,1))-MAX($C15,BW$4))/MAX(1,$D15+1-$C15))</f>
        <v/>
      </c>
      <c r="BX15" s="64" t="str">
        <f aca="false">IF(OR(BX$4="",$C15="",$D15="",N($E15)=0),"",$E15*MAX(0,MIN($D15+1,EDATE(BX$4,1))-MAX($C15,BX$4))/MAX(1,$D15+1-$C15))</f>
        <v/>
      </c>
      <c r="BY15" s="64" t="str">
        <f aca="false">IF(OR(BY$4="",$C15="",$D15="",N($E15)=0),"",$E15*MAX(0,MIN($D15+1,EDATE(BY$4,1))-MAX($C15,BY$4))/MAX(1,$D15+1-$C15))</f>
        <v/>
      </c>
    </row>
    <row r="16" customFormat="false" ht="15" hidden="false" customHeight="false" outlineLevel="0" collapsed="false">
      <c r="A16" s="61" t="str">
        <f aca="false">IF(BOE!$A17="","",BOE!$A17)</f>
        <v>203</v>
      </c>
      <c r="B16" s="61" t="str">
        <f aca="false">IF(BOE!$A17="","",BOE!$C17)</f>
        <v>System Requirements Hazard Analysis (SRHA)</v>
      </c>
      <c r="C16" s="62" t="n">
        <f aca="false">IF(BOE!$O17="","",BOE!$O17)</f>
        <v>46481</v>
      </c>
      <c r="D16" s="62" t="n">
        <f aca="false">IF(BOE!$P17="","",BOE!$P17)</f>
        <v>46877</v>
      </c>
      <c r="E16" s="63" t="n">
        <f aca="false">IF(Inputs!$B$7="P90",BOE!$T17,BOE!$R17)</f>
        <v>520</v>
      </c>
      <c r="F16" s="64" t="n">
        <f aca="false">IF(OR(F$4="",$C16="",$D16="",N($E16)=0),"",$E16*MAX(0,MIN($D16+1,EDATE(F$4,1))-MAX($C16,F$4))/MAX(1,$D16+1-$C16))</f>
        <v>0</v>
      </c>
      <c r="G16" s="64" t="n">
        <f aca="false">IF(OR(G$4="",$C16="",$D16="",N($E16)=0),"",$E16*MAX(0,MIN($D16+1,EDATE(G$4,1))-MAX($C16,G$4))/MAX(1,$D16+1-$C16))</f>
        <v>0</v>
      </c>
      <c r="H16" s="64" t="n">
        <f aca="false">IF(OR(H$4="",$C16="",$D16="",N($E16)=0),"",$E16*MAX(0,MIN($D16+1,EDATE(H$4,1))-MAX($C16,H$4))/MAX(1,$D16+1-$C16))</f>
        <v>0</v>
      </c>
      <c r="I16" s="64" t="n">
        <f aca="false">IF(OR(I$4="",$C16="",$D16="",N($E16)=0),"",$E16*MAX(0,MIN($D16+1,EDATE(I$4,1))-MAX($C16,I$4))/MAX(1,$D16+1-$C16))</f>
        <v>39.2947103274559</v>
      </c>
      <c r="J16" s="64" t="n">
        <f aca="false">IF(OR(J$4="",$C16="",$D16="",N($E16)=0),"",$E16*MAX(0,MIN($D16+1,EDATE(J$4,1))-MAX($C16,J$4))/MAX(1,$D16+1-$C16))</f>
        <v>40.6045340050378</v>
      </c>
      <c r="K16" s="64" t="n">
        <f aca="false">IF(OR(K$4="",$C16="",$D16="",N($E16)=0),"",$E16*MAX(0,MIN($D16+1,EDATE(K$4,1))-MAX($C16,K$4))/MAX(1,$D16+1-$C16))</f>
        <v>39.2947103274559</v>
      </c>
      <c r="L16" s="64" t="n">
        <f aca="false">IF(OR(L$4="",$C16="",$D16="",N($E16)=0),"",$E16*MAX(0,MIN($D16+1,EDATE(L$4,1))-MAX($C16,L$4))/MAX(1,$D16+1-$C16))</f>
        <v>40.6045340050378</v>
      </c>
      <c r="M16" s="64" t="n">
        <f aca="false">IF(OR(M$4="",$C16="",$D16="",N($E16)=0),"",$E16*MAX(0,MIN($D16+1,EDATE(M$4,1))-MAX($C16,M$4))/MAX(1,$D16+1-$C16))</f>
        <v>40.6045340050378</v>
      </c>
      <c r="N16" s="64" t="n">
        <f aca="false">IF(OR(N$4="",$C16="",$D16="",N($E16)=0),"",$E16*MAX(0,MIN($D16+1,EDATE(N$4,1))-MAX($C16,N$4))/MAX(1,$D16+1-$C16))</f>
        <v>39.2947103274559</v>
      </c>
      <c r="O16" s="64" t="n">
        <f aca="false">IF(OR(O$4="",$C16="",$D16="",N($E16)=0),"",$E16*MAX(0,MIN($D16+1,EDATE(O$4,1))-MAX($C16,O$4))/MAX(1,$D16+1-$C16))</f>
        <v>40.6045340050378</v>
      </c>
      <c r="P16" s="64" t="n">
        <f aca="false">IF(OR(P$4="",$C16="",$D16="",N($E16)=0),"",$E16*MAX(0,MIN($D16+1,EDATE(P$4,1))-MAX($C16,P$4))/MAX(1,$D16+1-$C16))</f>
        <v>39.2947103274559</v>
      </c>
      <c r="Q16" s="64" t="n">
        <f aca="false">IF(OR(Q$4="",$C16="",$D16="",N($E16)=0),"",$E16*MAX(0,MIN($D16+1,EDATE(Q$4,1))-MAX($C16,Q$4))/MAX(1,$D16+1-$C16))</f>
        <v>40.6045340050378</v>
      </c>
      <c r="R16" s="64" t="n">
        <f aca="false">IF(OR(R$4="",$C16="",$D16="",N($E16)=0),"",$E16*MAX(0,MIN($D16+1,EDATE(R$4,1))-MAX($C16,R$4))/MAX(1,$D16+1-$C16))</f>
        <v>40.6045340050378</v>
      </c>
      <c r="S16" s="64" t="n">
        <f aca="false">IF(OR(S$4="",$C16="",$D16="",N($E16)=0),"",$E16*MAX(0,MIN($D16+1,EDATE(S$4,1))-MAX($C16,S$4))/MAX(1,$D16+1-$C16))</f>
        <v>37.9848866498741</v>
      </c>
      <c r="T16" s="64" t="n">
        <f aca="false">IF(OR(T$4="",$C16="",$D16="",N($E16)=0),"",$E16*MAX(0,MIN($D16+1,EDATE(T$4,1))-MAX($C16,T$4))/MAX(1,$D16+1-$C16))</f>
        <v>40.6045340050378</v>
      </c>
      <c r="U16" s="64" t="n">
        <f aca="false">IF(OR(U$4="",$C16="",$D16="",N($E16)=0),"",$E16*MAX(0,MIN($D16+1,EDATE(U$4,1))-MAX($C16,U$4))/MAX(1,$D16+1-$C16))</f>
        <v>39.2947103274559</v>
      </c>
      <c r="V16" s="64" t="n">
        <f aca="false">IF(OR(V$4="",$C16="",$D16="",N($E16)=0),"",$E16*MAX(0,MIN($D16+1,EDATE(V$4,1))-MAX($C16,V$4))/MAX(1,$D16+1-$C16))</f>
        <v>1.30982367758186</v>
      </c>
      <c r="W16" s="64" t="n">
        <f aca="false">IF(OR(W$4="",$C16="",$D16="",N($E16)=0),"",$E16*MAX(0,MIN($D16+1,EDATE(W$4,1))-MAX($C16,W$4))/MAX(1,$D16+1-$C16))</f>
        <v>0</v>
      </c>
      <c r="X16" s="64" t="n">
        <f aca="false">IF(OR(X$4="",$C16="",$D16="",N($E16)=0),"",$E16*MAX(0,MIN($D16+1,EDATE(X$4,1))-MAX($C16,X$4))/MAX(1,$D16+1-$C16))</f>
        <v>0</v>
      </c>
      <c r="Y16" s="64" t="n">
        <f aca="false">IF(OR(Y$4="",$C16="",$D16="",N($E16)=0),"",$E16*MAX(0,MIN($D16+1,EDATE(Y$4,1))-MAX($C16,Y$4))/MAX(1,$D16+1-$C16))</f>
        <v>0</v>
      </c>
      <c r="Z16" s="64" t="n">
        <f aca="false">IF(OR(Z$4="",$C16="",$D16="",N($E16)=0),"",$E16*MAX(0,MIN($D16+1,EDATE(Z$4,1))-MAX($C16,Z$4))/MAX(1,$D16+1-$C16))</f>
        <v>0</v>
      </c>
      <c r="AA16" s="64" t="n">
        <f aca="false">IF(OR(AA$4="",$C16="",$D16="",N($E16)=0),"",$E16*MAX(0,MIN($D16+1,EDATE(AA$4,1))-MAX($C16,AA$4))/MAX(1,$D16+1-$C16))</f>
        <v>0</v>
      </c>
      <c r="AB16" s="64" t="n">
        <f aca="false">IF(OR(AB$4="",$C16="",$D16="",N($E16)=0),"",$E16*MAX(0,MIN($D16+1,EDATE(AB$4,1))-MAX($C16,AB$4))/MAX(1,$D16+1-$C16))</f>
        <v>0</v>
      </c>
      <c r="AC16" s="64" t="n">
        <f aca="false">IF(OR(AC$4="",$C16="",$D16="",N($E16)=0),"",$E16*MAX(0,MIN($D16+1,EDATE(AC$4,1))-MAX($C16,AC$4))/MAX(1,$D16+1-$C16))</f>
        <v>0</v>
      </c>
      <c r="AD16" s="64" t="n">
        <f aca="false">IF(OR(AD$4="",$C16="",$D16="",N($E16)=0),"",$E16*MAX(0,MIN($D16+1,EDATE(AD$4,1))-MAX($C16,AD$4))/MAX(1,$D16+1-$C16))</f>
        <v>0</v>
      </c>
      <c r="AE16" s="64" t="n">
        <f aca="false">IF(OR(AE$4="",$C16="",$D16="",N($E16)=0),"",$E16*MAX(0,MIN($D16+1,EDATE(AE$4,1))-MAX($C16,AE$4))/MAX(1,$D16+1-$C16))</f>
        <v>0</v>
      </c>
      <c r="AF16" s="64" t="n">
        <f aca="false">IF(OR(AF$4="",$C16="",$D16="",N($E16)=0),"",$E16*MAX(0,MIN($D16+1,EDATE(AF$4,1))-MAX($C16,AF$4))/MAX(1,$D16+1-$C16))</f>
        <v>0</v>
      </c>
      <c r="AG16" s="64" t="n">
        <f aca="false">IF(OR(AG$4="",$C16="",$D16="",N($E16)=0),"",$E16*MAX(0,MIN($D16+1,EDATE(AG$4,1))-MAX($C16,AG$4))/MAX(1,$D16+1-$C16))</f>
        <v>0</v>
      </c>
      <c r="AH16" s="64" t="n">
        <f aca="false">IF(OR(AH$4="",$C16="",$D16="",N($E16)=0),"",$E16*MAX(0,MIN($D16+1,EDATE(AH$4,1))-MAX($C16,AH$4))/MAX(1,$D16+1-$C16))</f>
        <v>0</v>
      </c>
      <c r="AI16" s="64" t="n">
        <f aca="false">IF(OR(AI$4="",$C16="",$D16="",N($E16)=0),"",$E16*MAX(0,MIN($D16+1,EDATE(AI$4,1))-MAX($C16,AI$4))/MAX(1,$D16+1-$C16))</f>
        <v>0</v>
      </c>
      <c r="AJ16" s="64" t="n">
        <f aca="false">IF(OR(AJ$4="",$C16="",$D16="",N($E16)=0),"",$E16*MAX(0,MIN($D16+1,EDATE(AJ$4,1))-MAX($C16,AJ$4))/MAX(1,$D16+1-$C16))</f>
        <v>0</v>
      </c>
      <c r="AK16" s="64" t="n">
        <f aca="false">IF(OR(AK$4="",$C16="",$D16="",N($E16)=0),"",$E16*MAX(0,MIN($D16+1,EDATE(AK$4,1))-MAX($C16,AK$4))/MAX(1,$D16+1-$C16))</f>
        <v>0</v>
      </c>
      <c r="AL16" s="64" t="n">
        <f aca="false">IF(OR(AL$4="",$C16="",$D16="",N($E16)=0),"",$E16*MAX(0,MIN($D16+1,EDATE(AL$4,1))-MAX($C16,AL$4))/MAX(1,$D16+1-$C16))</f>
        <v>0</v>
      </c>
      <c r="AM16" s="64" t="n">
        <f aca="false">IF(OR(AM$4="",$C16="",$D16="",N($E16)=0),"",$E16*MAX(0,MIN($D16+1,EDATE(AM$4,1))-MAX($C16,AM$4))/MAX(1,$D16+1-$C16))</f>
        <v>0</v>
      </c>
      <c r="AN16" s="64" t="n">
        <f aca="false">IF(OR(AN$4="",$C16="",$D16="",N($E16)=0),"",$E16*MAX(0,MIN($D16+1,EDATE(AN$4,1))-MAX($C16,AN$4))/MAX(1,$D16+1-$C16))</f>
        <v>0</v>
      </c>
      <c r="AO16" s="64" t="n">
        <f aca="false">IF(OR(AO$4="",$C16="",$D16="",N($E16)=0),"",$E16*MAX(0,MIN($D16+1,EDATE(AO$4,1))-MAX($C16,AO$4))/MAX(1,$D16+1-$C16))</f>
        <v>0</v>
      </c>
      <c r="AP16" s="64" t="str">
        <f aca="false">IF(OR(AP$4="",$C16="",$D16="",N($E16)=0),"",$E16*MAX(0,MIN($D16+1,EDATE(AP$4,1))-MAX($C16,AP$4))/MAX(1,$D16+1-$C16))</f>
        <v/>
      </c>
      <c r="AQ16" s="64" t="str">
        <f aca="false">IF(OR(AQ$4="",$C16="",$D16="",N($E16)=0),"",$E16*MAX(0,MIN($D16+1,EDATE(AQ$4,1))-MAX($C16,AQ$4))/MAX(1,$D16+1-$C16))</f>
        <v/>
      </c>
      <c r="AR16" s="64" t="str">
        <f aca="false">IF(OR(AR$4="",$C16="",$D16="",N($E16)=0),"",$E16*MAX(0,MIN($D16+1,EDATE(AR$4,1))-MAX($C16,AR$4))/MAX(1,$D16+1-$C16))</f>
        <v/>
      </c>
      <c r="AS16" s="64" t="str">
        <f aca="false">IF(OR(AS$4="",$C16="",$D16="",N($E16)=0),"",$E16*MAX(0,MIN($D16+1,EDATE(AS$4,1))-MAX($C16,AS$4))/MAX(1,$D16+1-$C16))</f>
        <v/>
      </c>
      <c r="AT16" s="64" t="str">
        <f aca="false">IF(OR(AT$4="",$C16="",$D16="",N($E16)=0),"",$E16*MAX(0,MIN($D16+1,EDATE(AT$4,1))-MAX($C16,AT$4))/MAX(1,$D16+1-$C16))</f>
        <v/>
      </c>
      <c r="AU16" s="64" t="str">
        <f aca="false">IF(OR(AU$4="",$C16="",$D16="",N($E16)=0),"",$E16*MAX(0,MIN($D16+1,EDATE(AU$4,1))-MAX($C16,AU$4))/MAX(1,$D16+1-$C16))</f>
        <v/>
      </c>
      <c r="AV16" s="64" t="str">
        <f aca="false">IF(OR(AV$4="",$C16="",$D16="",N($E16)=0),"",$E16*MAX(0,MIN($D16+1,EDATE(AV$4,1))-MAX($C16,AV$4))/MAX(1,$D16+1-$C16))</f>
        <v/>
      </c>
      <c r="AW16" s="64" t="str">
        <f aca="false">IF(OR(AW$4="",$C16="",$D16="",N($E16)=0),"",$E16*MAX(0,MIN($D16+1,EDATE(AW$4,1))-MAX($C16,AW$4))/MAX(1,$D16+1-$C16))</f>
        <v/>
      </c>
      <c r="AX16" s="64" t="str">
        <f aca="false">IF(OR(AX$4="",$C16="",$D16="",N($E16)=0),"",$E16*MAX(0,MIN($D16+1,EDATE(AX$4,1))-MAX($C16,AX$4))/MAX(1,$D16+1-$C16))</f>
        <v/>
      </c>
      <c r="AY16" s="64" t="str">
        <f aca="false">IF(OR(AY$4="",$C16="",$D16="",N($E16)=0),"",$E16*MAX(0,MIN($D16+1,EDATE(AY$4,1))-MAX($C16,AY$4))/MAX(1,$D16+1-$C16))</f>
        <v/>
      </c>
      <c r="AZ16" s="64" t="str">
        <f aca="false">IF(OR(AZ$4="",$C16="",$D16="",N($E16)=0),"",$E16*MAX(0,MIN($D16+1,EDATE(AZ$4,1))-MAX($C16,AZ$4))/MAX(1,$D16+1-$C16))</f>
        <v/>
      </c>
      <c r="BA16" s="64" t="str">
        <f aca="false">IF(OR(BA$4="",$C16="",$D16="",N($E16)=0),"",$E16*MAX(0,MIN($D16+1,EDATE(BA$4,1))-MAX($C16,BA$4))/MAX(1,$D16+1-$C16))</f>
        <v/>
      </c>
      <c r="BB16" s="64" t="str">
        <f aca="false">IF(OR(BB$4="",$C16="",$D16="",N($E16)=0),"",$E16*MAX(0,MIN($D16+1,EDATE(BB$4,1))-MAX($C16,BB$4))/MAX(1,$D16+1-$C16))</f>
        <v/>
      </c>
      <c r="BC16" s="64" t="str">
        <f aca="false">IF(OR(BC$4="",$C16="",$D16="",N($E16)=0),"",$E16*MAX(0,MIN($D16+1,EDATE(BC$4,1))-MAX($C16,BC$4))/MAX(1,$D16+1-$C16))</f>
        <v/>
      </c>
      <c r="BD16" s="64" t="str">
        <f aca="false">IF(OR(BD$4="",$C16="",$D16="",N($E16)=0),"",$E16*MAX(0,MIN($D16+1,EDATE(BD$4,1))-MAX($C16,BD$4))/MAX(1,$D16+1-$C16))</f>
        <v/>
      </c>
      <c r="BE16" s="64" t="str">
        <f aca="false">IF(OR(BE$4="",$C16="",$D16="",N($E16)=0),"",$E16*MAX(0,MIN($D16+1,EDATE(BE$4,1))-MAX($C16,BE$4))/MAX(1,$D16+1-$C16))</f>
        <v/>
      </c>
      <c r="BF16" s="64" t="str">
        <f aca="false">IF(OR(BF$4="",$C16="",$D16="",N($E16)=0),"",$E16*MAX(0,MIN($D16+1,EDATE(BF$4,1))-MAX($C16,BF$4))/MAX(1,$D16+1-$C16))</f>
        <v/>
      </c>
      <c r="BG16" s="64" t="str">
        <f aca="false">IF(OR(BG$4="",$C16="",$D16="",N($E16)=0),"",$E16*MAX(0,MIN($D16+1,EDATE(BG$4,1))-MAX($C16,BG$4))/MAX(1,$D16+1-$C16))</f>
        <v/>
      </c>
      <c r="BH16" s="64" t="str">
        <f aca="false">IF(OR(BH$4="",$C16="",$D16="",N($E16)=0),"",$E16*MAX(0,MIN($D16+1,EDATE(BH$4,1))-MAX($C16,BH$4))/MAX(1,$D16+1-$C16))</f>
        <v/>
      </c>
      <c r="BI16" s="64" t="str">
        <f aca="false">IF(OR(BI$4="",$C16="",$D16="",N($E16)=0),"",$E16*MAX(0,MIN($D16+1,EDATE(BI$4,1))-MAX($C16,BI$4))/MAX(1,$D16+1-$C16))</f>
        <v/>
      </c>
      <c r="BJ16" s="64" t="str">
        <f aca="false">IF(OR(BJ$4="",$C16="",$D16="",N($E16)=0),"",$E16*MAX(0,MIN($D16+1,EDATE(BJ$4,1))-MAX($C16,BJ$4))/MAX(1,$D16+1-$C16))</f>
        <v/>
      </c>
      <c r="BK16" s="64" t="str">
        <f aca="false">IF(OR(BK$4="",$C16="",$D16="",N($E16)=0),"",$E16*MAX(0,MIN($D16+1,EDATE(BK$4,1))-MAX($C16,BK$4))/MAX(1,$D16+1-$C16))</f>
        <v/>
      </c>
      <c r="BL16" s="64" t="str">
        <f aca="false">IF(OR(BL$4="",$C16="",$D16="",N($E16)=0),"",$E16*MAX(0,MIN($D16+1,EDATE(BL$4,1))-MAX($C16,BL$4))/MAX(1,$D16+1-$C16))</f>
        <v/>
      </c>
      <c r="BM16" s="64" t="str">
        <f aca="false">IF(OR(BM$4="",$C16="",$D16="",N($E16)=0),"",$E16*MAX(0,MIN($D16+1,EDATE(BM$4,1))-MAX($C16,BM$4))/MAX(1,$D16+1-$C16))</f>
        <v/>
      </c>
      <c r="BN16" s="64" t="str">
        <f aca="false">IF(OR(BN$4="",$C16="",$D16="",N($E16)=0),"",$E16*MAX(0,MIN($D16+1,EDATE(BN$4,1))-MAX($C16,BN$4))/MAX(1,$D16+1-$C16))</f>
        <v/>
      </c>
      <c r="BO16" s="64" t="str">
        <f aca="false">IF(OR(BO$4="",$C16="",$D16="",N($E16)=0),"",$E16*MAX(0,MIN($D16+1,EDATE(BO$4,1))-MAX($C16,BO$4))/MAX(1,$D16+1-$C16))</f>
        <v/>
      </c>
      <c r="BP16" s="64" t="str">
        <f aca="false">IF(OR(BP$4="",$C16="",$D16="",N($E16)=0),"",$E16*MAX(0,MIN($D16+1,EDATE(BP$4,1))-MAX($C16,BP$4))/MAX(1,$D16+1-$C16))</f>
        <v/>
      </c>
      <c r="BQ16" s="64" t="str">
        <f aca="false">IF(OR(BQ$4="",$C16="",$D16="",N($E16)=0),"",$E16*MAX(0,MIN($D16+1,EDATE(BQ$4,1))-MAX($C16,BQ$4))/MAX(1,$D16+1-$C16))</f>
        <v/>
      </c>
      <c r="BR16" s="64" t="str">
        <f aca="false">IF(OR(BR$4="",$C16="",$D16="",N($E16)=0),"",$E16*MAX(0,MIN($D16+1,EDATE(BR$4,1))-MAX($C16,BR$4))/MAX(1,$D16+1-$C16))</f>
        <v/>
      </c>
      <c r="BS16" s="64" t="str">
        <f aca="false">IF(OR(BS$4="",$C16="",$D16="",N($E16)=0),"",$E16*MAX(0,MIN($D16+1,EDATE(BS$4,1))-MAX($C16,BS$4))/MAX(1,$D16+1-$C16))</f>
        <v/>
      </c>
      <c r="BT16" s="64" t="str">
        <f aca="false">IF(OR(BT$4="",$C16="",$D16="",N($E16)=0),"",$E16*MAX(0,MIN($D16+1,EDATE(BT$4,1))-MAX($C16,BT$4))/MAX(1,$D16+1-$C16))</f>
        <v/>
      </c>
      <c r="BU16" s="64" t="str">
        <f aca="false">IF(OR(BU$4="",$C16="",$D16="",N($E16)=0),"",$E16*MAX(0,MIN($D16+1,EDATE(BU$4,1))-MAX($C16,BU$4))/MAX(1,$D16+1-$C16))</f>
        <v/>
      </c>
      <c r="BV16" s="64" t="str">
        <f aca="false">IF(OR(BV$4="",$C16="",$D16="",N($E16)=0),"",$E16*MAX(0,MIN($D16+1,EDATE(BV$4,1))-MAX($C16,BV$4))/MAX(1,$D16+1-$C16))</f>
        <v/>
      </c>
      <c r="BW16" s="64" t="str">
        <f aca="false">IF(OR(BW$4="",$C16="",$D16="",N($E16)=0),"",$E16*MAX(0,MIN($D16+1,EDATE(BW$4,1))-MAX($C16,BW$4))/MAX(1,$D16+1-$C16))</f>
        <v/>
      </c>
      <c r="BX16" s="64" t="str">
        <f aca="false">IF(OR(BX$4="",$C16="",$D16="",N($E16)=0),"",$E16*MAX(0,MIN($D16+1,EDATE(BX$4,1))-MAX($C16,BX$4))/MAX(1,$D16+1-$C16))</f>
        <v/>
      </c>
      <c r="BY16" s="64" t="str">
        <f aca="false">IF(OR(BY$4="",$C16="",$D16="",N($E16)=0),"",$E16*MAX(0,MIN($D16+1,EDATE(BY$4,1))-MAX($C16,BY$4))/MAX(1,$D16+1-$C16))</f>
        <v/>
      </c>
    </row>
    <row r="17" customFormat="false" ht="15" hidden="false" customHeight="false" outlineLevel="0" collapsed="false">
      <c r="A17" s="61" t="str">
        <f aca="false">IF(BOE!$A18="","",BOE!$A18)</f>
        <v>204</v>
      </c>
      <c r="B17" s="61" t="str">
        <f aca="false">IF(BOE!$A18="","",BOE!$C18)</f>
        <v>Subsystem Hazard Analysis (SSHA)</v>
      </c>
      <c r="C17" s="62" t="n">
        <f aca="false">IF(BOE!$O18="","",BOE!$O18)</f>
        <v>46695</v>
      </c>
      <c r="D17" s="62" t="n">
        <f aca="false">IF(BOE!$P18="","",BOE!$P18)</f>
        <v>46905</v>
      </c>
      <c r="E17" s="63" t="n">
        <f aca="false">IF(Inputs!$B$7="P90",BOE!$T18,BOE!$R18)</f>
        <v>1872</v>
      </c>
      <c r="F17" s="64" t="n">
        <f aca="false">IF(OR(F$4="",$C17="",$D17="",N($E17)=0),"",$E17*MAX(0,MIN($D17+1,EDATE(F$4,1))-MAX($C17,F$4))/MAX(1,$D17+1-$C17))</f>
        <v>0</v>
      </c>
      <c r="G17" s="64" t="n">
        <f aca="false">IF(OR(G$4="",$C17="",$D17="",N($E17)=0),"",$E17*MAX(0,MIN($D17+1,EDATE(G$4,1))-MAX($C17,G$4))/MAX(1,$D17+1-$C17))</f>
        <v>0</v>
      </c>
      <c r="H17" s="64" t="n">
        <f aca="false">IF(OR(H$4="",$C17="",$D17="",N($E17)=0),"",$E17*MAX(0,MIN($D17+1,EDATE(H$4,1))-MAX($C17,H$4))/MAX(1,$D17+1-$C17))</f>
        <v>0</v>
      </c>
      <c r="I17" s="64" t="n">
        <f aca="false">IF(OR(I$4="",$C17="",$D17="",N($E17)=0),"",$E17*MAX(0,MIN($D17+1,EDATE(I$4,1))-MAX($C17,I$4))/MAX(1,$D17+1-$C17))</f>
        <v>0</v>
      </c>
      <c r="J17" s="64" t="n">
        <f aca="false">IF(OR(J$4="",$C17="",$D17="",N($E17)=0),"",$E17*MAX(0,MIN($D17+1,EDATE(J$4,1))-MAX($C17,J$4))/MAX(1,$D17+1-$C17))</f>
        <v>0</v>
      </c>
      <c r="K17" s="64" t="n">
        <f aca="false">IF(OR(K$4="",$C17="",$D17="",N($E17)=0),"",$E17*MAX(0,MIN($D17+1,EDATE(K$4,1))-MAX($C17,K$4))/MAX(1,$D17+1-$C17))</f>
        <v>0</v>
      </c>
      <c r="L17" s="64" t="n">
        <f aca="false">IF(OR(L$4="",$C17="",$D17="",N($E17)=0),"",$E17*MAX(0,MIN($D17+1,EDATE(L$4,1))-MAX($C17,L$4))/MAX(1,$D17+1-$C17))</f>
        <v>0</v>
      </c>
      <c r="M17" s="64" t="n">
        <f aca="false">IF(OR(M$4="",$C17="",$D17="",N($E17)=0),"",$E17*MAX(0,MIN($D17+1,EDATE(M$4,1))-MAX($C17,M$4))/MAX(1,$D17+1-$C17))</f>
        <v>0</v>
      </c>
      <c r="N17" s="64" t="n">
        <f aca="false">IF(OR(N$4="",$C17="",$D17="",N($E17)=0),"",$E17*MAX(0,MIN($D17+1,EDATE(N$4,1))-MAX($C17,N$4))/MAX(1,$D17+1-$C17))</f>
        <v>0</v>
      </c>
      <c r="O17" s="64" t="n">
        <f aca="false">IF(OR(O$4="",$C17="",$D17="",N($E17)=0),"",$E17*MAX(0,MIN($D17+1,EDATE(O$4,1))-MAX($C17,O$4))/MAX(1,$D17+1-$C17))</f>
        <v>0</v>
      </c>
      <c r="P17" s="64" t="n">
        <f aca="false">IF(OR(P$4="",$C17="",$D17="",N($E17)=0),"",$E17*MAX(0,MIN($D17+1,EDATE(P$4,1))-MAX($C17,P$4))/MAX(1,$D17+1-$C17))</f>
        <v>266.161137440758</v>
      </c>
      <c r="Q17" s="64" t="n">
        <f aca="false">IF(OR(Q$4="",$C17="",$D17="",N($E17)=0),"",$E17*MAX(0,MIN($D17+1,EDATE(Q$4,1))-MAX($C17,Q$4))/MAX(1,$D17+1-$C17))</f>
        <v>275.03317535545</v>
      </c>
      <c r="R17" s="64" t="n">
        <f aca="false">IF(OR(R$4="",$C17="",$D17="",N($E17)=0),"",$E17*MAX(0,MIN($D17+1,EDATE(R$4,1))-MAX($C17,R$4))/MAX(1,$D17+1-$C17))</f>
        <v>275.03317535545</v>
      </c>
      <c r="S17" s="64" t="n">
        <f aca="false">IF(OR(S$4="",$C17="",$D17="",N($E17)=0),"",$E17*MAX(0,MIN($D17+1,EDATE(S$4,1))-MAX($C17,S$4))/MAX(1,$D17+1-$C17))</f>
        <v>257.289099526066</v>
      </c>
      <c r="T17" s="64" t="n">
        <f aca="false">IF(OR(T$4="",$C17="",$D17="",N($E17)=0),"",$E17*MAX(0,MIN($D17+1,EDATE(T$4,1))-MAX($C17,T$4))/MAX(1,$D17+1-$C17))</f>
        <v>275.03317535545</v>
      </c>
      <c r="U17" s="64" t="n">
        <f aca="false">IF(OR(U$4="",$C17="",$D17="",N($E17)=0),"",$E17*MAX(0,MIN($D17+1,EDATE(U$4,1))-MAX($C17,U$4))/MAX(1,$D17+1-$C17))</f>
        <v>266.161137440758</v>
      </c>
      <c r="V17" s="64" t="n">
        <f aca="false">IF(OR(V$4="",$C17="",$D17="",N($E17)=0),"",$E17*MAX(0,MIN($D17+1,EDATE(V$4,1))-MAX($C17,V$4))/MAX(1,$D17+1-$C17))</f>
        <v>257.289099526066</v>
      </c>
      <c r="W17" s="64" t="n">
        <f aca="false">IF(OR(W$4="",$C17="",$D17="",N($E17)=0),"",$E17*MAX(0,MIN($D17+1,EDATE(W$4,1))-MAX($C17,W$4))/MAX(1,$D17+1-$C17))</f>
        <v>0</v>
      </c>
      <c r="X17" s="64" t="n">
        <f aca="false">IF(OR(X$4="",$C17="",$D17="",N($E17)=0),"",$E17*MAX(0,MIN($D17+1,EDATE(X$4,1))-MAX($C17,X$4))/MAX(1,$D17+1-$C17))</f>
        <v>0</v>
      </c>
      <c r="Y17" s="64" t="n">
        <f aca="false">IF(OR(Y$4="",$C17="",$D17="",N($E17)=0),"",$E17*MAX(0,MIN($D17+1,EDATE(Y$4,1))-MAX($C17,Y$4))/MAX(1,$D17+1-$C17))</f>
        <v>0</v>
      </c>
      <c r="Z17" s="64" t="n">
        <f aca="false">IF(OR(Z$4="",$C17="",$D17="",N($E17)=0),"",$E17*MAX(0,MIN($D17+1,EDATE(Z$4,1))-MAX($C17,Z$4))/MAX(1,$D17+1-$C17))</f>
        <v>0</v>
      </c>
      <c r="AA17" s="64" t="n">
        <f aca="false">IF(OR(AA$4="",$C17="",$D17="",N($E17)=0),"",$E17*MAX(0,MIN($D17+1,EDATE(AA$4,1))-MAX($C17,AA$4))/MAX(1,$D17+1-$C17))</f>
        <v>0</v>
      </c>
      <c r="AB17" s="64" t="n">
        <f aca="false">IF(OR(AB$4="",$C17="",$D17="",N($E17)=0),"",$E17*MAX(0,MIN($D17+1,EDATE(AB$4,1))-MAX($C17,AB$4))/MAX(1,$D17+1-$C17))</f>
        <v>0</v>
      </c>
      <c r="AC17" s="64" t="n">
        <f aca="false">IF(OR(AC$4="",$C17="",$D17="",N($E17)=0),"",$E17*MAX(0,MIN($D17+1,EDATE(AC$4,1))-MAX($C17,AC$4))/MAX(1,$D17+1-$C17))</f>
        <v>0</v>
      </c>
      <c r="AD17" s="64" t="n">
        <f aca="false">IF(OR(AD$4="",$C17="",$D17="",N($E17)=0),"",$E17*MAX(0,MIN($D17+1,EDATE(AD$4,1))-MAX($C17,AD$4))/MAX(1,$D17+1-$C17))</f>
        <v>0</v>
      </c>
      <c r="AE17" s="64" t="n">
        <f aca="false">IF(OR(AE$4="",$C17="",$D17="",N($E17)=0),"",$E17*MAX(0,MIN($D17+1,EDATE(AE$4,1))-MAX($C17,AE$4))/MAX(1,$D17+1-$C17))</f>
        <v>0</v>
      </c>
      <c r="AF17" s="64" t="n">
        <f aca="false">IF(OR(AF$4="",$C17="",$D17="",N($E17)=0),"",$E17*MAX(0,MIN($D17+1,EDATE(AF$4,1))-MAX($C17,AF$4))/MAX(1,$D17+1-$C17))</f>
        <v>0</v>
      </c>
      <c r="AG17" s="64" t="n">
        <f aca="false">IF(OR(AG$4="",$C17="",$D17="",N($E17)=0),"",$E17*MAX(0,MIN($D17+1,EDATE(AG$4,1))-MAX($C17,AG$4))/MAX(1,$D17+1-$C17))</f>
        <v>0</v>
      </c>
      <c r="AH17" s="64" t="n">
        <f aca="false">IF(OR(AH$4="",$C17="",$D17="",N($E17)=0),"",$E17*MAX(0,MIN($D17+1,EDATE(AH$4,1))-MAX($C17,AH$4))/MAX(1,$D17+1-$C17))</f>
        <v>0</v>
      </c>
      <c r="AI17" s="64" t="n">
        <f aca="false">IF(OR(AI$4="",$C17="",$D17="",N($E17)=0),"",$E17*MAX(0,MIN($D17+1,EDATE(AI$4,1))-MAX($C17,AI$4))/MAX(1,$D17+1-$C17))</f>
        <v>0</v>
      </c>
      <c r="AJ17" s="64" t="n">
        <f aca="false">IF(OR(AJ$4="",$C17="",$D17="",N($E17)=0),"",$E17*MAX(0,MIN($D17+1,EDATE(AJ$4,1))-MAX($C17,AJ$4))/MAX(1,$D17+1-$C17))</f>
        <v>0</v>
      </c>
      <c r="AK17" s="64" t="n">
        <f aca="false">IF(OR(AK$4="",$C17="",$D17="",N($E17)=0),"",$E17*MAX(0,MIN($D17+1,EDATE(AK$4,1))-MAX($C17,AK$4))/MAX(1,$D17+1-$C17))</f>
        <v>0</v>
      </c>
      <c r="AL17" s="64" t="n">
        <f aca="false">IF(OR(AL$4="",$C17="",$D17="",N($E17)=0),"",$E17*MAX(0,MIN($D17+1,EDATE(AL$4,1))-MAX($C17,AL$4))/MAX(1,$D17+1-$C17))</f>
        <v>0</v>
      </c>
      <c r="AM17" s="64" t="n">
        <f aca="false">IF(OR(AM$4="",$C17="",$D17="",N($E17)=0),"",$E17*MAX(0,MIN($D17+1,EDATE(AM$4,1))-MAX($C17,AM$4))/MAX(1,$D17+1-$C17))</f>
        <v>0</v>
      </c>
      <c r="AN17" s="64" t="n">
        <f aca="false">IF(OR(AN$4="",$C17="",$D17="",N($E17)=0),"",$E17*MAX(0,MIN($D17+1,EDATE(AN$4,1))-MAX($C17,AN$4))/MAX(1,$D17+1-$C17))</f>
        <v>0</v>
      </c>
      <c r="AO17" s="64" t="n">
        <f aca="false">IF(OR(AO$4="",$C17="",$D17="",N($E17)=0),"",$E17*MAX(0,MIN($D17+1,EDATE(AO$4,1))-MAX($C17,AO$4))/MAX(1,$D17+1-$C17))</f>
        <v>0</v>
      </c>
      <c r="AP17" s="64" t="str">
        <f aca="false">IF(OR(AP$4="",$C17="",$D17="",N($E17)=0),"",$E17*MAX(0,MIN($D17+1,EDATE(AP$4,1))-MAX($C17,AP$4))/MAX(1,$D17+1-$C17))</f>
        <v/>
      </c>
      <c r="AQ17" s="64" t="str">
        <f aca="false">IF(OR(AQ$4="",$C17="",$D17="",N($E17)=0),"",$E17*MAX(0,MIN($D17+1,EDATE(AQ$4,1))-MAX($C17,AQ$4))/MAX(1,$D17+1-$C17))</f>
        <v/>
      </c>
      <c r="AR17" s="64" t="str">
        <f aca="false">IF(OR(AR$4="",$C17="",$D17="",N($E17)=0),"",$E17*MAX(0,MIN($D17+1,EDATE(AR$4,1))-MAX($C17,AR$4))/MAX(1,$D17+1-$C17))</f>
        <v/>
      </c>
      <c r="AS17" s="64" t="str">
        <f aca="false">IF(OR(AS$4="",$C17="",$D17="",N($E17)=0),"",$E17*MAX(0,MIN($D17+1,EDATE(AS$4,1))-MAX($C17,AS$4))/MAX(1,$D17+1-$C17))</f>
        <v/>
      </c>
      <c r="AT17" s="64" t="str">
        <f aca="false">IF(OR(AT$4="",$C17="",$D17="",N($E17)=0),"",$E17*MAX(0,MIN($D17+1,EDATE(AT$4,1))-MAX($C17,AT$4))/MAX(1,$D17+1-$C17))</f>
        <v/>
      </c>
      <c r="AU17" s="64" t="str">
        <f aca="false">IF(OR(AU$4="",$C17="",$D17="",N($E17)=0),"",$E17*MAX(0,MIN($D17+1,EDATE(AU$4,1))-MAX($C17,AU$4))/MAX(1,$D17+1-$C17))</f>
        <v/>
      </c>
      <c r="AV17" s="64" t="str">
        <f aca="false">IF(OR(AV$4="",$C17="",$D17="",N($E17)=0),"",$E17*MAX(0,MIN($D17+1,EDATE(AV$4,1))-MAX($C17,AV$4))/MAX(1,$D17+1-$C17))</f>
        <v/>
      </c>
      <c r="AW17" s="64" t="str">
        <f aca="false">IF(OR(AW$4="",$C17="",$D17="",N($E17)=0),"",$E17*MAX(0,MIN($D17+1,EDATE(AW$4,1))-MAX($C17,AW$4))/MAX(1,$D17+1-$C17))</f>
        <v/>
      </c>
      <c r="AX17" s="64" t="str">
        <f aca="false">IF(OR(AX$4="",$C17="",$D17="",N($E17)=0),"",$E17*MAX(0,MIN($D17+1,EDATE(AX$4,1))-MAX($C17,AX$4))/MAX(1,$D17+1-$C17))</f>
        <v/>
      </c>
      <c r="AY17" s="64" t="str">
        <f aca="false">IF(OR(AY$4="",$C17="",$D17="",N($E17)=0),"",$E17*MAX(0,MIN($D17+1,EDATE(AY$4,1))-MAX($C17,AY$4))/MAX(1,$D17+1-$C17))</f>
        <v/>
      </c>
      <c r="AZ17" s="64" t="str">
        <f aca="false">IF(OR(AZ$4="",$C17="",$D17="",N($E17)=0),"",$E17*MAX(0,MIN($D17+1,EDATE(AZ$4,1))-MAX($C17,AZ$4))/MAX(1,$D17+1-$C17))</f>
        <v/>
      </c>
      <c r="BA17" s="64" t="str">
        <f aca="false">IF(OR(BA$4="",$C17="",$D17="",N($E17)=0),"",$E17*MAX(0,MIN($D17+1,EDATE(BA$4,1))-MAX($C17,BA$4))/MAX(1,$D17+1-$C17))</f>
        <v/>
      </c>
      <c r="BB17" s="64" t="str">
        <f aca="false">IF(OR(BB$4="",$C17="",$D17="",N($E17)=0),"",$E17*MAX(0,MIN($D17+1,EDATE(BB$4,1))-MAX($C17,BB$4))/MAX(1,$D17+1-$C17))</f>
        <v/>
      </c>
      <c r="BC17" s="64" t="str">
        <f aca="false">IF(OR(BC$4="",$C17="",$D17="",N($E17)=0),"",$E17*MAX(0,MIN($D17+1,EDATE(BC$4,1))-MAX($C17,BC$4))/MAX(1,$D17+1-$C17))</f>
        <v/>
      </c>
      <c r="BD17" s="64" t="str">
        <f aca="false">IF(OR(BD$4="",$C17="",$D17="",N($E17)=0),"",$E17*MAX(0,MIN($D17+1,EDATE(BD$4,1))-MAX($C17,BD$4))/MAX(1,$D17+1-$C17))</f>
        <v/>
      </c>
      <c r="BE17" s="64" t="str">
        <f aca="false">IF(OR(BE$4="",$C17="",$D17="",N($E17)=0),"",$E17*MAX(0,MIN($D17+1,EDATE(BE$4,1))-MAX($C17,BE$4))/MAX(1,$D17+1-$C17))</f>
        <v/>
      </c>
      <c r="BF17" s="64" t="str">
        <f aca="false">IF(OR(BF$4="",$C17="",$D17="",N($E17)=0),"",$E17*MAX(0,MIN($D17+1,EDATE(BF$4,1))-MAX($C17,BF$4))/MAX(1,$D17+1-$C17))</f>
        <v/>
      </c>
      <c r="BG17" s="64" t="str">
        <f aca="false">IF(OR(BG$4="",$C17="",$D17="",N($E17)=0),"",$E17*MAX(0,MIN($D17+1,EDATE(BG$4,1))-MAX($C17,BG$4))/MAX(1,$D17+1-$C17))</f>
        <v/>
      </c>
      <c r="BH17" s="64" t="str">
        <f aca="false">IF(OR(BH$4="",$C17="",$D17="",N($E17)=0),"",$E17*MAX(0,MIN($D17+1,EDATE(BH$4,1))-MAX($C17,BH$4))/MAX(1,$D17+1-$C17))</f>
        <v/>
      </c>
      <c r="BI17" s="64" t="str">
        <f aca="false">IF(OR(BI$4="",$C17="",$D17="",N($E17)=0),"",$E17*MAX(0,MIN($D17+1,EDATE(BI$4,1))-MAX($C17,BI$4))/MAX(1,$D17+1-$C17))</f>
        <v/>
      </c>
      <c r="BJ17" s="64" t="str">
        <f aca="false">IF(OR(BJ$4="",$C17="",$D17="",N($E17)=0),"",$E17*MAX(0,MIN($D17+1,EDATE(BJ$4,1))-MAX($C17,BJ$4))/MAX(1,$D17+1-$C17))</f>
        <v/>
      </c>
      <c r="BK17" s="64" t="str">
        <f aca="false">IF(OR(BK$4="",$C17="",$D17="",N($E17)=0),"",$E17*MAX(0,MIN($D17+1,EDATE(BK$4,1))-MAX($C17,BK$4))/MAX(1,$D17+1-$C17))</f>
        <v/>
      </c>
      <c r="BL17" s="64" t="str">
        <f aca="false">IF(OR(BL$4="",$C17="",$D17="",N($E17)=0),"",$E17*MAX(0,MIN($D17+1,EDATE(BL$4,1))-MAX($C17,BL$4))/MAX(1,$D17+1-$C17))</f>
        <v/>
      </c>
      <c r="BM17" s="64" t="str">
        <f aca="false">IF(OR(BM$4="",$C17="",$D17="",N($E17)=0),"",$E17*MAX(0,MIN($D17+1,EDATE(BM$4,1))-MAX($C17,BM$4))/MAX(1,$D17+1-$C17))</f>
        <v/>
      </c>
      <c r="BN17" s="64" t="str">
        <f aca="false">IF(OR(BN$4="",$C17="",$D17="",N($E17)=0),"",$E17*MAX(0,MIN($D17+1,EDATE(BN$4,1))-MAX($C17,BN$4))/MAX(1,$D17+1-$C17))</f>
        <v/>
      </c>
      <c r="BO17" s="64" t="str">
        <f aca="false">IF(OR(BO$4="",$C17="",$D17="",N($E17)=0),"",$E17*MAX(0,MIN($D17+1,EDATE(BO$4,1))-MAX($C17,BO$4))/MAX(1,$D17+1-$C17))</f>
        <v/>
      </c>
      <c r="BP17" s="64" t="str">
        <f aca="false">IF(OR(BP$4="",$C17="",$D17="",N($E17)=0),"",$E17*MAX(0,MIN($D17+1,EDATE(BP$4,1))-MAX($C17,BP$4))/MAX(1,$D17+1-$C17))</f>
        <v/>
      </c>
      <c r="BQ17" s="64" t="str">
        <f aca="false">IF(OR(BQ$4="",$C17="",$D17="",N($E17)=0),"",$E17*MAX(0,MIN($D17+1,EDATE(BQ$4,1))-MAX($C17,BQ$4))/MAX(1,$D17+1-$C17))</f>
        <v/>
      </c>
      <c r="BR17" s="64" t="str">
        <f aca="false">IF(OR(BR$4="",$C17="",$D17="",N($E17)=0),"",$E17*MAX(0,MIN($D17+1,EDATE(BR$4,1))-MAX($C17,BR$4))/MAX(1,$D17+1-$C17))</f>
        <v/>
      </c>
      <c r="BS17" s="64" t="str">
        <f aca="false">IF(OR(BS$4="",$C17="",$D17="",N($E17)=0),"",$E17*MAX(0,MIN($D17+1,EDATE(BS$4,1))-MAX($C17,BS$4))/MAX(1,$D17+1-$C17))</f>
        <v/>
      </c>
      <c r="BT17" s="64" t="str">
        <f aca="false">IF(OR(BT$4="",$C17="",$D17="",N($E17)=0),"",$E17*MAX(0,MIN($D17+1,EDATE(BT$4,1))-MAX($C17,BT$4))/MAX(1,$D17+1-$C17))</f>
        <v/>
      </c>
      <c r="BU17" s="64" t="str">
        <f aca="false">IF(OR(BU$4="",$C17="",$D17="",N($E17)=0),"",$E17*MAX(0,MIN($D17+1,EDATE(BU$4,1))-MAX($C17,BU$4))/MAX(1,$D17+1-$C17))</f>
        <v/>
      </c>
      <c r="BV17" s="64" t="str">
        <f aca="false">IF(OR(BV$4="",$C17="",$D17="",N($E17)=0),"",$E17*MAX(0,MIN($D17+1,EDATE(BV$4,1))-MAX($C17,BV$4))/MAX(1,$D17+1-$C17))</f>
        <v/>
      </c>
      <c r="BW17" s="64" t="str">
        <f aca="false">IF(OR(BW$4="",$C17="",$D17="",N($E17)=0),"",$E17*MAX(0,MIN($D17+1,EDATE(BW$4,1))-MAX($C17,BW$4))/MAX(1,$D17+1-$C17))</f>
        <v/>
      </c>
      <c r="BX17" s="64" t="str">
        <f aca="false">IF(OR(BX$4="",$C17="",$D17="",N($E17)=0),"",$E17*MAX(0,MIN($D17+1,EDATE(BX$4,1))-MAX($C17,BX$4))/MAX(1,$D17+1-$C17))</f>
        <v/>
      </c>
      <c r="BY17" s="64" t="str">
        <f aca="false">IF(OR(BY$4="",$C17="",$D17="",N($E17)=0),"",$E17*MAX(0,MIN($D17+1,EDATE(BY$4,1))-MAX($C17,BY$4))/MAX(1,$D17+1-$C17))</f>
        <v/>
      </c>
    </row>
    <row r="18" customFormat="false" ht="15" hidden="false" customHeight="false" outlineLevel="0" collapsed="false">
      <c r="A18" s="61" t="str">
        <f aca="false">IF(BOE!$A19="","",BOE!$A19)</f>
        <v>205</v>
      </c>
      <c r="B18" s="61" t="str">
        <f aca="false">IF(BOE!$A19="","",BOE!$C19)</f>
        <v>System Hazard Analysis (SHA)</v>
      </c>
      <c r="C18" s="62" t="n">
        <f aca="false">IF(BOE!$O19="","",BOE!$O19)</f>
        <v>46695</v>
      </c>
      <c r="D18" s="62" t="n">
        <f aca="false">IF(BOE!$P19="","",BOE!$P19)</f>
        <v>46933</v>
      </c>
      <c r="E18" s="63" t="n">
        <f aca="false">IF(Inputs!$B$7="P90",BOE!$T19,BOE!$R19)</f>
        <v>832</v>
      </c>
      <c r="F18" s="64" t="n">
        <f aca="false">IF(OR(F$4="",$C18="",$D18="",N($E18)=0),"",$E18*MAX(0,MIN($D18+1,EDATE(F$4,1))-MAX($C18,F$4))/MAX(1,$D18+1-$C18))</f>
        <v>0</v>
      </c>
      <c r="G18" s="64" t="n">
        <f aca="false">IF(OR(G$4="",$C18="",$D18="",N($E18)=0),"",$E18*MAX(0,MIN($D18+1,EDATE(G$4,1))-MAX($C18,G$4))/MAX(1,$D18+1-$C18))</f>
        <v>0</v>
      </c>
      <c r="H18" s="64" t="n">
        <f aca="false">IF(OR(H$4="",$C18="",$D18="",N($E18)=0),"",$E18*MAX(0,MIN($D18+1,EDATE(H$4,1))-MAX($C18,H$4))/MAX(1,$D18+1-$C18))</f>
        <v>0</v>
      </c>
      <c r="I18" s="64" t="n">
        <f aca="false">IF(OR(I$4="",$C18="",$D18="",N($E18)=0),"",$E18*MAX(0,MIN($D18+1,EDATE(I$4,1))-MAX($C18,I$4))/MAX(1,$D18+1-$C18))</f>
        <v>0</v>
      </c>
      <c r="J18" s="64" t="n">
        <f aca="false">IF(OR(J$4="",$C18="",$D18="",N($E18)=0),"",$E18*MAX(0,MIN($D18+1,EDATE(J$4,1))-MAX($C18,J$4))/MAX(1,$D18+1-$C18))</f>
        <v>0</v>
      </c>
      <c r="K18" s="64" t="n">
        <f aca="false">IF(OR(K$4="",$C18="",$D18="",N($E18)=0),"",$E18*MAX(0,MIN($D18+1,EDATE(K$4,1))-MAX($C18,K$4))/MAX(1,$D18+1-$C18))</f>
        <v>0</v>
      </c>
      <c r="L18" s="64" t="n">
        <f aca="false">IF(OR(L$4="",$C18="",$D18="",N($E18)=0),"",$E18*MAX(0,MIN($D18+1,EDATE(L$4,1))-MAX($C18,L$4))/MAX(1,$D18+1-$C18))</f>
        <v>0</v>
      </c>
      <c r="M18" s="64" t="n">
        <f aca="false">IF(OR(M$4="",$C18="",$D18="",N($E18)=0),"",$E18*MAX(0,MIN($D18+1,EDATE(M$4,1))-MAX($C18,M$4))/MAX(1,$D18+1-$C18))</f>
        <v>0</v>
      </c>
      <c r="N18" s="64" t="n">
        <f aca="false">IF(OR(N$4="",$C18="",$D18="",N($E18)=0),"",$E18*MAX(0,MIN($D18+1,EDATE(N$4,1))-MAX($C18,N$4))/MAX(1,$D18+1-$C18))</f>
        <v>0</v>
      </c>
      <c r="O18" s="64" t="n">
        <f aca="false">IF(OR(O$4="",$C18="",$D18="",N($E18)=0),"",$E18*MAX(0,MIN($D18+1,EDATE(O$4,1))-MAX($C18,O$4))/MAX(1,$D18+1-$C18))</f>
        <v>0</v>
      </c>
      <c r="P18" s="64" t="n">
        <f aca="false">IF(OR(P$4="",$C18="",$D18="",N($E18)=0),"",$E18*MAX(0,MIN($D18+1,EDATE(P$4,1))-MAX($C18,P$4))/MAX(1,$D18+1-$C18))</f>
        <v>104.435146443515</v>
      </c>
      <c r="Q18" s="64" t="n">
        <f aca="false">IF(OR(Q$4="",$C18="",$D18="",N($E18)=0),"",$E18*MAX(0,MIN($D18+1,EDATE(Q$4,1))-MAX($C18,Q$4))/MAX(1,$D18+1-$C18))</f>
        <v>107.916317991632</v>
      </c>
      <c r="R18" s="64" t="n">
        <f aca="false">IF(OR(R$4="",$C18="",$D18="",N($E18)=0),"",$E18*MAX(0,MIN($D18+1,EDATE(R$4,1))-MAX($C18,R$4))/MAX(1,$D18+1-$C18))</f>
        <v>107.916317991632</v>
      </c>
      <c r="S18" s="64" t="n">
        <f aca="false">IF(OR(S$4="",$C18="",$D18="",N($E18)=0),"",$E18*MAX(0,MIN($D18+1,EDATE(S$4,1))-MAX($C18,S$4))/MAX(1,$D18+1-$C18))</f>
        <v>100.953974895398</v>
      </c>
      <c r="T18" s="64" t="n">
        <f aca="false">IF(OR(T$4="",$C18="",$D18="",N($E18)=0),"",$E18*MAX(0,MIN($D18+1,EDATE(T$4,1))-MAX($C18,T$4))/MAX(1,$D18+1-$C18))</f>
        <v>107.916317991632</v>
      </c>
      <c r="U18" s="64" t="n">
        <f aca="false">IF(OR(U$4="",$C18="",$D18="",N($E18)=0),"",$E18*MAX(0,MIN($D18+1,EDATE(U$4,1))-MAX($C18,U$4))/MAX(1,$D18+1-$C18))</f>
        <v>104.435146443515</v>
      </c>
      <c r="V18" s="64" t="n">
        <f aca="false">IF(OR(V$4="",$C18="",$D18="",N($E18)=0),"",$E18*MAX(0,MIN($D18+1,EDATE(V$4,1))-MAX($C18,V$4))/MAX(1,$D18+1-$C18))</f>
        <v>107.916317991632</v>
      </c>
      <c r="W18" s="64" t="n">
        <f aca="false">IF(OR(W$4="",$C18="",$D18="",N($E18)=0),"",$E18*MAX(0,MIN($D18+1,EDATE(W$4,1))-MAX($C18,W$4))/MAX(1,$D18+1-$C18))</f>
        <v>90.510460251046</v>
      </c>
      <c r="X18" s="64" t="n">
        <f aca="false">IF(OR(X$4="",$C18="",$D18="",N($E18)=0),"",$E18*MAX(0,MIN($D18+1,EDATE(X$4,1))-MAX($C18,X$4))/MAX(1,$D18+1-$C18))</f>
        <v>0</v>
      </c>
      <c r="Y18" s="64" t="n">
        <f aca="false">IF(OR(Y$4="",$C18="",$D18="",N($E18)=0),"",$E18*MAX(0,MIN($D18+1,EDATE(Y$4,1))-MAX($C18,Y$4))/MAX(1,$D18+1-$C18))</f>
        <v>0</v>
      </c>
      <c r="Z18" s="64" t="n">
        <f aca="false">IF(OR(Z$4="",$C18="",$D18="",N($E18)=0),"",$E18*MAX(0,MIN($D18+1,EDATE(Z$4,1))-MAX($C18,Z$4))/MAX(1,$D18+1-$C18))</f>
        <v>0</v>
      </c>
      <c r="AA18" s="64" t="n">
        <f aca="false">IF(OR(AA$4="",$C18="",$D18="",N($E18)=0),"",$E18*MAX(0,MIN($D18+1,EDATE(AA$4,1))-MAX($C18,AA$4))/MAX(1,$D18+1-$C18))</f>
        <v>0</v>
      </c>
      <c r="AB18" s="64" t="n">
        <f aca="false">IF(OR(AB$4="",$C18="",$D18="",N($E18)=0),"",$E18*MAX(0,MIN($D18+1,EDATE(AB$4,1))-MAX($C18,AB$4))/MAX(1,$D18+1-$C18))</f>
        <v>0</v>
      </c>
      <c r="AC18" s="64" t="n">
        <f aca="false">IF(OR(AC$4="",$C18="",$D18="",N($E18)=0),"",$E18*MAX(0,MIN($D18+1,EDATE(AC$4,1))-MAX($C18,AC$4))/MAX(1,$D18+1-$C18))</f>
        <v>0</v>
      </c>
      <c r="AD18" s="64" t="n">
        <f aca="false">IF(OR(AD$4="",$C18="",$D18="",N($E18)=0),"",$E18*MAX(0,MIN($D18+1,EDATE(AD$4,1))-MAX($C18,AD$4))/MAX(1,$D18+1-$C18))</f>
        <v>0</v>
      </c>
      <c r="AE18" s="64" t="n">
        <f aca="false">IF(OR(AE$4="",$C18="",$D18="",N($E18)=0),"",$E18*MAX(0,MIN($D18+1,EDATE(AE$4,1))-MAX($C18,AE$4))/MAX(1,$D18+1-$C18))</f>
        <v>0</v>
      </c>
      <c r="AF18" s="64" t="n">
        <f aca="false">IF(OR(AF$4="",$C18="",$D18="",N($E18)=0),"",$E18*MAX(0,MIN($D18+1,EDATE(AF$4,1))-MAX($C18,AF$4))/MAX(1,$D18+1-$C18))</f>
        <v>0</v>
      </c>
      <c r="AG18" s="64" t="n">
        <f aca="false">IF(OR(AG$4="",$C18="",$D18="",N($E18)=0),"",$E18*MAX(0,MIN($D18+1,EDATE(AG$4,1))-MAX($C18,AG$4))/MAX(1,$D18+1-$C18))</f>
        <v>0</v>
      </c>
      <c r="AH18" s="64" t="n">
        <f aca="false">IF(OR(AH$4="",$C18="",$D18="",N($E18)=0),"",$E18*MAX(0,MIN($D18+1,EDATE(AH$4,1))-MAX($C18,AH$4))/MAX(1,$D18+1-$C18))</f>
        <v>0</v>
      </c>
      <c r="AI18" s="64" t="n">
        <f aca="false">IF(OR(AI$4="",$C18="",$D18="",N($E18)=0),"",$E18*MAX(0,MIN($D18+1,EDATE(AI$4,1))-MAX($C18,AI$4))/MAX(1,$D18+1-$C18))</f>
        <v>0</v>
      </c>
      <c r="AJ18" s="64" t="n">
        <f aca="false">IF(OR(AJ$4="",$C18="",$D18="",N($E18)=0),"",$E18*MAX(0,MIN($D18+1,EDATE(AJ$4,1))-MAX($C18,AJ$4))/MAX(1,$D18+1-$C18))</f>
        <v>0</v>
      </c>
      <c r="AK18" s="64" t="n">
        <f aca="false">IF(OR(AK$4="",$C18="",$D18="",N($E18)=0),"",$E18*MAX(0,MIN($D18+1,EDATE(AK$4,1))-MAX($C18,AK$4))/MAX(1,$D18+1-$C18))</f>
        <v>0</v>
      </c>
      <c r="AL18" s="64" t="n">
        <f aca="false">IF(OR(AL$4="",$C18="",$D18="",N($E18)=0),"",$E18*MAX(0,MIN($D18+1,EDATE(AL$4,1))-MAX($C18,AL$4))/MAX(1,$D18+1-$C18))</f>
        <v>0</v>
      </c>
      <c r="AM18" s="64" t="n">
        <f aca="false">IF(OR(AM$4="",$C18="",$D18="",N($E18)=0),"",$E18*MAX(0,MIN($D18+1,EDATE(AM$4,1))-MAX($C18,AM$4))/MAX(1,$D18+1-$C18))</f>
        <v>0</v>
      </c>
      <c r="AN18" s="64" t="n">
        <f aca="false">IF(OR(AN$4="",$C18="",$D18="",N($E18)=0),"",$E18*MAX(0,MIN($D18+1,EDATE(AN$4,1))-MAX($C18,AN$4))/MAX(1,$D18+1-$C18))</f>
        <v>0</v>
      </c>
      <c r="AO18" s="64" t="n">
        <f aca="false">IF(OR(AO$4="",$C18="",$D18="",N($E18)=0),"",$E18*MAX(0,MIN($D18+1,EDATE(AO$4,1))-MAX($C18,AO$4))/MAX(1,$D18+1-$C18))</f>
        <v>0</v>
      </c>
      <c r="AP18" s="64" t="str">
        <f aca="false">IF(OR(AP$4="",$C18="",$D18="",N($E18)=0),"",$E18*MAX(0,MIN($D18+1,EDATE(AP$4,1))-MAX($C18,AP$4))/MAX(1,$D18+1-$C18))</f>
        <v/>
      </c>
      <c r="AQ18" s="64" t="str">
        <f aca="false">IF(OR(AQ$4="",$C18="",$D18="",N($E18)=0),"",$E18*MAX(0,MIN($D18+1,EDATE(AQ$4,1))-MAX($C18,AQ$4))/MAX(1,$D18+1-$C18))</f>
        <v/>
      </c>
      <c r="AR18" s="64" t="str">
        <f aca="false">IF(OR(AR$4="",$C18="",$D18="",N($E18)=0),"",$E18*MAX(0,MIN($D18+1,EDATE(AR$4,1))-MAX($C18,AR$4))/MAX(1,$D18+1-$C18))</f>
        <v/>
      </c>
      <c r="AS18" s="64" t="str">
        <f aca="false">IF(OR(AS$4="",$C18="",$D18="",N($E18)=0),"",$E18*MAX(0,MIN($D18+1,EDATE(AS$4,1))-MAX($C18,AS$4))/MAX(1,$D18+1-$C18))</f>
        <v/>
      </c>
      <c r="AT18" s="64" t="str">
        <f aca="false">IF(OR(AT$4="",$C18="",$D18="",N($E18)=0),"",$E18*MAX(0,MIN($D18+1,EDATE(AT$4,1))-MAX($C18,AT$4))/MAX(1,$D18+1-$C18))</f>
        <v/>
      </c>
      <c r="AU18" s="64" t="str">
        <f aca="false">IF(OR(AU$4="",$C18="",$D18="",N($E18)=0),"",$E18*MAX(0,MIN($D18+1,EDATE(AU$4,1))-MAX($C18,AU$4))/MAX(1,$D18+1-$C18))</f>
        <v/>
      </c>
      <c r="AV18" s="64" t="str">
        <f aca="false">IF(OR(AV$4="",$C18="",$D18="",N($E18)=0),"",$E18*MAX(0,MIN($D18+1,EDATE(AV$4,1))-MAX($C18,AV$4))/MAX(1,$D18+1-$C18))</f>
        <v/>
      </c>
      <c r="AW18" s="64" t="str">
        <f aca="false">IF(OR(AW$4="",$C18="",$D18="",N($E18)=0),"",$E18*MAX(0,MIN($D18+1,EDATE(AW$4,1))-MAX($C18,AW$4))/MAX(1,$D18+1-$C18))</f>
        <v/>
      </c>
      <c r="AX18" s="64" t="str">
        <f aca="false">IF(OR(AX$4="",$C18="",$D18="",N($E18)=0),"",$E18*MAX(0,MIN($D18+1,EDATE(AX$4,1))-MAX($C18,AX$4))/MAX(1,$D18+1-$C18))</f>
        <v/>
      </c>
      <c r="AY18" s="64" t="str">
        <f aca="false">IF(OR(AY$4="",$C18="",$D18="",N($E18)=0),"",$E18*MAX(0,MIN($D18+1,EDATE(AY$4,1))-MAX($C18,AY$4))/MAX(1,$D18+1-$C18))</f>
        <v/>
      </c>
      <c r="AZ18" s="64" t="str">
        <f aca="false">IF(OR(AZ$4="",$C18="",$D18="",N($E18)=0),"",$E18*MAX(0,MIN($D18+1,EDATE(AZ$4,1))-MAX($C18,AZ$4))/MAX(1,$D18+1-$C18))</f>
        <v/>
      </c>
      <c r="BA18" s="64" t="str">
        <f aca="false">IF(OR(BA$4="",$C18="",$D18="",N($E18)=0),"",$E18*MAX(0,MIN($D18+1,EDATE(BA$4,1))-MAX($C18,BA$4))/MAX(1,$D18+1-$C18))</f>
        <v/>
      </c>
      <c r="BB18" s="64" t="str">
        <f aca="false">IF(OR(BB$4="",$C18="",$D18="",N($E18)=0),"",$E18*MAX(0,MIN($D18+1,EDATE(BB$4,1))-MAX($C18,BB$4))/MAX(1,$D18+1-$C18))</f>
        <v/>
      </c>
      <c r="BC18" s="64" t="str">
        <f aca="false">IF(OR(BC$4="",$C18="",$D18="",N($E18)=0),"",$E18*MAX(0,MIN($D18+1,EDATE(BC$4,1))-MAX($C18,BC$4))/MAX(1,$D18+1-$C18))</f>
        <v/>
      </c>
      <c r="BD18" s="64" t="str">
        <f aca="false">IF(OR(BD$4="",$C18="",$D18="",N($E18)=0),"",$E18*MAX(0,MIN($D18+1,EDATE(BD$4,1))-MAX($C18,BD$4))/MAX(1,$D18+1-$C18))</f>
        <v/>
      </c>
      <c r="BE18" s="64" t="str">
        <f aca="false">IF(OR(BE$4="",$C18="",$D18="",N($E18)=0),"",$E18*MAX(0,MIN($D18+1,EDATE(BE$4,1))-MAX($C18,BE$4))/MAX(1,$D18+1-$C18))</f>
        <v/>
      </c>
      <c r="BF18" s="64" t="str">
        <f aca="false">IF(OR(BF$4="",$C18="",$D18="",N($E18)=0),"",$E18*MAX(0,MIN($D18+1,EDATE(BF$4,1))-MAX($C18,BF$4))/MAX(1,$D18+1-$C18))</f>
        <v/>
      </c>
      <c r="BG18" s="64" t="str">
        <f aca="false">IF(OR(BG$4="",$C18="",$D18="",N($E18)=0),"",$E18*MAX(0,MIN($D18+1,EDATE(BG$4,1))-MAX($C18,BG$4))/MAX(1,$D18+1-$C18))</f>
        <v/>
      </c>
      <c r="BH18" s="64" t="str">
        <f aca="false">IF(OR(BH$4="",$C18="",$D18="",N($E18)=0),"",$E18*MAX(0,MIN($D18+1,EDATE(BH$4,1))-MAX($C18,BH$4))/MAX(1,$D18+1-$C18))</f>
        <v/>
      </c>
      <c r="BI18" s="64" t="str">
        <f aca="false">IF(OR(BI$4="",$C18="",$D18="",N($E18)=0),"",$E18*MAX(0,MIN($D18+1,EDATE(BI$4,1))-MAX($C18,BI$4))/MAX(1,$D18+1-$C18))</f>
        <v/>
      </c>
      <c r="BJ18" s="64" t="str">
        <f aca="false">IF(OR(BJ$4="",$C18="",$D18="",N($E18)=0),"",$E18*MAX(0,MIN($D18+1,EDATE(BJ$4,1))-MAX($C18,BJ$4))/MAX(1,$D18+1-$C18))</f>
        <v/>
      </c>
      <c r="BK18" s="64" t="str">
        <f aca="false">IF(OR(BK$4="",$C18="",$D18="",N($E18)=0),"",$E18*MAX(0,MIN($D18+1,EDATE(BK$4,1))-MAX($C18,BK$4))/MAX(1,$D18+1-$C18))</f>
        <v/>
      </c>
      <c r="BL18" s="64" t="str">
        <f aca="false">IF(OR(BL$4="",$C18="",$D18="",N($E18)=0),"",$E18*MAX(0,MIN($D18+1,EDATE(BL$4,1))-MAX($C18,BL$4))/MAX(1,$D18+1-$C18))</f>
        <v/>
      </c>
      <c r="BM18" s="64" t="str">
        <f aca="false">IF(OR(BM$4="",$C18="",$D18="",N($E18)=0),"",$E18*MAX(0,MIN($D18+1,EDATE(BM$4,1))-MAX($C18,BM$4))/MAX(1,$D18+1-$C18))</f>
        <v/>
      </c>
      <c r="BN18" s="64" t="str">
        <f aca="false">IF(OR(BN$4="",$C18="",$D18="",N($E18)=0),"",$E18*MAX(0,MIN($D18+1,EDATE(BN$4,1))-MAX($C18,BN$4))/MAX(1,$D18+1-$C18))</f>
        <v/>
      </c>
      <c r="BO18" s="64" t="str">
        <f aca="false">IF(OR(BO$4="",$C18="",$D18="",N($E18)=0),"",$E18*MAX(0,MIN($D18+1,EDATE(BO$4,1))-MAX($C18,BO$4))/MAX(1,$D18+1-$C18))</f>
        <v/>
      </c>
      <c r="BP18" s="64" t="str">
        <f aca="false">IF(OR(BP$4="",$C18="",$D18="",N($E18)=0),"",$E18*MAX(0,MIN($D18+1,EDATE(BP$4,1))-MAX($C18,BP$4))/MAX(1,$D18+1-$C18))</f>
        <v/>
      </c>
      <c r="BQ18" s="64" t="str">
        <f aca="false">IF(OR(BQ$4="",$C18="",$D18="",N($E18)=0),"",$E18*MAX(0,MIN($D18+1,EDATE(BQ$4,1))-MAX($C18,BQ$4))/MAX(1,$D18+1-$C18))</f>
        <v/>
      </c>
      <c r="BR18" s="64" t="str">
        <f aca="false">IF(OR(BR$4="",$C18="",$D18="",N($E18)=0),"",$E18*MAX(0,MIN($D18+1,EDATE(BR$4,1))-MAX($C18,BR$4))/MAX(1,$D18+1-$C18))</f>
        <v/>
      </c>
      <c r="BS18" s="64" t="str">
        <f aca="false">IF(OR(BS$4="",$C18="",$D18="",N($E18)=0),"",$E18*MAX(0,MIN($D18+1,EDATE(BS$4,1))-MAX($C18,BS$4))/MAX(1,$D18+1-$C18))</f>
        <v/>
      </c>
      <c r="BT18" s="64" t="str">
        <f aca="false">IF(OR(BT$4="",$C18="",$D18="",N($E18)=0),"",$E18*MAX(0,MIN($D18+1,EDATE(BT$4,1))-MAX($C18,BT$4))/MAX(1,$D18+1-$C18))</f>
        <v/>
      </c>
      <c r="BU18" s="64" t="str">
        <f aca="false">IF(OR(BU$4="",$C18="",$D18="",N($E18)=0),"",$E18*MAX(0,MIN($D18+1,EDATE(BU$4,1))-MAX($C18,BU$4))/MAX(1,$D18+1-$C18))</f>
        <v/>
      </c>
      <c r="BV18" s="64" t="str">
        <f aca="false">IF(OR(BV$4="",$C18="",$D18="",N($E18)=0),"",$E18*MAX(0,MIN($D18+1,EDATE(BV$4,1))-MAX($C18,BV$4))/MAX(1,$D18+1-$C18))</f>
        <v/>
      </c>
      <c r="BW18" s="64" t="str">
        <f aca="false">IF(OR(BW$4="",$C18="",$D18="",N($E18)=0),"",$E18*MAX(0,MIN($D18+1,EDATE(BW$4,1))-MAX($C18,BW$4))/MAX(1,$D18+1-$C18))</f>
        <v/>
      </c>
      <c r="BX18" s="64" t="str">
        <f aca="false">IF(OR(BX$4="",$C18="",$D18="",N($E18)=0),"",$E18*MAX(0,MIN($D18+1,EDATE(BX$4,1))-MAX($C18,BX$4))/MAX(1,$D18+1-$C18))</f>
        <v/>
      </c>
      <c r="BY18" s="64" t="str">
        <f aca="false">IF(OR(BY$4="",$C18="",$D18="",N($E18)=0),"",$E18*MAX(0,MIN($D18+1,EDATE(BY$4,1))-MAX($C18,BY$4))/MAX(1,$D18+1-$C18))</f>
        <v/>
      </c>
    </row>
    <row r="19" customFormat="false" ht="15" hidden="false" customHeight="false" outlineLevel="0" collapsed="false">
      <c r="A19" s="61" t="str">
        <f aca="false">IF(BOE!$A20="","",BOE!$A20)</f>
        <v>206</v>
      </c>
      <c r="B19" s="61" t="str">
        <f aca="false">IF(BOE!$A20="","",BOE!$C20)</f>
        <v>Operating &amp; Support Hazard Analysis (O&amp;SHA)</v>
      </c>
      <c r="C19" s="62" t="n">
        <f aca="false">IF(BOE!$O20="","",BOE!$O20)</f>
        <v>46877</v>
      </c>
      <c r="D19" s="62" t="n">
        <f aca="false">IF(BOE!$P20="","",BOE!$P20)</f>
        <v>47122</v>
      </c>
      <c r="E19" s="63" t="n">
        <f aca="false">IF(Inputs!$B$7="P90",BOE!$T20,BOE!$R20)</f>
        <v>480</v>
      </c>
      <c r="F19" s="64" t="n">
        <f aca="false">IF(OR(F$4="",$C19="",$D19="",N($E19)=0),"",$E19*MAX(0,MIN($D19+1,EDATE(F$4,1))-MAX($C19,F$4))/MAX(1,$D19+1-$C19))</f>
        <v>0</v>
      </c>
      <c r="G19" s="64" t="n">
        <f aca="false">IF(OR(G$4="",$C19="",$D19="",N($E19)=0),"",$E19*MAX(0,MIN($D19+1,EDATE(G$4,1))-MAX($C19,G$4))/MAX(1,$D19+1-$C19))</f>
        <v>0</v>
      </c>
      <c r="H19" s="64" t="n">
        <f aca="false">IF(OR(H$4="",$C19="",$D19="",N($E19)=0),"",$E19*MAX(0,MIN($D19+1,EDATE(H$4,1))-MAX($C19,H$4))/MAX(1,$D19+1-$C19))</f>
        <v>0</v>
      </c>
      <c r="I19" s="64" t="n">
        <f aca="false">IF(OR(I$4="",$C19="",$D19="",N($E19)=0),"",$E19*MAX(0,MIN($D19+1,EDATE(I$4,1))-MAX($C19,I$4))/MAX(1,$D19+1-$C19))</f>
        <v>0</v>
      </c>
      <c r="J19" s="64" t="n">
        <f aca="false">IF(OR(J$4="",$C19="",$D19="",N($E19)=0),"",$E19*MAX(0,MIN($D19+1,EDATE(J$4,1))-MAX($C19,J$4))/MAX(1,$D19+1-$C19))</f>
        <v>0</v>
      </c>
      <c r="K19" s="64" t="n">
        <f aca="false">IF(OR(K$4="",$C19="",$D19="",N($E19)=0),"",$E19*MAX(0,MIN($D19+1,EDATE(K$4,1))-MAX($C19,K$4))/MAX(1,$D19+1-$C19))</f>
        <v>0</v>
      </c>
      <c r="L19" s="64" t="n">
        <f aca="false">IF(OR(L$4="",$C19="",$D19="",N($E19)=0),"",$E19*MAX(0,MIN($D19+1,EDATE(L$4,1))-MAX($C19,L$4))/MAX(1,$D19+1-$C19))</f>
        <v>0</v>
      </c>
      <c r="M19" s="64" t="n">
        <f aca="false">IF(OR(M$4="",$C19="",$D19="",N($E19)=0),"",$E19*MAX(0,MIN($D19+1,EDATE(M$4,1))-MAX($C19,M$4))/MAX(1,$D19+1-$C19))</f>
        <v>0</v>
      </c>
      <c r="N19" s="64" t="n">
        <f aca="false">IF(OR(N$4="",$C19="",$D19="",N($E19)=0),"",$E19*MAX(0,MIN($D19+1,EDATE(N$4,1))-MAX($C19,N$4))/MAX(1,$D19+1-$C19))</f>
        <v>0</v>
      </c>
      <c r="O19" s="64" t="n">
        <f aca="false">IF(OR(O$4="",$C19="",$D19="",N($E19)=0),"",$E19*MAX(0,MIN($D19+1,EDATE(O$4,1))-MAX($C19,O$4))/MAX(1,$D19+1-$C19))</f>
        <v>0</v>
      </c>
      <c r="P19" s="64" t="n">
        <f aca="false">IF(OR(P$4="",$C19="",$D19="",N($E19)=0),"",$E19*MAX(0,MIN($D19+1,EDATE(P$4,1))-MAX($C19,P$4))/MAX(1,$D19+1-$C19))</f>
        <v>0</v>
      </c>
      <c r="Q19" s="64" t="n">
        <f aca="false">IF(OR(Q$4="",$C19="",$D19="",N($E19)=0),"",$E19*MAX(0,MIN($D19+1,EDATE(Q$4,1))-MAX($C19,Q$4))/MAX(1,$D19+1-$C19))</f>
        <v>0</v>
      </c>
      <c r="R19" s="64" t="n">
        <f aca="false">IF(OR(R$4="",$C19="",$D19="",N($E19)=0),"",$E19*MAX(0,MIN($D19+1,EDATE(R$4,1))-MAX($C19,R$4))/MAX(1,$D19+1-$C19))</f>
        <v>0</v>
      </c>
      <c r="S19" s="64" t="n">
        <f aca="false">IF(OR(S$4="",$C19="",$D19="",N($E19)=0),"",$E19*MAX(0,MIN($D19+1,EDATE(S$4,1))-MAX($C19,S$4))/MAX(1,$D19+1-$C19))</f>
        <v>0</v>
      </c>
      <c r="T19" s="64" t="n">
        <f aca="false">IF(OR(T$4="",$C19="",$D19="",N($E19)=0),"",$E19*MAX(0,MIN($D19+1,EDATE(T$4,1))-MAX($C19,T$4))/MAX(1,$D19+1-$C19))</f>
        <v>0</v>
      </c>
      <c r="U19" s="64" t="n">
        <f aca="false">IF(OR(U$4="",$C19="",$D19="",N($E19)=0),"",$E19*MAX(0,MIN($D19+1,EDATE(U$4,1))-MAX($C19,U$4))/MAX(1,$D19+1-$C19))</f>
        <v>0</v>
      </c>
      <c r="V19" s="64" t="n">
        <f aca="false">IF(OR(V$4="",$C19="",$D19="",N($E19)=0),"",$E19*MAX(0,MIN($D19+1,EDATE(V$4,1))-MAX($C19,V$4))/MAX(1,$D19+1-$C19))</f>
        <v>60.4878048780488</v>
      </c>
      <c r="W19" s="64" t="n">
        <f aca="false">IF(OR(W$4="",$C19="",$D19="",N($E19)=0),"",$E19*MAX(0,MIN($D19+1,EDATE(W$4,1))-MAX($C19,W$4))/MAX(1,$D19+1-$C19))</f>
        <v>58.5365853658537</v>
      </c>
      <c r="X19" s="64" t="n">
        <f aca="false">IF(OR(X$4="",$C19="",$D19="",N($E19)=0),"",$E19*MAX(0,MIN($D19+1,EDATE(X$4,1))-MAX($C19,X$4))/MAX(1,$D19+1-$C19))</f>
        <v>60.4878048780488</v>
      </c>
      <c r="Y19" s="64" t="n">
        <f aca="false">IF(OR(Y$4="",$C19="",$D19="",N($E19)=0),"",$E19*MAX(0,MIN($D19+1,EDATE(Y$4,1))-MAX($C19,Y$4))/MAX(1,$D19+1-$C19))</f>
        <v>60.4878048780488</v>
      </c>
      <c r="Z19" s="64" t="n">
        <f aca="false">IF(OR(Z$4="",$C19="",$D19="",N($E19)=0),"",$E19*MAX(0,MIN($D19+1,EDATE(Z$4,1))-MAX($C19,Z$4))/MAX(1,$D19+1-$C19))</f>
        <v>58.5365853658537</v>
      </c>
      <c r="AA19" s="64" t="n">
        <f aca="false">IF(OR(AA$4="",$C19="",$D19="",N($E19)=0),"",$E19*MAX(0,MIN($D19+1,EDATE(AA$4,1))-MAX($C19,AA$4))/MAX(1,$D19+1-$C19))</f>
        <v>60.4878048780488</v>
      </c>
      <c r="AB19" s="64" t="n">
        <f aca="false">IF(OR(AB$4="",$C19="",$D19="",N($E19)=0),"",$E19*MAX(0,MIN($D19+1,EDATE(AB$4,1))-MAX($C19,AB$4))/MAX(1,$D19+1-$C19))</f>
        <v>58.5365853658537</v>
      </c>
      <c r="AC19" s="64" t="n">
        <f aca="false">IF(OR(AC$4="",$C19="",$D19="",N($E19)=0),"",$E19*MAX(0,MIN($D19+1,EDATE(AC$4,1))-MAX($C19,AC$4))/MAX(1,$D19+1-$C19))</f>
        <v>60.4878048780488</v>
      </c>
      <c r="AD19" s="64" t="n">
        <f aca="false">IF(OR(AD$4="",$C19="",$D19="",N($E19)=0),"",$E19*MAX(0,MIN($D19+1,EDATE(AD$4,1))-MAX($C19,AD$4))/MAX(1,$D19+1-$C19))</f>
        <v>1.95121951219512</v>
      </c>
      <c r="AE19" s="64" t="n">
        <f aca="false">IF(OR(AE$4="",$C19="",$D19="",N($E19)=0),"",$E19*MAX(0,MIN($D19+1,EDATE(AE$4,1))-MAX($C19,AE$4))/MAX(1,$D19+1-$C19))</f>
        <v>0</v>
      </c>
      <c r="AF19" s="64" t="n">
        <f aca="false">IF(OR(AF$4="",$C19="",$D19="",N($E19)=0),"",$E19*MAX(0,MIN($D19+1,EDATE(AF$4,1))-MAX($C19,AF$4))/MAX(1,$D19+1-$C19))</f>
        <v>0</v>
      </c>
      <c r="AG19" s="64" t="n">
        <f aca="false">IF(OR(AG$4="",$C19="",$D19="",N($E19)=0),"",$E19*MAX(0,MIN($D19+1,EDATE(AG$4,1))-MAX($C19,AG$4))/MAX(1,$D19+1-$C19))</f>
        <v>0</v>
      </c>
      <c r="AH19" s="64" t="n">
        <f aca="false">IF(OR(AH$4="",$C19="",$D19="",N($E19)=0),"",$E19*MAX(0,MIN($D19+1,EDATE(AH$4,1))-MAX($C19,AH$4))/MAX(1,$D19+1-$C19))</f>
        <v>0</v>
      </c>
      <c r="AI19" s="64" t="n">
        <f aca="false">IF(OR(AI$4="",$C19="",$D19="",N($E19)=0),"",$E19*MAX(0,MIN($D19+1,EDATE(AI$4,1))-MAX($C19,AI$4))/MAX(1,$D19+1-$C19))</f>
        <v>0</v>
      </c>
      <c r="AJ19" s="64" t="n">
        <f aca="false">IF(OR(AJ$4="",$C19="",$D19="",N($E19)=0),"",$E19*MAX(0,MIN($D19+1,EDATE(AJ$4,1))-MAX($C19,AJ$4))/MAX(1,$D19+1-$C19))</f>
        <v>0</v>
      </c>
      <c r="AK19" s="64" t="n">
        <f aca="false">IF(OR(AK$4="",$C19="",$D19="",N($E19)=0),"",$E19*MAX(0,MIN($D19+1,EDATE(AK$4,1))-MAX($C19,AK$4))/MAX(1,$D19+1-$C19))</f>
        <v>0</v>
      </c>
      <c r="AL19" s="64" t="n">
        <f aca="false">IF(OR(AL$4="",$C19="",$D19="",N($E19)=0),"",$E19*MAX(0,MIN($D19+1,EDATE(AL$4,1))-MAX($C19,AL$4))/MAX(1,$D19+1-$C19))</f>
        <v>0</v>
      </c>
      <c r="AM19" s="64" t="n">
        <f aca="false">IF(OR(AM$4="",$C19="",$D19="",N($E19)=0),"",$E19*MAX(0,MIN($D19+1,EDATE(AM$4,1))-MAX($C19,AM$4))/MAX(1,$D19+1-$C19))</f>
        <v>0</v>
      </c>
      <c r="AN19" s="64" t="n">
        <f aca="false">IF(OR(AN$4="",$C19="",$D19="",N($E19)=0),"",$E19*MAX(0,MIN($D19+1,EDATE(AN$4,1))-MAX($C19,AN$4))/MAX(1,$D19+1-$C19))</f>
        <v>0</v>
      </c>
      <c r="AO19" s="64" t="n">
        <f aca="false">IF(OR(AO$4="",$C19="",$D19="",N($E19)=0),"",$E19*MAX(0,MIN($D19+1,EDATE(AO$4,1))-MAX($C19,AO$4))/MAX(1,$D19+1-$C19))</f>
        <v>0</v>
      </c>
      <c r="AP19" s="64" t="str">
        <f aca="false">IF(OR(AP$4="",$C19="",$D19="",N($E19)=0),"",$E19*MAX(0,MIN($D19+1,EDATE(AP$4,1))-MAX($C19,AP$4))/MAX(1,$D19+1-$C19))</f>
        <v/>
      </c>
      <c r="AQ19" s="64" t="str">
        <f aca="false">IF(OR(AQ$4="",$C19="",$D19="",N($E19)=0),"",$E19*MAX(0,MIN($D19+1,EDATE(AQ$4,1))-MAX($C19,AQ$4))/MAX(1,$D19+1-$C19))</f>
        <v/>
      </c>
      <c r="AR19" s="64" t="str">
        <f aca="false">IF(OR(AR$4="",$C19="",$D19="",N($E19)=0),"",$E19*MAX(0,MIN($D19+1,EDATE(AR$4,1))-MAX($C19,AR$4))/MAX(1,$D19+1-$C19))</f>
        <v/>
      </c>
      <c r="AS19" s="64" t="str">
        <f aca="false">IF(OR(AS$4="",$C19="",$D19="",N($E19)=0),"",$E19*MAX(0,MIN($D19+1,EDATE(AS$4,1))-MAX($C19,AS$4))/MAX(1,$D19+1-$C19))</f>
        <v/>
      </c>
      <c r="AT19" s="64" t="str">
        <f aca="false">IF(OR(AT$4="",$C19="",$D19="",N($E19)=0),"",$E19*MAX(0,MIN($D19+1,EDATE(AT$4,1))-MAX($C19,AT$4))/MAX(1,$D19+1-$C19))</f>
        <v/>
      </c>
      <c r="AU19" s="64" t="str">
        <f aca="false">IF(OR(AU$4="",$C19="",$D19="",N($E19)=0),"",$E19*MAX(0,MIN($D19+1,EDATE(AU$4,1))-MAX($C19,AU$4))/MAX(1,$D19+1-$C19))</f>
        <v/>
      </c>
      <c r="AV19" s="64" t="str">
        <f aca="false">IF(OR(AV$4="",$C19="",$D19="",N($E19)=0),"",$E19*MAX(0,MIN($D19+1,EDATE(AV$4,1))-MAX($C19,AV$4))/MAX(1,$D19+1-$C19))</f>
        <v/>
      </c>
      <c r="AW19" s="64" t="str">
        <f aca="false">IF(OR(AW$4="",$C19="",$D19="",N($E19)=0),"",$E19*MAX(0,MIN($D19+1,EDATE(AW$4,1))-MAX($C19,AW$4))/MAX(1,$D19+1-$C19))</f>
        <v/>
      </c>
      <c r="AX19" s="64" t="str">
        <f aca="false">IF(OR(AX$4="",$C19="",$D19="",N($E19)=0),"",$E19*MAX(0,MIN($D19+1,EDATE(AX$4,1))-MAX($C19,AX$4))/MAX(1,$D19+1-$C19))</f>
        <v/>
      </c>
      <c r="AY19" s="64" t="str">
        <f aca="false">IF(OR(AY$4="",$C19="",$D19="",N($E19)=0),"",$E19*MAX(0,MIN($D19+1,EDATE(AY$4,1))-MAX($C19,AY$4))/MAX(1,$D19+1-$C19))</f>
        <v/>
      </c>
      <c r="AZ19" s="64" t="str">
        <f aca="false">IF(OR(AZ$4="",$C19="",$D19="",N($E19)=0),"",$E19*MAX(0,MIN($D19+1,EDATE(AZ$4,1))-MAX($C19,AZ$4))/MAX(1,$D19+1-$C19))</f>
        <v/>
      </c>
      <c r="BA19" s="64" t="str">
        <f aca="false">IF(OR(BA$4="",$C19="",$D19="",N($E19)=0),"",$E19*MAX(0,MIN($D19+1,EDATE(BA$4,1))-MAX($C19,BA$4))/MAX(1,$D19+1-$C19))</f>
        <v/>
      </c>
      <c r="BB19" s="64" t="str">
        <f aca="false">IF(OR(BB$4="",$C19="",$D19="",N($E19)=0),"",$E19*MAX(0,MIN($D19+1,EDATE(BB$4,1))-MAX($C19,BB$4))/MAX(1,$D19+1-$C19))</f>
        <v/>
      </c>
      <c r="BC19" s="64" t="str">
        <f aca="false">IF(OR(BC$4="",$C19="",$D19="",N($E19)=0),"",$E19*MAX(0,MIN($D19+1,EDATE(BC$4,1))-MAX($C19,BC$4))/MAX(1,$D19+1-$C19))</f>
        <v/>
      </c>
      <c r="BD19" s="64" t="str">
        <f aca="false">IF(OR(BD$4="",$C19="",$D19="",N($E19)=0),"",$E19*MAX(0,MIN($D19+1,EDATE(BD$4,1))-MAX($C19,BD$4))/MAX(1,$D19+1-$C19))</f>
        <v/>
      </c>
      <c r="BE19" s="64" t="str">
        <f aca="false">IF(OR(BE$4="",$C19="",$D19="",N($E19)=0),"",$E19*MAX(0,MIN($D19+1,EDATE(BE$4,1))-MAX($C19,BE$4))/MAX(1,$D19+1-$C19))</f>
        <v/>
      </c>
      <c r="BF19" s="64" t="str">
        <f aca="false">IF(OR(BF$4="",$C19="",$D19="",N($E19)=0),"",$E19*MAX(0,MIN($D19+1,EDATE(BF$4,1))-MAX($C19,BF$4))/MAX(1,$D19+1-$C19))</f>
        <v/>
      </c>
      <c r="BG19" s="64" t="str">
        <f aca="false">IF(OR(BG$4="",$C19="",$D19="",N($E19)=0),"",$E19*MAX(0,MIN($D19+1,EDATE(BG$4,1))-MAX($C19,BG$4))/MAX(1,$D19+1-$C19))</f>
        <v/>
      </c>
      <c r="BH19" s="64" t="str">
        <f aca="false">IF(OR(BH$4="",$C19="",$D19="",N($E19)=0),"",$E19*MAX(0,MIN($D19+1,EDATE(BH$4,1))-MAX($C19,BH$4))/MAX(1,$D19+1-$C19))</f>
        <v/>
      </c>
      <c r="BI19" s="64" t="str">
        <f aca="false">IF(OR(BI$4="",$C19="",$D19="",N($E19)=0),"",$E19*MAX(0,MIN($D19+1,EDATE(BI$4,1))-MAX($C19,BI$4))/MAX(1,$D19+1-$C19))</f>
        <v/>
      </c>
      <c r="BJ19" s="64" t="str">
        <f aca="false">IF(OR(BJ$4="",$C19="",$D19="",N($E19)=0),"",$E19*MAX(0,MIN($D19+1,EDATE(BJ$4,1))-MAX($C19,BJ$4))/MAX(1,$D19+1-$C19))</f>
        <v/>
      </c>
      <c r="BK19" s="64" t="str">
        <f aca="false">IF(OR(BK$4="",$C19="",$D19="",N($E19)=0),"",$E19*MAX(0,MIN($D19+1,EDATE(BK$4,1))-MAX($C19,BK$4))/MAX(1,$D19+1-$C19))</f>
        <v/>
      </c>
      <c r="BL19" s="64" t="str">
        <f aca="false">IF(OR(BL$4="",$C19="",$D19="",N($E19)=0),"",$E19*MAX(0,MIN($D19+1,EDATE(BL$4,1))-MAX($C19,BL$4))/MAX(1,$D19+1-$C19))</f>
        <v/>
      </c>
      <c r="BM19" s="64" t="str">
        <f aca="false">IF(OR(BM$4="",$C19="",$D19="",N($E19)=0),"",$E19*MAX(0,MIN($D19+1,EDATE(BM$4,1))-MAX($C19,BM$4))/MAX(1,$D19+1-$C19))</f>
        <v/>
      </c>
      <c r="BN19" s="64" t="str">
        <f aca="false">IF(OR(BN$4="",$C19="",$D19="",N($E19)=0),"",$E19*MAX(0,MIN($D19+1,EDATE(BN$4,1))-MAX($C19,BN$4))/MAX(1,$D19+1-$C19))</f>
        <v/>
      </c>
      <c r="BO19" s="64" t="str">
        <f aca="false">IF(OR(BO$4="",$C19="",$D19="",N($E19)=0),"",$E19*MAX(0,MIN($D19+1,EDATE(BO$4,1))-MAX($C19,BO$4))/MAX(1,$D19+1-$C19))</f>
        <v/>
      </c>
      <c r="BP19" s="64" t="str">
        <f aca="false">IF(OR(BP$4="",$C19="",$D19="",N($E19)=0),"",$E19*MAX(0,MIN($D19+1,EDATE(BP$4,1))-MAX($C19,BP$4))/MAX(1,$D19+1-$C19))</f>
        <v/>
      </c>
      <c r="BQ19" s="64" t="str">
        <f aca="false">IF(OR(BQ$4="",$C19="",$D19="",N($E19)=0),"",$E19*MAX(0,MIN($D19+1,EDATE(BQ$4,1))-MAX($C19,BQ$4))/MAX(1,$D19+1-$C19))</f>
        <v/>
      </c>
      <c r="BR19" s="64" t="str">
        <f aca="false">IF(OR(BR$4="",$C19="",$D19="",N($E19)=0),"",$E19*MAX(0,MIN($D19+1,EDATE(BR$4,1))-MAX($C19,BR$4))/MAX(1,$D19+1-$C19))</f>
        <v/>
      </c>
      <c r="BS19" s="64" t="str">
        <f aca="false">IF(OR(BS$4="",$C19="",$D19="",N($E19)=0),"",$E19*MAX(0,MIN($D19+1,EDATE(BS$4,1))-MAX($C19,BS$4))/MAX(1,$D19+1-$C19))</f>
        <v/>
      </c>
      <c r="BT19" s="64" t="str">
        <f aca="false">IF(OR(BT$4="",$C19="",$D19="",N($E19)=0),"",$E19*MAX(0,MIN($D19+1,EDATE(BT$4,1))-MAX($C19,BT$4))/MAX(1,$D19+1-$C19))</f>
        <v/>
      </c>
      <c r="BU19" s="64" t="str">
        <f aca="false">IF(OR(BU$4="",$C19="",$D19="",N($E19)=0),"",$E19*MAX(0,MIN($D19+1,EDATE(BU$4,1))-MAX($C19,BU$4))/MAX(1,$D19+1-$C19))</f>
        <v/>
      </c>
      <c r="BV19" s="64" t="str">
        <f aca="false">IF(OR(BV$4="",$C19="",$D19="",N($E19)=0),"",$E19*MAX(0,MIN($D19+1,EDATE(BV$4,1))-MAX($C19,BV$4))/MAX(1,$D19+1-$C19))</f>
        <v/>
      </c>
      <c r="BW19" s="64" t="str">
        <f aca="false">IF(OR(BW$4="",$C19="",$D19="",N($E19)=0),"",$E19*MAX(0,MIN($D19+1,EDATE(BW$4,1))-MAX($C19,BW$4))/MAX(1,$D19+1-$C19))</f>
        <v/>
      </c>
      <c r="BX19" s="64" t="str">
        <f aca="false">IF(OR(BX$4="",$C19="",$D19="",N($E19)=0),"",$E19*MAX(0,MIN($D19+1,EDATE(BX$4,1))-MAX($C19,BX$4))/MAX(1,$D19+1-$C19))</f>
        <v/>
      </c>
      <c r="BY19" s="64" t="str">
        <f aca="false">IF(OR(BY$4="",$C19="",$D19="",N($E19)=0),"",$E19*MAX(0,MIN($D19+1,EDATE(BY$4,1))-MAX($C19,BY$4))/MAX(1,$D19+1-$C19))</f>
        <v/>
      </c>
    </row>
    <row r="20" customFormat="false" ht="15" hidden="false" customHeight="false" outlineLevel="0" collapsed="false">
      <c r="A20" s="61" t="str">
        <f aca="false">IF(BOE!$A21="","",BOE!$A21)</f>
        <v>207</v>
      </c>
      <c r="B20" s="61" t="str">
        <f aca="false">IF(BOE!$A21="","",BOE!$C21)</f>
        <v>Health Hazard Analysis (HHA)</v>
      </c>
      <c r="C20" s="62" t="n">
        <f aca="false">IF(BOE!$O21="","",BOE!$O21)</f>
        <v>46695</v>
      </c>
      <c r="D20" s="62" t="n">
        <f aca="false">IF(BOE!$P21="","",BOE!$P21)</f>
        <v>46877</v>
      </c>
      <c r="E20" s="63" t="n">
        <f aca="false">IF(Inputs!$B$7="P90",BOE!$T21,BOE!$R21)</f>
        <v>280</v>
      </c>
      <c r="F20" s="64" t="n">
        <f aca="false">IF(OR(F$4="",$C20="",$D20="",N($E20)=0),"",$E20*MAX(0,MIN($D20+1,EDATE(F$4,1))-MAX($C20,F$4))/MAX(1,$D20+1-$C20))</f>
        <v>0</v>
      </c>
      <c r="G20" s="64" t="n">
        <f aca="false">IF(OR(G$4="",$C20="",$D20="",N($E20)=0),"",$E20*MAX(0,MIN($D20+1,EDATE(G$4,1))-MAX($C20,G$4))/MAX(1,$D20+1-$C20))</f>
        <v>0</v>
      </c>
      <c r="H20" s="64" t="n">
        <f aca="false">IF(OR(H$4="",$C20="",$D20="",N($E20)=0),"",$E20*MAX(0,MIN($D20+1,EDATE(H$4,1))-MAX($C20,H$4))/MAX(1,$D20+1-$C20))</f>
        <v>0</v>
      </c>
      <c r="I20" s="64" t="n">
        <f aca="false">IF(OR(I$4="",$C20="",$D20="",N($E20)=0),"",$E20*MAX(0,MIN($D20+1,EDATE(I$4,1))-MAX($C20,I$4))/MAX(1,$D20+1-$C20))</f>
        <v>0</v>
      </c>
      <c r="J20" s="64" t="n">
        <f aca="false">IF(OR(J$4="",$C20="",$D20="",N($E20)=0),"",$E20*MAX(0,MIN($D20+1,EDATE(J$4,1))-MAX($C20,J$4))/MAX(1,$D20+1-$C20))</f>
        <v>0</v>
      </c>
      <c r="K20" s="64" t="n">
        <f aca="false">IF(OR(K$4="",$C20="",$D20="",N($E20)=0),"",$E20*MAX(0,MIN($D20+1,EDATE(K$4,1))-MAX($C20,K$4))/MAX(1,$D20+1-$C20))</f>
        <v>0</v>
      </c>
      <c r="L20" s="64" t="n">
        <f aca="false">IF(OR(L$4="",$C20="",$D20="",N($E20)=0),"",$E20*MAX(0,MIN($D20+1,EDATE(L$4,1))-MAX($C20,L$4))/MAX(1,$D20+1-$C20))</f>
        <v>0</v>
      </c>
      <c r="M20" s="64" t="n">
        <f aca="false">IF(OR(M$4="",$C20="",$D20="",N($E20)=0),"",$E20*MAX(0,MIN($D20+1,EDATE(M$4,1))-MAX($C20,M$4))/MAX(1,$D20+1-$C20))</f>
        <v>0</v>
      </c>
      <c r="N20" s="64" t="n">
        <f aca="false">IF(OR(N$4="",$C20="",$D20="",N($E20)=0),"",$E20*MAX(0,MIN($D20+1,EDATE(N$4,1))-MAX($C20,N$4))/MAX(1,$D20+1-$C20))</f>
        <v>0</v>
      </c>
      <c r="O20" s="64" t="n">
        <f aca="false">IF(OR(O$4="",$C20="",$D20="",N($E20)=0),"",$E20*MAX(0,MIN($D20+1,EDATE(O$4,1))-MAX($C20,O$4))/MAX(1,$D20+1-$C20))</f>
        <v>0</v>
      </c>
      <c r="P20" s="64" t="n">
        <f aca="false">IF(OR(P$4="",$C20="",$D20="",N($E20)=0),"",$E20*MAX(0,MIN($D20+1,EDATE(P$4,1))-MAX($C20,P$4))/MAX(1,$D20+1-$C20))</f>
        <v>45.9016393442623</v>
      </c>
      <c r="Q20" s="64" t="n">
        <f aca="false">IF(OR(Q$4="",$C20="",$D20="",N($E20)=0),"",$E20*MAX(0,MIN($D20+1,EDATE(Q$4,1))-MAX($C20,Q$4))/MAX(1,$D20+1-$C20))</f>
        <v>47.431693989071</v>
      </c>
      <c r="R20" s="64" t="n">
        <f aca="false">IF(OR(R$4="",$C20="",$D20="",N($E20)=0),"",$E20*MAX(0,MIN($D20+1,EDATE(R$4,1))-MAX($C20,R$4))/MAX(1,$D20+1-$C20))</f>
        <v>47.431693989071</v>
      </c>
      <c r="S20" s="64" t="n">
        <f aca="false">IF(OR(S$4="",$C20="",$D20="",N($E20)=0),"",$E20*MAX(0,MIN($D20+1,EDATE(S$4,1))-MAX($C20,S$4))/MAX(1,$D20+1-$C20))</f>
        <v>44.3715846994536</v>
      </c>
      <c r="T20" s="64" t="n">
        <f aca="false">IF(OR(T$4="",$C20="",$D20="",N($E20)=0),"",$E20*MAX(0,MIN($D20+1,EDATE(T$4,1))-MAX($C20,T$4))/MAX(1,$D20+1-$C20))</f>
        <v>47.431693989071</v>
      </c>
      <c r="U20" s="64" t="n">
        <f aca="false">IF(OR(U$4="",$C20="",$D20="",N($E20)=0),"",$E20*MAX(0,MIN($D20+1,EDATE(U$4,1))-MAX($C20,U$4))/MAX(1,$D20+1-$C20))</f>
        <v>45.9016393442623</v>
      </c>
      <c r="V20" s="64" t="n">
        <f aca="false">IF(OR(V$4="",$C20="",$D20="",N($E20)=0),"",$E20*MAX(0,MIN($D20+1,EDATE(V$4,1))-MAX($C20,V$4))/MAX(1,$D20+1-$C20))</f>
        <v>1.53005464480874</v>
      </c>
      <c r="W20" s="64" t="n">
        <f aca="false">IF(OR(W$4="",$C20="",$D20="",N($E20)=0),"",$E20*MAX(0,MIN($D20+1,EDATE(W$4,1))-MAX($C20,W$4))/MAX(1,$D20+1-$C20))</f>
        <v>0</v>
      </c>
      <c r="X20" s="64" t="n">
        <f aca="false">IF(OR(X$4="",$C20="",$D20="",N($E20)=0),"",$E20*MAX(0,MIN($D20+1,EDATE(X$4,1))-MAX($C20,X$4))/MAX(1,$D20+1-$C20))</f>
        <v>0</v>
      </c>
      <c r="Y20" s="64" t="n">
        <f aca="false">IF(OR(Y$4="",$C20="",$D20="",N($E20)=0),"",$E20*MAX(0,MIN($D20+1,EDATE(Y$4,1))-MAX($C20,Y$4))/MAX(1,$D20+1-$C20))</f>
        <v>0</v>
      </c>
      <c r="Z20" s="64" t="n">
        <f aca="false">IF(OR(Z$4="",$C20="",$D20="",N($E20)=0),"",$E20*MAX(0,MIN($D20+1,EDATE(Z$4,1))-MAX($C20,Z$4))/MAX(1,$D20+1-$C20))</f>
        <v>0</v>
      </c>
      <c r="AA20" s="64" t="n">
        <f aca="false">IF(OR(AA$4="",$C20="",$D20="",N($E20)=0),"",$E20*MAX(0,MIN($D20+1,EDATE(AA$4,1))-MAX($C20,AA$4))/MAX(1,$D20+1-$C20))</f>
        <v>0</v>
      </c>
      <c r="AB20" s="64" t="n">
        <f aca="false">IF(OR(AB$4="",$C20="",$D20="",N($E20)=0),"",$E20*MAX(0,MIN($D20+1,EDATE(AB$4,1))-MAX($C20,AB$4))/MAX(1,$D20+1-$C20))</f>
        <v>0</v>
      </c>
      <c r="AC20" s="64" t="n">
        <f aca="false">IF(OR(AC$4="",$C20="",$D20="",N($E20)=0),"",$E20*MAX(0,MIN($D20+1,EDATE(AC$4,1))-MAX($C20,AC$4))/MAX(1,$D20+1-$C20))</f>
        <v>0</v>
      </c>
      <c r="AD20" s="64" t="n">
        <f aca="false">IF(OR(AD$4="",$C20="",$D20="",N($E20)=0),"",$E20*MAX(0,MIN($D20+1,EDATE(AD$4,1))-MAX($C20,AD$4))/MAX(1,$D20+1-$C20))</f>
        <v>0</v>
      </c>
      <c r="AE20" s="64" t="n">
        <f aca="false">IF(OR(AE$4="",$C20="",$D20="",N($E20)=0),"",$E20*MAX(0,MIN($D20+1,EDATE(AE$4,1))-MAX($C20,AE$4))/MAX(1,$D20+1-$C20))</f>
        <v>0</v>
      </c>
      <c r="AF20" s="64" t="n">
        <f aca="false">IF(OR(AF$4="",$C20="",$D20="",N($E20)=0),"",$E20*MAX(0,MIN($D20+1,EDATE(AF$4,1))-MAX($C20,AF$4))/MAX(1,$D20+1-$C20))</f>
        <v>0</v>
      </c>
      <c r="AG20" s="64" t="n">
        <f aca="false">IF(OR(AG$4="",$C20="",$D20="",N($E20)=0),"",$E20*MAX(0,MIN($D20+1,EDATE(AG$4,1))-MAX($C20,AG$4))/MAX(1,$D20+1-$C20))</f>
        <v>0</v>
      </c>
      <c r="AH20" s="64" t="n">
        <f aca="false">IF(OR(AH$4="",$C20="",$D20="",N($E20)=0),"",$E20*MAX(0,MIN($D20+1,EDATE(AH$4,1))-MAX($C20,AH$4))/MAX(1,$D20+1-$C20))</f>
        <v>0</v>
      </c>
      <c r="AI20" s="64" t="n">
        <f aca="false">IF(OR(AI$4="",$C20="",$D20="",N($E20)=0),"",$E20*MAX(0,MIN($D20+1,EDATE(AI$4,1))-MAX($C20,AI$4))/MAX(1,$D20+1-$C20))</f>
        <v>0</v>
      </c>
      <c r="AJ20" s="64" t="n">
        <f aca="false">IF(OR(AJ$4="",$C20="",$D20="",N($E20)=0),"",$E20*MAX(0,MIN($D20+1,EDATE(AJ$4,1))-MAX($C20,AJ$4))/MAX(1,$D20+1-$C20))</f>
        <v>0</v>
      </c>
      <c r="AK20" s="64" t="n">
        <f aca="false">IF(OR(AK$4="",$C20="",$D20="",N($E20)=0),"",$E20*MAX(0,MIN($D20+1,EDATE(AK$4,1))-MAX($C20,AK$4))/MAX(1,$D20+1-$C20))</f>
        <v>0</v>
      </c>
      <c r="AL20" s="64" t="n">
        <f aca="false">IF(OR(AL$4="",$C20="",$D20="",N($E20)=0),"",$E20*MAX(0,MIN($D20+1,EDATE(AL$4,1))-MAX($C20,AL$4))/MAX(1,$D20+1-$C20))</f>
        <v>0</v>
      </c>
      <c r="AM20" s="64" t="n">
        <f aca="false">IF(OR(AM$4="",$C20="",$D20="",N($E20)=0),"",$E20*MAX(0,MIN($D20+1,EDATE(AM$4,1))-MAX($C20,AM$4))/MAX(1,$D20+1-$C20))</f>
        <v>0</v>
      </c>
      <c r="AN20" s="64" t="n">
        <f aca="false">IF(OR(AN$4="",$C20="",$D20="",N($E20)=0),"",$E20*MAX(0,MIN($D20+1,EDATE(AN$4,1))-MAX($C20,AN$4))/MAX(1,$D20+1-$C20))</f>
        <v>0</v>
      </c>
      <c r="AO20" s="64" t="n">
        <f aca="false">IF(OR(AO$4="",$C20="",$D20="",N($E20)=0),"",$E20*MAX(0,MIN($D20+1,EDATE(AO$4,1))-MAX($C20,AO$4))/MAX(1,$D20+1-$C20))</f>
        <v>0</v>
      </c>
      <c r="AP20" s="64" t="str">
        <f aca="false">IF(OR(AP$4="",$C20="",$D20="",N($E20)=0),"",$E20*MAX(0,MIN($D20+1,EDATE(AP$4,1))-MAX($C20,AP$4))/MAX(1,$D20+1-$C20))</f>
        <v/>
      </c>
      <c r="AQ20" s="64" t="str">
        <f aca="false">IF(OR(AQ$4="",$C20="",$D20="",N($E20)=0),"",$E20*MAX(0,MIN($D20+1,EDATE(AQ$4,1))-MAX($C20,AQ$4))/MAX(1,$D20+1-$C20))</f>
        <v/>
      </c>
      <c r="AR20" s="64" t="str">
        <f aca="false">IF(OR(AR$4="",$C20="",$D20="",N($E20)=0),"",$E20*MAX(0,MIN($D20+1,EDATE(AR$4,1))-MAX($C20,AR$4))/MAX(1,$D20+1-$C20))</f>
        <v/>
      </c>
      <c r="AS20" s="64" t="str">
        <f aca="false">IF(OR(AS$4="",$C20="",$D20="",N($E20)=0),"",$E20*MAX(0,MIN($D20+1,EDATE(AS$4,1))-MAX($C20,AS$4))/MAX(1,$D20+1-$C20))</f>
        <v/>
      </c>
      <c r="AT20" s="64" t="str">
        <f aca="false">IF(OR(AT$4="",$C20="",$D20="",N($E20)=0),"",$E20*MAX(0,MIN($D20+1,EDATE(AT$4,1))-MAX($C20,AT$4))/MAX(1,$D20+1-$C20))</f>
        <v/>
      </c>
      <c r="AU20" s="64" t="str">
        <f aca="false">IF(OR(AU$4="",$C20="",$D20="",N($E20)=0),"",$E20*MAX(0,MIN($D20+1,EDATE(AU$4,1))-MAX($C20,AU$4))/MAX(1,$D20+1-$C20))</f>
        <v/>
      </c>
      <c r="AV20" s="64" t="str">
        <f aca="false">IF(OR(AV$4="",$C20="",$D20="",N($E20)=0),"",$E20*MAX(0,MIN($D20+1,EDATE(AV$4,1))-MAX($C20,AV$4))/MAX(1,$D20+1-$C20))</f>
        <v/>
      </c>
      <c r="AW20" s="64" t="str">
        <f aca="false">IF(OR(AW$4="",$C20="",$D20="",N($E20)=0),"",$E20*MAX(0,MIN($D20+1,EDATE(AW$4,1))-MAX($C20,AW$4))/MAX(1,$D20+1-$C20))</f>
        <v/>
      </c>
      <c r="AX20" s="64" t="str">
        <f aca="false">IF(OR(AX$4="",$C20="",$D20="",N($E20)=0),"",$E20*MAX(0,MIN($D20+1,EDATE(AX$4,1))-MAX($C20,AX$4))/MAX(1,$D20+1-$C20))</f>
        <v/>
      </c>
      <c r="AY20" s="64" t="str">
        <f aca="false">IF(OR(AY$4="",$C20="",$D20="",N($E20)=0),"",$E20*MAX(0,MIN($D20+1,EDATE(AY$4,1))-MAX($C20,AY$4))/MAX(1,$D20+1-$C20))</f>
        <v/>
      </c>
      <c r="AZ20" s="64" t="str">
        <f aca="false">IF(OR(AZ$4="",$C20="",$D20="",N($E20)=0),"",$E20*MAX(0,MIN($D20+1,EDATE(AZ$4,1))-MAX($C20,AZ$4))/MAX(1,$D20+1-$C20))</f>
        <v/>
      </c>
      <c r="BA20" s="64" t="str">
        <f aca="false">IF(OR(BA$4="",$C20="",$D20="",N($E20)=0),"",$E20*MAX(0,MIN($D20+1,EDATE(BA$4,1))-MAX($C20,BA$4))/MAX(1,$D20+1-$C20))</f>
        <v/>
      </c>
      <c r="BB20" s="64" t="str">
        <f aca="false">IF(OR(BB$4="",$C20="",$D20="",N($E20)=0),"",$E20*MAX(0,MIN($D20+1,EDATE(BB$4,1))-MAX($C20,BB$4))/MAX(1,$D20+1-$C20))</f>
        <v/>
      </c>
      <c r="BC20" s="64" t="str">
        <f aca="false">IF(OR(BC$4="",$C20="",$D20="",N($E20)=0),"",$E20*MAX(0,MIN($D20+1,EDATE(BC$4,1))-MAX($C20,BC$4))/MAX(1,$D20+1-$C20))</f>
        <v/>
      </c>
      <c r="BD20" s="64" t="str">
        <f aca="false">IF(OR(BD$4="",$C20="",$D20="",N($E20)=0),"",$E20*MAX(0,MIN($D20+1,EDATE(BD$4,1))-MAX($C20,BD$4))/MAX(1,$D20+1-$C20))</f>
        <v/>
      </c>
      <c r="BE20" s="64" t="str">
        <f aca="false">IF(OR(BE$4="",$C20="",$D20="",N($E20)=0),"",$E20*MAX(0,MIN($D20+1,EDATE(BE$4,1))-MAX($C20,BE$4))/MAX(1,$D20+1-$C20))</f>
        <v/>
      </c>
      <c r="BF20" s="64" t="str">
        <f aca="false">IF(OR(BF$4="",$C20="",$D20="",N($E20)=0),"",$E20*MAX(0,MIN($D20+1,EDATE(BF$4,1))-MAX($C20,BF$4))/MAX(1,$D20+1-$C20))</f>
        <v/>
      </c>
      <c r="BG20" s="64" t="str">
        <f aca="false">IF(OR(BG$4="",$C20="",$D20="",N($E20)=0),"",$E20*MAX(0,MIN($D20+1,EDATE(BG$4,1))-MAX($C20,BG$4))/MAX(1,$D20+1-$C20))</f>
        <v/>
      </c>
      <c r="BH20" s="64" t="str">
        <f aca="false">IF(OR(BH$4="",$C20="",$D20="",N($E20)=0),"",$E20*MAX(0,MIN($D20+1,EDATE(BH$4,1))-MAX($C20,BH$4))/MAX(1,$D20+1-$C20))</f>
        <v/>
      </c>
      <c r="BI20" s="64" t="str">
        <f aca="false">IF(OR(BI$4="",$C20="",$D20="",N($E20)=0),"",$E20*MAX(0,MIN($D20+1,EDATE(BI$4,1))-MAX($C20,BI$4))/MAX(1,$D20+1-$C20))</f>
        <v/>
      </c>
      <c r="BJ20" s="64" t="str">
        <f aca="false">IF(OR(BJ$4="",$C20="",$D20="",N($E20)=0),"",$E20*MAX(0,MIN($D20+1,EDATE(BJ$4,1))-MAX($C20,BJ$4))/MAX(1,$D20+1-$C20))</f>
        <v/>
      </c>
      <c r="BK20" s="64" t="str">
        <f aca="false">IF(OR(BK$4="",$C20="",$D20="",N($E20)=0),"",$E20*MAX(0,MIN($D20+1,EDATE(BK$4,1))-MAX($C20,BK$4))/MAX(1,$D20+1-$C20))</f>
        <v/>
      </c>
      <c r="BL20" s="64" t="str">
        <f aca="false">IF(OR(BL$4="",$C20="",$D20="",N($E20)=0),"",$E20*MAX(0,MIN($D20+1,EDATE(BL$4,1))-MAX($C20,BL$4))/MAX(1,$D20+1-$C20))</f>
        <v/>
      </c>
      <c r="BM20" s="64" t="str">
        <f aca="false">IF(OR(BM$4="",$C20="",$D20="",N($E20)=0),"",$E20*MAX(0,MIN($D20+1,EDATE(BM$4,1))-MAX($C20,BM$4))/MAX(1,$D20+1-$C20))</f>
        <v/>
      </c>
      <c r="BN20" s="64" t="str">
        <f aca="false">IF(OR(BN$4="",$C20="",$D20="",N($E20)=0),"",$E20*MAX(0,MIN($D20+1,EDATE(BN$4,1))-MAX($C20,BN$4))/MAX(1,$D20+1-$C20))</f>
        <v/>
      </c>
      <c r="BO20" s="64" t="str">
        <f aca="false">IF(OR(BO$4="",$C20="",$D20="",N($E20)=0),"",$E20*MAX(0,MIN($D20+1,EDATE(BO$4,1))-MAX($C20,BO$4))/MAX(1,$D20+1-$C20))</f>
        <v/>
      </c>
      <c r="BP20" s="64" t="str">
        <f aca="false">IF(OR(BP$4="",$C20="",$D20="",N($E20)=0),"",$E20*MAX(0,MIN($D20+1,EDATE(BP$4,1))-MAX($C20,BP$4))/MAX(1,$D20+1-$C20))</f>
        <v/>
      </c>
      <c r="BQ20" s="64" t="str">
        <f aca="false">IF(OR(BQ$4="",$C20="",$D20="",N($E20)=0),"",$E20*MAX(0,MIN($D20+1,EDATE(BQ$4,1))-MAX($C20,BQ$4))/MAX(1,$D20+1-$C20))</f>
        <v/>
      </c>
      <c r="BR20" s="64" t="str">
        <f aca="false">IF(OR(BR$4="",$C20="",$D20="",N($E20)=0),"",$E20*MAX(0,MIN($D20+1,EDATE(BR$4,1))-MAX($C20,BR$4))/MAX(1,$D20+1-$C20))</f>
        <v/>
      </c>
      <c r="BS20" s="64" t="str">
        <f aca="false">IF(OR(BS$4="",$C20="",$D20="",N($E20)=0),"",$E20*MAX(0,MIN($D20+1,EDATE(BS$4,1))-MAX($C20,BS$4))/MAX(1,$D20+1-$C20))</f>
        <v/>
      </c>
      <c r="BT20" s="64" t="str">
        <f aca="false">IF(OR(BT$4="",$C20="",$D20="",N($E20)=0),"",$E20*MAX(0,MIN($D20+1,EDATE(BT$4,1))-MAX($C20,BT$4))/MAX(1,$D20+1-$C20))</f>
        <v/>
      </c>
      <c r="BU20" s="64" t="str">
        <f aca="false">IF(OR(BU$4="",$C20="",$D20="",N($E20)=0),"",$E20*MAX(0,MIN($D20+1,EDATE(BU$4,1))-MAX($C20,BU$4))/MAX(1,$D20+1-$C20))</f>
        <v/>
      </c>
      <c r="BV20" s="64" t="str">
        <f aca="false">IF(OR(BV$4="",$C20="",$D20="",N($E20)=0),"",$E20*MAX(0,MIN($D20+1,EDATE(BV$4,1))-MAX($C20,BV$4))/MAX(1,$D20+1-$C20))</f>
        <v/>
      </c>
      <c r="BW20" s="64" t="str">
        <f aca="false">IF(OR(BW$4="",$C20="",$D20="",N($E20)=0),"",$E20*MAX(0,MIN($D20+1,EDATE(BW$4,1))-MAX($C20,BW$4))/MAX(1,$D20+1-$C20))</f>
        <v/>
      </c>
      <c r="BX20" s="64" t="str">
        <f aca="false">IF(OR(BX$4="",$C20="",$D20="",N($E20)=0),"",$E20*MAX(0,MIN($D20+1,EDATE(BX$4,1))-MAX($C20,BX$4))/MAX(1,$D20+1-$C20))</f>
        <v/>
      </c>
      <c r="BY20" s="64" t="str">
        <f aca="false">IF(OR(BY$4="",$C20="",$D20="",N($E20)=0),"",$E20*MAX(0,MIN($D20+1,EDATE(BY$4,1))-MAX($C20,BY$4))/MAX(1,$D20+1-$C20))</f>
        <v/>
      </c>
    </row>
    <row r="21" customFormat="false" ht="15" hidden="false" customHeight="false" outlineLevel="0" collapsed="false">
      <c r="A21" s="61" t="str">
        <f aca="false">IF(BOE!$A22="","",BOE!$A22)</f>
        <v>208</v>
      </c>
      <c r="B21" s="61" t="str">
        <f aca="false">IF(BOE!$A22="","",BOE!$C22)</f>
        <v>Functional Hazard Analysis (FHA)</v>
      </c>
      <c r="C21" s="62" t="n">
        <f aca="false">IF(BOE!$O22="","",BOE!$O22)</f>
        <v>46481</v>
      </c>
      <c r="D21" s="62" t="n">
        <f aca="false">IF(BOE!$P22="","",BOE!$P22)</f>
        <v>46695</v>
      </c>
      <c r="E21" s="63" t="n">
        <f aca="false">IF(Inputs!$B$7="P90",BOE!$T22,BOE!$R22)</f>
        <v>520</v>
      </c>
      <c r="F21" s="64" t="n">
        <f aca="false">IF(OR(F$4="",$C21="",$D21="",N($E21)=0),"",$E21*MAX(0,MIN($D21+1,EDATE(F$4,1))-MAX($C21,F$4))/MAX(1,$D21+1-$C21))</f>
        <v>0</v>
      </c>
      <c r="G21" s="64" t="n">
        <f aca="false">IF(OR(G$4="",$C21="",$D21="",N($E21)=0),"",$E21*MAX(0,MIN($D21+1,EDATE(G$4,1))-MAX($C21,G$4))/MAX(1,$D21+1-$C21))</f>
        <v>0</v>
      </c>
      <c r="H21" s="64" t="n">
        <f aca="false">IF(OR(H$4="",$C21="",$D21="",N($E21)=0),"",$E21*MAX(0,MIN($D21+1,EDATE(H$4,1))-MAX($C21,H$4))/MAX(1,$D21+1-$C21))</f>
        <v>0</v>
      </c>
      <c r="I21" s="64" t="n">
        <f aca="false">IF(OR(I$4="",$C21="",$D21="",N($E21)=0),"",$E21*MAX(0,MIN($D21+1,EDATE(I$4,1))-MAX($C21,I$4))/MAX(1,$D21+1-$C21))</f>
        <v>72.5581395348837</v>
      </c>
      <c r="J21" s="64" t="n">
        <f aca="false">IF(OR(J$4="",$C21="",$D21="",N($E21)=0),"",$E21*MAX(0,MIN($D21+1,EDATE(J$4,1))-MAX($C21,J$4))/MAX(1,$D21+1-$C21))</f>
        <v>74.9767441860465</v>
      </c>
      <c r="K21" s="64" t="n">
        <f aca="false">IF(OR(K$4="",$C21="",$D21="",N($E21)=0),"",$E21*MAX(0,MIN($D21+1,EDATE(K$4,1))-MAX($C21,K$4))/MAX(1,$D21+1-$C21))</f>
        <v>72.5581395348837</v>
      </c>
      <c r="L21" s="64" t="n">
        <f aca="false">IF(OR(L$4="",$C21="",$D21="",N($E21)=0),"",$E21*MAX(0,MIN($D21+1,EDATE(L$4,1))-MAX($C21,L$4))/MAX(1,$D21+1-$C21))</f>
        <v>74.9767441860465</v>
      </c>
      <c r="M21" s="64" t="n">
        <f aca="false">IF(OR(M$4="",$C21="",$D21="",N($E21)=0),"",$E21*MAX(0,MIN($D21+1,EDATE(M$4,1))-MAX($C21,M$4))/MAX(1,$D21+1-$C21))</f>
        <v>74.9767441860465</v>
      </c>
      <c r="N21" s="64" t="n">
        <f aca="false">IF(OR(N$4="",$C21="",$D21="",N($E21)=0),"",$E21*MAX(0,MIN($D21+1,EDATE(N$4,1))-MAX($C21,N$4))/MAX(1,$D21+1-$C21))</f>
        <v>72.5581395348837</v>
      </c>
      <c r="O21" s="64" t="n">
        <f aca="false">IF(OR(O$4="",$C21="",$D21="",N($E21)=0),"",$E21*MAX(0,MIN($D21+1,EDATE(O$4,1))-MAX($C21,O$4))/MAX(1,$D21+1-$C21))</f>
        <v>74.9767441860465</v>
      </c>
      <c r="P21" s="64" t="n">
        <f aca="false">IF(OR(P$4="",$C21="",$D21="",N($E21)=0),"",$E21*MAX(0,MIN($D21+1,EDATE(P$4,1))-MAX($C21,P$4))/MAX(1,$D21+1-$C21))</f>
        <v>2.41860465116279</v>
      </c>
      <c r="Q21" s="64" t="n">
        <f aca="false">IF(OR(Q$4="",$C21="",$D21="",N($E21)=0),"",$E21*MAX(0,MIN($D21+1,EDATE(Q$4,1))-MAX($C21,Q$4))/MAX(1,$D21+1-$C21))</f>
        <v>0</v>
      </c>
      <c r="R21" s="64" t="n">
        <f aca="false">IF(OR(R$4="",$C21="",$D21="",N($E21)=0),"",$E21*MAX(0,MIN($D21+1,EDATE(R$4,1))-MAX($C21,R$4))/MAX(1,$D21+1-$C21))</f>
        <v>0</v>
      </c>
      <c r="S21" s="64" t="n">
        <f aca="false">IF(OR(S$4="",$C21="",$D21="",N($E21)=0),"",$E21*MAX(0,MIN($D21+1,EDATE(S$4,1))-MAX($C21,S$4))/MAX(1,$D21+1-$C21))</f>
        <v>0</v>
      </c>
      <c r="T21" s="64" t="n">
        <f aca="false">IF(OR(T$4="",$C21="",$D21="",N($E21)=0),"",$E21*MAX(0,MIN($D21+1,EDATE(T$4,1))-MAX($C21,T$4))/MAX(1,$D21+1-$C21))</f>
        <v>0</v>
      </c>
      <c r="U21" s="64" t="n">
        <f aca="false">IF(OR(U$4="",$C21="",$D21="",N($E21)=0),"",$E21*MAX(0,MIN($D21+1,EDATE(U$4,1))-MAX($C21,U$4))/MAX(1,$D21+1-$C21))</f>
        <v>0</v>
      </c>
      <c r="V21" s="64" t="n">
        <f aca="false">IF(OR(V$4="",$C21="",$D21="",N($E21)=0),"",$E21*MAX(0,MIN($D21+1,EDATE(V$4,1))-MAX($C21,V$4))/MAX(1,$D21+1-$C21))</f>
        <v>0</v>
      </c>
      <c r="W21" s="64" t="n">
        <f aca="false">IF(OR(W$4="",$C21="",$D21="",N($E21)=0),"",$E21*MAX(0,MIN($D21+1,EDATE(W$4,1))-MAX($C21,W$4))/MAX(1,$D21+1-$C21))</f>
        <v>0</v>
      </c>
      <c r="X21" s="64" t="n">
        <f aca="false">IF(OR(X$4="",$C21="",$D21="",N($E21)=0),"",$E21*MAX(0,MIN($D21+1,EDATE(X$4,1))-MAX($C21,X$4))/MAX(1,$D21+1-$C21))</f>
        <v>0</v>
      </c>
      <c r="Y21" s="64" t="n">
        <f aca="false">IF(OR(Y$4="",$C21="",$D21="",N($E21)=0),"",$E21*MAX(0,MIN($D21+1,EDATE(Y$4,1))-MAX($C21,Y$4))/MAX(1,$D21+1-$C21))</f>
        <v>0</v>
      </c>
      <c r="Z21" s="64" t="n">
        <f aca="false">IF(OR(Z$4="",$C21="",$D21="",N($E21)=0),"",$E21*MAX(0,MIN($D21+1,EDATE(Z$4,1))-MAX($C21,Z$4))/MAX(1,$D21+1-$C21))</f>
        <v>0</v>
      </c>
      <c r="AA21" s="64" t="n">
        <f aca="false">IF(OR(AA$4="",$C21="",$D21="",N($E21)=0),"",$E21*MAX(0,MIN($D21+1,EDATE(AA$4,1))-MAX($C21,AA$4))/MAX(1,$D21+1-$C21))</f>
        <v>0</v>
      </c>
      <c r="AB21" s="64" t="n">
        <f aca="false">IF(OR(AB$4="",$C21="",$D21="",N($E21)=0),"",$E21*MAX(0,MIN($D21+1,EDATE(AB$4,1))-MAX($C21,AB$4))/MAX(1,$D21+1-$C21))</f>
        <v>0</v>
      </c>
      <c r="AC21" s="64" t="n">
        <f aca="false">IF(OR(AC$4="",$C21="",$D21="",N($E21)=0),"",$E21*MAX(0,MIN($D21+1,EDATE(AC$4,1))-MAX($C21,AC$4))/MAX(1,$D21+1-$C21))</f>
        <v>0</v>
      </c>
      <c r="AD21" s="64" t="n">
        <f aca="false">IF(OR(AD$4="",$C21="",$D21="",N($E21)=0),"",$E21*MAX(0,MIN($D21+1,EDATE(AD$4,1))-MAX($C21,AD$4))/MAX(1,$D21+1-$C21))</f>
        <v>0</v>
      </c>
      <c r="AE21" s="64" t="n">
        <f aca="false">IF(OR(AE$4="",$C21="",$D21="",N($E21)=0),"",$E21*MAX(0,MIN($D21+1,EDATE(AE$4,1))-MAX($C21,AE$4))/MAX(1,$D21+1-$C21))</f>
        <v>0</v>
      </c>
      <c r="AF21" s="64" t="n">
        <f aca="false">IF(OR(AF$4="",$C21="",$D21="",N($E21)=0),"",$E21*MAX(0,MIN($D21+1,EDATE(AF$4,1))-MAX($C21,AF$4))/MAX(1,$D21+1-$C21))</f>
        <v>0</v>
      </c>
      <c r="AG21" s="64" t="n">
        <f aca="false">IF(OR(AG$4="",$C21="",$D21="",N($E21)=0),"",$E21*MAX(0,MIN($D21+1,EDATE(AG$4,1))-MAX($C21,AG$4))/MAX(1,$D21+1-$C21))</f>
        <v>0</v>
      </c>
      <c r="AH21" s="64" t="n">
        <f aca="false">IF(OR(AH$4="",$C21="",$D21="",N($E21)=0),"",$E21*MAX(0,MIN($D21+1,EDATE(AH$4,1))-MAX($C21,AH$4))/MAX(1,$D21+1-$C21))</f>
        <v>0</v>
      </c>
      <c r="AI21" s="64" t="n">
        <f aca="false">IF(OR(AI$4="",$C21="",$D21="",N($E21)=0),"",$E21*MAX(0,MIN($D21+1,EDATE(AI$4,1))-MAX($C21,AI$4))/MAX(1,$D21+1-$C21))</f>
        <v>0</v>
      </c>
      <c r="AJ21" s="64" t="n">
        <f aca="false">IF(OR(AJ$4="",$C21="",$D21="",N($E21)=0),"",$E21*MAX(0,MIN($D21+1,EDATE(AJ$4,1))-MAX($C21,AJ$4))/MAX(1,$D21+1-$C21))</f>
        <v>0</v>
      </c>
      <c r="AK21" s="64" t="n">
        <f aca="false">IF(OR(AK$4="",$C21="",$D21="",N($E21)=0),"",$E21*MAX(0,MIN($D21+1,EDATE(AK$4,1))-MAX($C21,AK$4))/MAX(1,$D21+1-$C21))</f>
        <v>0</v>
      </c>
      <c r="AL21" s="64" t="n">
        <f aca="false">IF(OR(AL$4="",$C21="",$D21="",N($E21)=0),"",$E21*MAX(0,MIN($D21+1,EDATE(AL$4,1))-MAX($C21,AL$4))/MAX(1,$D21+1-$C21))</f>
        <v>0</v>
      </c>
      <c r="AM21" s="64" t="n">
        <f aca="false">IF(OR(AM$4="",$C21="",$D21="",N($E21)=0),"",$E21*MAX(0,MIN($D21+1,EDATE(AM$4,1))-MAX($C21,AM$4))/MAX(1,$D21+1-$C21))</f>
        <v>0</v>
      </c>
      <c r="AN21" s="64" t="n">
        <f aca="false">IF(OR(AN$4="",$C21="",$D21="",N($E21)=0),"",$E21*MAX(0,MIN($D21+1,EDATE(AN$4,1))-MAX($C21,AN$4))/MAX(1,$D21+1-$C21))</f>
        <v>0</v>
      </c>
      <c r="AO21" s="64" t="n">
        <f aca="false">IF(OR(AO$4="",$C21="",$D21="",N($E21)=0),"",$E21*MAX(0,MIN($D21+1,EDATE(AO$4,1))-MAX($C21,AO$4))/MAX(1,$D21+1-$C21))</f>
        <v>0</v>
      </c>
      <c r="AP21" s="64" t="str">
        <f aca="false">IF(OR(AP$4="",$C21="",$D21="",N($E21)=0),"",$E21*MAX(0,MIN($D21+1,EDATE(AP$4,1))-MAX($C21,AP$4))/MAX(1,$D21+1-$C21))</f>
        <v/>
      </c>
      <c r="AQ21" s="64" t="str">
        <f aca="false">IF(OR(AQ$4="",$C21="",$D21="",N($E21)=0),"",$E21*MAX(0,MIN($D21+1,EDATE(AQ$4,1))-MAX($C21,AQ$4))/MAX(1,$D21+1-$C21))</f>
        <v/>
      </c>
      <c r="AR21" s="64" t="str">
        <f aca="false">IF(OR(AR$4="",$C21="",$D21="",N($E21)=0),"",$E21*MAX(0,MIN($D21+1,EDATE(AR$4,1))-MAX($C21,AR$4))/MAX(1,$D21+1-$C21))</f>
        <v/>
      </c>
      <c r="AS21" s="64" t="str">
        <f aca="false">IF(OR(AS$4="",$C21="",$D21="",N($E21)=0),"",$E21*MAX(0,MIN($D21+1,EDATE(AS$4,1))-MAX($C21,AS$4))/MAX(1,$D21+1-$C21))</f>
        <v/>
      </c>
      <c r="AT21" s="64" t="str">
        <f aca="false">IF(OR(AT$4="",$C21="",$D21="",N($E21)=0),"",$E21*MAX(0,MIN($D21+1,EDATE(AT$4,1))-MAX($C21,AT$4))/MAX(1,$D21+1-$C21))</f>
        <v/>
      </c>
      <c r="AU21" s="64" t="str">
        <f aca="false">IF(OR(AU$4="",$C21="",$D21="",N($E21)=0),"",$E21*MAX(0,MIN($D21+1,EDATE(AU$4,1))-MAX($C21,AU$4))/MAX(1,$D21+1-$C21))</f>
        <v/>
      </c>
      <c r="AV21" s="64" t="str">
        <f aca="false">IF(OR(AV$4="",$C21="",$D21="",N($E21)=0),"",$E21*MAX(0,MIN($D21+1,EDATE(AV$4,1))-MAX($C21,AV$4))/MAX(1,$D21+1-$C21))</f>
        <v/>
      </c>
      <c r="AW21" s="64" t="str">
        <f aca="false">IF(OR(AW$4="",$C21="",$D21="",N($E21)=0),"",$E21*MAX(0,MIN($D21+1,EDATE(AW$4,1))-MAX($C21,AW$4))/MAX(1,$D21+1-$C21))</f>
        <v/>
      </c>
      <c r="AX21" s="64" t="str">
        <f aca="false">IF(OR(AX$4="",$C21="",$D21="",N($E21)=0),"",$E21*MAX(0,MIN($D21+1,EDATE(AX$4,1))-MAX($C21,AX$4))/MAX(1,$D21+1-$C21))</f>
        <v/>
      </c>
      <c r="AY21" s="64" t="str">
        <f aca="false">IF(OR(AY$4="",$C21="",$D21="",N($E21)=0),"",$E21*MAX(0,MIN($D21+1,EDATE(AY$4,1))-MAX($C21,AY$4))/MAX(1,$D21+1-$C21))</f>
        <v/>
      </c>
      <c r="AZ21" s="64" t="str">
        <f aca="false">IF(OR(AZ$4="",$C21="",$D21="",N($E21)=0),"",$E21*MAX(0,MIN($D21+1,EDATE(AZ$4,1))-MAX($C21,AZ$4))/MAX(1,$D21+1-$C21))</f>
        <v/>
      </c>
      <c r="BA21" s="64" t="str">
        <f aca="false">IF(OR(BA$4="",$C21="",$D21="",N($E21)=0),"",$E21*MAX(0,MIN($D21+1,EDATE(BA$4,1))-MAX($C21,BA$4))/MAX(1,$D21+1-$C21))</f>
        <v/>
      </c>
      <c r="BB21" s="64" t="str">
        <f aca="false">IF(OR(BB$4="",$C21="",$D21="",N($E21)=0),"",$E21*MAX(0,MIN($D21+1,EDATE(BB$4,1))-MAX($C21,BB$4))/MAX(1,$D21+1-$C21))</f>
        <v/>
      </c>
      <c r="BC21" s="64" t="str">
        <f aca="false">IF(OR(BC$4="",$C21="",$D21="",N($E21)=0),"",$E21*MAX(0,MIN($D21+1,EDATE(BC$4,1))-MAX($C21,BC$4))/MAX(1,$D21+1-$C21))</f>
        <v/>
      </c>
      <c r="BD21" s="64" t="str">
        <f aca="false">IF(OR(BD$4="",$C21="",$D21="",N($E21)=0),"",$E21*MAX(0,MIN($D21+1,EDATE(BD$4,1))-MAX($C21,BD$4))/MAX(1,$D21+1-$C21))</f>
        <v/>
      </c>
      <c r="BE21" s="64" t="str">
        <f aca="false">IF(OR(BE$4="",$C21="",$D21="",N($E21)=0),"",$E21*MAX(0,MIN($D21+1,EDATE(BE$4,1))-MAX($C21,BE$4))/MAX(1,$D21+1-$C21))</f>
        <v/>
      </c>
      <c r="BF21" s="64" t="str">
        <f aca="false">IF(OR(BF$4="",$C21="",$D21="",N($E21)=0),"",$E21*MAX(0,MIN($D21+1,EDATE(BF$4,1))-MAX($C21,BF$4))/MAX(1,$D21+1-$C21))</f>
        <v/>
      </c>
      <c r="BG21" s="64" t="str">
        <f aca="false">IF(OR(BG$4="",$C21="",$D21="",N($E21)=0),"",$E21*MAX(0,MIN($D21+1,EDATE(BG$4,1))-MAX($C21,BG$4))/MAX(1,$D21+1-$C21))</f>
        <v/>
      </c>
      <c r="BH21" s="64" t="str">
        <f aca="false">IF(OR(BH$4="",$C21="",$D21="",N($E21)=0),"",$E21*MAX(0,MIN($D21+1,EDATE(BH$4,1))-MAX($C21,BH$4))/MAX(1,$D21+1-$C21))</f>
        <v/>
      </c>
      <c r="BI21" s="64" t="str">
        <f aca="false">IF(OR(BI$4="",$C21="",$D21="",N($E21)=0),"",$E21*MAX(0,MIN($D21+1,EDATE(BI$4,1))-MAX($C21,BI$4))/MAX(1,$D21+1-$C21))</f>
        <v/>
      </c>
      <c r="BJ21" s="64" t="str">
        <f aca="false">IF(OR(BJ$4="",$C21="",$D21="",N($E21)=0),"",$E21*MAX(0,MIN($D21+1,EDATE(BJ$4,1))-MAX($C21,BJ$4))/MAX(1,$D21+1-$C21))</f>
        <v/>
      </c>
      <c r="BK21" s="64" t="str">
        <f aca="false">IF(OR(BK$4="",$C21="",$D21="",N($E21)=0),"",$E21*MAX(0,MIN($D21+1,EDATE(BK$4,1))-MAX($C21,BK$4))/MAX(1,$D21+1-$C21))</f>
        <v/>
      </c>
      <c r="BL21" s="64" t="str">
        <f aca="false">IF(OR(BL$4="",$C21="",$D21="",N($E21)=0),"",$E21*MAX(0,MIN($D21+1,EDATE(BL$4,1))-MAX($C21,BL$4))/MAX(1,$D21+1-$C21))</f>
        <v/>
      </c>
      <c r="BM21" s="64" t="str">
        <f aca="false">IF(OR(BM$4="",$C21="",$D21="",N($E21)=0),"",$E21*MAX(0,MIN($D21+1,EDATE(BM$4,1))-MAX($C21,BM$4))/MAX(1,$D21+1-$C21))</f>
        <v/>
      </c>
      <c r="BN21" s="64" t="str">
        <f aca="false">IF(OR(BN$4="",$C21="",$D21="",N($E21)=0),"",$E21*MAX(0,MIN($D21+1,EDATE(BN$4,1))-MAX($C21,BN$4))/MAX(1,$D21+1-$C21))</f>
        <v/>
      </c>
      <c r="BO21" s="64" t="str">
        <f aca="false">IF(OR(BO$4="",$C21="",$D21="",N($E21)=0),"",$E21*MAX(0,MIN($D21+1,EDATE(BO$4,1))-MAX($C21,BO$4))/MAX(1,$D21+1-$C21))</f>
        <v/>
      </c>
      <c r="BP21" s="64" t="str">
        <f aca="false">IF(OR(BP$4="",$C21="",$D21="",N($E21)=0),"",$E21*MAX(0,MIN($D21+1,EDATE(BP$4,1))-MAX($C21,BP$4))/MAX(1,$D21+1-$C21))</f>
        <v/>
      </c>
      <c r="BQ21" s="64" t="str">
        <f aca="false">IF(OR(BQ$4="",$C21="",$D21="",N($E21)=0),"",$E21*MAX(0,MIN($D21+1,EDATE(BQ$4,1))-MAX($C21,BQ$4))/MAX(1,$D21+1-$C21))</f>
        <v/>
      </c>
      <c r="BR21" s="64" t="str">
        <f aca="false">IF(OR(BR$4="",$C21="",$D21="",N($E21)=0),"",$E21*MAX(0,MIN($D21+1,EDATE(BR$4,1))-MAX($C21,BR$4))/MAX(1,$D21+1-$C21))</f>
        <v/>
      </c>
      <c r="BS21" s="64" t="str">
        <f aca="false">IF(OR(BS$4="",$C21="",$D21="",N($E21)=0),"",$E21*MAX(0,MIN($D21+1,EDATE(BS$4,1))-MAX($C21,BS$4))/MAX(1,$D21+1-$C21))</f>
        <v/>
      </c>
      <c r="BT21" s="64" t="str">
        <f aca="false">IF(OR(BT$4="",$C21="",$D21="",N($E21)=0),"",$E21*MAX(0,MIN($D21+1,EDATE(BT$4,1))-MAX($C21,BT$4))/MAX(1,$D21+1-$C21))</f>
        <v/>
      </c>
      <c r="BU21" s="64" t="str">
        <f aca="false">IF(OR(BU$4="",$C21="",$D21="",N($E21)=0),"",$E21*MAX(0,MIN($D21+1,EDATE(BU$4,1))-MAX($C21,BU$4))/MAX(1,$D21+1-$C21))</f>
        <v/>
      </c>
      <c r="BV21" s="64" t="str">
        <f aca="false">IF(OR(BV$4="",$C21="",$D21="",N($E21)=0),"",$E21*MAX(0,MIN($D21+1,EDATE(BV$4,1))-MAX($C21,BV$4))/MAX(1,$D21+1-$C21))</f>
        <v/>
      </c>
      <c r="BW21" s="64" t="str">
        <f aca="false">IF(OR(BW$4="",$C21="",$D21="",N($E21)=0),"",$E21*MAX(0,MIN($D21+1,EDATE(BW$4,1))-MAX($C21,BW$4))/MAX(1,$D21+1-$C21))</f>
        <v/>
      </c>
      <c r="BX21" s="64" t="str">
        <f aca="false">IF(OR(BX$4="",$C21="",$D21="",N($E21)=0),"",$E21*MAX(0,MIN($D21+1,EDATE(BX$4,1))-MAX($C21,BX$4))/MAX(1,$D21+1-$C21))</f>
        <v/>
      </c>
      <c r="BY21" s="64" t="str">
        <f aca="false">IF(OR(BY$4="",$C21="",$D21="",N($E21)=0),"",$E21*MAX(0,MIN($D21+1,EDATE(BY$4,1))-MAX($C21,BY$4))/MAX(1,$D21+1-$C21))</f>
        <v/>
      </c>
    </row>
    <row r="22" customFormat="false" ht="15" hidden="false" customHeight="false" outlineLevel="0" collapsed="false">
      <c r="A22" s="61" t="str">
        <f aca="false">IF(BOE!$A23="","",BOE!$A23)</f>
        <v>209</v>
      </c>
      <c r="B22" s="61" t="str">
        <f aca="false">IF(BOE!$A23="","",BOE!$C23)</f>
        <v>System-of-Systems Hazard Analysis</v>
      </c>
      <c r="C22" s="62" t="n">
        <f aca="false">IF(BOE!$O23="","",BOE!$O23)</f>
        <v>46695</v>
      </c>
      <c r="D22" s="62" t="n">
        <f aca="false">IF(BOE!$P23="","",BOE!$P23)</f>
        <v>46877</v>
      </c>
      <c r="E22" s="63" t="n">
        <f aca="false">IF(Inputs!$B$7="P90",BOE!$T23,BOE!$R23)</f>
        <v>0</v>
      </c>
      <c r="F22" s="64" t="str">
        <f aca="false">IF(OR(F$4="",$C22="",$D22="",N($E22)=0),"",$E22*MAX(0,MIN($D22+1,EDATE(F$4,1))-MAX($C22,F$4))/MAX(1,$D22+1-$C22))</f>
        <v/>
      </c>
      <c r="G22" s="64" t="str">
        <f aca="false">IF(OR(G$4="",$C22="",$D22="",N($E22)=0),"",$E22*MAX(0,MIN($D22+1,EDATE(G$4,1))-MAX($C22,G$4))/MAX(1,$D22+1-$C22))</f>
        <v/>
      </c>
      <c r="H22" s="64" t="str">
        <f aca="false">IF(OR(H$4="",$C22="",$D22="",N($E22)=0),"",$E22*MAX(0,MIN($D22+1,EDATE(H$4,1))-MAX($C22,H$4))/MAX(1,$D22+1-$C22))</f>
        <v/>
      </c>
      <c r="I22" s="64" t="str">
        <f aca="false">IF(OR(I$4="",$C22="",$D22="",N($E22)=0),"",$E22*MAX(0,MIN($D22+1,EDATE(I$4,1))-MAX($C22,I$4))/MAX(1,$D22+1-$C22))</f>
        <v/>
      </c>
      <c r="J22" s="64" t="str">
        <f aca="false">IF(OR(J$4="",$C22="",$D22="",N($E22)=0),"",$E22*MAX(0,MIN($D22+1,EDATE(J$4,1))-MAX($C22,J$4))/MAX(1,$D22+1-$C22))</f>
        <v/>
      </c>
      <c r="K22" s="64" t="str">
        <f aca="false">IF(OR(K$4="",$C22="",$D22="",N($E22)=0),"",$E22*MAX(0,MIN($D22+1,EDATE(K$4,1))-MAX($C22,K$4))/MAX(1,$D22+1-$C22))</f>
        <v/>
      </c>
      <c r="L22" s="64" t="str">
        <f aca="false">IF(OR(L$4="",$C22="",$D22="",N($E22)=0),"",$E22*MAX(0,MIN($D22+1,EDATE(L$4,1))-MAX($C22,L$4))/MAX(1,$D22+1-$C22))</f>
        <v/>
      </c>
      <c r="M22" s="64" t="str">
        <f aca="false">IF(OR(M$4="",$C22="",$D22="",N($E22)=0),"",$E22*MAX(0,MIN($D22+1,EDATE(M$4,1))-MAX($C22,M$4))/MAX(1,$D22+1-$C22))</f>
        <v/>
      </c>
      <c r="N22" s="64" t="str">
        <f aca="false">IF(OR(N$4="",$C22="",$D22="",N($E22)=0),"",$E22*MAX(0,MIN($D22+1,EDATE(N$4,1))-MAX($C22,N$4))/MAX(1,$D22+1-$C22))</f>
        <v/>
      </c>
      <c r="O22" s="64" t="str">
        <f aca="false">IF(OR(O$4="",$C22="",$D22="",N($E22)=0),"",$E22*MAX(0,MIN($D22+1,EDATE(O$4,1))-MAX($C22,O$4))/MAX(1,$D22+1-$C22))</f>
        <v/>
      </c>
      <c r="P22" s="64" t="str">
        <f aca="false">IF(OR(P$4="",$C22="",$D22="",N($E22)=0),"",$E22*MAX(0,MIN($D22+1,EDATE(P$4,1))-MAX($C22,P$4))/MAX(1,$D22+1-$C22))</f>
        <v/>
      </c>
      <c r="Q22" s="64" t="str">
        <f aca="false">IF(OR(Q$4="",$C22="",$D22="",N($E22)=0),"",$E22*MAX(0,MIN($D22+1,EDATE(Q$4,1))-MAX($C22,Q$4))/MAX(1,$D22+1-$C22))</f>
        <v/>
      </c>
      <c r="R22" s="64" t="str">
        <f aca="false">IF(OR(R$4="",$C22="",$D22="",N($E22)=0),"",$E22*MAX(0,MIN($D22+1,EDATE(R$4,1))-MAX($C22,R$4))/MAX(1,$D22+1-$C22))</f>
        <v/>
      </c>
      <c r="S22" s="64" t="str">
        <f aca="false">IF(OR(S$4="",$C22="",$D22="",N($E22)=0),"",$E22*MAX(0,MIN($D22+1,EDATE(S$4,1))-MAX($C22,S$4))/MAX(1,$D22+1-$C22))</f>
        <v/>
      </c>
      <c r="T22" s="64" t="str">
        <f aca="false">IF(OR(T$4="",$C22="",$D22="",N($E22)=0),"",$E22*MAX(0,MIN($D22+1,EDATE(T$4,1))-MAX($C22,T$4))/MAX(1,$D22+1-$C22))</f>
        <v/>
      </c>
      <c r="U22" s="64" t="str">
        <f aca="false">IF(OR(U$4="",$C22="",$D22="",N($E22)=0),"",$E22*MAX(0,MIN($D22+1,EDATE(U$4,1))-MAX($C22,U$4))/MAX(1,$D22+1-$C22))</f>
        <v/>
      </c>
      <c r="V22" s="64" t="str">
        <f aca="false">IF(OR(V$4="",$C22="",$D22="",N($E22)=0),"",$E22*MAX(0,MIN($D22+1,EDATE(V$4,1))-MAX($C22,V$4))/MAX(1,$D22+1-$C22))</f>
        <v/>
      </c>
      <c r="W22" s="64" t="str">
        <f aca="false">IF(OR(W$4="",$C22="",$D22="",N($E22)=0),"",$E22*MAX(0,MIN($D22+1,EDATE(W$4,1))-MAX($C22,W$4))/MAX(1,$D22+1-$C22))</f>
        <v/>
      </c>
      <c r="X22" s="64" t="str">
        <f aca="false">IF(OR(X$4="",$C22="",$D22="",N($E22)=0),"",$E22*MAX(0,MIN($D22+1,EDATE(X$4,1))-MAX($C22,X$4))/MAX(1,$D22+1-$C22))</f>
        <v/>
      </c>
      <c r="Y22" s="64" t="str">
        <f aca="false">IF(OR(Y$4="",$C22="",$D22="",N($E22)=0),"",$E22*MAX(0,MIN($D22+1,EDATE(Y$4,1))-MAX($C22,Y$4))/MAX(1,$D22+1-$C22))</f>
        <v/>
      </c>
      <c r="Z22" s="64" t="str">
        <f aca="false">IF(OR(Z$4="",$C22="",$D22="",N($E22)=0),"",$E22*MAX(0,MIN($D22+1,EDATE(Z$4,1))-MAX($C22,Z$4))/MAX(1,$D22+1-$C22))</f>
        <v/>
      </c>
      <c r="AA22" s="64" t="str">
        <f aca="false">IF(OR(AA$4="",$C22="",$D22="",N($E22)=0),"",$E22*MAX(0,MIN($D22+1,EDATE(AA$4,1))-MAX($C22,AA$4))/MAX(1,$D22+1-$C22))</f>
        <v/>
      </c>
      <c r="AB22" s="64" t="str">
        <f aca="false">IF(OR(AB$4="",$C22="",$D22="",N($E22)=0),"",$E22*MAX(0,MIN($D22+1,EDATE(AB$4,1))-MAX($C22,AB$4))/MAX(1,$D22+1-$C22))</f>
        <v/>
      </c>
      <c r="AC22" s="64" t="str">
        <f aca="false">IF(OR(AC$4="",$C22="",$D22="",N($E22)=0),"",$E22*MAX(0,MIN($D22+1,EDATE(AC$4,1))-MAX($C22,AC$4))/MAX(1,$D22+1-$C22))</f>
        <v/>
      </c>
      <c r="AD22" s="64" t="str">
        <f aca="false">IF(OR(AD$4="",$C22="",$D22="",N($E22)=0),"",$E22*MAX(0,MIN($D22+1,EDATE(AD$4,1))-MAX($C22,AD$4))/MAX(1,$D22+1-$C22))</f>
        <v/>
      </c>
      <c r="AE22" s="64" t="str">
        <f aca="false">IF(OR(AE$4="",$C22="",$D22="",N($E22)=0),"",$E22*MAX(0,MIN($D22+1,EDATE(AE$4,1))-MAX($C22,AE$4))/MAX(1,$D22+1-$C22))</f>
        <v/>
      </c>
      <c r="AF22" s="64" t="str">
        <f aca="false">IF(OR(AF$4="",$C22="",$D22="",N($E22)=0),"",$E22*MAX(0,MIN($D22+1,EDATE(AF$4,1))-MAX($C22,AF$4))/MAX(1,$D22+1-$C22))</f>
        <v/>
      </c>
      <c r="AG22" s="64" t="str">
        <f aca="false">IF(OR(AG$4="",$C22="",$D22="",N($E22)=0),"",$E22*MAX(0,MIN($D22+1,EDATE(AG$4,1))-MAX($C22,AG$4))/MAX(1,$D22+1-$C22))</f>
        <v/>
      </c>
      <c r="AH22" s="64" t="str">
        <f aca="false">IF(OR(AH$4="",$C22="",$D22="",N($E22)=0),"",$E22*MAX(0,MIN($D22+1,EDATE(AH$4,1))-MAX($C22,AH$4))/MAX(1,$D22+1-$C22))</f>
        <v/>
      </c>
      <c r="AI22" s="64" t="str">
        <f aca="false">IF(OR(AI$4="",$C22="",$D22="",N($E22)=0),"",$E22*MAX(0,MIN($D22+1,EDATE(AI$4,1))-MAX($C22,AI$4))/MAX(1,$D22+1-$C22))</f>
        <v/>
      </c>
      <c r="AJ22" s="64" t="str">
        <f aca="false">IF(OR(AJ$4="",$C22="",$D22="",N($E22)=0),"",$E22*MAX(0,MIN($D22+1,EDATE(AJ$4,1))-MAX($C22,AJ$4))/MAX(1,$D22+1-$C22))</f>
        <v/>
      </c>
      <c r="AK22" s="64" t="str">
        <f aca="false">IF(OR(AK$4="",$C22="",$D22="",N($E22)=0),"",$E22*MAX(0,MIN($D22+1,EDATE(AK$4,1))-MAX($C22,AK$4))/MAX(1,$D22+1-$C22))</f>
        <v/>
      </c>
      <c r="AL22" s="64" t="str">
        <f aca="false">IF(OR(AL$4="",$C22="",$D22="",N($E22)=0),"",$E22*MAX(0,MIN($D22+1,EDATE(AL$4,1))-MAX($C22,AL$4))/MAX(1,$D22+1-$C22))</f>
        <v/>
      </c>
      <c r="AM22" s="64" t="str">
        <f aca="false">IF(OR(AM$4="",$C22="",$D22="",N($E22)=0),"",$E22*MAX(0,MIN($D22+1,EDATE(AM$4,1))-MAX($C22,AM$4))/MAX(1,$D22+1-$C22))</f>
        <v/>
      </c>
      <c r="AN22" s="64" t="str">
        <f aca="false">IF(OR(AN$4="",$C22="",$D22="",N($E22)=0),"",$E22*MAX(0,MIN($D22+1,EDATE(AN$4,1))-MAX($C22,AN$4))/MAX(1,$D22+1-$C22))</f>
        <v/>
      </c>
      <c r="AO22" s="64" t="str">
        <f aca="false">IF(OR(AO$4="",$C22="",$D22="",N($E22)=0),"",$E22*MAX(0,MIN($D22+1,EDATE(AO$4,1))-MAX($C22,AO$4))/MAX(1,$D22+1-$C22))</f>
        <v/>
      </c>
      <c r="AP22" s="64" t="str">
        <f aca="false">IF(OR(AP$4="",$C22="",$D22="",N($E22)=0),"",$E22*MAX(0,MIN($D22+1,EDATE(AP$4,1))-MAX($C22,AP$4))/MAX(1,$D22+1-$C22))</f>
        <v/>
      </c>
      <c r="AQ22" s="64" t="str">
        <f aca="false">IF(OR(AQ$4="",$C22="",$D22="",N($E22)=0),"",$E22*MAX(0,MIN($D22+1,EDATE(AQ$4,1))-MAX($C22,AQ$4))/MAX(1,$D22+1-$C22))</f>
        <v/>
      </c>
      <c r="AR22" s="64" t="str">
        <f aca="false">IF(OR(AR$4="",$C22="",$D22="",N($E22)=0),"",$E22*MAX(0,MIN($D22+1,EDATE(AR$4,1))-MAX($C22,AR$4))/MAX(1,$D22+1-$C22))</f>
        <v/>
      </c>
      <c r="AS22" s="64" t="str">
        <f aca="false">IF(OR(AS$4="",$C22="",$D22="",N($E22)=0),"",$E22*MAX(0,MIN($D22+1,EDATE(AS$4,1))-MAX($C22,AS$4))/MAX(1,$D22+1-$C22))</f>
        <v/>
      </c>
      <c r="AT22" s="64" t="str">
        <f aca="false">IF(OR(AT$4="",$C22="",$D22="",N($E22)=0),"",$E22*MAX(0,MIN($D22+1,EDATE(AT$4,1))-MAX($C22,AT$4))/MAX(1,$D22+1-$C22))</f>
        <v/>
      </c>
      <c r="AU22" s="64" t="str">
        <f aca="false">IF(OR(AU$4="",$C22="",$D22="",N($E22)=0),"",$E22*MAX(0,MIN($D22+1,EDATE(AU$4,1))-MAX($C22,AU$4))/MAX(1,$D22+1-$C22))</f>
        <v/>
      </c>
      <c r="AV22" s="64" t="str">
        <f aca="false">IF(OR(AV$4="",$C22="",$D22="",N($E22)=0),"",$E22*MAX(0,MIN($D22+1,EDATE(AV$4,1))-MAX($C22,AV$4))/MAX(1,$D22+1-$C22))</f>
        <v/>
      </c>
      <c r="AW22" s="64" t="str">
        <f aca="false">IF(OR(AW$4="",$C22="",$D22="",N($E22)=0),"",$E22*MAX(0,MIN($D22+1,EDATE(AW$4,1))-MAX($C22,AW$4))/MAX(1,$D22+1-$C22))</f>
        <v/>
      </c>
      <c r="AX22" s="64" t="str">
        <f aca="false">IF(OR(AX$4="",$C22="",$D22="",N($E22)=0),"",$E22*MAX(0,MIN($D22+1,EDATE(AX$4,1))-MAX($C22,AX$4))/MAX(1,$D22+1-$C22))</f>
        <v/>
      </c>
      <c r="AY22" s="64" t="str">
        <f aca="false">IF(OR(AY$4="",$C22="",$D22="",N($E22)=0),"",$E22*MAX(0,MIN($D22+1,EDATE(AY$4,1))-MAX($C22,AY$4))/MAX(1,$D22+1-$C22))</f>
        <v/>
      </c>
      <c r="AZ22" s="64" t="str">
        <f aca="false">IF(OR(AZ$4="",$C22="",$D22="",N($E22)=0),"",$E22*MAX(0,MIN($D22+1,EDATE(AZ$4,1))-MAX($C22,AZ$4))/MAX(1,$D22+1-$C22))</f>
        <v/>
      </c>
      <c r="BA22" s="64" t="str">
        <f aca="false">IF(OR(BA$4="",$C22="",$D22="",N($E22)=0),"",$E22*MAX(0,MIN($D22+1,EDATE(BA$4,1))-MAX($C22,BA$4))/MAX(1,$D22+1-$C22))</f>
        <v/>
      </c>
      <c r="BB22" s="64" t="str">
        <f aca="false">IF(OR(BB$4="",$C22="",$D22="",N($E22)=0),"",$E22*MAX(0,MIN($D22+1,EDATE(BB$4,1))-MAX($C22,BB$4))/MAX(1,$D22+1-$C22))</f>
        <v/>
      </c>
      <c r="BC22" s="64" t="str">
        <f aca="false">IF(OR(BC$4="",$C22="",$D22="",N($E22)=0),"",$E22*MAX(0,MIN($D22+1,EDATE(BC$4,1))-MAX($C22,BC$4))/MAX(1,$D22+1-$C22))</f>
        <v/>
      </c>
      <c r="BD22" s="64" t="str">
        <f aca="false">IF(OR(BD$4="",$C22="",$D22="",N($E22)=0),"",$E22*MAX(0,MIN($D22+1,EDATE(BD$4,1))-MAX($C22,BD$4))/MAX(1,$D22+1-$C22))</f>
        <v/>
      </c>
      <c r="BE22" s="64" t="str">
        <f aca="false">IF(OR(BE$4="",$C22="",$D22="",N($E22)=0),"",$E22*MAX(0,MIN($D22+1,EDATE(BE$4,1))-MAX($C22,BE$4))/MAX(1,$D22+1-$C22))</f>
        <v/>
      </c>
      <c r="BF22" s="64" t="str">
        <f aca="false">IF(OR(BF$4="",$C22="",$D22="",N($E22)=0),"",$E22*MAX(0,MIN($D22+1,EDATE(BF$4,1))-MAX($C22,BF$4))/MAX(1,$D22+1-$C22))</f>
        <v/>
      </c>
      <c r="BG22" s="64" t="str">
        <f aca="false">IF(OR(BG$4="",$C22="",$D22="",N($E22)=0),"",$E22*MAX(0,MIN($D22+1,EDATE(BG$4,1))-MAX($C22,BG$4))/MAX(1,$D22+1-$C22))</f>
        <v/>
      </c>
      <c r="BH22" s="64" t="str">
        <f aca="false">IF(OR(BH$4="",$C22="",$D22="",N($E22)=0),"",$E22*MAX(0,MIN($D22+1,EDATE(BH$4,1))-MAX($C22,BH$4))/MAX(1,$D22+1-$C22))</f>
        <v/>
      </c>
      <c r="BI22" s="64" t="str">
        <f aca="false">IF(OR(BI$4="",$C22="",$D22="",N($E22)=0),"",$E22*MAX(0,MIN($D22+1,EDATE(BI$4,1))-MAX($C22,BI$4))/MAX(1,$D22+1-$C22))</f>
        <v/>
      </c>
      <c r="BJ22" s="64" t="str">
        <f aca="false">IF(OR(BJ$4="",$C22="",$D22="",N($E22)=0),"",$E22*MAX(0,MIN($D22+1,EDATE(BJ$4,1))-MAX($C22,BJ$4))/MAX(1,$D22+1-$C22))</f>
        <v/>
      </c>
      <c r="BK22" s="64" t="str">
        <f aca="false">IF(OR(BK$4="",$C22="",$D22="",N($E22)=0),"",$E22*MAX(0,MIN($D22+1,EDATE(BK$4,1))-MAX($C22,BK$4))/MAX(1,$D22+1-$C22))</f>
        <v/>
      </c>
      <c r="BL22" s="64" t="str">
        <f aca="false">IF(OR(BL$4="",$C22="",$D22="",N($E22)=0),"",$E22*MAX(0,MIN($D22+1,EDATE(BL$4,1))-MAX($C22,BL$4))/MAX(1,$D22+1-$C22))</f>
        <v/>
      </c>
      <c r="BM22" s="64" t="str">
        <f aca="false">IF(OR(BM$4="",$C22="",$D22="",N($E22)=0),"",$E22*MAX(0,MIN($D22+1,EDATE(BM$4,1))-MAX($C22,BM$4))/MAX(1,$D22+1-$C22))</f>
        <v/>
      </c>
      <c r="BN22" s="64" t="str">
        <f aca="false">IF(OR(BN$4="",$C22="",$D22="",N($E22)=0),"",$E22*MAX(0,MIN($D22+1,EDATE(BN$4,1))-MAX($C22,BN$4))/MAX(1,$D22+1-$C22))</f>
        <v/>
      </c>
      <c r="BO22" s="64" t="str">
        <f aca="false">IF(OR(BO$4="",$C22="",$D22="",N($E22)=0),"",$E22*MAX(0,MIN($D22+1,EDATE(BO$4,1))-MAX($C22,BO$4))/MAX(1,$D22+1-$C22))</f>
        <v/>
      </c>
      <c r="BP22" s="64" t="str">
        <f aca="false">IF(OR(BP$4="",$C22="",$D22="",N($E22)=0),"",$E22*MAX(0,MIN($D22+1,EDATE(BP$4,1))-MAX($C22,BP$4))/MAX(1,$D22+1-$C22))</f>
        <v/>
      </c>
      <c r="BQ22" s="64" t="str">
        <f aca="false">IF(OR(BQ$4="",$C22="",$D22="",N($E22)=0),"",$E22*MAX(0,MIN($D22+1,EDATE(BQ$4,1))-MAX($C22,BQ$4))/MAX(1,$D22+1-$C22))</f>
        <v/>
      </c>
      <c r="BR22" s="64" t="str">
        <f aca="false">IF(OR(BR$4="",$C22="",$D22="",N($E22)=0),"",$E22*MAX(0,MIN($D22+1,EDATE(BR$4,1))-MAX($C22,BR$4))/MAX(1,$D22+1-$C22))</f>
        <v/>
      </c>
      <c r="BS22" s="64" t="str">
        <f aca="false">IF(OR(BS$4="",$C22="",$D22="",N($E22)=0),"",$E22*MAX(0,MIN($D22+1,EDATE(BS$4,1))-MAX($C22,BS$4))/MAX(1,$D22+1-$C22))</f>
        <v/>
      </c>
      <c r="BT22" s="64" t="str">
        <f aca="false">IF(OR(BT$4="",$C22="",$D22="",N($E22)=0),"",$E22*MAX(0,MIN($D22+1,EDATE(BT$4,1))-MAX($C22,BT$4))/MAX(1,$D22+1-$C22))</f>
        <v/>
      </c>
      <c r="BU22" s="64" t="str">
        <f aca="false">IF(OR(BU$4="",$C22="",$D22="",N($E22)=0),"",$E22*MAX(0,MIN($D22+1,EDATE(BU$4,1))-MAX($C22,BU$4))/MAX(1,$D22+1-$C22))</f>
        <v/>
      </c>
      <c r="BV22" s="64" t="str">
        <f aca="false">IF(OR(BV$4="",$C22="",$D22="",N($E22)=0),"",$E22*MAX(0,MIN($D22+1,EDATE(BV$4,1))-MAX($C22,BV$4))/MAX(1,$D22+1-$C22))</f>
        <v/>
      </c>
      <c r="BW22" s="64" t="str">
        <f aca="false">IF(OR(BW$4="",$C22="",$D22="",N($E22)=0),"",$E22*MAX(0,MIN($D22+1,EDATE(BW$4,1))-MAX($C22,BW$4))/MAX(1,$D22+1-$C22))</f>
        <v/>
      </c>
      <c r="BX22" s="64" t="str">
        <f aca="false">IF(OR(BX$4="",$C22="",$D22="",N($E22)=0),"",$E22*MAX(0,MIN($D22+1,EDATE(BX$4,1))-MAX($C22,BX$4))/MAX(1,$D22+1-$C22))</f>
        <v/>
      </c>
      <c r="BY22" s="64" t="str">
        <f aca="false">IF(OR(BY$4="",$C22="",$D22="",N($E22)=0),"",$E22*MAX(0,MIN($D22+1,EDATE(BY$4,1))-MAX($C22,BY$4))/MAX(1,$D22+1-$C22))</f>
        <v/>
      </c>
    </row>
    <row r="23" customFormat="false" ht="15" hidden="false" customHeight="false" outlineLevel="0" collapsed="false">
      <c r="A23" s="61" t="str">
        <f aca="false">IF(BOE!$A24="","",BOE!$A24)</f>
        <v>210</v>
      </c>
      <c r="B23" s="61" t="str">
        <f aca="false">IF(BOE!$A24="","",BOE!$C24)</f>
        <v>Environmental Hazard Analysis (EHA)</v>
      </c>
      <c r="C23" s="62" t="n">
        <f aca="false">IF(BOE!$O24="","",BOE!$O24)</f>
        <v>46695</v>
      </c>
      <c r="D23" s="62" t="n">
        <f aca="false">IF(BOE!$P24="","",BOE!$P24)</f>
        <v>46877</v>
      </c>
      <c r="E23" s="63" t="n">
        <f aca="false">IF(Inputs!$B$7="P90",BOE!$T24,BOE!$R24)</f>
        <v>280</v>
      </c>
      <c r="F23" s="64" t="n">
        <f aca="false">IF(OR(F$4="",$C23="",$D23="",N($E23)=0),"",$E23*MAX(0,MIN($D23+1,EDATE(F$4,1))-MAX($C23,F$4))/MAX(1,$D23+1-$C23))</f>
        <v>0</v>
      </c>
      <c r="G23" s="64" t="n">
        <f aca="false">IF(OR(G$4="",$C23="",$D23="",N($E23)=0),"",$E23*MAX(0,MIN($D23+1,EDATE(G$4,1))-MAX($C23,G$4))/MAX(1,$D23+1-$C23))</f>
        <v>0</v>
      </c>
      <c r="H23" s="64" t="n">
        <f aca="false">IF(OR(H$4="",$C23="",$D23="",N($E23)=0),"",$E23*MAX(0,MIN($D23+1,EDATE(H$4,1))-MAX($C23,H$4))/MAX(1,$D23+1-$C23))</f>
        <v>0</v>
      </c>
      <c r="I23" s="64" t="n">
        <f aca="false">IF(OR(I$4="",$C23="",$D23="",N($E23)=0),"",$E23*MAX(0,MIN($D23+1,EDATE(I$4,1))-MAX($C23,I$4))/MAX(1,$D23+1-$C23))</f>
        <v>0</v>
      </c>
      <c r="J23" s="64" t="n">
        <f aca="false">IF(OR(J$4="",$C23="",$D23="",N($E23)=0),"",$E23*MAX(0,MIN($D23+1,EDATE(J$4,1))-MAX($C23,J$4))/MAX(1,$D23+1-$C23))</f>
        <v>0</v>
      </c>
      <c r="K23" s="64" t="n">
        <f aca="false">IF(OR(K$4="",$C23="",$D23="",N($E23)=0),"",$E23*MAX(0,MIN($D23+1,EDATE(K$4,1))-MAX($C23,K$4))/MAX(1,$D23+1-$C23))</f>
        <v>0</v>
      </c>
      <c r="L23" s="64" t="n">
        <f aca="false">IF(OR(L$4="",$C23="",$D23="",N($E23)=0),"",$E23*MAX(0,MIN($D23+1,EDATE(L$4,1))-MAX($C23,L$4))/MAX(1,$D23+1-$C23))</f>
        <v>0</v>
      </c>
      <c r="M23" s="64" t="n">
        <f aca="false">IF(OR(M$4="",$C23="",$D23="",N($E23)=0),"",$E23*MAX(0,MIN($D23+1,EDATE(M$4,1))-MAX($C23,M$4))/MAX(1,$D23+1-$C23))</f>
        <v>0</v>
      </c>
      <c r="N23" s="64" t="n">
        <f aca="false">IF(OR(N$4="",$C23="",$D23="",N($E23)=0),"",$E23*MAX(0,MIN($D23+1,EDATE(N$4,1))-MAX($C23,N$4))/MAX(1,$D23+1-$C23))</f>
        <v>0</v>
      </c>
      <c r="O23" s="64" t="n">
        <f aca="false">IF(OR(O$4="",$C23="",$D23="",N($E23)=0),"",$E23*MAX(0,MIN($D23+1,EDATE(O$4,1))-MAX($C23,O$4))/MAX(1,$D23+1-$C23))</f>
        <v>0</v>
      </c>
      <c r="P23" s="64" t="n">
        <f aca="false">IF(OR(P$4="",$C23="",$D23="",N($E23)=0),"",$E23*MAX(0,MIN($D23+1,EDATE(P$4,1))-MAX($C23,P$4))/MAX(1,$D23+1-$C23))</f>
        <v>45.9016393442623</v>
      </c>
      <c r="Q23" s="64" t="n">
        <f aca="false">IF(OR(Q$4="",$C23="",$D23="",N($E23)=0),"",$E23*MAX(0,MIN($D23+1,EDATE(Q$4,1))-MAX($C23,Q$4))/MAX(1,$D23+1-$C23))</f>
        <v>47.431693989071</v>
      </c>
      <c r="R23" s="64" t="n">
        <f aca="false">IF(OR(R$4="",$C23="",$D23="",N($E23)=0),"",$E23*MAX(0,MIN($D23+1,EDATE(R$4,1))-MAX($C23,R$4))/MAX(1,$D23+1-$C23))</f>
        <v>47.431693989071</v>
      </c>
      <c r="S23" s="64" t="n">
        <f aca="false">IF(OR(S$4="",$C23="",$D23="",N($E23)=0),"",$E23*MAX(0,MIN($D23+1,EDATE(S$4,1))-MAX($C23,S$4))/MAX(1,$D23+1-$C23))</f>
        <v>44.3715846994536</v>
      </c>
      <c r="T23" s="64" t="n">
        <f aca="false">IF(OR(T$4="",$C23="",$D23="",N($E23)=0),"",$E23*MAX(0,MIN($D23+1,EDATE(T$4,1))-MAX($C23,T$4))/MAX(1,$D23+1-$C23))</f>
        <v>47.431693989071</v>
      </c>
      <c r="U23" s="64" t="n">
        <f aca="false">IF(OR(U$4="",$C23="",$D23="",N($E23)=0),"",$E23*MAX(0,MIN($D23+1,EDATE(U$4,1))-MAX($C23,U$4))/MAX(1,$D23+1-$C23))</f>
        <v>45.9016393442623</v>
      </c>
      <c r="V23" s="64" t="n">
        <f aca="false">IF(OR(V$4="",$C23="",$D23="",N($E23)=0),"",$E23*MAX(0,MIN($D23+1,EDATE(V$4,1))-MAX($C23,V$4))/MAX(1,$D23+1-$C23))</f>
        <v>1.53005464480874</v>
      </c>
      <c r="W23" s="64" t="n">
        <f aca="false">IF(OR(W$4="",$C23="",$D23="",N($E23)=0),"",$E23*MAX(0,MIN($D23+1,EDATE(W$4,1))-MAX($C23,W$4))/MAX(1,$D23+1-$C23))</f>
        <v>0</v>
      </c>
      <c r="X23" s="64" t="n">
        <f aca="false">IF(OR(X$4="",$C23="",$D23="",N($E23)=0),"",$E23*MAX(0,MIN($D23+1,EDATE(X$4,1))-MAX($C23,X$4))/MAX(1,$D23+1-$C23))</f>
        <v>0</v>
      </c>
      <c r="Y23" s="64" t="n">
        <f aca="false">IF(OR(Y$4="",$C23="",$D23="",N($E23)=0),"",$E23*MAX(0,MIN($D23+1,EDATE(Y$4,1))-MAX($C23,Y$4))/MAX(1,$D23+1-$C23))</f>
        <v>0</v>
      </c>
      <c r="Z23" s="64" t="n">
        <f aca="false">IF(OR(Z$4="",$C23="",$D23="",N($E23)=0),"",$E23*MAX(0,MIN($D23+1,EDATE(Z$4,1))-MAX($C23,Z$4))/MAX(1,$D23+1-$C23))</f>
        <v>0</v>
      </c>
      <c r="AA23" s="64" t="n">
        <f aca="false">IF(OR(AA$4="",$C23="",$D23="",N($E23)=0),"",$E23*MAX(0,MIN($D23+1,EDATE(AA$4,1))-MAX($C23,AA$4))/MAX(1,$D23+1-$C23))</f>
        <v>0</v>
      </c>
      <c r="AB23" s="64" t="n">
        <f aca="false">IF(OR(AB$4="",$C23="",$D23="",N($E23)=0),"",$E23*MAX(0,MIN($D23+1,EDATE(AB$4,1))-MAX($C23,AB$4))/MAX(1,$D23+1-$C23))</f>
        <v>0</v>
      </c>
      <c r="AC23" s="64" t="n">
        <f aca="false">IF(OR(AC$4="",$C23="",$D23="",N($E23)=0),"",$E23*MAX(0,MIN($D23+1,EDATE(AC$4,1))-MAX($C23,AC$4))/MAX(1,$D23+1-$C23))</f>
        <v>0</v>
      </c>
      <c r="AD23" s="64" t="n">
        <f aca="false">IF(OR(AD$4="",$C23="",$D23="",N($E23)=0),"",$E23*MAX(0,MIN($D23+1,EDATE(AD$4,1))-MAX($C23,AD$4))/MAX(1,$D23+1-$C23))</f>
        <v>0</v>
      </c>
      <c r="AE23" s="64" t="n">
        <f aca="false">IF(OR(AE$4="",$C23="",$D23="",N($E23)=0),"",$E23*MAX(0,MIN($D23+1,EDATE(AE$4,1))-MAX($C23,AE$4))/MAX(1,$D23+1-$C23))</f>
        <v>0</v>
      </c>
      <c r="AF23" s="64" t="n">
        <f aca="false">IF(OR(AF$4="",$C23="",$D23="",N($E23)=0),"",$E23*MAX(0,MIN($D23+1,EDATE(AF$4,1))-MAX($C23,AF$4))/MAX(1,$D23+1-$C23))</f>
        <v>0</v>
      </c>
      <c r="AG23" s="64" t="n">
        <f aca="false">IF(OR(AG$4="",$C23="",$D23="",N($E23)=0),"",$E23*MAX(0,MIN($D23+1,EDATE(AG$4,1))-MAX($C23,AG$4))/MAX(1,$D23+1-$C23))</f>
        <v>0</v>
      </c>
      <c r="AH23" s="64" t="n">
        <f aca="false">IF(OR(AH$4="",$C23="",$D23="",N($E23)=0),"",$E23*MAX(0,MIN($D23+1,EDATE(AH$4,1))-MAX($C23,AH$4))/MAX(1,$D23+1-$C23))</f>
        <v>0</v>
      </c>
      <c r="AI23" s="64" t="n">
        <f aca="false">IF(OR(AI$4="",$C23="",$D23="",N($E23)=0),"",$E23*MAX(0,MIN($D23+1,EDATE(AI$4,1))-MAX($C23,AI$4))/MAX(1,$D23+1-$C23))</f>
        <v>0</v>
      </c>
      <c r="AJ23" s="64" t="n">
        <f aca="false">IF(OR(AJ$4="",$C23="",$D23="",N($E23)=0),"",$E23*MAX(0,MIN($D23+1,EDATE(AJ$4,1))-MAX($C23,AJ$4))/MAX(1,$D23+1-$C23))</f>
        <v>0</v>
      </c>
      <c r="AK23" s="64" t="n">
        <f aca="false">IF(OR(AK$4="",$C23="",$D23="",N($E23)=0),"",$E23*MAX(0,MIN($D23+1,EDATE(AK$4,1))-MAX($C23,AK$4))/MAX(1,$D23+1-$C23))</f>
        <v>0</v>
      </c>
      <c r="AL23" s="64" t="n">
        <f aca="false">IF(OR(AL$4="",$C23="",$D23="",N($E23)=0),"",$E23*MAX(0,MIN($D23+1,EDATE(AL$4,1))-MAX($C23,AL$4))/MAX(1,$D23+1-$C23))</f>
        <v>0</v>
      </c>
      <c r="AM23" s="64" t="n">
        <f aca="false">IF(OR(AM$4="",$C23="",$D23="",N($E23)=0),"",$E23*MAX(0,MIN($D23+1,EDATE(AM$4,1))-MAX($C23,AM$4))/MAX(1,$D23+1-$C23))</f>
        <v>0</v>
      </c>
      <c r="AN23" s="64" t="n">
        <f aca="false">IF(OR(AN$4="",$C23="",$D23="",N($E23)=0),"",$E23*MAX(0,MIN($D23+1,EDATE(AN$4,1))-MAX($C23,AN$4))/MAX(1,$D23+1-$C23))</f>
        <v>0</v>
      </c>
      <c r="AO23" s="64" t="n">
        <f aca="false">IF(OR(AO$4="",$C23="",$D23="",N($E23)=0),"",$E23*MAX(0,MIN($D23+1,EDATE(AO$4,1))-MAX($C23,AO$4))/MAX(1,$D23+1-$C23))</f>
        <v>0</v>
      </c>
      <c r="AP23" s="64" t="str">
        <f aca="false">IF(OR(AP$4="",$C23="",$D23="",N($E23)=0),"",$E23*MAX(0,MIN($D23+1,EDATE(AP$4,1))-MAX($C23,AP$4))/MAX(1,$D23+1-$C23))</f>
        <v/>
      </c>
      <c r="AQ23" s="64" t="str">
        <f aca="false">IF(OR(AQ$4="",$C23="",$D23="",N($E23)=0),"",$E23*MAX(0,MIN($D23+1,EDATE(AQ$4,1))-MAX($C23,AQ$4))/MAX(1,$D23+1-$C23))</f>
        <v/>
      </c>
      <c r="AR23" s="64" t="str">
        <f aca="false">IF(OR(AR$4="",$C23="",$D23="",N($E23)=0),"",$E23*MAX(0,MIN($D23+1,EDATE(AR$4,1))-MAX($C23,AR$4))/MAX(1,$D23+1-$C23))</f>
        <v/>
      </c>
      <c r="AS23" s="64" t="str">
        <f aca="false">IF(OR(AS$4="",$C23="",$D23="",N($E23)=0),"",$E23*MAX(0,MIN($D23+1,EDATE(AS$4,1))-MAX($C23,AS$4))/MAX(1,$D23+1-$C23))</f>
        <v/>
      </c>
      <c r="AT23" s="64" t="str">
        <f aca="false">IF(OR(AT$4="",$C23="",$D23="",N($E23)=0),"",$E23*MAX(0,MIN($D23+1,EDATE(AT$4,1))-MAX($C23,AT$4))/MAX(1,$D23+1-$C23))</f>
        <v/>
      </c>
      <c r="AU23" s="64" t="str">
        <f aca="false">IF(OR(AU$4="",$C23="",$D23="",N($E23)=0),"",$E23*MAX(0,MIN($D23+1,EDATE(AU$4,1))-MAX($C23,AU$4))/MAX(1,$D23+1-$C23))</f>
        <v/>
      </c>
      <c r="AV23" s="64" t="str">
        <f aca="false">IF(OR(AV$4="",$C23="",$D23="",N($E23)=0),"",$E23*MAX(0,MIN($D23+1,EDATE(AV$4,1))-MAX($C23,AV$4))/MAX(1,$D23+1-$C23))</f>
        <v/>
      </c>
      <c r="AW23" s="64" t="str">
        <f aca="false">IF(OR(AW$4="",$C23="",$D23="",N($E23)=0),"",$E23*MAX(0,MIN($D23+1,EDATE(AW$4,1))-MAX($C23,AW$4))/MAX(1,$D23+1-$C23))</f>
        <v/>
      </c>
      <c r="AX23" s="64" t="str">
        <f aca="false">IF(OR(AX$4="",$C23="",$D23="",N($E23)=0),"",$E23*MAX(0,MIN($D23+1,EDATE(AX$4,1))-MAX($C23,AX$4))/MAX(1,$D23+1-$C23))</f>
        <v/>
      </c>
      <c r="AY23" s="64" t="str">
        <f aca="false">IF(OR(AY$4="",$C23="",$D23="",N($E23)=0),"",$E23*MAX(0,MIN($D23+1,EDATE(AY$4,1))-MAX($C23,AY$4))/MAX(1,$D23+1-$C23))</f>
        <v/>
      </c>
      <c r="AZ23" s="64" t="str">
        <f aca="false">IF(OR(AZ$4="",$C23="",$D23="",N($E23)=0),"",$E23*MAX(0,MIN($D23+1,EDATE(AZ$4,1))-MAX($C23,AZ$4))/MAX(1,$D23+1-$C23))</f>
        <v/>
      </c>
      <c r="BA23" s="64" t="str">
        <f aca="false">IF(OR(BA$4="",$C23="",$D23="",N($E23)=0),"",$E23*MAX(0,MIN($D23+1,EDATE(BA$4,1))-MAX($C23,BA$4))/MAX(1,$D23+1-$C23))</f>
        <v/>
      </c>
      <c r="BB23" s="64" t="str">
        <f aca="false">IF(OR(BB$4="",$C23="",$D23="",N($E23)=0),"",$E23*MAX(0,MIN($D23+1,EDATE(BB$4,1))-MAX($C23,BB$4))/MAX(1,$D23+1-$C23))</f>
        <v/>
      </c>
      <c r="BC23" s="64" t="str">
        <f aca="false">IF(OR(BC$4="",$C23="",$D23="",N($E23)=0),"",$E23*MAX(0,MIN($D23+1,EDATE(BC$4,1))-MAX($C23,BC$4))/MAX(1,$D23+1-$C23))</f>
        <v/>
      </c>
      <c r="BD23" s="64" t="str">
        <f aca="false">IF(OR(BD$4="",$C23="",$D23="",N($E23)=0),"",$E23*MAX(0,MIN($D23+1,EDATE(BD$4,1))-MAX($C23,BD$4))/MAX(1,$D23+1-$C23))</f>
        <v/>
      </c>
      <c r="BE23" s="64" t="str">
        <f aca="false">IF(OR(BE$4="",$C23="",$D23="",N($E23)=0),"",$E23*MAX(0,MIN($D23+1,EDATE(BE$4,1))-MAX($C23,BE$4))/MAX(1,$D23+1-$C23))</f>
        <v/>
      </c>
      <c r="BF23" s="64" t="str">
        <f aca="false">IF(OR(BF$4="",$C23="",$D23="",N($E23)=0),"",$E23*MAX(0,MIN($D23+1,EDATE(BF$4,1))-MAX($C23,BF$4))/MAX(1,$D23+1-$C23))</f>
        <v/>
      </c>
      <c r="BG23" s="64" t="str">
        <f aca="false">IF(OR(BG$4="",$C23="",$D23="",N($E23)=0),"",$E23*MAX(0,MIN($D23+1,EDATE(BG$4,1))-MAX($C23,BG$4))/MAX(1,$D23+1-$C23))</f>
        <v/>
      </c>
      <c r="BH23" s="64" t="str">
        <f aca="false">IF(OR(BH$4="",$C23="",$D23="",N($E23)=0),"",$E23*MAX(0,MIN($D23+1,EDATE(BH$4,1))-MAX($C23,BH$4))/MAX(1,$D23+1-$C23))</f>
        <v/>
      </c>
      <c r="BI23" s="64" t="str">
        <f aca="false">IF(OR(BI$4="",$C23="",$D23="",N($E23)=0),"",$E23*MAX(0,MIN($D23+1,EDATE(BI$4,1))-MAX($C23,BI$4))/MAX(1,$D23+1-$C23))</f>
        <v/>
      </c>
      <c r="BJ23" s="64" t="str">
        <f aca="false">IF(OR(BJ$4="",$C23="",$D23="",N($E23)=0),"",$E23*MAX(0,MIN($D23+1,EDATE(BJ$4,1))-MAX($C23,BJ$4))/MAX(1,$D23+1-$C23))</f>
        <v/>
      </c>
      <c r="BK23" s="64" t="str">
        <f aca="false">IF(OR(BK$4="",$C23="",$D23="",N($E23)=0),"",$E23*MAX(0,MIN($D23+1,EDATE(BK$4,1))-MAX($C23,BK$4))/MAX(1,$D23+1-$C23))</f>
        <v/>
      </c>
      <c r="BL23" s="64" t="str">
        <f aca="false">IF(OR(BL$4="",$C23="",$D23="",N($E23)=0),"",$E23*MAX(0,MIN($D23+1,EDATE(BL$4,1))-MAX($C23,BL$4))/MAX(1,$D23+1-$C23))</f>
        <v/>
      </c>
      <c r="BM23" s="64" t="str">
        <f aca="false">IF(OR(BM$4="",$C23="",$D23="",N($E23)=0),"",$E23*MAX(0,MIN($D23+1,EDATE(BM$4,1))-MAX($C23,BM$4))/MAX(1,$D23+1-$C23))</f>
        <v/>
      </c>
      <c r="BN23" s="64" t="str">
        <f aca="false">IF(OR(BN$4="",$C23="",$D23="",N($E23)=0),"",$E23*MAX(0,MIN($D23+1,EDATE(BN$4,1))-MAX($C23,BN$4))/MAX(1,$D23+1-$C23))</f>
        <v/>
      </c>
      <c r="BO23" s="64" t="str">
        <f aca="false">IF(OR(BO$4="",$C23="",$D23="",N($E23)=0),"",$E23*MAX(0,MIN($D23+1,EDATE(BO$4,1))-MAX($C23,BO$4))/MAX(1,$D23+1-$C23))</f>
        <v/>
      </c>
      <c r="BP23" s="64" t="str">
        <f aca="false">IF(OR(BP$4="",$C23="",$D23="",N($E23)=0),"",$E23*MAX(0,MIN($D23+1,EDATE(BP$4,1))-MAX($C23,BP$4))/MAX(1,$D23+1-$C23))</f>
        <v/>
      </c>
      <c r="BQ23" s="64" t="str">
        <f aca="false">IF(OR(BQ$4="",$C23="",$D23="",N($E23)=0),"",$E23*MAX(0,MIN($D23+1,EDATE(BQ$4,1))-MAX($C23,BQ$4))/MAX(1,$D23+1-$C23))</f>
        <v/>
      </c>
      <c r="BR23" s="64" t="str">
        <f aca="false">IF(OR(BR$4="",$C23="",$D23="",N($E23)=0),"",$E23*MAX(0,MIN($D23+1,EDATE(BR$4,1))-MAX($C23,BR$4))/MAX(1,$D23+1-$C23))</f>
        <v/>
      </c>
      <c r="BS23" s="64" t="str">
        <f aca="false">IF(OR(BS$4="",$C23="",$D23="",N($E23)=0),"",$E23*MAX(0,MIN($D23+1,EDATE(BS$4,1))-MAX($C23,BS$4))/MAX(1,$D23+1-$C23))</f>
        <v/>
      </c>
      <c r="BT23" s="64" t="str">
        <f aca="false">IF(OR(BT$4="",$C23="",$D23="",N($E23)=0),"",$E23*MAX(0,MIN($D23+1,EDATE(BT$4,1))-MAX($C23,BT$4))/MAX(1,$D23+1-$C23))</f>
        <v/>
      </c>
      <c r="BU23" s="64" t="str">
        <f aca="false">IF(OR(BU$4="",$C23="",$D23="",N($E23)=0),"",$E23*MAX(0,MIN($D23+1,EDATE(BU$4,1))-MAX($C23,BU$4))/MAX(1,$D23+1-$C23))</f>
        <v/>
      </c>
      <c r="BV23" s="64" t="str">
        <f aca="false">IF(OR(BV$4="",$C23="",$D23="",N($E23)=0),"",$E23*MAX(0,MIN($D23+1,EDATE(BV$4,1))-MAX($C23,BV$4))/MAX(1,$D23+1-$C23))</f>
        <v/>
      </c>
      <c r="BW23" s="64" t="str">
        <f aca="false">IF(OR(BW$4="",$C23="",$D23="",N($E23)=0),"",$E23*MAX(0,MIN($D23+1,EDATE(BW$4,1))-MAX($C23,BW$4))/MAX(1,$D23+1-$C23))</f>
        <v/>
      </c>
      <c r="BX23" s="64" t="str">
        <f aca="false">IF(OR(BX$4="",$C23="",$D23="",N($E23)=0),"",$E23*MAX(0,MIN($D23+1,EDATE(BX$4,1))-MAX($C23,BX$4))/MAX(1,$D23+1-$C23))</f>
        <v/>
      </c>
      <c r="BY23" s="64" t="str">
        <f aca="false">IF(OR(BY$4="",$C23="",$D23="",N($E23)=0),"",$E23*MAX(0,MIN($D23+1,EDATE(BY$4,1))-MAX($C23,BY$4))/MAX(1,$D23+1-$C23))</f>
        <v/>
      </c>
    </row>
    <row r="24" customFormat="false" ht="15" hidden="false" customHeight="false" outlineLevel="0" collapsed="false">
      <c r="A24" s="61" t="str">
        <f aca="false">IF(BOE!$A25="","",BOE!$A25)</f>
        <v>301</v>
      </c>
      <c r="B24" s="61" t="str">
        <f aca="false">IF(BOE!$A25="","",BOE!$C25)</f>
        <v>Safety Assessment Report (SAR)  — ANCHOR</v>
      </c>
      <c r="C24" s="62" t="n">
        <f aca="false">IF(BOE!$O25="","",BOE!$O25)</f>
        <v>47122</v>
      </c>
      <c r="D24" s="62" t="n">
        <f aca="false">IF(BOE!$P25="","",BOE!$P25)</f>
        <v>47395</v>
      </c>
      <c r="E24" s="63" t="n">
        <f aca="false">IF(Inputs!$B$7="P90",BOE!$T25,BOE!$R25)</f>
        <v>800</v>
      </c>
      <c r="F24" s="64" t="n">
        <f aca="false">IF(OR(F$4="",$C24="",$D24="",N($E24)=0),"",$E24*MAX(0,MIN($D24+1,EDATE(F$4,1))-MAX($C24,F$4))/MAX(1,$D24+1-$C24))</f>
        <v>0</v>
      </c>
      <c r="G24" s="64" t="n">
        <f aca="false">IF(OR(G$4="",$C24="",$D24="",N($E24)=0),"",$E24*MAX(0,MIN($D24+1,EDATE(G$4,1))-MAX($C24,G$4))/MAX(1,$D24+1-$C24))</f>
        <v>0</v>
      </c>
      <c r="H24" s="64" t="n">
        <f aca="false">IF(OR(H$4="",$C24="",$D24="",N($E24)=0),"",$E24*MAX(0,MIN($D24+1,EDATE(H$4,1))-MAX($C24,H$4))/MAX(1,$D24+1-$C24))</f>
        <v>0</v>
      </c>
      <c r="I24" s="64" t="n">
        <f aca="false">IF(OR(I$4="",$C24="",$D24="",N($E24)=0),"",$E24*MAX(0,MIN($D24+1,EDATE(I$4,1))-MAX($C24,I$4))/MAX(1,$D24+1-$C24))</f>
        <v>0</v>
      </c>
      <c r="J24" s="64" t="n">
        <f aca="false">IF(OR(J$4="",$C24="",$D24="",N($E24)=0),"",$E24*MAX(0,MIN($D24+1,EDATE(J$4,1))-MAX($C24,J$4))/MAX(1,$D24+1-$C24))</f>
        <v>0</v>
      </c>
      <c r="K24" s="64" t="n">
        <f aca="false">IF(OR(K$4="",$C24="",$D24="",N($E24)=0),"",$E24*MAX(0,MIN($D24+1,EDATE(K$4,1))-MAX($C24,K$4))/MAX(1,$D24+1-$C24))</f>
        <v>0</v>
      </c>
      <c r="L24" s="64" t="n">
        <f aca="false">IF(OR(L$4="",$C24="",$D24="",N($E24)=0),"",$E24*MAX(0,MIN($D24+1,EDATE(L$4,1))-MAX($C24,L$4))/MAX(1,$D24+1-$C24))</f>
        <v>0</v>
      </c>
      <c r="M24" s="64" t="n">
        <f aca="false">IF(OR(M$4="",$C24="",$D24="",N($E24)=0),"",$E24*MAX(0,MIN($D24+1,EDATE(M$4,1))-MAX($C24,M$4))/MAX(1,$D24+1-$C24))</f>
        <v>0</v>
      </c>
      <c r="N24" s="64" t="n">
        <f aca="false">IF(OR(N$4="",$C24="",$D24="",N($E24)=0),"",$E24*MAX(0,MIN($D24+1,EDATE(N$4,1))-MAX($C24,N$4))/MAX(1,$D24+1-$C24))</f>
        <v>0</v>
      </c>
      <c r="O24" s="64" t="n">
        <f aca="false">IF(OR(O$4="",$C24="",$D24="",N($E24)=0),"",$E24*MAX(0,MIN($D24+1,EDATE(O$4,1))-MAX($C24,O$4))/MAX(1,$D24+1-$C24))</f>
        <v>0</v>
      </c>
      <c r="P24" s="64" t="n">
        <f aca="false">IF(OR(P$4="",$C24="",$D24="",N($E24)=0),"",$E24*MAX(0,MIN($D24+1,EDATE(P$4,1))-MAX($C24,P$4))/MAX(1,$D24+1-$C24))</f>
        <v>0</v>
      </c>
      <c r="Q24" s="64" t="n">
        <f aca="false">IF(OR(Q$4="",$C24="",$D24="",N($E24)=0),"",$E24*MAX(0,MIN($D24+1,EDATE(Q$4,1))-MAX($C24,Q$4))/MAX(1,$D24+1-$C24))</f>
        <v>0</v>
      </c>
      <c r="R24" s="64" t="n">
        <f aca="false">IF(OR(R$4="",$C24="",$D24="",N($E24)=0),"",$E24*MAX(0,MIN($D24+1,EDATE(R$4,1))-MAX($C24,R$4))/MAX(1,$D24+1-$C24))</f>
        <v>0</v>
      </c>
      <c r="S24" s="64" t="n">
        <f aca="false">IF(OR(S$4="",$C24="",$D24="",N($E24)=0),"",$E24*MAX(0,MIN($D24+1,EDATE(S$4,1))-MAX($C24,S$4))/MAX(1,$D24+1-$C24))</f>
        <v>0</v>
      </c>
      <c r="T24" s="64" t="n">
        <f aca="false">IF(OR(T$4="",$C24="",$D24="",N($E24)=0),"",$E24*MAX(0,MIN($D24+1,EDATE(T$4,1))-MAX($C24,T$4))/MAX(1,$D24+1-$C24))</f>
        <v>0</v>
      </c>
      <c r="U24" s="64" t="n">
        <f aca="false">IF(OR(U$4="",$C24="",$D24="",N($E24)=0),"",$E24*MAX(0,MIN($D24+1,EDATE(U$4,1))-MAX($C24,U$4))/MAX(1,$D24+1-$C24))</f>
        <v>0</v>
      </c>
      <c r="V24" s="64" t="n">
        <f aca="false">IF(OR(V$4="",$C24="",$D24="",N($E24)=0),"",$E24*MAX(0,MIN($D24+1,EDATE(V$4,1))-MAX($C24,V$4))/MAX(1,$D24+1-$C24))</f>
        <v>0</v>
      </c>
      <c r="W24" s="64" t="n">
        <f aca="false">IF(OR(W$4="",$C24="",$D24="",N($E24)=0),"",$E24*MAX(0,MIN($D24+1,EDATE(W$4,1))-MAX($C24,W$4))/MAX(1,$D24+1-$C24))</f>
        <v>0</v>
      </c>
      <c r="X24" s="64" t="n">
        <f aca="false">IF(OR(X$4="",$C24="",$D24="",N($E24)=0),"",$E24*MAX(0,MIN($D24+1,EDATE(X$4,1))-MAX($C24,X$4))/MAX(1,$D24+1-$C24))</f>
        <v>0</v>
      </c>
      <c r="Y24" s="64" t="n">
        <f aca="false">IF(OR(Y$4="",$C24="",$D24="",N($E24)=0),"",$E24*MAX(0,MIN($D24+1,EDATE(Y$4,1))-MAX($C24,Y$4))/MAX(1,$D24+1-$C24))</f>
        <v>0</v>
      </c>
      <c r="Z24" s="64" t="n">
        <f aca="false">IF(OR(Z$4="",$C24="",$D24="",N($E24)=0),"",$E24*MAX(0,MIN($D24+1,EDATE(Z$4,1))-MAX($C24,Z$4))/MAX(1,$D24+1-$C24))</f>
        <v>0</v>
      </c>
      <c r="AA24" s="64" t="n">
        <f aca="false">IF(OR(AA$4="",$C24="",$D24="",N($E24)=0),"",$E24*MAX(0,MIN($D24+1,EDATE(AA$4,1))-MAX($C24,AA$4))/MAX(1,$D24+1-$C24))</f>
        <v>0</v>
      </c>
      <c r="AB24" s="64" t="n">
        <f aca="false">IF(OR(AB$4="",$C24="",$D24="",N($E24)=0),"",$E24*MAX(0,MIN($D24+1,EDATE(AB$4,1))-MAX($C24,AB$4))/MAX(1,$D24+1-$C24))</f>
        <v>0</v>
      </c>
      <c r="AC24" s="64" t="n">
        <f aca="false">IF(OR(AC$4="",$C24="",$D24="",N($E24)=0),"",$E24*MAX(0,MIN($D24+1,EDATE(AC$4,1))-MAX($C24,AC$4))/MAX(1,$D24+1-$C24))</f>
        <v>0</v>
      </c>
      <c r="AD24" s="64" t="n">
        <f aca="false">IF(OR(AD$4="",$C24="",$D24="",N($E24)=0),"",$E24*MAX(0,MIN($D24+1,EDATE(AD$4,1))-MAX($C24,AD$4))/MAX(1,$D24+1-$C24))</f>
        <v>90.5109489051095</v>
      </c>
      <c r="AE24" s="64" t="n">
        <f aca="false">IF(OR(AE$4="",$C24="",$D24="",N($E24)=0),"",$E24*MAX(0,MIN($D24+1,EDATE(AE$4,1))-MAX($C24,AE$4))/MAX(1,$D24+1-$C24))</f>
        <v>81.7518248175183</v>
      </c>
      <c r="AF24" s="64" t="n">
        <f aca="false">IF(OR(AF$4="",$C24="",$D24="",N($E24)=0),"",$E24*MAX(0,MIN($D24+1,EDATE(AF$4,1))-MAX($C24,AF$4))/MAX(1,$D24+1-$C24))</f>
        <v>90.5109489051095</v>
      </c>
      <c r="AG24" s="64" t="n">
        <f aca="false">IF(OR(AG$4="",$C24="",$D24="",N($E24)=0),"",$E24*MAX(0,MIN($D24+1,EDATE(AG$4,1))-MAX($C24,AG$4))/MAX(1,$D24+1-$C24))</f>
        <v>87.5912408759124</v>
      </c>
      <c r="AH24" s="64" t="n">
        <f aca="false">IF(OR(AH$4="",$C24="",$D24="",N($E24)=0),"",$E24*MAX(0,MIN($D24+1,EDATE(AH$4,1))-MAX($C24,AH$4))/MAX(1,$D24+1-$C24))</f>
        <v>90.5109489051095</v>
      </c>
      <c r="AI24" s="64" t="n">
        <f aca="false">IF(OR(AI$4="",$C24="",$D24="",N($E24)=0),"",$E24*MAX(0,MIN($D24+1,EDATE(AI$4,1))-MAX($C24,AI$4))/MAX(1,$D24+1-$C24))</f>
        <v>87.5912408759124</v>
      </c>
      <c r="AJ24" s="64" t="n">
        <f aca="false">IF(OR(AJ$4="",$C24="",$D24="",N($E24)=0),"",$E24*MAX(0,MIN($D24+1,EDATE(AJ$4,1))-MAX($C24,AJ$4))/MAX(1,$D24+1-$C24))</f>
        <v>90.5109489051095</v>
      </c>
      <c r="AK24" s="64" t="n">
        <f aca="false">IF(OR(AK$4="",$C24="",$D24="",N($E24)=0),"",$E24*MAX(0,MIN($D24+1,EDATE(AK$4,1))-MAX($C24,AK$4))/MAX(1,$D24+1-$C24))</f>
        <v>90.5109489051095</v>
      </c>
      <c r="AL24" s="64" t="n">
        <f aca="false">IF(OR(AL$4="",$C24="",$D24="",N($E24)=0),"",$E24*MAX(0,MIN($D24+1,EDATE(AL$4,1))-MAX($C24,AL$4))/MAX(1,$D24+1-$C24))</f>
        <v>87.5912408759124</v>
      </c>
      <c r="AM24" s="64" t="n">
        <f aca="false">IF(OR(AM$4="",$C24="",$D24="",N($E24)=0),"",$E24*MAX(0,MIN($D24+1,EDATE(AM$4,1))-MAX($C24,AM$4))/MAX(1,$D24+1-$C24))</f>
        <v>2.91970802919708</v>
      </c>
      <c r="AN24" s="64" t="n">
        <f aca="false">IF(OR(AN$4="",$C24="",$D24="",N($E24)=0),"",$E24*MAX(0,MIN($D24+1,EDATE(AN$4,1))-MAX($C24,AN$4))/MAX(1,$D24+1-$C24))</f>
        <v>0</v>
      </c>
      <c r="AO24" s="64" t="n">
        <f aca="false">IF(OR(AO$4="",$C24="",$D24="",N($E24)=0),"",$E24*MAX(0,MIN($D24+1,EDATE(AO$4,1))-MAX($C24,AO$4))/MAX(1,$D24+1-$C24))</f>
        <v>0</v>
      </c>
      <c r="AP24" s="64" t="str">
        <f aca="false">IF(OR(AP$4="",$C24="",$D24="",N($E24)=0),"",$E24*MAX(0,MIN($D24+1,EDATE(AP$4,1))-MAX($C24,AP$4))/MAX(1,$D24+1-$C24))</f>
        <v/>
      </c>
      <c r="AQ24" s="64" t="str">
        <f aca="false">IF(OR(AQ$4="",$C24="",$D24="",N($E24)=0),"",$E24*MAX(0,MIN($D24+1,EDATE(AQ$4,1))-MAX($C24,AQ$4))/MAX(1,$D24+1-$C24))</f>
        <v/>
      </c>
      <c r="AR24" s="64" t="str">
        <f aca="false">IF(OR(AR$4="",$C24="",$D24="",N($E24)=0),"",$E24*MAX(0,MIN($D24+1,EDATE(AR$4,1))-MAX($C24,AR$4))/MAX(1,$D24+1-$C24))</f>
        <v/>
      </c>
      <c r="AS24" s="64" t="str">
        <f aca="false">IF(OR(AS$4="",$C24="",$D24="",N($E24)=0),"",$E24*MAX(0,MIN($D24+1,EDATE(AS$4,1))-MAX($C24,AS$4))/MAX(1,$D24+1-$C24))</f>
        <v/>
      </c>
      <c r="AT24" s="64" t="str">
        <f aca="false">IF(OR(AT$4="",$C24="",$D24="",N($E24)=0),"",$E24*MAX(0,MIN($D24+1,EDATE(AT$4,1))-MAX($C24,AT$4))/MAX(1,$D24+1-$C24))</f>
        <v/>
      </c>
      <c r="AU24" s="64" t="str">
        <f aca="false">IF(OR(AU$4="",$C24="",$D24="",N($E24)=0),"",$E24*MAX(0,MIN($D24+1,EDATE(AU$4,1))-MAX($C24,AU$4))/MAX(1,$D24+1-$C24))</f>
        <v/>
      </c>
      <c r="AV24" s="64" t="str">
        <f aca="false">IF(OR(AV$4="",$C24="",$D24="",N($E24)=0),"",$E24*MAX(0,MIN($D24+1,EDATE(AV$4,1))-MAX($C24,AV$4))/MAX(1,$D24+1-$C24))</f>
        <v/>
      </c>
      <c r="AW24" s="64" t="str">
        <f aca="false">IF(OR(AW$4="",$C24="",$D24="",N($E24)=0),"",$E24*MAX(0,MIN($D24+1,EDATE(AW$4,1))-MAX($C24,AW$4))/MAX(1,$D24+1-$C24))</f>
        <v/>
      </c>
      <c r="AX24" s="64" t="str">
        <f aca="false">IF(OR(AX$4="",$C24="",$D24="",N($E24)=0),"",$E24*MAX(0,MIN($D24+1,EDATE(AX$4,1))-MAX($C24,AX$4))/MAX(1,$D24+1-$C24))</f>
        <v/>
      </c>
      <c r="AY24" s="64" t="str">
        <f aca="false">IF(OR(AY$4="",$C24="",$D24="",N($E24)=0),"",$E24*MAX(0,MIN($D24+1,EDATE(AY$4,1))-MAX($C24,AY$4))/MAX(1,$D24+1-$C24))</f>
        <v/>
      </c>
      <c r="AZ24" s="64" t="str">
        <f aca="false">IF(OR(AZ$4="",$C24="",$D24="",N($E24)=0),"",$E24*MAX(0,MIN($D24+1,EDATE(AZ$4,1))-MAX($C24,AZ$4))/MAX(1,$D24+1-$C24))</f>
        <v/>
      </c>
      <c r="BA24" s="64" t="str">
        <f aca="false">IF(OR(BA$4="",$C24="",$D24="",N($E24)=0),"",$E24*MAX(0,MIN($D24+1,EDATE(BA$4,1))-MAX($C24,BA$4))/MAX(1,$D24+1-$C24))</f>
        <v/>
      </c>
      <c r="BB24" s="64" t="str">
        <f aca="false">IF(OR(BB$4="",$C24="",$D24="",N($E24)=0),"",$E24*MAX(0,MIN($D24+1,EDATE(BB$4,1))-MAX($C24,BB$4))/MAX(1,$D24+1-$C24))</f>
        <v/>
      </c>
      <c r="BC24" s="64" t="str">
        <f aca="false">IF(OR(BC$4="",$C24="",$D24="",N($E24)=0),"",$E24*MAX(0,MIN($D24+1,EDATE(BC$4,1))-MAX($C24,BC$4))/MAX(1,$D24+1-$C24))</f>
        <v/>
      </c>
      <c r="BD24" s="64" t="str">
        <f aca="false">IF(OR(BD$4="",$C24="",$D24="",N($E24)=0),"",$E24*MAX(0,MIN($D24+1,EDATE(BD$4,1))-MAX($C24,BD$4))/MAX(1,$D24+1-$C24))</f>
        <v/>
      </c>
      <c r="BE24" s="64" t="str">
        <f aca="false">IF(OR(BE$4="",$C24="",$D24="",N($E24)=0),"",$E24*MAX(0,MIN($D24+1,EDATE(BE$4,1))-MAX($C24,BE$4))/MAX(1,$D24+1-$C24))</f>
        <v/>
      </c>
      <c r="BF24" s="64" t="str">
        <f aca="false">IF(OR(BF$4="",$C24="",$D24="",N($E24)=0),"",$E24*MAX(0,MIN($D24+1,EDATE(BF$4,1))-MAX($C24,BF$4))/MAX(1,$D24+1-$C24))</f>
        <v/>
      </c>
      <c r="BG24" s="64" t="str">
        <f aca="false">IF(OR(BG$4="",$C24="",$D24="",N($E24)=0),"",$E24*MAX(0,MIN($D24+1,EDATE(BG$4,1))-MAX($C24,BG$4))/MAX(1,$D24+1-$C24))</f>
        <v/>
      </c>
      <c r="BH24" s="64" t="str">
        <f aca="false">IF(OR(BH$4="",$C24="",$D24="",N($E24)=0),"",$E24*MAX(0,MIN($D24+1,EDATE(BH$4,1))-MAX($C24,BH$4))/MAX(1,$D24+1-$C24))</f>
        <v/>
      </c>
      <c r="BI24" s="64" t="str">
        <f aca="false">IF(OR(BI$4="",$C24="",$D24="",N($E24)=0),"",$E24*MAX(0,MIN($D24+1,EDATE(BI$4,1))-MAX($C24,BI$4))/MAX(1,$D24+1-$C24))</f>
        <v/>
      </c>
      <c r="BJ24" s="64" t="str">
        <f aca="false">IF(OR(BJ$4="",$C24="",$D24="",N($E24)=0),"",$E24*MAX(0,MIN($D24+1,EDATE(BJ$4,1))-MAX($C24,BJ$4))/MAX(1,$D24+1-$C24))</f>
        <v/>
      </c>
      <c r="BK24" s="64" t="str">
        <f aca="false">IF(OR(BK$4="",$C24="",$D24="",N($E24)=0),"",$E24*MAX(0,MIN($D24+1,EDATE(BK$4,1))-MAX($C24,BK$4))/MAX(1,$D24+1-$C24))</f>
        <v/>
      </c>
      <c r="BL24" s="64" t="str">
        <f aca="false">IF(OR(BL$4="",$C24="",$D24="",N($E24)=0),"",$E24*MAX(0,MIN($D24+1,EDATE(BL$4,1))-MAX($C24,BL$4))/MAX(1,$D24+1-$C24))</f>
        <v/>
      </c>
      <c r="BM24" s="64" t="str">
        <f aca="false">IF(OR(BM$4="",$C24="",$D24="",N($E24)=0),"",$E24*MAX(0,MIN($D24+1,EDATE(BM$4,1))-MAX($C24,BM$4))/MAX(1,$D24+1-$C24))</f>
        <v/>
      </c>
      <c r="BN24" s="64" t="str">
        <f aca="false">IF(OR(BN$4="",$C24="",$D24="",N($E24)=0),"",$E24*MAX(0,MIN($D24+1,EDATE(BN$4,1))-MAX($C24,BN$4))/MAX(1,$D24+1-$C24))</f>
        <v/>
      </c>
      <c r="BO24" s="64" t="str">
        <f aca="false">IF(OR(BO$4="",$C24="",$D24="",N($E24)=0),"",$E24*MAX(0,MIN($D24+1,EDATE(BO$4,1))-MAX($C24,BO$4))/MAX(1,$D24+1-$C24))</f>
        <v/>
      </c>
      <c r="BP24" s="64" t="str">
        <f aca="false">IF(OR(BP$4="",$C24="",$D24="",N($E24)=0),"",$E24*MAX(0,MIN($D24+1,EDATE(BP$4,1))-MAX($C24,BP$4))/MAX(1,$D24+1-$C24))</f>
        <v/>
      </c>
      <c r="BQ24" s="64" t="str">
        <f aca="false">IF(OR(BQ$4="",$C24="",$D24="",N($E24)=0),"",$E24*MAX(0,MIN($D24+1,EDATE(BQ$4,1))-MAX($C24,BQ$4))/MAX(1,$D24+1-$C24))</f>
        <v/>
      </c>
      <c r="BR24" s="64" t="str">
        <f aca="false">IF(OR(BR$4="",$C24="",$D24="",N($E24)=0),"",$E24*MAX(0,MIN($D24+1,EDATE(BR$4,1))-MAX($C24,BR$4))/MAX(1,$D24+1-$C24))</f>
        <v/>
      </c>
      <c r="BS24" s="64" t="str">
        <f aca="false">IF(OR(BS$4="",$C24="",$D24="",N($E24)=0),"",$E24*MAX(0,MIN($D24+1,EDATE(BS$4,1))-MAX($C24,BS$4))/MAX(1,$D24+1-$C24))</f>
        <v/>
      </c>
      <c r="BT24" s="64" t="str">
        <f aca="false">IF(OR(BT$4="",$C24="",$D24="",N($E24)=0),"",$E24*MAX(0,MIN($D24+1,EDATE(BT$4,1))-MAX($C24,BT$4))/MAX(1,$D24+1-$C24))</f>
        <v/>
      </c>
      <c r="BU24" s="64" t="str">
        <f aca="false">IF(OR(BU$4="",$C24="",$D24="",N($E24)=0),"",$E24*MAX(0,MIN($D24+1,EDATE(BU$4,1))-MAX($C24,BU$4))/MAX(1,$D24+1-$C24))</f>
        <v/>
      </c>
      <c r="BV24" s="64" t="str">
        <f aca="false">IF(OR(BV$4="",$C24="",$D24="",N($E24)=0),"",$E24*MAX(0,MIN($D24+1,EDATE(BV$4,1))-MAX($C24,BV$4))/MAX(1,$D24+1-$C24))</f>
        <v/>
      </c>
      <c r="BW24" s="64" t="str">
        <f aca="false">IF(OR(BW$4="",$C24="",$D24="",N($E24)=0),"",$E24*MAX(0,MIN($D24+1,EDATE(BW$4,1))-MAX($C24,BW$4))/MAX(1,$D24+1-$C24))</f>
        <v/>
      </c>
      <c r="BX24" s="64" t="str">
        <f aca="false">IF(OR(BX$4="",$C24="",$D24="",N($E24)=0),"",$E24*MAX(0,MIN($D24+1,EDATE(BX$4,1))-MAX($C24,BX$4))/MAX(1,$D24+1-$C24))</f>
        <v/>
      </c>
      <c r="BY24" s="64" t="str">
        <f aca="false">IF(OR(BY$4="",$C24="",$D24="",N($E24)=0),"",$E24*MAX(0,MIN($D24+1,EDATE(BY$4,1))-MAX($C24,BY$4))/MAX(1,$D24+1-$C24))</f>
        <v/>
      </c>
    </row>
    <row r="25" customFormat="false" ht="15" hidden="false" customHeight="false" outlineLevel="0" collapsed="false">
      <c r="A25" s="61" t="str">
        <f aca="false">IF(BOE!$A26="","",BOE!$A26)</f>
        <v>302</v>
      </c>
      <c r="B25" s="61" t="str">
        <f aca="false">IF(BOE!$A26="","",BOE!$C26)</f>
        <v>Hazard Management Assessment Report (HMAR)</v>
      </c>
      <c r="C25" s="62" t="n">
        <f aca="false">IF(BOE!$O26="","",BOE!$O26)</f>
        <v>47122</v>
      </c>
      <c r="D25" s="62" t="n">
        <f aca="false">IF(BOE!$P26="","",BOE!$P26)</f>
        <v>47395</v>
      </c>
      <c r="E25" s="63" t="n">
        <f aca="false">IF(Inputs!$B$7="P90",BOE!$T26,BOE!$R26)</f>
        <v>0</v>
      </c>
      <c r="F25" s="64" t="str">
        <f aca="false">IF(OR(F$4="",$C25="",$D25="",N($E25)=0),"",$E25*MAX(0,MIN($D25+1,EDATE(F$4,1))-MAX($C25,F$4))/MAX(1,$D25+1-$C25))</f>
        <v/>
      </c>
      <c r="G25" s="64" t="str">
        <f aca="false">IF(OR(G$4="",$C25="",$D25="",N($E25)=0),"",$E25*MAX(0,MIN($D25+1,EDATE(G$4,1))-MAX($C25,G$4))/MAX(1,$D25+1-$C25))</f>
        <v/>
      </c>
      <c r="H25" s="64" t="str">
        <f aca="false">IF(OR(H$4="",$C25="",$D25="",N($E25)=0),"",$E25*MAX(0,MIN($D25+1,EDATE(H$4,1))-MAX($C25,H$4))/MAX(1,$D25+1-$C25))</f>
        <v/>
      </c>
      <c r="I25" s="64" t="str">
        <f aca="false">IF(OR(I$4="",$C25="",$D25="",N($E25)=0),"",$E25*MAX(0,MIN($D25+1,EDATE(I$4,1))-MAX($C25,I$4))/MAX(1,$D25+1-$C25))</f>
        <v/>
      </c>
      <c r="J25" s="64" t="str">
        <f aca="false">IF(OR(J$4="",$C25="",$D25="",N($E25)=0),"",$E25*MAX(0,MIN($D25+1,EDATE(J$4,1))-MAX($C25,J$4))/MAX(1,$D25+1-$C25))</f>
        <v/>
      </c>
      <c r="K25" s="64" t="str">
        <f aca="false">IF(OR(K$4="",$C25="",$D25="",N($E25)=0),"",$E25*MAX(0,MIN($D25+1,EDATE(K$4,1))-MAX($C25,K$4))/MAX(1,$D25+1-$C25))</f>
        <v/>
      </c>
      <c r="L25" s="64" t="str">
        <f aca="false">IF(OR(L$4="",$C25="",$D25="",N($E25)=0),"",$E25*MAX(0,MIN($D25+1,EDATE(L$4,1))-MAX($C25,L$4))/MAX(1,$D25+1-$C25))</f>
        <v/>
      </c>
      <c r="M25" s="64" t="str">
        <f aca="false">IF(OR(M$4="",$C25="",$D25="",N($E25)=0),"",$E25*MAX(0,MIN($D25+1,EDATE(M$4,1))-MAX($C25,M$4))/MAX(1,$D25+1-$C25))</f>
        <v/>
      </c>
      <c r="N25" s="64" t="str">
        <f aca="false">IF(OR(N$4="",$C25="",$D25="",N($E25)=0),"",$E25*MAX(0,MIN($D25+1,EDATE(N$4,1))-MAX($C25,N$4))/MAX(1,$D25+1-$C25))</f>
        <v/>
      </c>
      <c r="O25" s="64" t="str">
        <f aca="false">IF(OR(O$4="",$C25="",$D25="",N($E25)=0),"",$E25*MAX(0,MIN($D25+1,EDATE(O$4,1))-MAX($C25,O$4))/MAX(1,$D25+1-$C25))</f>
        <v/>
      </c>
      <c r="P25" s="64" t="str">
        <f aca="false">IF(OR(P$4="",$C25="",$D25="",N($E25)=0),"",$E25*MAX(0,MIN($D25+1,EDATE(P$4,1))-MAX($C25,P$4))/MAX(1,$D25+1-$C25))</f>
        <v/>
      </c>
      <c r="Q25" s="64" t="str">
        <f aca="false">IF(OR(Q$4="",$C25="",$D25="",N($E25)=0),"",$E25*MAX(0,MIN($D25+1,EDATE(Q$4,1))-MAX($C25,Q$4))/MAX(1,$D25+1-$C25))</f>
        <v/>
      </c>
      <c r="R25" s="64" t="str">
        <f aca="false">IF(OR(R$4="",$C25="",$D25="",N($E25)=0),"",$E25*MAX(0,MIN($D25+1,EDATE(R$4,1))-MAX($C25,R$4))/MAX(1,$D25+1-$C25))</f>
        <v/>
      </c>
      <c r="S25" s="64" t="str">
        <f aca="false">IF(OR(S$4="",$C25="",$D25="",N($E25)=0),"",$E25*MAX(0,MIN($D25+1,EDATE(S$4,1))-MAX($C25,S$4))/MAX(1,$D25+1-$C25))</f>
        <v/>
      </c>
      <c r="T25" s="64" t="str">
        <f aca="false">IF(OR(T$4="",$C25="",$D25="",N($E25)=0),"",$E25*MAX(0,MIN($D25+1,EDATE(T$4,1))-MAX($C25,T$4))/MAX(1,$D25+1-$C25))</f>
        <v/>
      </c>
      <c r="U25" s="64" t="str">
        <f aca="false">IF(OR(U$4="",$C25="",$D25="",N($E25)=0),"",$E25*MAX(0,MIN($D25+1,EDATE(U$4,1))-MAX($C25,U$4))/MAX(1,$D25+1-$C25))</f>
        <v/>
      </c>
      <c r="V25" s="64" t="str">
        <f aca="false">IF(OR(V$4="",$C25="",$D25="",N($E25)=0),"",$E25*MAX(0,MIN($D25+1,EDATE(V$4,1))-MAX($C25,V$4))/MAX(1,$D25+1-$C25))</f>
        <v/>
      </c>
      <c r="W25" s="64" t="str">
        <f aca="false">IF(OR(W$4="",$C25="",$D25="",N($E25)=0),"",$E25*MAX(0,MIN($D25+1,EDATE(W$4,1))-MAX($C25,W$4))/MAX(1,$D25+1-$C25))</f>
        <v/>
      </c>
      <c r="X25" s="64" t="str">
        <f aca="false">IF(OR(X$4="",$C25="",$D25="",N($E25)=0),"",$E25*MAX(0,MIN($D25+1,EDATE(X$4,1))-MAX($C25,X$4))/MAX(1,$D25+1-$C25))</f>
        <v/>
      </c>
      <c r="Y25" s="64" t="str">
        <f aca="false">IF(OR(Y$4="",$C25="",$D25="",N($E25)=0),"",$E25*MAX(0,MIN($D25+1,EDATE(Y$4,1))-MAX($C25,Y$4))/MAX(1,$D25+1-$C25))</f>
        <v/>
      </c>
      <c r="Z25" s="64" t="str">
        <f aca="false">IF(OR(Z$4="",$C25="",$D25="",N($E25)=0),"",$E25*MAX(0,MIN($D25+1,EDATE(Z$4,1))-MAX($C25,Z$4))/MAX(1,$D25+1-$C25))</f>
        <v/>
      </c>
      <c r="AA25" s="64" t="str">
        <f aca="false">IF(OR(AA$4="",$C25="",$D25="",N($E25)=0),"",$E25*MAX(0,MIN($D25+1,EDATE(AA$4,1))-MAX($C25,AA$4))/MAX(1,$D25+1-$C25))</f>
        <v/>
      </c>
      <c r="AB25" s="64" t="str">
        <f aca="false">IF(OR(AB$4="",$C25="",$D25="",N($E25)=0),"",$E25*MAX(0,MIN($D25+1,EDATE(AB$4,1))-MAX($C25,AB$4))/MAX(1,$D25+1-$C25))</f>
        <v/>
      </c>
      <c r="AC25" s="64" t="str">
        <f aca="false">IF(OR(AC$4="",$C25="",$D25="",N($E25)=0),"",$E25*MAX(0,MIN($D25+1,EDATE(AC$4,1))-MAX($C25,AC$4))/MAX(1,$D25+1-$C25))</f>
        <v/>
      </c>
      <c r="AD25" s="64" t="str">
        <f aca="false">IF(OR(AD$4="",$C25="",$D25="",N($E25)=0),"",$E25*MAX(0,MIN($D25+1,EDATE(AD$4,1))-MAX($C25,AD$4))/MAX(1,$D25+1-$C25))</f>
        <v/>
      </c>
      <c r="AE25" s="64" t="str">
        <f aca="false">IF(OR(AE$4="",$C25="",$D25="",N($E25)=0),"",$E25*MAX(0,MIN($D25+1,EDATE(AE$4,1))-MAX($C25,AE$4))/MAX(1,$D25+1-$C25))</f>
        <v/>
      </c>
      <c r="AF25" s="64" t="str">
        <f aca="false">IF(OR(AF$4="",$C25="",$D25="",N($E25)=0),"",$E25*MAX(0,MIN($D25+1,EDATE(AF$4,1))-MAX($C25,AF$4))/MAX(1,$D25+1-$C25))</f>
        <v/>
      </c>
      <c r="AG25" s="64" t="str">
        <f aca="false">IF(OR(AG$4="",$C25="",$D25="",N($E25)=0),"",$E25*MAX(0,MIN($D25+1,EDATE(AG$4,1))-MAX($C25,AG$4))/MAX(1,$D25+1-$C25))</f>
        <v/>
      </c>
      <c r="AH25" s="64" t="str">
        <f aca="false">IF(OR(AH$4="",$C25="",$D25="",N($E25)=0),"",$E25*MAX(0,MIN($D25+1,EDATE(AH$4,1))-MAX($C25,AH$4))/MAX(1,$D25+1-$C25))</f>
        <v/>
      </c>
      <c r="AI25" s="64" t="str">
        <f aca="false">IF(OR(AI$4="",$C25="",$D25="",N($E25)=0),"",$E25*MAX(0,MIN($D25+1,EDATE(AI$4,1))-MAX($C25,AI$4))/MAX(1,$D25+1-$C25))</f>
        <v/>
      </c>
      <c r="AJ25" s="64" t="str">
        <f aca="false">IF(OR(AJ$4="",$C25="",$D25="",N($E25)=0),"",$E25*MAX(0,MIN($D25+1,EDATE(AJ$4,1))-MAX($C25,AJ$4))/MAX(1,$D25+1-$C25))</f>
        <v/>
      </c>
      <c r="AK25" s="64" t="str">
        <f aca="false">IF(OR(AK$4="",$C25="",$D25="",N($E25)=0),"",$E25*MAX(0,MIN($D25+1,EDATE(AK$4,1))-MAX($C25,AK$4))/MAX(1,$D25+1-$C25))</f>
        <v/>
      </c>
      <c r="AL25" s="64" t="str">
        <f aca="false">IF(OR(AL$4="",$C25="",$D25="",N($E25)=0),"",$E25*MAX(0,MIN($D25+1,EDATE(AL$4,1))-MAX($C25,AL$4))/MAX(1,$D25+1-$C25))</f>
        <v/>
      </c>
      <c r="AM25" s="64" t="str">
        <f aca="false">IF(OR(AM$4="",$C25="",$D25="",N($E25)=0),"",$E25*MAX(0,MIN($D25+1,EDATE(AM$4,1))-MAX($C25,AM$4))/MAX(1,$D25+1-$C25))</f>
        <v/>
      </c>
      <c r="AN25" s="64" t="str">
        <f aca="false">IF(OR(AN$4="",$C25="",$D25="",N($E25)=0),"",$E25*MAX(0,MIN($D25+1,EDATE(AN$4,1))-MAX($C25,AN$4))/MAX(1,$D25+1-$C25))</f>
        <v/>
      </c>
      <c r="AO25" s="64" t="str">
        <f aca="false">IF(OR(AO$4="",$C25="",$D25="",N($E25)=0),"",$E25*MAX(0,MIN($D25+1,EDATE(AO$4,1))-MAX($C25,AO$4))/MAX(1,$D25+1-$C25))</f>
        <v/>
      </c>
      <c r="AP25" s="64" t="str">
        <f aca="false">IF(OR(AP$4="",$C25="",$D25="",N($E25)=0),"",$E25*MAX(0,MIN($D25+1,EDATE(AP$4,1))-MAX($C25,AP$4))/MAX(1,$D25+1-$C25))</f>
        <v/>
      </c>
      <c r="AQ25" s="64" t="str">
        <f aca="false">IF(OR(AQ$4="",$C25="",$D25="",N($E25)=0),"",$E25*MAX(0,MIN($D25+1,EDATE(AQ$4,1))-MAX($C25,AQ$4))/MAX(1,$D25+1-$C25))</f>
        <v/>
      </c>
      <c r="AR25" s="64" t="str">
        <f aca="false">IF(OR(AR$4="",$C25="",$D25="",N($E25)=0),"",$E25*MAX(0,MIN($D25+1,EDATE(AR$4,1))-MAX($C25,AR$4))/MAX(1,$D25+1-$C25))</f>
        <v/>
      </c>
      <c r="AS25" s="64" t="str">
        <f aca="false">IF(OR(AS$4="",$C25="",$D25="",N($E25)=0),"",$E25*MAX(0,MIN($D25+1,EDATE(AS$4,1))-MAX($C25,AS$4))/MAX(1,$D25+1-$C25))</f>
        <v/>
      </c>
      <c r="AT25" s="64" t="str">
        <f aca="false">IF(OR(AT$4="",$C25="",$D25="",N($E25)=0),"",$E25*MAX(0,MIN($D25+1,EDATE(AT$4,1))-MAX($C25,AT$4))/MAX(1,$D25+1-$C25))</f>
        <v/>
      </c>
      <c r="AU25" s="64" t="str">
        <f aca="false">IF(OR(AU$4="",$C25="",$D25="",N($E25)=0),"",$E25*MAX(0,MIN($D25+1,EDATE(AU$4,1))-MAX($C25,AU$4))/MAX(1,$D25+1-$C25))</f>
        <v/>
      </c>
      <c r="AV25" s="64" t="str">
        <f aca="false">IF(OR(AV$4="",$C25="",$D25="",N($E25)=0),"",$E25*MAX(0,MIN($D25+1,EDATE(AV$4,1))-MAX($C25,AV$4))/MAX(1,$D25+1-$C25))</f>
        <v/>
      </c>
      <c r="AW25" s="64" t="str">
        <f aca="false">IF(OR(AW$4="",$C25="",$D25="",N($E25)=0),"",$E25*MAX(0,MIN($D25+1,EDATE(AW$4,1))-MAX($C25,AW$4))/MAX(1,$D25+1-$C25))</f>
        <v/>
      </c>
      <c r="AX25" s="64" t="str">
        <f aca="false">IF(OR(AX$4="",$C25="",$D25="",N($E25)=0),"",$E25*MAX(0,MIN($D25+1,EDATE(AX$4,1))-MAX($C25,AX$4))/MAX(1,$D25+1-$C25))</f>
        <v/>
      </c>
      <c r="AY25" s="64" t="str">
        <f aca="false">IF(OR(AY$4="",$C25="",$D25="",N($E25)=0),"",$E25*MAX(0,MIN($D25+1,EDATE(AY$4,1))-MAX($C25,AY$4))/MAX(1,$D25+1-$C25))</f>
        <v/>
      </c>
      <c r="AZ25" s="64" t="str">
        <f aca="false">IF(OR(AZ$4="",$C25="",$D25="",N($E25)=0),"",$E25*MAX(0,MIN($D25+1,EDATE(AZ$4,1))-MAX($C25,AZ$4))/MAX(1,$D25+1-$C25))</f>
        <v/>
      </c>
      <c r="BA25" s="64" t="str">
        <f aca="false">IF(OR(BA$4="",$C25="",$D25="",N($E25)=0),"",$E25*MAX(0,MIN($D25+1,EDATE(BA$4,1))-MAX($C25,BA$4))/MAX(1,$D25+1-$C25))</f>
        <v/>
      </c>
      <c r="BB25" s="64" t="str">
        <f aca="false">IF(OR(BB$4="",$C25="",$D25="",N($E25)=0),"",$E25*MAX(0,MIN($D25+1,EDATE(BB$4,1))-MAX($C25,BB$4))/MAX(1,$D25+1-$C25))</f>
        <v/>
      </c>
      <c r="BC25" s="64" t="str">
        <f aca="false">IF(OR(BC$4="",$C25="",$D25="",N($E25)=0),"",$E25*MAX(0,MIN($D25+1,EDATE(BC$4,1))-MAX($C25,BC$4))/MAX(1,$D25+1-$C25))</f>
        <v/>
      </c>
      <c r="BD25" s="64" t="str">
        <f aca="false">IF(OR(BD$4="",$C25="",$D25="",N($E25)=0),"",$E25*MAX(0,MIN($D25+1,EDATE(BD$4,1))-MAX($C25,BD$4))/MAX(1,$D25+1-$C25))</f>
        <v/>
      </c>
      <c r="BE25" s="64" t="str">
        <f aca="false">IF(OR(BE$4="",$C25="",$D25="",N($E25)=0),"",$E25*MAX(0,MIN($D25+1,EDATE(BE$4,1))-MAX($C25,BE$4))/MAX(1,$D25+1-$C25))</f>
        <v/>
      </c>
      <c r="BF25" s="64" t="str">
        <f aca="false">IF(OR(BF$4="",$C25="",$D25="",N($E25)=0),"",$E25*MAX(0,MIN($D25+1,EDATE(BF$4,1))-MAX($C25,BF$4))/MAX(1,$D25+1-$C25))</f>
        <v/>
      </c>
      <c r="BG25" s="64" t="str">
        <f aca="false">IF(OR(BG$4="",$C25="",$D25="",N($E25)=0),"",$E25*MAX(0,MIN($D25+1,EDATE(BG$4,1))-MAX($C25,BG$4))/MAX(1,$D25+1-$C25))</f>
        <v/>
      </c>
      <c r="BH25" s="64" t="str">
        <f aca="false">IF(OR(BH$4="",$C25="",$D25="",N($E25)=0),"",$E25*MAX(0,MIN($D25+1,EDATE(BH$4,1))-MAX($C25,BH$4))/MAX(1,$D25+1-$C25))</f>
        <v/>
      </c>
      <c r="BI25" s="64" t="str">
        <f aca="false">IF(OR(BI$4="",$C25="",$D25="",N($E25)=0),"",$E25*MAX(0,MIN($D25+1,EDATE(BI$4,1))-MAX($C25,BI$4))/MAX(1,$D25+1-$C25))</f>
        <v/>
      </c>
      <c r="BJ25" s="64" t="str">
        <f aca="false">IF(OR(BJ$4="",$C25="",$D25="",N($E25)=0),"",$E25*MAX(0,MIN($D25+1,EDATE(BJ$4,1))-MAX($C25,BJ$4))/MAX(1,$D25+1-$C25))</f>
        <v/>
      </c>
      <c r="BK25" s="64" t="str">
        <f aca="false">IF(OR(BK$4="",$C25="",$D25="",N($E25)=0),"",$E25*MAX(0,MIN($D25+1,EDATE(BK$4,1))-MAX($C25,BK$4))/MAX(1,$D25+1-$C25))</f>
        <v/>
      </c>
      <c r="BL25" s="64" t="str">
        <f aca="false">IF(OR(BL$4="",$C25="",$D25="",N($E25)=0),"",$E25*MAX(0,MIN($D25+1,EDATE(BL$4,1))-MAX($C25,BL$4))/MAX(1,$D25+1-$C25))</f>
        <v/>
      </c>
      <c r="BM25" s="64" t="str">
        <f aca="false">IF(OR(BM$4="",$C25="",$D25="",N($E25)=0),"",$E25*MAX(0,MIN($D25+1,EDATE(BM$4,1))-MAX($C25,BM$4))/MAX(1,$D25+1-$C25))</f>
        <v/>
      </c>
      <c r="BN25" s="64" t="str">
        <f aca="false">IF(OR(BN$4="",$C25="",$D25="",N($E25)=0),"",$E25*MAX(0,MIN($D25+1,EDATE(BN$4,1))-MAX($C25,BN$4))/MAX(1,$D25+1-$C25))</f>
        <v/>
      </c>
      <c r="BO25" s="64" t="str">
        <f aca="false">IF(OR(BO$4="",$C25="",$D25="",N($E25)=0),"",$E25*MAX(0,MIN($D25+1,EDATE(BO$4,1))-MAX($C25,BO$4))/MAX(1,$D25+1-$C25))</f>
        <v/>
      </c>
      <c r="BP25" s="64" t="str">
        <f aca="false">IF(OR(BP$4="",$C25="",$D25="",N($E25)=0),"",$E25*MAX(0,MIN($D25+1,EDATE(BP$4,1))-MAX($C25,BP$4))/MAX(1,$D25+1-$C25))</f>
        <v/>
      </c>
      <c r="BQ25" s="64" t="str">
        <f aca="false">IF(OR(BQ$4="",$C25="",$D25="",N($E25)=0),"",$E25*MAX(0,MIN($D25+1,EDATE(BQ$4,1))-MAX($C25,BQ$4))/MAX(1,$D25+1-$C25))</f>
        <v/>
      </c>
      <c r="BR25" s="64" t="str">
        <f aca="false">IF(OR(BR$4="",$C25="",$D25="",N($E25)=0),"",$E25*MAX(0,MIN($D25+1,EDATE(BR$4,1))-MAX($C25,BR$4))/MAX(1,$D25+1-$C25))</f>
        <v/>
      </c>
      <c r="BS25" s="64" t="str">
        <f aca="false">IF(OR(BS$4="",$C25="",$D25="",N($E25)=0),"",$E25*MAX(0,MIN($D25+1,EDATE(BS$4,1))-MAX($C25,BS$4))/MAX(1,$D25+1-$C25))</f>
        <v/>
      </c>
      <c r="BT25" s="64" t="str">
        <f aca="false">IF(OR(BT$4="",$C25="",$D25="",N($E25)=0),"",$E25*MAX(0,MIN($D25+1,EDATE(BT$4,1))-MAX($C25,BT$4))/MAX(1,$D25+1-$C25))</f>
        <v/>
      </c>
      <c r="BU25" s="64" t="str">
        <f aca="false">IF(OR(BU$4="",$C25="",$D25="",N($E25)=0),"",$E25*MAX(0,MIN($D25+1,EDATE(BU$4,1))-MAX($C25,BU$4))/MAX(1,$D25+1-$C25))</f>
        <v/>
      </c>
      <c r="BV25" s="64" t="str">
        <f aca="false">IF(OR(BV$4="",$C25="",$D25="",N($E25)=0),"",$E25*MAX(0,MIN($D25+1,EDATE(BV$4,1))-MAX($C25,BV$4))/MAX(1,$D25+1-$C25))</f>
        <v/>
      </c>
      <c r="BW25" s="64" t="str">
        <f aca="false">IF(OR(BW$4="",$C25="",$D25="",N($E25)=0),"",$E25*MAX(0,MIN($D25+1,EDATE(BW$4,1))-MAX($C25,BW$4))/MAX(1,$D25+1-$C25))</f>
        <v/>
      </c>
      <c r="BX25" s="64" t="str">
        <f aca="false">IF(OR(BX$4="",$C25="",$D25="",N($E25)=0),"",$E25*MAX(0,MIN($D25+1,EDATE(BX$4,1))-MAX($C25,BX$4))/MAX(1,$D25+1-$C25))</f>
        <v/>
      </c>
      <c r="BY25" s="64" t="str">
        <f aca="false">IF(OR(BY$4="",$C25="",$D25="",N($E25)=0),"",$E25*MAX(0,MIN($D25+1,EDATE(BY$4,1))-MAX($C25,BY$4))/MAX(1,$D25+1-$C25))</f>
        <v/>
      </c>
    </row>
    <row r="26" customFormat="false" ht="15" hidden="false" customHeight="false" outlineLevel="0" collapsed="false">
      <c r="A26" s="61" t="str">
        <f aca="false">IF(BOE!$A27="","",BOE!$A27)</f>
        <v>303</v>
      </c>
      <c r="B26" s="61" t="str">
        <f aca="false">IF(BOE!$A27="","",BOE!$C27)</f>
        <v>Test &amp; Evaluation participation</v>
      </c>
      <c r="C26" s="62" t="n">
        <f aca="false">IF(BOE!$O27="","",BOE!$O27)</f>
        <v>47097</v>
      </c>
      <c r="D26" s="62" t="n">
        <f aca="false">IF(BOE!$P27="","",BOE!$P27)</f>
        <v>47362</v>
      </c>
      <c r="E26" s="63" t="n">
        <f aca="false">IF(Inputs!$B$7="P90",BOE!$T27,BOE!$R27)</f>
        <v>640</v>
      </c>
      <c r="F26" s="64" t="n">
        <f aca="false">IF(OR(F$4="",$C26="",$D26="",N($E26)=0),"",$E26*MAX(0,MIN($D26+1,EDATE(F$4,1))-MAX($C26,F$4))/MAX(1,$D26+1-$C26))</f>
        <v>0</v>
      </c>
      <c r="G26" s="64" t="n">
        <f aca="false">IF(OR(G$4="",$C26="",$D26="",N($E26)=0),"",$E26*MAX(0,MIN($D26+1,EDATE(G$4,1))-MAX($C26,G$4))/MAX(1,$D26+1-$C26))</f>
        <v>0</v>
      </c>
      <c r="H26" s="64" t="n">
        <f aca="false">IF(OR(H$4="",$C26="",$D26="",N($E26)=0),"",$E26*MAX(0,MIN($D26+1,EDATE(H$4,1))-MAX($C26,H$4))/MAX(1,$D26+1-$C26))</f>
        <v>0</v>
      </c>
      <c r="I26" s="64" t="n">
        <f aca="false">IF(OR(I$4="",$C26="",$D26="",N($E26)=0),"",$E26*MAX(0,MIN($D26+1,EDATE(I$4,1))-MAX($C26,I$4))/MAX(1,$D26+1-$C26))</f>
        <v>0</v>
      </c>
      <c r="J26" s="64" t="n">
        <f aca="false">IF(OR(J$4="",$C26="",$D26="",N($E26)=0),"",$E26*MAX(0,MIN($D26+1,EDATE(J$4,1))-MAX($C26,J$4))/MAX(1,$D26+1-$C26))</f>
        <v>0</v>
      </c>
      <c r="K26" s="64" t="n">
        <f aca="false">IF(OR(K$4="",$C26="",$D26="",N($E26)=0),"",$E26*MAX(0,MIN($D26+1,EDATE(K$4,1))-MAX($C26,K$4))/MAX(1,$D26+1-$C26))</f>
        <v>0</v>
      </c>
      <c r="L26" s="64" t="n">
        <f aca="false">IF(OR(L$4="",$C26="",$D26="",N($E26)=0),"",$E26*MAX(0,MIN($D26+1,EDATE(L$4,1))-MAX($C26,L$4))/MAX(1,$D26+1-$C26))</f>
        <v>0</v>
      </c>
      <c r="M26" s="64" t="n">
        <f aca="false">IF(OR(M$4="",$C26="",$D26="",N($E26)=0),"",$E26*MAX(0,MIN($D26+1,EDATE(M$4,1))-MAX($C26,M$4))/MAX(1,$D26+1-$C26))</f>
        <v>0</v>
      </c>
      <c r="N26" s="64" t="n">
        <f aca="false">IF(OR(N$4="",$C26="",$D26="",N($E26)=0),"",$E26*MAX(0,MIN($D26+1,EDATE(N$4,1))-MAX($C26,N$4))/MAX(1,$D26+1-$C26))</f>
        <v>0</v>
      </c>
      <c r="O26" s="64" t="n">
        <f aca="false">IF(OR(O$4="",$C26="",$D26="",N($E26)=0),"",$E26*MAX(0,MIN($D26+1,EDATE(O$4,1))-MAX($C26,O$4))/MAX(1,$D26+1-$C26))</f>
        <v>0</v>
      </c>
      <c r="P26" s="64" t="n">
        <f aca="false">IF(OR(P$4="",$C26="",$D26="",N($E26)=0),"",$E26*MAX(0,MIN($D26+1,EDATE(P$4,1))-MAX($C26,P$4))/MAX(1,$D26+1-$C26))</f>
        <v>0</v>
      </c>
      <c r="Q26" s="64" t="n">
        <f aca="false">IF(OR(Q$4="",$C26="",$D26="",N($E26)=0),"",$E26*MAX(0,MIN($D26+1,EDATE(Q$4,1))-MAX($C26,Q$4))/MAX(1,$D26+1-$C26))</f>
        <v>0</v>
      </c>
      <c r="R26" s="64" t="n">
        <f aca="false">IF(OR(R$4="",$C26="",$D26="",N($E26)=0),"",$E26*MAX(0,MIN($D26+1,EDATE(R$4,1))-MAX($C26,R$4))/MAX(1,$D26+1-$C26))</f>
        <v>0</v>
      </c>
      <c r="S26" s="64" t="n">
        <f aca="false">IF(OR(S$4="",$C26="",$D26="",N($E26)=0),"",$E26*MAX(0,MIN($D26+1,EDATE(S$4,1))-MAX($C26,S$4))/MAX(1,$D26+1-$C26))</f>
        <v>0</v>
      </c>
      <c r="T26" s="64" t="n">
        <f aca="false">IF(OR(T$4="",$C26="",$D26="",N($E26)=0),"",$E26*MAX(0,MIN($D26+1,EDATE(T$4,1))-MAX($C26,T$4))/MAX(1,$D26+1-$C26))</f>
        <v>0</v>
      </c>
      <c r="U26" s="64" t="n">
        <f aca="false">IF(OR(U$4="",$C26="",$D26="",N($E26)=0),"",$E26*MAX(0,MIN($D26+1,EDATE(U$4,1))-MAX($C26,U$4))/MAX(1,$D26+1-$C26))</f>
        <v>0</v>
      </c>
      <c r="V26" s="64" t="n">
        <f aca="false">IF(OR(V$4="",$C26="",$D26="",N($E26)=0),"",$E26*MAX(0,MIN($D26+1,EDATE(V$4,1))-MAX($C26,V$4))/MAX(1,$D26+1-$C26))</f>
        <v>0</v>
      </c>
      <c r="W26" s="64" t="n">
        <f aca="false">IF(OR(W$4="",$C26="",$D26="",N($E26)=0),"",$E26*MAX(0,MIN($D26+1,EDATE(W$4,1))-MAX($C26,W$4))/MAX(1,$D26+1-$C26))</f>
        <v>0</v>
      </c>
      <c r="X26" s="64" t="n">
        <f aca="false">IF(OR(X$4="",$C26="",$D26="",N($E26)=0),"",$E26*MAX(0,MIN($D26+1,EDATE(X$4,1))-MAX($C26,X$4))/MAX(1,$D26+1-$C26))</f>
        <v>0</v>
      </c>
      <c r="Y26" s="64" t="n">
        <f aca="false">IF(OR(Y$4="",$C26="",$D26="",N($E26)=0),"",$E26*MAX(0,MIN($D26+1,EDATE(Y$4,1))-MAX($C26,Y$4))/MAX(1,$D26+1-$C26))</f>
        <v>0</v>
      </c>
      <c r="Z26" s="64" t="n">
        <f aca="false">IF(OR(Z$4="",$C26="",$D26="",N($E26)=0),"",$E26*MAX(0,MIN($D26+1,EDATE(Z$4,1))-MAX($C26,Z$4))/MAX(1,$D26+1-$C26))</f>
        <v>0</v>
      </c>
      <c r="AA26" s="64" t="n">
        <f aca="false">IF(OR(AA$4="",$C26="",$D26="",N($E26)=0),"",$E26*MAX(0,MIN($D26+1,EDATE(AA$4,1))-MAX($C26,AA$4))/MAX(1,$D26+1-$C26))</f>
        <v>0</v>
      </c>
      <c r="AB26" s="64" t="n">
        <f aca="false">IF(OR(AB$4="",$C26="",$D26="",N($E26)=0),"",$E26*MAX(0,MIN($D26+1,EDATE(AB$4,1))-MAX($C26,AB$4))/MAX(1,$D26+1-$C26))</f>
        <v>0</v>
      </c>
      <c r="AC26" s="64" t="n">
        <f aca="false">IF(OR(AC$4="",$C26="",$D26="",N($E26)=0),"",$E26*MAX(0,MIN($D26+1,EDATE(AC$4,1))-MAX($C26,AC$4))/MAX(1,$D26+1-$C26))</f>
        <v>60.1503759398496</v>
      </c>
      <c r="AD26" s="64" t="n">
        <f aca="false">IF(OR(AD$4="",$C26="",$D26="",N($E26)=0),"",$E26*MAX(0,MIN($D26+1,EDATE(AD$4,1))-MAX($C26,AD$4))/MAX(1,$D26+1-$C26))</f>
        <v>74.5864661654135</v>
      </c>
      <c r="AE26" s="64" t="n">
        <f aca="false">IF(OR(AE$4="",$C26="",$D26="",N($E26)=0),"",$E26*MAX(0,MIN($D26+1,EDATE(AE$4,1))-MAX($C26,AE$4))/MAX(1,$D26+1-$C26))</f>
        <v>67.3684210526316</v>
      </c>
      <c r="AF26" s="64" t="n">
        <f aca="false">IF(OR(AF$4="",$C26="",$D26="",N($E26)=0),"",$E26*MAX(0,MIN($D26+1,EDATE(AF$4,1))-MAX($C26,AF$4))/MAX(1,$D26+1-$C26))</f>
        <v>74.5864661654135</v>
      </c>
      <c r="AG26" s="64" t="n">
        <f aca="false">IF(OR(AG$4="",$C26="",$D26="",N($E26)=0),"",$E26*MAX(0,MIN($D26+1,EDATE(AG$4,1))-MAX($C26,AG$4))/MAX(1,$D26+1-$C26))</f>
        <v>72.1804511278196</v>
      </c>
      <c r="AH26" s="64" t="n">
        <f aca="false">IF(OR(AH$4="",$C26="",$D26="",N($E26)=0),"",$E26*MAX(0,MIN($D26+1,EDATE(AH$4,1))-MAX($C26,AH$4))/MAX(1,$D26+1-$C26))</f>
        <v>74.5864661654135</v>
      </c>
      <c r="AI26" s="64" t="n">
        <f aca="false">IF(OR(AI$4="",$C26="",$D26="",N($E26)=0),"",$E26*MAX(0,MIN($D26+1,EDATE(AI$4,1))-MAX($C26,AI$4))/MAX(1,$D26+1-$C26))</f>
        <v>72.1804511278196</v>
      </c>
      <c r="AJ26" s="64" t="n">
        <f aca="false">IF(OR(AJ$4="",$C26="",$D26="",N($E26)=0),"",$E26*MAX(0,MIN($D26+1,EDATE(AJ$4,1))-MAX($C26,AJ$4))/MAX(1,$D26+1-$C26))</f>
        <v>74.5864661654135</v>
      </c>
      <c r="AK26" s="64" t="n">
        <f aca="false">IF(OR(AK$4="",$C26="",$D26="",N($E26)=0),"",$E26*MAX(0,MIN($D26+1,EDATE(AK$4,1))-MAX($C26,AK$4))/MAX(1,$D26+1-$C26))</f>
        <v>69.7744360902256</v>
      </c>
      <c r="AL26" s="64" t="n">
        <f aca="false">IF(OR(AL$4="",$C26="",$D26="",N($E26)=0),"",$E26*MAX(0,MIN($D26+1,EDATE(AL$4,1))-MAX($C26,AL$4))/MAX(1,$D26+1-$C26))</f>
        <v>0</v>
      </c>
      <c r="AM26" s="64" t="n">
        <f aca="false">IF(OR(AM$4="",$C26="",$D26="",N($E26)=0),"",$E26*MAX(0,MIN($D26+1,EDATE(AM$4,1))-MAX($C26,AM$4))/MAX(1,$D26+1-$C26))</f>
        <v>0</v>
      </c>
      <c r="AN26" s="64" t="n">
        <f aca="false">IF(OR(AN$4="",$C26="",$D26="",N($E26)=0),"",$E26*MAX(0,MIN($D26+1,EDATE(AN$4,1))-MAX($C26,AN$4))/MAX(1,$D26+1-$C26))</f>
        <v>0</v>
      </c>
      <c r="AO26" s="64" t="n">
        <f aca="false">IF(OR(AO$4="",$C26="",$D26="",N($E26)=0),"",$E26*MAX(0,MIN($D26+1,EDATE(AO$4,1))-MAX($C26,AO$4))/MAX(1,$D26+1-$C26))</f>
        <v>0</v>
      </c>
      <c r="AP26" s="64" t="str">
        <f aca="false">IF(OR(AP$4="",$C26="",$D26="",N($E26)=0),"",$E26*MAX(0,MIN($D26+1,EDATE(AP$4,1))-MAX($C26,AP$4))/MAX(1,$D26+1-$C26))</f>
        <v/>
      </c>
      <c r="AQ26" s="64" t="str">
        <f aca="false">IF(OR(AQ$4="",$C26="",$D26="",N($E26)=0),"",$E26*MAX(0,MIN($D26+1,EDATE(AQ$4,1))-MAX($C26,AQ$4))/MAX(1,$D26+1-$C26))</f>
        <v/>
      </c>
      <c r="AR26" s="64" t="str">
        <f aca="false">IF(OR(AR$4="",$C26="",$D26="",N($E26)=0),"",$E26*MAX(0,MIN($D26+1,EDATE(AR$4,1))-MAX($C26,AR$4))/MAX(1,$D26+1-$C26))</f>
        <v/>
      </c>
      <c r="AS26" s="64" t="str">
        <f aca="false">IF(OR(AS$4="",$C26="",$D26="",N($E26)=0),"",$E26*MAX(0,MIN($D26+1,EDATE(AS$4,1))-MAX($C26,AS$4))/MAX(1,$D26+1-$C26))</f>
        <v/>
      </c>
      <c r="AT26" s="64" t="str">
        <f aca="false">IF(OR(AT$4="",$C26="",$D26="",N($E26)=0),"",$E26*MAX(0,MIN($D26+1,EDATE(AT$4,1))-MAX($C26,AT$4))/MAX(1,$D26+1-$C26))</f>
        <v/>
      </c>
      <c r="AU26" s="64" t="str">
        <f aca="false">IF(OR(AU$4="",$C26="",$D26="",N($E26)=0),"",$E26*MAX(0,MIN($D26+1,EDATE(AU$4,1))-MAX($C26,AU$4))/MAX(1,$D26+1-$C26))</f>
        <v/>
      </c>
      <c r="AV26" s="64" t="str">
        <f aca="false">IF(OR(AV$4="",$C26="",$D26="",N($E26)=0),"",$E26*MAX(0,MIN($D26+1,EDATE(AV$4,1))-MAX($C26,AV$4))/MAX(1,$D26+1-$C26))</f>
        <v/>
      </c>
      <c r="AW26" s="64" t="str">
        <f aca="false">IF(OR(AW$4="",$C26="",$D26="",N($E26)=0),"",$E26*MAX(0,MIN($D26+1,EDATE(AW$4,1))-MAX($C26,AW$4))/MAX(1,$D26+1-$C26))</f>
        <v/>
      </c>
      <c r="AX26" s="64" t="str">
        <f aca="false">IF(OR(AX$4="",$C26="",$D26="",N($E26)=0),"",$E26*MAX(0,MIN($D26+1,EDATE(AX$4,1))-MAX($C26,AX$4))/MAX(1,$D26+1-$C26))</f>
        <v/>
      </c>
      <c r="AY26" s="64" t="str">
        <f aca="false">IF(OR(AY$4="",$C26="",$D26="",N($E26)=0),"",$E26*MAX(0,MIN($D26+1,EDATE(AY$4,1))-MAX($C26,AY$4))/MAX(1,$D26+1-$C26))</f>
        <v/>
      </c>
      <c r="AZ26" s="64" t="str">
        <f aca="false">IF(OR(AZ$4="",$C26="",$D26="",N($E26)=0),"",$E26*MAX(0,MIN($D26+1,EDATE(AZ$4,1))-MAX($C26,AZ$4))/MAX(1,$D26+1-$C26))</f>
        <v/>
      </c>
      <c r="BA26" s="64" t="str">
        <f aca="false">IF(OR(BA$4="",$C26="",$D26="",N($E26)=0),"",$E26*MAX(0,MIN($D26+1,EDATE(BA$4,1))-MAX($C26,BA$4))/MAX(1,$D26+1-$C26))</f>
        <v/>
      </c>
      <c r="BB26" s="64" t="str">
        <f aca="false">IF(OR(BB$4="",$C26="",$D26="",N($E26)=0),"",$E26*MAX(0,MIN($D26+1,EDATE(BB$4,1))-MAX($C26,BB$4))/MAX(1,$D26+1-$C26))</f>
        <v/>
      </c>
      <c r="BC26" s="64" t="str">
        <f aca="false">IF(OR(BC$4="",$C26="",$D26="",N($E26)=0),"",$E26*MAX(0,MIN($D26+1,EDATE(BC$4,1))-MAX($C26,BC$4))/MAX(1,$D26+1-$C26))</f>
        <v/>
      </c>
      <c r="BD26" s="64" t="str">
        <f aca="false">IF(OR(BD$4="",$C26="",$D26="",N($E26)=0),"",$E26*MAX(0,MIN($D26+1,EDATE(BD$4,1))-MAX($C26,BD$4))/MAX(1,$D26+1-$C26))</f>
        <v/>
      </c>
      <c r="BE26" s="64" t="str">
        <f aca="false">IF(OR(BE$4="",$C26="",$D26="",N($E26)=0),"",$E26*MAX(0,MIN($D26+1,EDATE(BE$4,1))-MAX($C26,BE$4))/MAX(1,$D26+1-$C26))</f>
        <v/>
      </c>
      <c r="BF26" s="64" t="str">
        <f aca="false">IF(OR(BF$4="",$C26="",$D26="",N($E26)=0),"",$E26*MAX(0,MIN($D26+1,EDATE(BF$4,1))-MAX($C26,BF$4))/MAX(1,$D26+1-$C26))</f>
        <v/>
      </c>
      <c r="BG26" s="64" t="str">
        <f aca="false">IF(OR(BG$4="",$C26="",$D26="",N($E26)=0),"",$E26*MAX(0,MIN($D26+1,EDATE(BG$4,1))-MAX($C26,BG$4))/MAX(1,$D26+1-$C26))</f>
        <v/>
      </c>
      <c r="BH26" s="64" t="str">
        <f aca="false">IF(OR(BH$4="",$C26="",$D26="",N($E26)=0),"",$E26*MAX(0,MIN($D26+1,EDATE(BH$4,1))-MAX($C26,BH$4))/MAX(1,$D26+1-$C26))</f>
        <v/>
      </c>
      <c r="BI26" s="64" t="str">
        <f aca="false">IF(OR(BI$4="",$C26="",$D26="",N($E26)=0),"",$E26*MAX(0,MIN($D26+1,EDATE(BI$4,1))-MAX($C26,BI$4))/MAX(1,$D26+1-$C26))</f>
        <v/>
      </c>
      <c r="BJ26" s="64" t="str">
        <f aca="false">IF(OR(BJ$4="",$C26="",$D26="",N($E26)=0),"",$E26*MAX(0,MIN($D26+1,EDATE(BJ$4,1))-MAX($C26,BJ$4))/MAX(1,$D26+1-$C26))</f>
        <v/>
      </c>
      <c r="BK26" s="64" t="str">
        <f aca="false">IF(OR(BK$4="",$C26="",$D26="",N($E26)=0),"",$E26*MAX(0,MIN($D26+1,EDATE(BK$4,1))-MAX($C26,BK$4))/MAX(1,$D26+1-$C26))</f>
        <v/>
      </c>
      <c r="BL26" s="64" t="str">
        <f aca="false">IF(OR(BL$4="",$C26="",$D26="",N($E26)=0),"",$E26*MAX(0,MIN($D26+1,EDATE(BL$4,1))-MAX($C26,BL$4))/MAX(1,$D26+1-$C26))</f>
        <v/>
      </c>
      <c r="BM26" s="64" t="str">
        <f aca="false">IF(OR(BM$4="",$C26="",$D26="",N($E26)=0),"",$E26*MAX(0,MIN($D26+1,EDATE(BM$4,1))-MAX($C26,BM$4))/MAX(1,$D26+1-$C26))</f>
        <v/>
      </c>
      <c r="BN26" s="64" t="str">
        <f aca="false">IF(OR(BN$4="",$C26="",$D26="",N($E26)=0),"",$E26*MAX(0,MIN($D26+1,EDATE(BN$4,1))-MAX($C26,BN$4))/MAX(1,$D26+1-$C26))</f>
        <v/>
      </c>
      <c r="BO26" s="64" t="str">
        <f aca="false">IF(OR(BO$4="",$C26="",$D26="",N($E26)=0),"",$E26*MAX(0,MIN($D26+1,EDATE(BO$4,1))-MAX($C26,BO$4))/MAX(1,$D26+1-$C26))</f>
        <v/>
      </c>
      <c r="BP26" s="64" t="str">
        <f aca="false">IF(OR(BP$4="",$C26="",$D26="",N($E26)=0),"",$E26*MAX(0,MIN($D26+1,EDATE(BP$4,1))-MAX($C26,BP$4))/MAX(1,$D26+1-$C26))</f>
        <v/>
      </c>
      <c r="BQ26" s="64" t="str">
        <f aca="false">IF(OR(BQ$4="",$C26="",$D26="",N($E26)=0),"",$E26*MAX(0,MIN($D26+1,EDATE(BQ$4,1))-MAX($C26,BQ$4))/MAX(1,$D26+1-$C26))</f>
        <v/>
      </c>
      <c r="BR26" s="64" t="str">
        <f aca="false">IF(OR(BR$4="",$C26="",$D26="",N($E26)=0),"",$E26*MAX(0,MIN($D26+1,EDATE(BR$4,1))-MAX($C26,BR$4))/MAX(1,$D26+1-$C26))</f>
        <v/>
      </c>
      <c r="BS26" s="64" t="str">
        <f aca="false">IF(OR(BS$4="",$C26="",$D26="",N($E26)=0),"",$E26*MAX(0,MIN($D26+1,EDATE(BS$4,1))-MAX($C26,BS$4))/MAX(1,$D26+1-$C26))</f>
        <v/>
      </c>
      <c r="BT26" s="64" t="str">
        <f aca="false">IF(OR(BT$4="",$C26="",$D26="",N($E26)=0),"",$E26*MAX(0,MIN($D26+1,EDATE(BT$4,1))-MAX($C26,BT$4))/MAX(1,$D26+1-$C26))</f>
        <v/>
      </c>
      <c r="BU26" s="64" t="str">
        <f aca="false">IF(OR(BU$4="",$C26="",$D26="",N($E26)=0),"",$E26*MAX(0,MIN($D26+1,EDATE(BU$4,1))-MAX($C26,BU$4))/MAX(1,$D26+1-$C26))</f>
        <v/>
      </c>
      <c r="BV26" s="64" t="str">
        <f aca="false">IF(OR(BV$4="",$C26="",$D26="",N($E26)=0),"",$E26*MAX(0,MIN($D26+1,EDATE(BV$4,1))-MAX($C26,BV$4))/MAX(1,$D26+1-$C26))</f>
        <v/>
      </c>
      <c r="BW26" s="64" t="str">
        <f aca="false">IF(OR(BW$4="",$C26="",$D26="",N($E26)=0),"",$E26*MAX(0,MIN($D26+1,EDATE(BW$4,1))-MAX($C26,BW$4))/MAX(1,$D26+1-$C26))</f>
        <v/>
      </c>
      <c r="BX26" s="64" t="str">
        <f aca="false">IF(OR(BX$4="",$C26="",$D26="",N($E26)=0),"",$E26*MAX(0,MIN($D26+1,EDATE(BX$4,1))-MAX($C26,BX$4))/MAX(1,$D26+1-$C26))</f>
        <v/>
      </c>
      <c r="BY26" s="64" t="str">
        <f aca="false">IF(OR(BY$4="",$C26="",$D26="",N($E26)=0),"",$E26*MAX(0,MIN($D26+1,EDATE(BY$4,1))-MAX($C26,BY$4))/MAX(1,$D26+1-$C26))</f>
        <v/>
      </c>
    </row>
    <row r="27" customFormat="false" ht="15" hidden="false" customHeight="false" outlineLevel="0" collapsed="false">
      <c r="A27" s="61" t="str">
        <f aca="false">IF(BOE!$A28="","",BOE!$A28)</f>
        <v>304</v>
      </c>
      <c r="B27" s="61" t="str">
        <f aca="false">IF(BOE!$A28="","",BOE!$C28)</f>
        <v>Review of ECPs, change notices, deficiency reports, waivers</v>
      </c>
      <c r="C27" s="62" t="n">
        <f aca="false">IF(BOE!$O28="","",BOE!$O28)</f>
        <v>46877</v>
      </c>
      <c r="D27" s="62" t="n">
        <f aca="false">IF(BOE!$P28="","",BOE!$P28)</f>
        <v>47483</v>
      </c>
      <c r="E27" s="63" t="n">
        <f aca="false">IF(Inputs!$B$7="P90",BOE!$T28,BOE!$R28)</f>
        <v>480</v>
      </c>
      <c r="F27" s="64" t="n">
        <f aca="false">IF(OR(F$4="",$C27="",$D27="",N($E27)=0),"",$E27*MAX(0,MIN($D27+1,EDATE(F$4,1))-MAX($C27,F$4))/MAX(1,$D27+1-$C27))</f>
        <v>0</v>
      </c>
      <c r="G27" s="64" t="n">
        <f aca="false">IF(OR(G$4="",$C27="",$D27="",N($E27)=0),"",$E27*MAX(0,MIN($D27+1,EDATE(G$4,1))-MAX($C27,G$4))/MAX(1,$D27+1-$C27))</f>
        <v>0</v>
      </c>
      <c r="H27" s="64" t="n">
        <f aca="false">IF(OR(H$4="",$C27="",$D27="",N($E27)=0),"",$E27*MAX(0,MIN($D27+1,EDATE(H$4,1))-MAX($C27,H$4))/MAX(1,$D27+1-$C27))</f>
        <v>0</v>
      </c>
      <c r="I27" s="64" t="n">
        <f aca="false">IF(OR(I$4="",$C27="",$D27="",N($E27)=0),"",$E27*MAX(0,MIN($D27+1,EDATE(I$4,1))-MAX($C27,I$4))/MAX(1,$D27+1-$C27))</f>
        <v>0</v>
      </c>
      <c r="J27" s="64" t="n">
        <f aca="false">IF(OR(J$4="",$C27="",$D27="",N($E27)=0),"",$E27*MAX(0,MIN($D27+1,EDATE(J$4,1))-MAX($C27,J$4))/MAX(1,$D27+1-$C27))</f>
        <v>0</v>
      </c>
      <c r="K27" s="64" t="n">
        <f aca="false">IF(OR(K$4="",$C27="",$D27="",N($E27)=0),"",$E27*MAX(0,MIN($D27+1,EDATE(K$4,1))-MAX($C27,K$4))/MAX(1,$D27+1-$C27))</f>
        <v>0</v>
      </c>
      <c r="L27" s="64" t="n">
        <f aca="false">IF(OR(L$4="",$C27="",$D27="",N($E27)=0),"",$E27*MAX(0,MIN($D27+1,EDATE(L$4,1))-MAX($C27,L$4))/MAX(1,$D27+1-$C27))</f>
        <v>0</v>
      </c>
      <c r="M27" s="64" t="n">
        <f aca="false">IF(OR(M$4="",$C27="",$D27="",N($E27)=0),"",$E27*MAX(0,MIN($D27+1,EDATE(M$4,1))-MAX($C27,M$4))/MAX(1,$D27+1-$C27))</f>
        <v>0</v>
      </c>
      <c r="N27" s="64" t="n">
        <f aca="false">IF(OR(N$4="",$C27="",$D27="",N($E27)=0),"",$E27*MAX(0,MIN($D27+1,EDATE(N$4,1))-MAX($C27,N$4))/MAX(1,$D27+1-$C27))</f>
        <v>0</v>
      </c>
      <c r="O27" s="64" t="n">
        <f aca="false">IF(OR(O$4="",$C27="",$D27="",N($E27)=0),"",$E27*MAX(0,MIN($D27+1,EDATE(O$4,1))-MAX($C27,O$4))/MAX(1,$D27+1-$C27))</f>
        <v>0</v>
      </c>
      <c r="P27" s="64" t="n">
        <f aca="false">IF(OR(P$4="",$C27="",$D27="",N($E27)=0),"",$E27*MAX(0,MIN($D27+1,EDATE(P$4,1))-MAX($C27,P$4))/MAX(1,$D27+1-$C27))</f>
        <v>0</v>
      </c>
      <c r="Q27" s="64" t="n">
        <f aca="false">IF(OR(Q$4="",$C27="",$D27="",N($E27)=0),"",$E27*MAX(0,MIN($D27+1,EDATE(Q$4,1))-MAX($C27,Q$4))/MAX(1,$D27+1-$C27))</f>
        <v>0</v>
      </c>
      <c r="R27" s="64" t="n">
        <f aca="false">IF(OR(R$4="",$C27="",$D27="",N($E27)=0),"",$E27*MAX(0,MIN($D27+1,EDATE(R$4,1))-MAX($C27,R$4))/MAX(1,$D27+1-$C27))</f>
        <v>0</v>
      </c>
      <c r="S27" s="64" t="n">
        <f aca="false">IF(OR(S$4="",$C27="",$D27="",N($E27)=0),"",$E27*MAX(0,MIN($D27+1,EDATE(S$4,1))-MAX($C27,S$4))/MAX(1,$D27+1-$C27))</f>
        <v>0</v>
      </c>
      <c r="T27" s="64" t="n">
        <f aca="false">IF(OR(T$4="",$C27="",$D27="",N($E27)=0),"",$E27*MAX(0,MIN($D27+1,EDATE(T$4,1))-MAX($C27,T$4))/MAX(1,$D27+1-$C27))</f>
        <v>0</v>
      </c>
      <c r="U27" s="64" t="n">
        <f aca="false">IF(OR(U$4="",$C27="",$D27="",N($E27)=0),"",$E27*MAX(0,MIN($D27+1,EDATE(U$4,1))-MAX($C27,U$4))/MAX(1,$D27+1-$C27))</f>
        <v>0</v>
      </c>
      <c r="V27" s="64" t="n">
        <f aca="false">IF(OR(V$4="",$C27="",$D27="",N($E27)=0),"",$E27*MAX(0,MIN($D27+1,EDATE(V$4,1))-MAX($C27,V$4))/MAX(1,$D27+1-$C27))</f>
        <v>24.5140032948929</v>
      </c>
      <c r="W27" s="64" t="n">
        <f aca="false">IF(OR(W$4="",$C27="",$D27="",N($E27)=0),"",$E27*MAX(0,MIN($D27+1,EDATE(W$4,1))-MAX($C27,W$4))/MAX(1,$D27+1-$C27))</f>
        <v>23.7232289950577</v>
      </c>
      <c r="X27" s="64" t="n">
        <f aca="false">IF(OR(X$4="",$C27="",$D27="",N($E27)=0),"",$E27*MAX(0,MIN($D27+1,EDATE(X$4,1))-MAX($C27,X$4))/MAX(1,$D27+1-$C27))</f>
        <v>24.5140032948929</v>
      </c>
      <c r="Y27" s="64" t="n">
        <f aca="false">IF(OR(Y$4="",$C27="",$D27="",N($E27)=0),"",$E27*MAX(0,MIN($D27+1,EDATE(Y$4,1))-MAX($C27,Y$4))/MAX(1,$D27+1-$C27))</f>
        <v>24.5140032948929</v>
      </c>
      <c r="Z27" s="64" t="n">
        <f aca="false">IF(OR(Z$4="",$C27="",$D27="",N($E27)=0),"",$E27*MAX(0,MIN($D27+1,EDATE(Z$4,1))-MAX($C27,Z$4))/MAX(1,$D27+1-$C27))</f>
        <v>23.7232289950577</v>
      </c>
      <c r="AA27" s="64" t="n">
        <f aca="false">IF(OR(AA$4="",$C27="",$D27="",N($E27)=0),"",$E27*MAX(0,MIN($D27+1,EDATE(AA$4,1))-MAX($C27,AA$4))/MAX(1,$D27+1-$C27))</f>
        <v>24.5140032948929</v>
      </c>
      <c r="AB27" s="64" t="n">
        <f aca="false">IF(OR(AB$4="",$C27="",$D27="",N($E27)=0),"",$E27*MAX(0,MIN($D27+1,EDATE(AB$4,1))-MAX($C27,AB$4))/MAX(1,$D27+1-$C27))</f>
        <v>23.7232289950577</v>
      </c>
      <c r="AC27" s="64" t="n">
        <f aca="false">IF(OR(AC$4="",$C27="",$D27="",N($E27)=0),"",$E27*MAX(0,MIN($D27+1,EDATE(AC$4,1))-MAX($C27,AC$4))/MAX(1,$D27+1-$C27))</f>
        <v>24.5140032948929</v>
      </c>
      <c r="AD27" s="64" t="n">
        <f aca="false">IF(OR(AD$4="",$C27="",$D27="",N($E27)=0),"",$E27*MAX(0,MIN($D27+1,EDATE(AD$4,1))-MAX($C27,AD$4))/MAX(1,$D27+1-$C27))</f>
        <v>24.5140032948929</v>
      </c>
      <c r="AE27" s="64" t="n">
        <f aca="false">IF(OR(AE$4="",$C27="",$D27="",N($E27)=0),"",$E27*MAX(0,MIN($D27+1,EDATE(AE$4,1))-MAX($C27,AE$4))/MAX(1,$D27+1-$C27))</f>
        <v>22.1416803953872</v>
      </c>
      <c r="AF27" s="64" t="n">
        <f aca="false">IF(OR(AF$4="",$C27="",$D27="",N($E27)=0),"",$E27*MAX(0,MIN($D27+1,EDATE(AF$4,1))-MAX($C27,AF$4))/MAX(1,$D27+1-$C27))</f>
        <v>24.5140032948929</v>
      </c>
      <c r="AG27" s="64" t="n">
        <f aca="false">IF(OR(AG$4="",$C27="",$D27="",N($E27)=0),"",$E27*MAX(0,MIN($D27+1,EDATE(AG$4,1))-MAX($C27,AG$4))/MAX(1,$D27+1-$C27))</f>
        <v>23.7232289950577</v>
      </c>
      <c r="AH27" s="64" t="n">
        <f aca="false">IF(OR(AH$4="",$C27="",$D27="",N($E27)=0),"",$E27*MAX(0,MIN($D27+1,EDATE(AH$4,1))-MAX($C27,AH$4))/MAX(1,$D27+1-$C27))</f>
        <v>24.5140032948929</v>
      </c>
      <c r="AI27" s="64" t="n">
        <f aca="false">IF(OR(AI$4="",$C27="",$D27="",N($E27)=0),"",$E27*MAX(0,MIN($D27+1,EDATE(AI$4,1))-MAX($C27,AI$4))/MAX(1,$D27+1-$C27))</f>
        <v>23.7232289950577</v>
      </c>
      <c r="AJ27" s="64" t="n">
        <f aca="false">IF(OR(AJ$4="",$C27="",$D27="",N($E27)=0),"",$E27*MAX(0,MIN($D27+1,EDATE(AJ$4,1))-MAX($C27,AJ$4))/MAX(1,$D27+1-$C27))</f>
        <v>24.5140032948929</v>
      </c>
      <c r="AK27" s="64" t="n">
        <f aca="false">IF(OR(AK$4="",$C27="",$D27="",N($E27)=0),"",$E27*MAX(0,MIN($D27+1,EDATE(AK$4,1))-MAX($C27,AK$4))/MAX(1,$D27+1-$C27))</f>
        <v>24.5140032948929</v>
      </c>
      <c r="AL27" s="64" t="n">
        <f aca="false">IF(OR(AL$4="",$C27="",$D27="",N($E27)=0),"",$E27*MAX(0,MIN($D27+1,EDATE(AL$4,1))-MAX($C27,AL$4))/MAX(1,$D27+1-$C27))</f>
        <v>23.7232289950577</v>
      </c>
      <c r="AM27" s="64" t="n">
        <f aca="false">IF(OR(AM$4="",$C27="",$D27="",N($E27)=0),"",$E27*MAX(0,MIN($D27+1,EDATE(AM$4,1))-MAX($C27,AM$4))/MAX(1,$D27+1-$C27))</f>
        <v>24.5140032948929</v>
      </c>
      <c r="AN27" s="64" t="n">
        <f aca="false">IF(OR(AN$4="",$C27="",$D27="",N($E27)=0),"",$E27*MAX(0,MIN($D27+1,EDATE(AN$4,1))-MAX($C27,AN$4))/MAX(1,$D27+1-$C27))</f>
        <v>23.7232289950577</v>
      </c>
      <c r="AO27" s="64" t="n">
        <f aca="false">IF(OR(AO$4="",$C27="",$D27="",N($E27)=0),"",$E27*MAX(0,MIN($D27+1,EDATE(AO$4,1))-MAX($C27,AO$4))/MAX(1,$D27+1-$C27))</f>
        <v>22.1416803953872</v>
      </c>
      <c r="AP27" s="64" t="str">
        <f aca="false">IF(OR(AP$4="",$C27="",$D27="",N($E27)=0),"",$E27*MAX(0,MIN($D27+1,EDATE(AP$4,1))-MAX($C27,AP$4))/MAX(1,$D27+1-$C27))</f>
        <v/>
      </c>
      <c r="AQ27" s="64" t="str">
        <f aca="false">IF(OR(AQ$4="",$C27="",$D27="",N($E27)=0),"",$E27*MAX(0,MIN($D27+1,EDATE(AQ$4,1))-MAX($C27,AQ$4))/MAX(1,$D27+1-$C27))</f>
        <v/>
      </c>
      <c r="AR27" s="64" t="str">
        <f aca="false">IF(OR(AR$4="",$C27="",$D27="",N($E27)=0),"",$E27*MAX(0,MIN($D27+1,EDATE(AR$4,1))-MAX($C27,AR$4))/MAX(1,$D27+1-$C27))</f>
        <v/>
      </c>
      <c r="AS27" s="64" t="str">
        <f aca="false">IF(OR(AS$4="",$C27="",$D27="",N($E27)=0),"",$E27*MAX(0,MIN($D27+1,EDATE(AS$4,1))-MAX($C27,AS$4))/MAX(1,$D27+1-$C27))</f>
        <v/>
      </c>
      <c r="AT27" s="64" t="str">
        <f aca="false">IF(OR(AT$4="",$C27="",$D27="",N($E27)=0),"",$E27*MAX(0,MIN($D27+1,EDATE(AT$4,1))-MAX($C27,AT$4))/MAX(1,$D27+1-$C27))</f>
        <v/>
      </c>
      <c r="AU27" s="64" t="str">
        <f aca="false">IF(OR(AU$4="",$C27="",$D27="",N($E27)=0),"",$E27*MAX(0,MIN($D27+1,EDATE(AU$4,1))-MAX($C27,AU$4))/MAX(1,$D27+1-$C27))</f>
        <v/>
      </c>
      <c r="AV27" s="64" t="str">
        <f aca="false">IF(OR(AV$4="",$C27="",$D27="",N($E27)=0),"",$E27*MAX(0,MIN($D27+1,EDATE(AV$4,1))-MAX($C27,AV$4))/MAX(1,$D27+1-$C27))</f>
        <v/>
      </c>
      <c r="AW27" s="64" t="str">
        <f aca="false">IF(OR(AW$4="",$C27="",$D27="",N($E27)=0),"",$E27*MAX(0,MIN($D27+1,EDATE(AW$4,1))-MAX($C27,AW$4))/MAX(1,$D27+1-$C27))</f>
        <v/>
      </c>
      <c r="AX27" s="64" t="str">
        <f aca="false">IF(OR(AX$4="",$C27="",$D27="",N($E27)=0),"",$E27*MAX(0,MIN($D27+1,EDATE(AX$4,1))-MAX($C27,AX$4))/MAX(1,$D27+1-$C27))</f>
        <v/>
      </c>
      <c r="AY27" s="64" t="str">
        <f aca="false">IF(OR(AY$4="",$C27="",$D27="",N($E27)=0),"",$E27*MAX(0,MIN($D27+1,EDATE(AY$4,1))-MAX($C27,AY$4))/MAX(1,$D27+1-$C27))</f>
        <v/>
      </c>
      <c r="AZ27" s="64" t="str">
        <f aca="false">IF(OR(AZ$4="",$C27="",$D27="",N($E27)=0),"",$E27*MAX(0,MIN($D27+1,EDATE(AZ$4,1))-MAX($C27,AZ$4))/MAX(1,$D27+1-$C27))</f>
        <v/>
      </c>
      <c r="BA27" s="64" t="str">
        <f aca="false">IF(OR(BA$4="",$C27="",$D27="",N($E27)=0),"",$E27*MAX(0,MIN($D27+1,EDATE(BA$4,1))-MAX($C27,BA$4))/MAX(1,$D27+1-$C27))</f>
        <v/>
      </c>
      <c r="BB27" s="64" t="str">
        <f aca="false">IF(OR(BB$4="",$C27="",$D27="",N($E27)=0),"",$E27*MAX(0,MIN($D27+1,EDATE(BB$4,1))-MAX($C27,BB$4))/MAX(1,$D27+1-$C27))</f>
        <v/>
      </c>
      <c r="BC27" s="64" t="str">
        <f aca="false">IF(OR(BC$4="",$C27="",$D27="",N($E27)=0),"",$E27*MAX(0,MIN($D27+1,EDATE(BC$4,1))-MAX($C27,BC$4))/MAX(1,$D27+1-$C27))</f>
        <v/>
      </c>
      <c r="BD27" s="64" t="str">
        <f aca="false">IF(OR(BD$4="",$C27="",$D27="",N($E27)=0),"",$E27*MAX(0,MIN($D27+1,EDATE(BD$4,1))-MAX($C27,BD$4))/MAX(1,$D27+1-$C27))</f>
        <v/>
      </c>
      <c r="BE27" s="64" t="str">
        <f aca="false">IF(OR(BE$4="",$C27="",$D27="",N($E27)=0),"",$E27*MAX(0,MIN($D27+1,EDATE(BE$4,1))-MAX($C27,BE$4))/MAX(1,$D27+1-$C27))</f>
        <v/>
      </c>
      <c r="BF27" s="64" t="str">
        <f aca="false">IF(OR(BF$4="",$C27="",$D27="",N($E27)=0),"",$E27*MAX(0,MIN($D27+1,EDATE(BF$4,1))-MAX($C27,BF$4))/MAX(1,$D27+1-$C27))</f>
        <v/>
      </c>
      <c r="BG27" s="64" t="str">
        <f aca="false">IF(OR(BG$4="",$C27="",$D27="",N($E27)=0),"",$E27*MAX(0,MIN($D27+1,EDATE(BG$4,1))-MAX($C27,BG$4))/MAX(1,$D27+1-$C27))</f>
        <v/>
      </c>
      <c r="BH27" s="64" t="str">
        <f aca="false">IF(OR(BH$4="",$C27="",$D27="",N($E27)=0),"",$E27*MAX(0,MIN($D27+1,EDATE(BH$4,1))-MAX($C27,BH$4))/MAX(1,$D27+1-$C27))</f>
        <v/>
      </c>
      <c r="BI27" s="64" t="str">
        <f aca="false">IF(OR(BI$4="",$C27="",$D27="",N($E27)=0),"",$E27*MAX(0,MIN($D27+1,EDATE(BI$4,1))-MAX($C27,BI$4))/MAX(1,$D27+1-$C27))</f>
        <v/>
      </c>
      <c r="BJ27" s="64" t="str">
        <f aca="false">IF(OR(BJ$4="",$C27="",$D27="",N($E27)=0),"",$E27*MAX(0,MIN($D27+1,EDATE(BJ$4,1))-MAX($C27,BJ$4))/MAX(1,$D27+1-$C27))</f>
        <v/>
      </c>
      <c r="BK27" s="64" t="str">
        <f aca="false">IF(OR(BK$4="",$C27="",$D27="",N($E27)=0),"",$E27*MAX(0,MIN($D27+1,EDATE(BK$4,1))-MAX($C27,BK$4))/MAX(1,$D27+1-$C27))</f>
        <v/>
      </c>
      <c r="BL27" s="64" t="str">
        <f aca="false">IF(OR(BL$4="",$C27="",$D27="",N($E27)=0),"",$E27*MAX(0,MIN($D27+1,EDATE(BL$4,1))-MAX($C27,BL$4))/MAX(1,$D27+1-$C27))</f>
        <v/>
      </c>
      <c r="BM27" s="64" t="str">
        <f aca="false">IF(OR(BM$4="",$C27="",$D27="",N($E27)=0),"",$E27*MAX(0,MIN($D27+1,EDATE(BM$4,1))-MAX($C27,BM$4))/MAX(1,$D27+1-$C27))</f>
        <v/>
      </c>
      <c r="BN27" s="64" t="str">
        <f aca="false">IF(OR(BN$4="",$C27="",$D27="",N($E27)=0),"",$E27*MAX(0,MIN($D27+1,EDATE(BN$4,1))-MAX($C27,BN$4))/MAX(1,$D27+1-$C27))</f>
        <v/>
      </c>
      <c r="BO27" s="64" t="str">
        <f aca="false">IF(OR(BO$4="",$C27="",$D27="",N($E27)=0),"",$E27*MAX(0,MIN($D27+1,EDATE(BO$4,1))-MAX($C27,BO$4))/MAX(1,$D27+1-$C27))</f>
        <v/>
      </c>
      <c r="BP27" s="64" t="str">
        <f aca="false">IF(OR(BP$4="",$C27="",$D27="",N($E27)=0),"",$E27*MAX(0,MIN($D27+1,EDATE(BP$4,1))-MAX($C27,BP$4))/MAX(1,$D27+1-$C27))</f>
        <v/>
      </c>
      <c r="BQ27" s="64" t="str">
        <f aca="false">IF(OR(BQ$4="",$C27="",$D27="",N($E27)=0),"",$E27*MAX(0,MIN($D27+1,EDATE(BQ$4,1))-MAX($C27,BQ$4))/MAX(1,$D27+1-$C27))</f>
        <v/>
      </c>
      <c r="BR27" s="64" t="str">
        <f aca="false">IF(OR(BR$4="",$C27="",$D27="",N($E27)=0),"",$E27*MAX(0,MIN($D27+1,EDATE(BR$4,1))-MAX($C27,BR$4))/MAX(1,$D27+1-$C27))</f>
        <v/>
      </c>
      <c r="BS27" s="64" t="str">
        <f aca="false">IF(OR(BS$4="",$C27="",$D27="",N($E27)=0),"",$E27*MAX(0,MIN($D27+1,EDATE(BS$4,1))-MAX($C27,BS$4))/MAX(1,$D27+1-$C27))</f>
        <v/>
      </c>
      <c r="BT27" s="64" t="str">
        <f aca="false">IF(OR(BT$4="",$C27="",$D27="",N($E27)=0),"",$E27*MAX(0,MIN($D27+1,EDATE(BT$4,1))-MAX($C27,BT$4))/MAX(1,$D27+1-$C27))</f>
        <v/>
      </c>
      <c r="BU27" s="64" t="str">
        <f aca="false">IF(OR(BU$4="",$C27="",$D27="",N($E27)=0),"",$E27*MAX(0,MIN($D27+1,EDATE(BU$4,1))-MAX($C27,BU$4))/MAX(1,$D27+1-$C27))</f>
        <v/>
      </c>
      <c r="BV27" s="64" t="str">
        <f aca="false">IF(OR(BV$4="",$C27="",$D27="",N($E27)=0),"",$E27*MAX(0,MIN($D27+1,EDATE(BV$4,1))-MAX($C27,BV$4))/MAX(1,$D27+1-$C27))</f>
        <v/>
      </c>
      <c r="BW27" s="64" t="str">
        <f aca="false">IF(OR(BW$4="",$C27="",$D27="",N($E27)=0),"",$E27*MAX(0,MIN($D27+1,EDATE(BW$4,1))-MAX($C27,BW$4))/MAX(1,$D27+1-$C27))</f>
        <v/>
      </c>
      <c r="BX27" s="64" t="str">
        <f aca="false">IF(OR(BX$4="",$C27="",$D27="",N($E27)=0),"",$E27*MAX(0,MIN($D27+1,EDATE(BX$4,1))-MAX($C27,BX$4))/MAX(1,$D27+1-$C27))</f>
        <v/>
      </c>
      <c r="BY27" s="64" t="str">
        <f aca="false">IF(OR(BY$4="",$C27="",$D27="",N($E27)=0),"",$E27*MAX(0,MIN($D27+1,EDATE(BY$4,1))-MAX($C27,BY$4))/MAX(1,$D27+1-$C27))</f>
        <v/>
      </c>
    </row>
    <row r="28" customFormat="false" ht="15" hidden="false" customHeight="false" outlineLevel="0" collapsed="false">
      <c r="A28" s="61" t="str">
        <f aca="false">IF(BOE!$A29="","",BOE!$A29)</f>
        <v>401</v>
      </c>
      <c r="B28" s="61" t="str">
        <f aca="false">IF(BOE!$A29="","",BOE!$C29)</f>
        <v>Safety Verification (tests, demonstrations, induced/simulated failures)</v>
      </c>
      <c r="C28" s="62" t="n">
        <f aca="false">IF(BOE!$O29="","",BOE!$O29)</f>
        <v>46877</v>
      </c>
      <c r="D28" s="62" t="n">
        <f aca="false">IF(BOE!$P29="","",BOE!$P29)</f>
        <v>47334</v>
      </c>
      <c r="E28" s="63" t="n">
        <f aca="false">IF(Inputs!$B$7="P90",BOE!$T29,BOE!$R29)</f>
        <v>728</v>
      </c>
      <c r="F28" s="64" t="n">
        <f aca="false">IF(OR(F$4="",$C28="",$D28="",N($E28)=0),"",$E28*MAX(0,MIN($D28+1,EDATE(F$4,1))-MAX($C28,F$4))/MAX(1,$D28+1-$C28))</f>
        <v>0</v>
      </c>
      <c r="G28" s="64" t="n">
        <f aca="false">IF(OR(G$4="",$C28="",$D28="",N($E28)=0),"",$E28*MAX(0,MIN($D28+1,EDATE(G$4,1))-MAX($C28,G$4))/MAX(1,$D28+1-$C28))</f>
        <v>0</v>
      </c>
      <c r="H28" s="64" t="n">
        <f aca="false">IF(OR(H$4="",$C28="",$D28="",N($E28)=0),"",$E28*MAX(0,MIN($D28+1,EDATE(H$4,1))-MAX($C28,H$4))/MAX(1,$D28+1-$C28))</f>
        <v>0</v>
      </c>
      <c r="I28" s="64" t="n">
        <f aca="false">IF(OR(I$4="",$C28="",$D28="",N($E28)=0),"",$E28*MAX(0,MIN($D28+1,EDATE(I$4,1))-MAX($C28,I$4))/MAX(1,$D28+1-$C28))</f>
        <v>0</v>
      </c>
      <c r="J28" s="64" t="n">
        <f aca="false">IF(OR(J$4="",$C28="",$D28="",N($E28)=0),"",$E28*MAX(0,MIN($D28+1,EDATE(J$4,1))-MAX($C28,J$4))/MAX(1,$D28+1-$C28))</f>
        <v>0</v>
      </c>
      <c r="K28" s="64" t="n">
        <f aca="false">IF(OR(K$4="",$C28="",$D28="",N($E28)=0),"",$E28*MAX(0,MIN($D28+1,EDATE(K$4,1))-MAX($C28,K$4))/MAX(1,$D28+1-$C28))</f>
        <v>0</v>
      </c>
      <c r="L28" s="64" t="n">
        <f aca="false">IF(OR(L$4="",$C28="",$D28="",N($E28)=0),"",$E28*MAX(0,MIN($D28+1,EDATE(L$4,1))-MAX($C28,L$4))/MAX(1,$D28+1-$C28))</f>
        <v>0</v>
      </c>
      <c r="M28" s="64" t="n">
        <f aca="false">IF(OR(M$4="",$C28="",$D28="",N($E28)=0),"",$E28*MAX(0,MIN($D28+1,EDATE(M$4,1))-MAX($C28,M$4))/MAX(1,$D28+1-$C28))</f>
        <v>0</v>
      </c>
      <c r="N28" s="64" t="n">
        <f aca="false">IF(OR(N$4="",$C28="",$D28="",N($E28)=0),"",$E28*MAX(0,MIN($D28+1,EDATE(N$4,1))-MAX($C28,N$4))/MAX(1,$D28+1-$C28))</f>
        <v>0</v>
      </c>
      <c r="O28" s="64" t="n">
        <f aca="false">IF(OR(O$4="",$C28="",$D28="",N($E28)=0),"",$E28*MAX(0,MIN($D28+1,EDATE(O$4,1))-MAX($C28,O$4))/MAX(1,$D28+1-$C28))</f>
        <v>0</v>
      </c>
      <c r="P28" s="64" t="n">
        <f aca="false">IF(OR(P$4="",$C28="",$D28="",N($E28)=0),"",$E28*MAX(0,MIN($D28+1,EDATE(P$4,1))-MAX($C28,P$4))/MAX(1,$D28+1-$C28))</f>
        <v>0</v>
      </c>
      <c r="Q28" s="64" t="n">
        <f aca="false">IF(OR(Q$4="",$C28="",$D28="",N($E28)=0),"",$E28*MAX(0,MIN($D28+1,EDATE(Q$4,1))-MAX($C28,Q$4))/MAX(1,$D28+1-$C28))</f>
        <v>0</v>
      </c>
      <c r="R28" s="64" t="n">
        <f aca="false">IF(OR(R$4="",$C28="",$D28="",N($E28)=0),"",$E28*MAX(0,MIN($D28+1,EDATE(R$4,1))-MAX($C28,R$4))/MAX(1,$D28+1-$C28))</f>
        <v>0</v>
      </c>
      <c r="S28" s="64" t="n">
        <f aca="false">IF(OR(S$4="",$C28="",$D28="",N($E28)=0),"",$E28*MAX(0,MIN($D28+1,EDATE(S$4,1))-MAX($C28,S$4))/MAX(1,$D28+1-$C28))</f>
        <v>0</v>
      </c>
      <c r="T28" s="64" t="n">
        <f aca="false">IF(OR(T$4="",$C28="",$D28="",N($E28)=0),"",$E28*MAX(0,MIN($D28+1,EDATE(T$4,1))-MAX($C28,T$4))/MAX(1,$D28+1-$C28))</f>
        <v>0</v>
      </c>
      <c r="U28" s="64" t="n">
        <f aca="false">IF(OR(U$4="",$C28="",$D28="",N($E28)=0),"",$E28*MAX(0,MIN($D28+1,EDATE(U$4,1))-MAX($C28,U$4))/MAX(1,$D28+1-$C28))</f>
        <v>0</v>
      </c>
      <c r="V28" s="64" t="n">
        <f aca="false">IF(OR(V$4="",$C28="",$D28="",N($E28)=0),"",$E28*MAX(0,MIN($D28+1,EDATE(V$4,1))-MAX($C28,V$4))/MAX(1,$D28+1-$C28))</f>
        <v>49.2751091703057</v>
      </c>
      <c r="W28" s="64" t="n">
        <f aca="false">IF(OR(W$4="",$C28="",$D28="",N($E28)=0),"",$E28*MAX(0,MIN($D28+1,EDATE(W$4,1))-MAX($C28,W$4))/MAX(1,$D28+1-$C28))</f>
        <v>47.6855895196507</v>
      </c>
      <c r="X28" s="64" t="n">
        <f aca="false">IF(OR(X$4="",$C28="",$D28="",N($E28)=0),"",$E28*MAX(0,MIN($D28+1,EDATE(X$4,1))-MAX($C28,X$4))/MAX(1,$D28+1-$C28))</f>
        <v>49.2751091703057</v>
      </c>
      <c r="Y28" s="64" t="n">
        <f aca="false">IF(OR(Y$4="",$C28="",$D28="",N($E28)=0),"",$E28*MAX(0,MIN($D28+1,EDATE(Y$4,1))-MAX($C28,Y$4))/MAX(1,$D28+1-$C28))</f>
        <v>49.2751091703057</v>
      </c>
      <c r="Z28" s="64" t="n">
        <f aca="false">IF(OR(Z$4="",$C28="",$D28="",N($E28)=0),"",$E28*MAX(0,MIN($D28+1,EDATE(Z$4,1))-MAX($C28,Z$4))/MAX(1,$D28+1-$C28))</f>
        <v>47.6855895196507</v>
      </c>
      <c r="AA28" s="64" t="n">
        <f aca="false">IF(OR(AA$4="",$C28="",$D28="",N($E28)=0),"",$E28*MAX(0,MIN($D28+1,EDATE(AA$4,1))-MAX($C28,AA$4))/MAX(1,$D28+1-$C28))</f>
        <v>49.2751091703057</v>
      </c>
      <c r="AB28" s="64" t="n">
        <f aca="false">IF(OR(AB$4="",$C28="",$D28="",N($E28)=0),"",$E28*MAX(0,MIN($D28+1,EDATE(AB$4,1))-MAX($C28,AB$4))/MAX(1,$D28+1-$C28))</f>
        <v>47.6855895196507</v>
      </c>
      <c r="AC28" s="64" t="n">
        <f aca="false">IF(OR(AC$4="",$C28="",$D28="",N($E28)=0),"",$E28*MAX(0,MIN($D28+1,EDATE(AC$4,1))-MAX($C28,AC$4))/MAX(1,$D28+1-$C28))</f>
        <v>49.2751091703057</v>
      </c>
      <c r="AD28" s="64" t="n">
        <f aca="false">IF(OR(AD$4="",$C28="",$D28="",N($E28)=0),"",$E28*MAX(0,MIN($D28+1,EDATE(AD$4,1))-MAX($C28,AD$4))/MAX(1,$D28+1-$C28))</f>
        <v>49.2751091703057</v>
      </c>
      <c r="AE28" s="64" t="n">
        <f aca="false">IF(OR(AE$4="",$C28="",$D28="",N($E28)=0),"",$E28*MAX(0,MIN($D28+1,EDATE(AE$4,1))-MAX($C28,AE$4))/MAX(1,$D28+1-$C28))</f>
        <v>44.5065502183406</v>
      </c>
      <c r="AF28" s="64" t="n">
        <f aca="false">IF(OR(AF$4="",$C28="",$D28="",N($E28)=0),"",$E28*MAX(0,MIN($D28+1,EDATE(AF$4,1))-MAX($C28,AF$4))/MAX(1,$D28+1-$C28))</f>
        <v>49.2751091703057</v>
      </c>
      <c r="AG28" s="64" t="n">
        <f aca="false">IF(OR(AG$4="",$C28="",$D28="",N($E28)=0),"",$E28*MAX(0,MIN($D28+1,EDATE(AG$4,1))-MAX($C28,AG$4))/MAX(1,$D28+1-$C28))</f>
        <v>47.6855895196507</v>
      </c>
      <c r="AH28" s="64" t="n">
        <f aca="false">IF(OR(AH$4="",$C28="",$D28="",N($E28)=0),"",$E28*MAX(0,MIN($D28+1,EDATE(AH$4,1))-MAX($C28,AH$4))/MAX(1,$D28+1-$C28))</f>
        <v>49.2751091703057</v>
      </c>
      <c r="AI28" s="64" t="n">
        <f aca="false">IF(OR(AI$4="",$C28="",$D28="",N($E28)=0),"",$E28*MAX(0,MIN($D28+1,EDATE(AI$4,1))-MAX($C28,AI$4))/MAX(1,$D28+1-$C28))</f>
        <v>47.6855895196507</v>
      </c>
      <c r="AJ28" s="64" t="n">
        <f aca="false">IF(OR(AJ$4="",$C28="",$D28="",N($E28)=0),"",$E28*MAX(0,MIN($D28+1,EDATE(AJ$4,1))-MAX($C28,AJ$4))/MAX(1,$D28+1-$C28))</f>
        <v>49.2751091703057</v>
      </c>
      <c r="AK28" s="64" t="n">
        <f aca="false">IF(OR(AK$4="",$C28="",$D28="",N($E28)=0),"",$E28*MAX(0,MIN($D28+1,EDATE(AK$4,1))-MAX($C28,AK$4))/MAX(1,$D28+1-$C28))</f>
        <v>1.58951965065502</v>
      </c>
      <c r="AL28" s="64" t="n">
        <f aca="false">IF(OR(AL$4="",$C28="",$D28="",N($E28)=0),"",$E28*MAX(0,MIN($D28+1,EDATE(AL$4,1))-MAX($C28,AL$4))/MAX(1,$D28+1-$C28))</f>
        <v>0</v>
      </c>
      <c r="AM28" s="64" t="n">
        <f aca="false">IF(OR(AM$4="",$C28="",$D28="",N($E28)=0),"",$E28*MAX(0,MIN($D28+1,EDATE(AM$4,1))-MAX($C28,AM$4))/MAX(1,$D28+1-$C28))</f>
        <v>0</v>
      </c>
      <c r="AN28" s="64" t="n">
        <f aca="false">IF(OR(AN$4="",$C28="",$D28="",N($E28)=0),"",$E28*MAX(0,MIN($D28+1,EDATE(AN$4,1))-MAX($C28,AN$4))/MAX(1,$D28+1-$C28))</f>
        <v>0</v>
      </c>
      <c r="AO28" s="64" t="n">
        <f aca="false">IF(OR(AO$4="",$C28="",$D28="",N($E28)=0),"",$E28*MAX(0,MIN($D28+1,EDATE(AO$4,1))-MAX($C28,AO$4))/MAX(1,$D28+1-$C28))</f>
        <v>0</v>
      </c>
      <c r="AP28" s="64" t="str">
        <f aca="false">IF(OR(AP$4="",$C28="",$D28="",N($E28)=0),"",$E28*MAX(0,MIN($D28+1,EDATE(AP$4,1))-MAX($C28,AP$4))/MAX(1,$D28+1-$C28))</f>
        <v/>
      </c>
      <c r="AQ28" s="64" t="str">
        <f aca="false">IF(OR(AQ$4="",$C28="",$D28="",N($E28)=0),"",$E28*MAX(0,MIN($D28+1,EDATE(AQ$4,1))-MAX($C28,AQ$4))/MAX(1,$D28+1-$C28))</f>
        <v/>
      </c>
      <c r="AR28" s="64" t="str">
        <f aca="false">IF(OR(AR$4="",$C28="",$D28="",N($E28)=0),"",$E28*MAX(0,MIN($D28+1,EDATE(AR$4,1))-MAX($C28,AR$4))/MAX(1,$D28+1-$C28))</f>
        <v/>
      </c>
      <c r="AS28" s="64" t="str">
        <f aca="false">IF(OR(AS$4="",$C28="",$D28="",N($E28)=0),"",$E28*MAX(0,MIN($D28+1,EDATE(AS$4,1))-MAX($C28,AS$4))/MAX(1,$D28+1-$C28))</f>
        <v/>
      </c>
      <c r="AT28" s="64" t="str">
        <f aca="false">IF(OR(AT$4="",$C28="",$D28="",N($E28)=0),"",$E28*MAX(0,MIN($D28+1,EDATE(AT$4,1))-MAX($C28,AT$4))/MAX(1,$D28+1-$C28))</f>
        <v/>
      </c>
      <c r="AU28" s="64" t="str">
        <f aca="false">IF(OR(AU$4="",$C28="",$D28="",N($E28)=0),"",$E28*MAX(0,MIN($D28+1,EDATE(AU$4,1))-MAX($C28,AU$4))/MAX(1,$D28+1-$C28))</f>
        <v/>
      </c>
      <c r="AV28" s="64" t="str">
        <f aca="false">IF(OR(AV$4="",$C28="",$D28="",N($E28)=0),"",$E28*MAX(0,MIN($D28+1,EDATE(AV$4,1))-MAX($C28,AV$4))/MAX(1,$D28+1-$C28))</f>
        <v/>
      </c>
      <c r="AW28" s="64" t="str">
        <f aca="false">IF(OR(AW$4="",$C28="",$D28="",N($E28)=0),"",$E28*MAX(0,MIN($D28+1,EDATE(AW$4,1))-MAX($C28,AW$4))/MAX(1,$D28+1-$C28))</f>
        <v/>
      </c>
      <c r="AX28" s="64" t="str">
        <f aca="false">IF(OR(AX$4="",$C28="",$D28="",N($E28)=0),"",$E28*MAX(0,MIN($D28+1,EDATE(AX$4,1))-MAX($C28,AX$4))/MAX(1,$D28+1-$C28))</f>
        <v/>
      </c>
      <c r="AY28" s="64" t="str">
        <f aca="false">IF(OR(AY$4="",$C28="",$D28="",N($E28)=0),"",$E28*MAX(0,MIN($D28+1,EDATE(AY$4,1))-MAX($C28,AY$4))/MAX(1,$D28+1-$C28))</f>
        <v/>
      </c>
      <c r="AZ28" s="64" t="str">
        <f aca="false">IF(OR(AZ$4="",$C28="",$D28="",N($E28)=0),"",$E28*MAX(0,MIN($D28+1,EDATE(AZ$4,1))-MAX($C28,AZ$4))/MAX(1,$D28+1-$C28))</f>
        <v/>
      </c>
      <c r="BA28" s="64" t="str">
        <f aca="false">IF(OR(BA$4="",$C28="",$D28="",N($E28)=0),"",$E28*MAX(0,MIN($D28+1,EDATE(BA$4,1))-MAX($C28,BA$4))/MAX(1,$D28+1-$C28))</f>
        <v/>
      </c>
      <c r="BB28" s="64" t="str">
        <f aca="false">IF(OR(BB$4="",$C28="",$D28="",N($E28)=0),"",$E28*MAX(0,MIN($D28+1,EDATE(BB$4,1))-MAX($C28,BB$4))/MAX(1,$D28+1-$C28))</f>
        <v/>
      </c>
      <c r="BC28" s="64" t="str">
        <f aca="false">IF(OR(BC$4="",$C28="",$D28="",N($E28)=0),"",$E28*MAX(0,MIN($D28+1,EDATE(BC$4,1))-MAX($C28,BC$4))/MAX(1,$D28+1-$C28))</f>
        <v/>
      </c>
      <c r="BD28" s="64" t="str">
        <f aca="false">IF(OR(BD$4="",$C28="",$D28="",N($E28)=0),"",$E28*MAX(0,MIN($D28+1,EDATE(BD$4,1))-MAX($C28,BD$4))/MAX(1,$D28+1-$C28))</f>
        <v/>
      </c>
      <c r="BE28" s="64" t="str">
        <f aca="false">IF(OR(BE$4="",$C28="",$D28="",N($E28)=0),"",$E28*MAX(0,MIN($D28+1,EDATE(BE$4,1))-MAX($C28,BE$4))/MAX(1,$D28+1-$C28))</f>
        <v/>
      </c>
      <c r="BF28" s="64" t="str">
        <f aca="false">IF(OR(BF$4="",$C28="",$D28="",N($E28)=0),"",$E28*MAX(0,MIN($D28+1,EDATE(BF$4,1))-MAX($C28,BF$4))/MAX(1,$D28+1-$C28))</f>
        <v/>
      </c>
      <c r="BG28" s="64" t="str">
        <f aca="false">IF(OR(BG$4="",$C28="",$D28="",N($E28)=0),"",$E28*MAX(0,MIN($D28+1,EDATE(BG$4,1))-MAX($C28,BG$4))/MAX(1,$D28+1-$C28))</f>
        <v/>
      </c>
      <c r="BH28" s="64" t="str">
        <f aca="false">IF(OR(BH$4="",$C28="",$D28="",N($E28)=0),"",$E28*MAX(0,MIN($D28+1,EDATE(BH$4,1))-MAX($C28,BH$4))/MAX(1,$D28+1-$C28))</f>
        <v/>
      </c>
      <c r="BI28" s="64" t="str">
        <f aca="false">IF(OR(BI$4="",$C28="",$D28="",N($E28)=0),"",$E28*MAX(0,MIN($D28+1,EDATE(BI$4,1))-MAX($C28,BI$4))/MAX(1,$D28+1-$C28))</f>
        <v/>
      </c>
      <c r="BJ28" s="64" t="str">
        <f aca="false">IF(OR(BJ$4="",$C28="",$D28="",N($E28)=0),"",$E28*MAX(0,MIN($D28+1,EDATE(BJ$4,1))-MAX($C28,BJ$4))/MAX(1,$D28+1-$C28))</f>
        <v/>
      </c>
      <c r="BK28" s="64" t="str">
        <f aca="false">IF(OR(BK$4="",$C28="",$D28="",N($E28)=0),"",$E28*MAX(0,MIN($D28+1,EDATE(BK$4,1))-MAX($C28,BK$4))/MAX(1,$D28+1-$C28))</f>
        <v/>
      </c>
      <c r="BL28" s="64" t="str">
        <f aca="false">IF(OR(BL$4="",$C28="",$D28="",N($E28)=0),"",$E28*MAX(0,MIN($D28+1,EDATE(BL$4,1))-MAX($C28,BL$4))/MAX(1,$D28+1-$C28))</f>
        <v/>
      </c>
      <c r="BM28" s="64" t="str">
        <f aca="false">IF(OR(BM$4="",$C28="",$D28="",N($E28)=0),"",$E28*MAX(0,MIN($D28+1,EDATE(BM$4,1))-MAX($C28,BM$4))/MAX(1,$D28+1-$C28))</f>
        <v/>
      </c>
      <c r="BN28" s="64" t="str">
        <f aca="false">IF(OR(BN$4="",$C28="",$D28="",N($E28)=0),"",$E28*MAX(0,MIN($D28+1,EDATE(BN$4,1))-MAX($C28,BN$4))/MAX(1,$D28+1-$C28))</f>
        <v/>
      </c>
      <c r="BO28" s="64" t="str">
        <f aca="false">IF(OR(BO$4="",$C28="",$D28="",N($E28)=0),"",$E28*MAX(0,MIN($D28+1,EDATE(BO$4,1))-MAX($C28,BO$4))/MAX(1,$D28+1-$C28))</f>
        <v/>
      </c>
      <c r="BP28" s="64" t="str">
        <f aca="false">IF(OR(BP$4="",$C28="",$D28="",N($E28)=0),"",$E28*MAX(0,MIN($D28+1,EDATE(BP$4,1))-MAX($C28,BP$4))/MAX(1,$D28+1-$C28))</f>
        <v/>
      </c>
      <c r="BQ28" s="64" t="str">
        <f aca="false">IF(OR(BQ$4="",$C28="",$D28="",N($E28)=0),"",$E28*MAX(0,MIN($D28+1,EDATE(BQ$4,1))-MAX($C28,BQ$4))/MAX(1,$D28+1-$C28))</f>
        <v/>
      </c>
      <c r="BR28" s="64" t="str">
        <f aca="false">IF(OR(BR$4="",$C28="",$D28="",N($E28)=0),"",$E28*MAX(0,MIN($D28+1,EDATE(BR$4,1))-MAX($C28,BR$4))/MAX(1,$D28+1-$C28))</f>
        <v/>
      </c>
      <c r="BS28" s="64" t="str">
        <f aca="false">IF(OR(BS$4="",$C28="",$D28="",N($E28)=0),"",$E28*MAX(0,MIN($D28+1,EDATE(BS$4,1))-MAX($C28,BS$4))/MAX(1,$D28+1-$C28))</f>
        <v/>
      </c>
      <c r="BT28" s="64" t="str">
        <f aca="false">IF(OR(BT$4="",$C28="",$D28="",N($E28)=0),"",$E28*MAX(0,MIN($D28+1,EDATE(BT$4,1))-MAX($C28,BT$4))/MAX(1,$D28+1-$C28))</f>
        <v/>
      </c>
      <c r="BU28" s="64" t="str">
        <f aca="false">IF(OR(BU$4="",$C28="",$D28="",N($E28)=0),"",$E28*MAX(0,MIN($D28+1,EDATE(BU$4,1))-MAX($C28,BU$4))/MAX(1,$D28+1-$C28))</f>
        <v/>
      </c>
      <c r="BV28" s="64" t="str">
        <f aca="false">IF(OR(BV$4="",$C28="",$D28="",N($E28)=0),"",$E28*MAX(0,MIN($D28+1,EDATE(BV$4,1))-MAX($C28,BV$4))/MAX(1,$D28+1-$C28))</f>
        <v/>
      </c>
      <c r="BW28" s="64" t="str">
        <f aca="false">IF(OR(BW$4="",$C28="",$D28="",N($E28)=0),"",$E28*MAX(0,MIN($D28+1,EDATE(BW$4,1))-MAX($C28,BW$4))/MAX(1,$D28+1-$C28))</f>
        <v/>
      </c>
      <c r="BX28" s="64" t="str">
        <f aca="false">IF(OR(BX$4="",$C28="",$D28="",N($E28)=0),"",$E28*MAX(0,MIN($D28+1,EDATE(BX$4,1))-MAX($C28,BX$4))/MAX(1,$D28+1-$C28))</f>
        <v/>
      </c>
      <c r="BY28" s="64" t="str">
        <f aca="false">IF(OR(BY$4="",$C28="",$D28="",N($E28)=0),"",$E28*MAX(0,MIN($D28+1,EDATE(BY$4,1))-MAX($C28,BY$4))/MAX(1,$D28+1-$C28))</f>
        <v/>
      </c>
    </row>
    <row r="29" customFormat="false" ht="15" hidden="false" customHeight="false" outlineLevel="0" collapsed="false">
      <c r="A29" s="61" t="str">
        <f aca="false">IF(BOE!$A30="","",BOE!$A30)</f>
        <v>402</v>
      </c>
      <c r="B29" s="61" t="str">
        <f aca="false">IF(BOE!$A30="","",BOE!$C30)</f>
        <v>Explosives Hazard Classification Data</v>
      </c>
      <c r="C29" s="62" t="n">
        <f aca="false">IF(BOE!$O30="","",BOE!$O30)</f>
        <v>46877</v>
      </c>
      <c r="D29" s="62" t="n">
        <f aca="false">IF(BOE!$P30="","",BOE!$P30)</f>
        <v>47122</v>
      </c>
      <c r="E29" s="63" t="n">
        <f aca="false">IF(Inputs!$B$7="P90",BOE!$T30,BOE!$R30)</f>
        <v>0</v>
      </c>
      <c r="F29" s="64" t="str">
        <f aca="false">IF(OR(F$4="",$C29="",$D29="",N($E29)=0),"",$E29*MAX(0,MIN($D29+1,EDATE(F$4,1))-MAX($C29,F$4))/MAX(1,$D29+1-$C29))</f>
        <v/>
      </c>
      <c r="G29" s="64" t="str">
        <f aca="false">IF(OR(G$4="",$C29="",$D29="",N($E29)=0),"",$E29*MAX(0,MIN($D29+1,EDATE(G$4,1))-MAX($C29,G$4))/MAX(1,$D29+1-$C29))</f>
        <v/>
      </c>
      <c r="H29" s="64" t="str">
        <f aca="false">IF(OR(H$4="",$C29="",$D29="",N($E29)=0),"",$E29*MAX(0,MIN($D29+1,EDATE(H$4,1))-MAX($C29,H$4))/MAX(1,$D29+1-$C29))</f>
        <v/>
      </c>
      <c r="I29" s="64" t="str">
        <f aca="false">IF(OR(I$4="",$C29="",$D29="",N($E29)=0),"",$E29*MAX(0,MIN($D29+1,EDATE(I$4,1))-MAX($C29,I$4))/MAX(1,$D29+1-$C29))</f>
        <v/>
      </c>
      <c r="J29" s="64" t="str">
        <f aca="false">IF(OR(J$4="",$C29="",$D29="",N($E29)=0),"",$E29*MAX(0,MIN($D29+1,EDATE(J$4,1))-MAX($C29,J$4))/MAX(1,$D29+1-$C29))</f>
        <v/>
      </c>
      <c r="K29" s="64" t="str">
        <f aca="false">IF(OR(K$4="",$C29="",$D29="",N($E29)=0),"",$E29*MAX(0,MIN($D29+1,EDATE(K$4,1))-MAX($C29,K$4))/MAX(1,$D29+1-$C29))</f>
        <v/>
      </c>
      <c r="L29" s="64" t="str">
        <f aca="false">IF(OR(L$4="",$C29="",$D29="",N($E29)=0),"",$E29*MAX(0,MIN($D29+1,EDATE(L$4,1))-MAX($C29,L$4))/MAX(1,$D29+1-$C29))</f>
        <v/>
      </c>
      <c r="M29" s="64" t="str">
        <f aca="false">IF(OR(M$4="",$C29="",$D29="",N($E29)=0),"",$E29*MAX(0,MIN($D29+1,EDATE(M$4,1))-MAX($C29,M$4))/MAX(1,$D29+1-$C29))</f>
        <v/>
      </c>
      <c r="N29" s="64" t="str">
        <f aca="false">IF(OR(N$4="",$C29="",$D29="",N($E29)=0),"",$E29*MAX(0,MIN($D29+1,EDATE(N$4,1))-MAX($C29,N$4))/MAX(1,$D29+1-$C29))</f>
        <v/>
      </c>
      <c r="O29" s="64" t="str">
        <f aca="false">IF(OR(O$4="",$C29="",$D29="",N($E29)=0),"",$E29*MAX(0,MIN($D29+1,EDATE(O$4,1))-MAX($C29,O$4))/MAX(1,$D29+1-$C29))</f>
        <v/>
      </c>
      <c r="P29" s="64" t="str">
        <f aca="false">IF(OR(P$4="",$C29="",$D29="",N($E29)=0),"",$E29*MAX(0,MIN($D29+1,EDATE(P$4,1))-MAX($C29,P$4))/MAX(1,$D29+1-$C29))</f>
        <v/>
      </c>
      <c r="Q29" s="64" t="str">
        <f aca="false">IF(OR(Q$4="",$C29="",$D29="",N($E29)=0),"",$E29*MAX(0,MIN($D29+1,EDATE(Q$4,1))-MAX($C29,Q$4))/MAX(1,$D29+1-$C29))</f>
        <v/>
      </c>
      <c r="R29" s="64" t="str">
        <f aca="false">IF(OR(R$4="",$C29="",$D29="",N($E29)=0),"",$E29*MAX(0,MIN($D29+1,EDATE(R$4,1))-MAX($C29,R$4))/MAX(1,$D29+1-$C29))</f>
        <v/>
      </c>
      <c r="S29" s="64" t="str">
        <f aca="false">IF(OR(S$4="",$C29="",$D29="",N($E29)=0),"",$E29*MAX(0,MIN($D29+1,EDATE(S$4,1))-MAX($C29,S$4))/MAX(1,$D29+1-$C29))</f>
        <v/>
      </c>
      <c r="T29" s="64" t="str">
        <f aca="false">IF(OR(T$4="",$C29="",$D29="",N($E29)=0),"",$E29*MAX(0,MIN($D29+1,EDATE(T$4,1))-MAX($C29,T$4))/MAX(1,$D29+1-$C29))</f>
        <v/>
      </c>
      <c r="U29" s="64" t="str">
        <f aca="false">IF(OR(U$4="",$C29="",$D29="",N($E29)=0),"",$E29*MAX(0,MIN($D29+1,EDATE(U$4,1))-MAX($C29,U$4))/MAX(1,$D29+1-$C29))</f>
        <v/>
      </c>
      <c r="V29" s="64" t="str">
        <f aca="false">IF(OR(V$4="",$C29="",$D29="",N($E29)=0),"",$E29*MAX(0,MIN($D29+1,EDATE(V$4,1))-MAX($C29,V$4))/MAX(1,$D29+1-$C29))</f>
        <v/>
      </c>
      <c r="W29" s="64" t="str">
        <f aca="false">IF(OR(W$4="",$C29="",$D29="",N($E29)=0),"",$E29*MAX(0,MIN($D29+1,EDATE(W$4,1))-MAX($C29,W$4))/MAX(1,$D29+1-$C29))</f>
        <v/>
      </c>
      <c r="X29" s="64" t="str">
        <f aca="false">IF(OR(X$4="",$C29="",$D29="",N($E29)=0),"",$E29*MAX(0,MIN($D29+1,EDATE(X$4,1))-MAX($C29,X$4))/MAX(1,$D29+1-$C29))</f>
        <v/>
      </c>
      <c r="Y29" s="64" t="str">
        <f aca="false">IF(OR(Y$4="",$C29="",$D29="",N($E29)=0),"",$E29*MAX(0,MIN($D29+1,EDATE(Y$4,1))-MAX($C29,Y$4))/MAX(1,$D29+1-$C29))</f>
        <v/>
      </c>
      <c r="Z29" s="64" t="str">
        <f aca="false">IF(OR(Z$4="",$C29="",$D29="",N($E29)=0),"",$E29*MAX(0,MIN($D29+1,EDATE(Z$4,1))-MAX($C29,Z$4))/MAX(1,$D29+1-$C29))</f>
        <v/>
      </c>
      <c r="AA29" s="64" t="str">
        <f aca="false">IF(OR(AA$4="",$C29="",$D29="",N($E29)=0),"",$E29*MAX(0,MIN($D29+1,EDATE(AA$4,1))-MAX($C29,AA$4))/MAX(1,$D29+1-$C29))</f>
        <v/>
      </c>
      <c r="AB29" s="64" t="str">
        <f aca="false">IF(OR(AB$4="",$C29="",$D29="",N($E29)=0),"",$E29*MAX(0,MIN($D29+1,EDATE(AB$4,1))-MAX($C29,AB$4))/MAX(1,$D29+1-$C29))</f>
        <v/>
      </c>
      <c r="AC29" s="64" t="str">
        <f aca="false">IF(OR(AC$4="",$C29="",$D29="",N($E29)=0),"",$E29*MAX(0,MIN($D29+1,EDATE(AC$4,1))-MAX($C29,AC$4))/MAX(1,$D29+1-$C29))</f>
        <v/>
      </c>
      <c r="AD29" s="64" t="str">
        <f aca="false">IF(OR(AD$4="",$C29="",$D29="",N($E29)=0),"",$E29*MAX(0,MIN($D29+1,EDATE(AD$4,1))-MAX($C29,AD$4))/MAX(1,$D29+1-$C29))</f>
        <v/>
      </c>
      <c r="AE29" s="64" t="str">
        <f aca="false">IF(OR(AE$4="",$C29="",$D29="",N($E29)=0),"",$E29*MAX(0,MIN($D29+1,EDATE(AE$4,1))-MAX($C29,AE$4))/MAX(1,$D29+1-$C29))</f>
        <v/>
      </c>
      <c r="AF29" s="64" t="str">
        <f aca="false">IF(OR(AF$4="",$C29="",$D29="",N($E29)=0),"",$E29*MAX(0,MIN($D29+1,EDATE(AF$4,1))-MAX($C29,AF$4))/MAX(1,$D29+1-$C29))</f>
        <v/>
      </c>
      <c r="AG29" s="64" t="str">
        <f aca="false">IF(OR(AG$4="",$C29="",$D29="",N($E29)=0),"",$E29*MAX(0,MIN($D29+1,EDATE(AG$4,1))-MAX($C29,AG$4))/MAX(1,$D29+1-$C29))</f>
        <v/>
      </c>
      <c r="AH29" s="64" t="str">
        <f aca="false">IF(OR(AH$4="",$C29="",$D29="",N($E29)=0),"",$E29*MAX(0,MIN($D29+1,EDATE(AH$4,1))-MAX($C29,AH$4))/MAX(1,$D29+1-$C29))</f>
        <v/>
      </c>
      <c r="AI29" s="64" t="str">
        <f aca="false">IF(OR(AI$4="",$C29="",$D29="",N($E29)=0),"",$E29*MAX(0,MIN($D29+1,EDATE(AI$4,1))-MAX($C29,AI$4))/MAX(1,$D29+1-$C29))</f>
        <v/>
      </c>
      <c r="AJ29" s="64" t="str">
        <f aca="false">IF(OR(AJ$4="",$C29="",$D29="",N($E29)=0),"",$E29*MAX(0,MIN($D29+1,EDATE(AJ$4,1))-MAX($C29,AJ$4))/MAX(1,$D29+1-$C29))</f>
        <v/>
      </c>
      <c r="AK29" s="64" t="str">
        <f aca="false">IF(OR(AK$4="",$C29="",$D29="",N($E29)=0),"",$E29*MAX(0,MIN($D29+1,EDATE(AK$4,1))-MAX($C29,AK$4))/MAX(1,$D29+1-$C29))</f>
        <v/>
      </c>
      <c r="AL29" s="64" t="str">
        <f aca="false">IF(OR(AL$4="",$C29="",$D29="",N($E29)=0),"",$E29*MAX(0,MIN($D29+1,EDATE(AL$4,1))-MAX($C29,AL$4))/MAX(1,$D29+1-$C29))</f>
        <v/>
      </c>
      <c r="AM29" s="64" t="str">
        <f aca="false">IF(OR(AM$4="",$C29="",$D29="",N($E29)=0),"",$E29*MAX(0,MIN($D29+1,EDATE(AM$4,1))-MAX($C29,AM$4))/MAX(1,$D29+1-$C29))</f>
        <v/>
      </c>
      <c r="AN29" s="64" t="str">
        <f aca="false">IF(OR(AN$4="",$C29="",$D29="",N($E29)=0),"",$E29*MAX(0,MIN($D29+1,EDATE(AN$4,1))-MAX($C29,AN$4))/MAX(1,$D29+1-$C29))</f>
        <v/>
      </c>
      <c r="AO29" s="64" t="str">
        <f aca="false">IF(OR(AO$4="",$C29="",$D29="",N($E29)=0),"",$E29*MAX(0,MIN($D29+1,EDATE(AO$4,1))-MAX($C29,AO$4))/MAX(1,$D29+1-$C29))</f>
        <v/>
      </c>
      <c r="AP29" s="64" t="str">
        <f aca="false">IF(OR(AP$4="",$C29="",$D29="",N($E29)=0),"",$E29*MAX(0,MIN($D29+1,EDATE(AP$4,1))-MAX($C29,AP$4))/MAX(1,$D29+1-$C29))</f>
        <v/>
      </c>
      <c r="AQ29" s="64" t="str">
        <f aca="false">IF(OR(AQ$4="",$C29="",$D29="",N($E29)=0),"",$E29*MAX(0,MIN($D29+1,EDATE(AQ$4,1))-MAX($C29,AQ$4))/MAX(1,$D29+1-$C29))</f>
        <v/>
      </c>
      <c r="AR29" s="64" t="str">
        <f aca="false">IF(OR(AR$4="",$C29="",$D29="",N($E29)=0),"",$E29*MAX(0,MIN($D29+1,EDATE(AR$4,1))-MAX($C29,AR$4))/MAX(1,$D29+1-$C29))</f>
        <v/>
      </c>
      <c r="AS29" s="64" t="str">
        <f aca="false">IF(OR(AS$4="",$C29="",$D29="",N($E29)=0),"",$E29*MAX(0,MIN($D29+1,EDATE(AS$4,1))-MAX($C29,AS$4))/MAX(1,$D29+1-$C29))</f>
        <v/>
      </c>
      <c r="AT29" s="64" t="str">
        <f aca="false">IF(OR(AT$4="",$C29="",$D29="",N($E29)=0),"",$E29*MAX(0,MIN($D29+1,EDATE(AT$4,1))-MAX($C29,AT$4))/MAX(1,$D29+1-$C29))</f>
        <v/>
      </c>
      <c r="AU29" s="64" t="str">
        <f aca="false">IF(OR(AU$4="",$C29="",$D29="",N($E29)=0),"",$E29*MAX(0,MIN($D29+1,EDATE(AU$4,1))-MAX($C29,AU$4))/MAX(1,$D29+1-$C29))</f>
        <v/>
      </c>
      <c r="AV29" s="64" t="str">
        <f aca="false">IF(OR(AV$4="",$C29="",$D29="",N($E29)=0),"",$E29*MAX(0,MIN($D29+1,EDATE(AV$4,1))-MAX($C29,AV$4))/MAX(1,$D29+1-$C29))</f>
        <v/>
      </c>
      <c r="AW29" s="64" t="str">
        <f aca="false">IF(OR(AW$4="",$C29="",$D29="",N($E29)=0),"",$E29*MAX(0,MIN($D29+1,EDATE(AW$4,1))-MAX($C29,AW$4))/MAX(1,$D29+1-$C29))</f>
        <v/>
      </c>
      <c r="AX29" s="64" t="str">
        <f aca="false">IF(OR(AX$4="",$C29="",$D29="",N($E29)=0),"",$E29*MAX(0,MIN($D29+1,EDATE(AX$4,1))-MAX($C29,AX$4))/MAX(1,$D29+1-$C29))</f>
        <v/>
      </c>
      <c r="AY29" s="64" t="str">
        <f aca="false">IF(OR(AY$4="",$C29="",$D29="",N($E29)=0),"",$E29*MAX(0,MIN($D29+1,EDATE(AY$4,1))-MAX($C29,AY$4))/MAX(1,$D29+1-$C29))</f>
        <v/>
      </c>
      <c r="AZ29" s="64" t="str">
        <f aca="false">IF(OR(AZ$4="",$C29="",$D29="",N($E29)=0),"",$E29*MAX(0,MIN($D29+1,EDATE(AZ$4,1))-MAX($C29,AZ$4))/MAX(1,$D29+1-$C29))</f>
        <v/>
      </c>
      <c r="BA29" s="64" t="str">
        <f aca="false">IF(OR(BA$4="",$C29="",$D29="",N($E29)=0),"",$E29*MAX(0,MIN($D29+1,EDATE(BA$4,1))-MAX($C29,BA$4))/MAX(1,$D29+1-$C29))</f>
        <v/>
      </c>
      <c r="BB29" s="64" t="str">
        <f aca="false">IF(OR(BB$4="",$C29="",$D29="",N($E29)=0),"",$E29*MAX(0,MIN($D29+1,EDATE(BB$4,1))-MAX($C29,BB$4))/MAX(1,$D29+1-$C29))</f>
        <v/>
      </c>
      <c r="BC29" s="64" t="str">
        <f aca="false">IF(OR(BC$4="",$C29="",$D29="",N($E29)=0),"",$E29*MAX(0,MIN($D29+1,EDATE(BC$4,1))-MAX($C29,BC$4))/MAX(1,$D29+1-$C29))</f>
        <v/>
      </c>
      <c r="BD29" s="64" t="str">
        <f aca="false">IF(OR(BD$4="",$C29="",$D29="",N($E29)=0),"",$E29*MAX(0,MIN($D29+1,EDATE(BD$4,1))-MAX($C29,BD$4))/MAX(1,$D29+1-$C29))</f>
        <v/>
      </c>
      <c r="BE29" s="64" t="str">
        <f aca="false">IF(OR(BE$4="",$C29="",$D29="",N($E29)=0),"",$E29*MAX(0,MIN($D29+1,EDATE(BE$4,1))-MAX($C29,BE$4))/MAX(1,$D29+1-$C29))</f>
        <v/>
      </c>
      <c r="BF29" s="64" t="str">
        <f aca="false">IF(OR(BF$4="",$C29="",$D29="",N($E29)=0),"",$E29*MAX(0,MIN($D29+1,EDATE(BF$4,1))-MAX($C29,BF$4))/MAX(1,$D29+1-$C29))</f>
        <v/>
      </c>
      <c r="BG29" s="64" t="str">
        <f aca="false">IF(OR(BG$4="",$C29="",$D29="",N($E29)=0),"",$E29*MAX(0,MIN($D29+1,EDATE(BG$4,1))-MAX($C29,BG$4))/MAX(1,$D29+1-$C29))</f>
        <v/>
      </c>
      <c r="BH29" s="64" t="str">
        <f aca="false">IF(OR(BH$4="",$C29="",$D29="",N($E29)=0),"",$E29*MAX(0,MIN($D29+1,EDATE(BH$4,1))-MAX($C29,BH$4))/MAX(1,$D29+1-$C29))</f>
        <v/>
      </c>
      <c r="BI29" s="64" t="str">
        <f aca="false">IF(OR(BI$4="",$C29="",$D29="",N($E29)=0),"",$E29*MAX(0,MIN($D29+1,EDATE(BI$4,1))-MAX($C29,BI$4))/MAX(1,$D29+1-$C29))</f>
        <v/>
      </c>
      <c r="BJ29" s="64" t="str">
        <f aca="false">IF(OR(BJ$4="",$C29="",$D29="",N($E29)=0),"",$E29*MAX(0,MIN($D29+1,EDATE(BJ$4,1))-MAX($C29,BJ$4))/MAX(1,$D29+1-$C29))</f>
        <v/>
      </c>
      <c r="BK29" s="64" t="str">
        <f aca="false">IF(OR(BK$4="",$C29="",$D29="",N($E29)=0),"",$E29*MAX(0,MIN($D29+1,EDATE(BK$4,1))-MAX($C29,BK$4))/MAX(1,$D29+1-$C29))</f>
        <v/>
      </c>
      <c r="BL29" s="64" t="str">
        <f aca="false">IF(OR(BL$4="",$C29="",$D29="",N($E29)=0),"",$E29*MAX(0,MIN($D29+1,EDATE(BL$4,1))-MAX($C29,BL$4))/MAX(1,$D29+1-$C29))</f>
        <v/>
      </c>
      <c r="BM29" s="64" t="str">
        <f aca="false">IF(OR(BM$4="",$C29="",$D29="",N($E29)=0),"",$E29*MAX(0,MIN($D29+1,EDATE(BM$4,1))-MAX($C29,BM$4))/MAX(1,$D29+1-$C29))</f>
        <v/>
      </c>
      <c r="BN29" s="64" t="str">
        <f aca="false">IF(OR(BN$4="",$C29="",$D29="",N($E29)=0),"",$E29*MAX(0,MIN($D29+1,EDATE(BN$4,1))-MAX($C29,BN$4))/MAX(1,$D29+1-$C29))</f>
        <v/>
      </c>
      <c r="BO29" s="64" t="str">
        <f aca="false">IF(OR(BO$4="",$C29="",$D29="",N($E29)=0),"",$E29*MAX(0,MIN($D29+1,EDATE(BO$4,1))-MAX($C29,BO$4))/MAX(1,$D29+1-$C29))</f>
        <v/>
      </c>
      <c r="BP29" s="64" t="str">
        <f aca="false">IF(OR(BP$4="",$C29="",$D29="",N($E29)=0),"",$E29*MAX(0,MIN($D29+1,EDATE(BP$4,1))-MAX($C29,BP$4))/MAX(1,$D29+1-$C29))</f>
        <v/>
      </c>
      <c r="BQ29" s="64" t="str">
        <f aca="false">IF(OR(BQ$4="",$C29="",$D29="",N($E29)=0),"",$E29*MAX(0,MIN($D29+1,EDATE(BQ$4,1))-MAX($C29,BQ$4))/MAX(1,$D29+1-$C29))</f>
        <v/>
      </c>
      <c r="BR29" s="64" t="str">
        <f aca="false">IF(OR(BR$4="",$C29="",$D29="",N($E29)=0),"",$E29*MAX(0,MIN($D29+1,EDATE(BR$4,1))-MAX($C29,BR$4))/MAX(1,$D29+1-$C29))</f>
        <v/>
      </c>
      <c r="BS29" s="64" t="str">
        <f aca="false">IF(OR(BS$4="",$C29="",$D29="",N($E29)=0),"",$E29*MAX(0,MIN($D29+1,EDATE(BS$4,1))-MAX($C29,BS$4))/MAX(1,$D29+1-$C29))</f>
        <v/>
      </c>
      <c r="BT29" s="64" t="str">
        <f aca="false">IF(OR(BT$4="",$C29="",$D29="",N($E29)=0),"",$E29*MAX(0,MIN($D29+1,EDATE(BT$4,1))-MAX($C29,BT$4))/MAX(1,$D29+1-$C29))</f>
        <v/>
      </c>
      <c r="BU29" s="64" t="str">
        <f aca="false">IF(OR(BU$4="",$C29="",$D29="",N($E29)=0),"",$E29*MAX(0,MIN($D29+1,EDATE(BU$4,1))-MAX($C29,BU$4))/MAX(1,$D29+1-$C29))</f>
        <v/>
      </c>
      <c r="BV29" s="64" t="str">
        <f aca="false">IF(OR(BV$4="",$C29="",$D29="",N($E29)=0),"",$E29*MAX(0,MIN($D29+1,EDATE(BV$4,1))-MAX($C29,BV$4))/MAX(1,$D29+1-$C29))</f>
        <v/>
      </c>
      <c r="BW29" s="64" t="str">
        <f aca="false">IF(OR(BW$4="",$C29="",$D29="",N($E29)=0),"",$E29*MAX(0,MIN($D29+1,EDATE(BW$4,1))-MAX($C29,BW$4))/MAX(1,$D29+1-$C29))</f>
        <v/>
      </c>
      <c r="BX29" s="64" t="str">
        <f aca="false">IF(OR(BX$4="",$C29="",$D29="",N($E29)=0),"",$E29*MAX(0,MIN($D29+1,EDATE(BX$4,1))-MAX($C29,BX$4))/MAX(1,$D29+1-$C29))</f>
        <v/>
      </c>
      <c r="BY29" s="64" t="str">
        <f aca="false">IF(OR(BY$4="",$C29="",$D29="",N($E29)=0),"",$E29*MAX(0,MIN($D29+1,EDATE(BY$4,1))-MAX($C29,BY$4))/MAX(1,$D29+1-$C29))</f>
        <v/>
      </c>
    </row>
    <row r="30" customFormat="false" ht="15" hidden="false" customHeight="false" outlineLevel="0" collapsed="false">
      <c r="A30" s="61" t="str">
        <f aca="false">IF(BOE!$A31="","",BOE!$A31)</f>
        <v>403</v>
      </c>
      <c r="B30" s="61" t="str">
        <f aca="false">IF(BOE!$A31="","",BOE!$C31)</f>
        <v>Explosive Ordnance Disposal Data</v>
      </c>
      <c r="C30" s="62" t="n">
        <f aca="false">IF(BOE!$O31="","",BOE!$O31)</f>
        <v>46877</v>
      </c>
      <c r="D30" s="62" t="n">
        <f aca="false">IF(BOE!$P31="","",BOE!$P31)</f>
        <v>47122</v>
      </c>
      <c r="E30" s="63" t="n">
        <f aca="false">IF(Inputs!$B$7="P90",BOE!$T31,BOE!$R31)</f>
        <v>0</v>
      </c>
      <c r="F30" s="64" t="str">
        <f aca="false">IF(OR(F$4="",$C30="",$D30="",N($E30)=0),"",$E30*MAX(0,MIN($D30+1,EDATE(F$4,1))-MAX($C30,F$4))/MAX(1,$D30+1-$C30))</f>
        <v/>
      </c>
      <c r="G30" s="64" t="str">
        <f aca="false">IF(OR(G$4="",$C30="",$D30="",N($E30)=0),"",$E30*MAX(0,MIN($D30+1,EDATE(G$4,1))-MAX($C30,G$4))/MAX(1,$D30+1-$C30))</f>
        <v/>
      </c>
      <c r="H30" s="64" t="str">
        <f aca="false">IF(OR(H$4="",$C30="",$D30="",N($E30)=0),"",$E30*MAX(0,MIN($D30+1,EDATE(H$4,1))-MAX($C30,H$4))/MAX(1,$D30+1-$C30))</f>
        <v/>
      </c>
      <c r="I30" s="64" t="str">
        <f aca="false">IF(OR(I$4="",$C30="",$D30="",N($E30)=0),"",$E30*MAX(0,MIN($D30+1,EDATE(I$4,1))-MAX($C30,I$4))/MAX(1,$D30+1-$C30))</f>
        <v/>
      </c>
      <c r="J30" s="64" t="str">
        <f aca="false">IF(OR(J$4="",$C30="",$D30="",N($E30)=0),"",$E30*MAX(0,MIN($D30+1,EDATE(J$4,1))-MAX($C30,J$4))/MAX(1,$D30+1-$C30))</f>
        <v/>
      </c>
      <c r="K30" s="64" t="str">
        <f aca="false">IF(OR(K$4="",$C30="",$D30="",N($E30)=0),"",$E30*MAX(0,MIN($D30+1,EDATE(K$4,1))-MAX($C30,K$4))/MAX(1,$D30+1-$C30))</f>
        <v/>
      </c>
      <c r="L30" s="64" t="str">
        <f aca="false">IF(OR(L$4="",$C30="",$D30="",N($E30)=0),"",$E30*MAX(0,MIN($D30+1,EDATE(L$4,1))-MAX($C30,L$4))/MAX(1,$D30+1-$C30))</f>
        <v/>
      </c>
      <c r="M30" s="64" t="str">
        <f aca="false">IF(OR(M$4="",$C30="",$D30="",N($E30)=0),"",$E30*MAX(0,MIN($D30+1,EDATE(M$4,1))-MAX($C30,M$4))/MAX(1,$D30+1-$C30))</f>
        <v/>
      </c>
      <c r="N30" s="64" t="str">
        <f aca="false">IF(OR(N$4="",$C30="",$D30="",N($E30)=0),"",$E30*MAX(0,MIN($D30+1,EDATE(N$4,1))-MAX($C30,N$4))/MAX(1,$D30+1-$C30))</f>
        <v/>
      </c>
      <c r="O30" s="64" t="str">
        <f aca="false">IF(OR(O$4="",$C30="",$D30="",N($E30)=0),"",$E30*MAX(0,MIN($D30+1,EDATE(O$4,1))-MAX($C30,O$4))/MAX(1,$D30+1-$C30))</f>
        <v/>
      </c>
      <c r="P30" s="64" t="str">
        <f aca="false">IF(OR(P$4="",$C30="",$D30="",N($E30)=0),"",$E30*MAX(0,MIN($D30+1,EDATE(P$4,1))-MAX($C30,P$4))/MAX(1,$D30+1-$C30))</f>
        <v/>
      </c>
      <c r="Q30" s="64" t="str">
        <f aca="false">IF(OR(Q$4="",$C30="",$D30="",N($E30)=0),"",$E30*MAX(0,MIN($D30+1,EDATE(Q$4,1))-MAX($C30,Q$4))/MAX(1,$D30+1-$C30))</f>
        <v/>
      </c>
      <c r="R30" s="64" t="str">
        <f aca="false">IF(OR(R$4="",$C30="",$D30="",N($E30)=0),"",$E30*MAX(0,MIN($D30+1,EDATE(R$4,1))-MAX($C30,R$4))/MAX(1,$D30+1-$C30))</f>
        <v/>
      </c>
      <c r="S30" s="64" t="str">
        <f aca="false">IF(OR(S$4="",$C30="",$D30="",N($E30)=0),"",$E30*MAX(0,MIN($D30+1,EDATE(S$4,1))-MAX($C30,S$4))/MAX(1,$D30+1-$C30))</f>
        <v/>
      </c>
      <c r="T30" s="64" t="str">
        <f aca="false">IF(OR(T$4="",$C30="",$D30="",N($E30)=0),"",$E30*MAX(0,MIN($D30+1,EDATE(T$4,1))-MAX($C30,T$4))/MAX(1,$D30+1-$C30))</f>
        <v/>
      </c>
      <c r="U30" s="64" t="str">
        <f aca="false">IF(OR(U$4="",$C30="",$D30="",N($E30)=0),"",$E30*MAX(0,MIN($D30+1,EDATE(U$4,1))-MAX($C30,U$4))/MAX(1,$D30+1-$C30))</f>
        <v/>
      </c>
      <c r="V30" s="64" t="str">
        <f aca="false">IF(OR(V$4="",$C30="",$D30="",N($E30)=0),"",$E30*MAX(0,MIN($D30+1,EDATE(V$4,1))-MAX($C30,V$4))/MAX(1,$D30+1-$C30))</f>
        <v/>
      </c>
      <c r="W30" s="64" t="str">
        <f aca="false">IF(OR(W$4="",$C30="",$D30="",N($E30)=0),"",$E30*MAX(0,MIN($D30+1,EDATE(W$4,1))-MAX($C30,W$4))/MAX(1,$D30+1-$C30))</f>
        <v/>
      </c>
      <c r="X30" s="64" t="str">
        <f aca="false">IF(OR(X$4="",$C30="",$D30="",N($E30)=0),"",$E30*MAX(0,MIN($D30+1,EDATE(X$4,1))-MAX($C30,X$4))/MAX(1,$D30+1-$C30))</f>
        <v/>
      </c>
      <c r="Y30" s="64" t="str">
        <f aca="false">IF(OR(Y$4="",$C30="",$D30="",N($E30)=0),"",$E30*MAX(0,MIN($D30+1,EDATE(Y$4,1))-MAX($C30,Y$4))/MAX(1,$D30+1-$C30))</f>
        <v/>
      </c>
      <c r="Z30" s="64" t="str">
        <f aca="false">IF(OR(Z$4="",$C30="",$D30="",N($E30)=0),"",$E30*MAX(0,MIN($D30+1,EDATE(Z$4,1))-MAX($C30,Z$4))/MAX(1,$D30+1-$C30))</f>
        <v/>
      </c>
      <c r="AA30" s="64" t="str">
        <f aca="false">IF(OR(AA$4="",$C30="",$D30="",N($E30)=0),"",$E30*MAX(0,MIN($D30+1,EDATE(AA$4,1))-MAX($C30,AA$4))/MAX(1,$D30+1-$C30))</f>
        <v/>
      </c>
      <c r="AB30" s="64" t="str">
        <f aca="false">IF(OR(AB$4="",$C30="",$D30="",N($E30)=0),"",$E30*MAX(0,MIN($D30+1,EDATE(AB$4,1))-MAX($C30,AB$4))/MAX(1,$D30+1-$C30))</f>
        <v/>
      </c>
      <c r="AC30" s="64" t="str">
        <f aca="false">IF(OR(AC$4="",$C30="",$D30="",N($E30)=0),"",$E30*MAX(0,MIN($D30+1,EDATE(AC$4,1))-MAX($C30,AC$4))/MAX(1,$D30+1-$C30))</f>
        <v/>
      </c>
      <c r="AD30" s="64" t="str">
        <f aca="false">IF(OR(AD$4="",$C30="",$D30="",N($E30)=0),"",$E30*MAX(0,MIN($D30+1,EDATE(AD$4,1))-MAX($C30,AD$4))/MAX(1,$D30+1-$C30))</f>
        <v/>
      </c>
      <c r="AE30" s="64" t="str">
        <f aca="false">IF(OR(AE$4="",$C30="",$D30="",N($E30)=0),"",$E30*MAX(0,MIN($D30+1,EDATE(AE$4,1))-MAX($C30,AE$4))/MAX(1,$D30+1-$C30))</f>
        <v/>
      </c>
      <c r="AF30" s="64" t="str">
        <f aca="false">IF(OR(AF$4="",$C30="",$D30="",N($E30)=0),"",$E30*MAX(0,MIN($D30+1,EDATE(AF$4,1))-MAX($C30,AF$4))/MAX(1,$D30+1-$C30))</f>
        <v/>
      </c>
      <c r="AG30" s="64" t="str">
        <f aca="false">IF(OR(AG$4="",$C30="",$D30="",N($E30)=0),"",$E30*MAX(0,MIN($D30+1,EDATE(AG$4,1))-MAX($C30,AG$4))/MAX(1,$D30+1-$C30))</f>
        <v/>
      </c>
      <c r="AH30" s="64" t="str">
        <f aca="false">IF(OR(AH$4="",$C30="",$D30="",N($E30)=0),"",$E30*MAX(0,MIN($D30+1,EDATE(AH$4,1))-MAX($C30,AH$4))/MAX(1,$D30+1-$C30))</f>
        <v/>
      </c>
      <c r="AI30" s="64" t="str">
        <f aca="false">IF(OR(AI$4="",$C30="",$D30="",N($E30)=0),"",$E30*MAX(0,MIN($D30+1,EDATE(AI$4,1))-MAX($C30,AI$4))/MAX(1,$D30+1-$C30))</f>
        <v/>
      </c>
      <c r="AJ30" s="64" t="str">
        <f aca="false">IF(OR(AJ$4="",$C30="",$D30="",N($E30)=0),"",$E30*MAX(0,MIN($D30+1,EDATE(AJ$4,1))-MAX($C30,AJ$4))/MAX(1,$D30+1-$C30))</f>
        <v/>
      </c>
      <c r="AK30" s="64" t="str">
        <f aca="false">IF(OR(AK$4="",$C30="",$D30="",N($E30)=0),"",$E30*MAX(0,MIN($D30+1,EDATE(AK$4,1))-MAX($C30,AK$4))/MAX(1,$D30+1-$C30))</f>
        <v/>
      </c>
      <c r="AL30" s="64" t="str">
        <f aca="false">IF(OR(AL$4="",$C30="",$D30="",N($E30)=0),"",$E30*MAX(0,MIN($D30+1,EDATE(AL$4,1))-MAX($C30,AL$4))/MAX(1,$D30+1-$C30))</f>
        <v/>
      </c>
      <c r="AM30" s="64" t="str">
        <f aca="false">IF(OR(AM$4="",$C30="",$D30="",N($E30)=0),"",$E30*MAX(0,MIN($D30+1,EDATE(AM$4,1))-MAX($C30,AM$4))/MAX(1,$D30+1-$C30))</f>
        <v/>
      </c>
      <c r="AN30" s="64" t="str">
        <f aca="false">IF(OR(AN$4="",$C30="",$D30="",N($E30)=0),"",$E30*MAX(0,MIN($D30+1,EDATE(AN$4,1))-MAX($C30,AN$4))/MAX(1,$D30+1-$C30))</f>
        <v/>
      </c>
      <c r="AO30" s="64" t="str">
        <f aca="false">IF(OR(AO$4="",$C30="",$D30="",N($E30)=0),"",$E30*MAX(0,MIN($D30+1,EDATE(AO$4,1))-MAX($C30,AO$4))/MAX(1,$D30+1-$C30))</f>
        <v/>
      </c>
      <c r="AP30" s="64" t="str">
        <f aca="false">IF(OR(AP$4="",$C30="",$D30="",N($E30)=0),"",$E30*MAX(0,MIN($D30+1,EDATE(AP$4,1))-MAX($C30,AP$4))/MAX(1,$D30+1-$C30))</f>
        <v/>
      </c>
      <c r="AQ30" s="64" t="str">
        <f aca="false">IF(OR(AQ$4="",$C30="",$D30="",N($E30)=0),"",$E30*MAX(0,MIN($D30+1,EDATE(AQ$4,1))-MAX($C30,AQ$4))/MAX(1,$D30+1-$C30))</f>
        <v/>
      </c>
      <c r="AR30" s="64" t="str">
        <f aca="false">IF(OR(AR$4="",$C30="",$D30="",N($E30)=0),"",$E30*MAX(0,MIN($D30+1,EDATE(AR$4,1))-MAX($C30,AR$4))/MAX(1,$D30+1-$C30))</f>
        <v/>
      </c>
      <c r="AS30" s="64" t="str">
        <f aca="false">IF(OR(AS$4="",$C30="",$D30="",N($E30)=0),"",$E30*MAX(0,MIN($D30+1,EDATE(AS$4,1))-MAX($C30,AS$4))/MAX(1,$D30+1-$C30))</f>
        <v/>
      </c>
      <c r="AT30" s="64" t="str">
        <f aca="false">IF(OR(AT$4="",$C30="",$D30="",N($E30)=0),"",$E30*MAX(0,MIN($D30+1,EDATE(AT$4,1))-MAX($C30,AT$4))/MAX(1,$D30+1-$C30))</f>
        <v/>
      </c>
      <c r="AU30" s="64" t="str">
        <f aca="false">IF(OR(AU$4="",$C30="",$D30="",N($E30)=0),"",$E30*MAX(0,MIN($D30+1,EDATE(AU$4,1))-MAX($C30,AU$4))/MAX(1,$D30+1-$C30))</f>
        <v/>
      </c>
      <c r="AV30" s="64" t="str">
        <f aca="false">IF(OR(AV$4="",$C30="",$D30="",N($E30)=0),"",$E30*MAX(0,MIN($D30+1,EDATE(AV$4,1))-MAX($C30,AV$4))/MAX(1,$D30+1-$C30))</f>
        <v/>
      </c>
      <c r="AW30" s="64" t="str">
        <f aca="false">IF(OR(AW$4="",$C30="",$D30="",N($E30)=0),"",$E30*MAX(0,MIN($D30+1,EDATE(AW$4,1))-MAX($C30,AW$4))/MAX(1,$D30+1-$C30))</f>
        <v/>
      </c>
      <c r="AX30" s="64" t="str">
        <f aca="false">IF(OR(AX$4="",$C30="",$D30="",N($E30)=0),"",$E30*MAX(0,MIN($D30+1,EDATE(AX$4,1))-MAX($C30,AX$4))/MAX(1,$D30+1-$C30))</f>
        <v/>
      </c>
      <c r="AY30" s="64" t="str">
        <f aca="false">IF(OR(AY$4="",$C30="",$D30="",N($E30)=0),"",$E30*MAX(0,MIN($D30+1,EDATE(AY$4,1))-MAX($C30,AY$4))/MAX(1,$D30+1-$C30))</f>
        <v/>
      </c>
      <c r="AZ30" s="64" t="str">
        <f aca="false">IF(OR(AZ$4="",$C30="",$D30="",N($E30)=0),"",$E30*MAX(0,MIN($D30+1,EDATE(AZ$4,1))-MAX($C30,AZ$4))/MAX(1,$D30+1-$C30))</f>
        <v/>
      </c>
      <c r="BA30" s="64" t="str">
        <f aca="false">IF(OR(BA$4="",$C30="",$D30="",N($E30)=0),"",$E30*MAX(0,MIN($D30+1,EDATE(BA$4,1))-MAX($C30,BA$4))/MAX(1,$D30+1-$C30))</f>
        <v/>
      </c>
      <c r="BB30" s="64" t="str">
        <f aca="false">IF(OR(BB$4="",$C30="",$D30="",N($E30)=0),"",$E30*MAX(0,MIN($D30+1,EDATE(BB$4,1))-MAX($C30,BB$4))/MAX(1,$D30+1-$C30))</f>
        <v/>
      </c>
      <c r="BC30" s="64" t="str">
        <f aca="false">IF(OR(BC$4="",$C30="",$D30="",N($E30)=0),"",$E30*MAX(0,MIN($D30+1,EDATE(BC$4,1))-MAX($C30,BC$4))/MAX(1,$D30+1-$C30))</f>
        <v/>
      </c>
      <c r="BD30" s="64" t="str">
        <f aca="false">IF(OR(BD$4="",$C30="",$D30="",N($E30)=0),"",$E30*MAX(0,MIN($D30+1,EDATE(BD$4,1))-MAX($C30,BD$4))/MAX(1,$D30+1-$C30))</f>
        <v/>
      </c>
      <c r="BE30" s="64" t="str">
        <f aca="false">IF(OR(BE$4="",$C30="",$D30="",N($E30)=0),"",$E30*MAX(0,MIN($D30+1,EDATE(BE$4,1))-MAX($C30,BE$4))/MAX(1,$D30+1-$C30))</f>
        <v/>
      </c>
      <c r="BF30" s="64" t="str">
        <f aca="false">IF(OR(BF$4="",$C30="",$D30="",N($E30)=0),"",$E30*MAX(0,MIN($D30+1,EDATE(BF$4,1))-MAX($C30,BF$4))/MAX(1,$D30+1-$C30))</f>
        <v/>
      </c>
      <c r="BG30" s="64" t="str">
        <f aca="false">IF(OR(BG$4="",$C30="",$D30="",N($E30)=0),"",$E30*MAX(0,MIN($D30+1,EDATE(BG$4,1))-MAX($C30,BG$4))/MAX(1,$D30+1-$C30))</f>
        <v/>
      </c>
      <c r="BH30" s="64" t="str">
        <f aca="false">IF(OR(BH$4="",$C30="",$D30="",N($E30)=0),"",$E30*MAX(0,MIN($D30+1,EDATE(BH$4,1))-MAX($C30,BH$4))/MAX(1,$D30+1-$C30))</f>
        <v/>
      </c>
      <c r="BI30" s="64" t="str">
        <f aca="false">IF(OR(BI$4="",$C30="",$D30="",N($E30)=0),"",$E30*MAX(0,MIN($D30+1,EDATE(BI$4,1))-MAX($C30,BI$4))/MAX(1,$D30+1-$C30))</f>
        <v/>
      </c>
      <c r="BJ30" s="64" t="str">
        <f aca="false">IF(OR(BJ$4="",$C30="",$D30="",N($E30)=0),"",$E30*MAX(0,MIN($D30+1,EDATE(BJ$4,1))-MAX($C30,BJ$4))/MAX(1,$D30+1-$C30))</f>
        <v/>
      </c>
      <c r="BK30" s="64" t="str">
        <f aca="false">IF(OR(BK$4="",$C30="",$D30="",N($E30)=0),"",$E30*MAX(0,MIN($D30+1,EDATE(BK$4,1))-MAX($C30,BK$4))/MAX(1,$D30+1-$C30))</f>
        <v/>
      </c>
      <c r="BL30" s="64" t="str">
        <f aca="false">IF(OR(BL$4="",$C30="",$D30="",N($E30)=0),"",$E30*MAX(0,MIN($D30+1,EDATE(BL$4,1))-MAX($C30,BL$4))/MAX(1,$D30+1-$C30))</f>
        <v/>
      </c>
      <c r="BM30" s="64" t="str">
        <f aca="false">IF(OR(BM$4="",$C30="",$D30="",N($E30)=0),"",$E30*MAX(0,MIN($D30+1,EDATE(BM$4,1))-MAX($C30,BM$4))/MAX(1,$D30+1-$C30))</f>
        <v/>
      </c>
      <c r="BN30" s="64" t="str">
        <f aca="false">IF(OR(BN$4="",$C30="",$D30="",N($E30)=0),"",$E30*MAX(0,MIN($D30+1,EDATE(BN$4,1))-MAX($C30,BN$4))/MAX(1,$D30+1-$C30))</f>
        <v/>
      </c>
      <c r="BO30" s="64" t="str">
        <f aca="false">IF(OR(BO$4="",$C30="",$D30="",N($E30)=0),"",$E30*MAX(0,MIN($D30+1,EDATE(BO$4,1))-MAX($C30,BO$4))/MAX(1,$D30+1-$C30))</f>
        <v/>
      </c>
      <c r="BP30" s="64" t="str">
        <f aca="false">IF(OR(BP$4="",$C30="",$D30="",N($E30)=0),"",$E30*MAX(0,MIN($D30+1,EDATE(BP$4,1))-MAX($C30,BP$4))/MAX(1,$D30+1-$C30))</f>
        <v/>
      </c>
      <c r="BQ30" s="64" t="str">
        <f aca="false">IF(OR(BQ$4="",$C30="",$D30="",N($E30)=0),"",$E30*MAX(0,MIN($D30+1,EDATE(BQ$4,1))-MAX($C30,BQ$4))/MAX(1,$D30+1-$C30))</f>
        <v/>
      </c>
      <c r="BR30" s="64" t="str">
        <f aca="false">IF(OR(BR$4="",$C30="",$D30="",N($E30)=0),"",$E30*MAX(0,MIN($D30+1,EDATE(BR$4,1))-MAX($C30,BR$4))/MAX(1,$D30+1-$C30))</f>
        <v/>
      </c>
      <c r="BS30" s="64" t="str">
        <f aca="false">IF(OR(BS$4="",$C30="",$D30="",N($E30)=0),"",$E30*MAX(0,MIN($D30+1,EDATE(BS$4,1))-MAX($C30,BS$4))/MAX(1,$D30+1-$C30))</f>
        <v/>
      </c>
      <c r="BT30" s="64" t="str">
        <f aca="false">IF(OR(BT$4="",$C30="",$D30="",N($E30)=0),"",$E30*MAX(0,MIN($D30+1,EDATE(BT$4,1))-MAX($C30,BT$4))/MAX(1,$D30+1-$C30))</f>
        <v/>
      </c>
      <c r="BU30" s="64" t="str">
        <f aca="false">IF(OR(BU$4="",$C30="",$D30="",N($E30)=0),"",$E30*MAX(0,MIN($D30+1,EDATE(BU$4,1))-MAX($C30,BU$4))/MAX(1,$D30+1-$C30))</f>
        <v/>
      </c>
      <c r="BV30" s="64" t="str">
        <f aca="false">IF(OR(BV$4="",$C30="",$D30="",N($E30)=0),"",$E30*MAX(0,MIN($D30+1,EDATE(BV$4,1))-MAX($C30,BV$4))/MAX(1,$D30+1-$C30))</f>
        <v/>
      </c>
      <c r="BW30" s="64" t="str">
        <f aca="false">IF(OR(BW$4="",$C30="",$D30="",N($E30)=0),"",$E30*MAX(0,MIN($D30+1,EDATE(BW$4,1))-MAX($C30,BW$4))/MAX(1,$D30+1-$C30))</f>
        <v/>
      </c>
      <c r="BX30" s="64" t="str">
        <f aca="false">IF(OR(BX$4="",$C30="",$D30="",N($E30)=0),"",$E30*MAX(0,MIN($D30+1,EDATE(BX$4,1))-MAX($C30,BX$4))/MAX(1,$D30+1-$C30))</f>
        <v/>
      </c>
      <c r="BY30" s="64" t="str">
        <f aca="false">IF(OR(BY$4="",$C30="",$D30="",N($E30)=0),"",$E30*MAX(0,MIN($D30+1,EDATE(BY$4,1))-MAX($C30,BY$4))/MAX(1,$D30+1-$C30))</f>
        <v/>
      </c>
    </row>
    <row r="31" customFormat="false" ht="15" hidden="false" customHeight="false" outlineLevel="0" collapsed="false">
      <c r="A31" s="61" t="str">
        <f aca="false">IF(BOE!$A32="","",BOE!$A32)</f>
        <v>SW-LOR</v>
      </c>
      <c r="B31" s="61" t="str">
        <f aca="false">IF(BOE!$A32="","",BOE!$C32)</f>
        <v>Software Level-of-Rigor tasks (Section 4.4, Table V)</v>
      </c>
      <c r="C31" s="62" t="n">
        <f aca="false">IF(BOE!$O32="","",BOE!$O32)</f>
        <v>46695</v>
      </c>
      <c r="D31" s="62" t="n">
        <f aca="false">IF(BOE!$P32="","",BOE!$P32)</f>
        <v>47122</v>
      </c>
      <c r="E31" s="63" t="n">
        <f aca="false">IF(Inputs!$B$7="P90",BOE!$T32,BOE!$R32)</f>
        <v>624</v>
      </c>
      <c r="F31" s="64" t="n">
        <f aca="false">IF(OR(F$4="",$C31="",$D31="",N($E31)=0),"",$E31*MAX(0,MIN($D31+1,EDATE(F$4,1))-MAX($C31,F$4))/MAX(1,$D31+1-$C31))</f>
        <v>0</v>
      </c>
      <c r="G31" s="64" t="n">
        <f aca="false">IF(OR(G$4="",$C31="",$D31="",N($E31)=0),"",$E31*MAX(0,MIN($D31+1,EDATE(G$4,1))-MAX($C31,G$4))/MAX(1,$D31+1-$C31))</f>
        <v>0</v>
      </c>
      <c r="H31" s="64" t="n">
        <f aca="false">IF(OR(H$4="",$C31="",$D31="",N($E31)=0),"",$E31*MAX(0,MIN($D31+1,EDATE(H$4,1))-MAX($C31,H$4))/MAX(1,$D31+1-$C31))</f>
        <v>0</v>
      </c>
      <c r="I31" s="64" t="n">
        <f aca="false">IF(OR(I$4="",$C31="",$D31="",N($E31)=0),"",$E31*MAX(0,MIN($D31+1,EDATE(I$4,1))-MAX($C31,I$4))/MAX(1,$D31+1-$C31))</f>
        <v>0</v>
      </c>
      <c r="J31" s="64" t="n">
        <f aca="false">IF(OR(J$4="",$C31="",$D31="",N($E31)=0),"",$E31*MAX(0,MIN($D31+1,EDATE(J$4,1))-MAX($C31,J$4))/MAX(1,$D31+1-$C31))</f>
        <v>0</v>
      </c>
      <c r="K31" s="64" t="n">
        <f aca="false">IF(OR(K$4="",$C31="",$D31="",N($E31)=0),"",$E31*MAX(0,MIN($D31+1,EDATE(K$4,1))-MAX($C31,K$4))/MAX(1,$D31+1-$C31))</f>
        <v>0</v>
      </c>
      <c r="L31" s="64" t="n">
        <f aca="false">IF(OR(L$4="",$C31="",$D31="",N($E31)=0),"",$E31*MAX(0,MIN($D31+1,EDATE(L$4,1))-MAX($C31,L$4))/MAX(1,$D31+1-$C31))</f>
        <v>0</v>
      </c>
      <c r="M31" s="64" t="n">
        <f aca="false">IF(OR(M$4="",$C31="",$D31="",N($E31)=0),"",$E31*MAX(0,MIN($D31+1,EDATE(M$4,1))-MAX($C31,M$4))/MAX(1,$D31+1-$C31))</f>
        <v>0</v>
      </c>
      <c r="N31" s="64" t="n">
        <f aca="false">IF(OR(N$4="",$C31="",$D31="",N($E31)=0),"",$E31*MAX(0,MIN($D31+1,EDATE(N$4,1))-MAX($C31,N$4))/MAX(1,$D31+1-$C31))</f>
        <v>0</v>
      </c>
      <c r="O31" s="64" t="n">
        <f aca="false">IF(OR(O$4="",$C31="",$D31="",N($E31)=0),"",$E31*MAX(0,MIN($D31+1,EDATE(O$4,1))-MAX($C31,O$4))/MAX(1,$D31+1-$C31))</f>
        <v>0</v>
      </c>
      <c r="P31" s="64" t="n">
        <f aca="false">IF(OR(P$4="",$C31="",$D31="",N($E31)=0),"",$E31*MAX(0,MIN($D31+1,EDATE(P$4,1))-MAX($C31,P$4))/MAX(1,$D31+1-$C31))</f>
        <v>43.7383177570094</v>
      </c>
      <c r="Q31" s="64" t="n">
        <f aca="false">IF(OR(Q$4="",$C31="",$D31="",N($E31)=0),"",$E31*MAX(0,MIN($D31+1,EDATE(Q$4,1))-MAX($C31,Q$4))/MAX(1,$D31+1-$C31))</f>
        <v>45.196261682243</v>
      </c>
      <c r="R31" s="64" t="n">
        <f aca="false">IF(OR(R$4="",$C31="",$D31="",N($E31)=0),"",$E31*MAX(0,MIN($D31+1,EDATE(R$4,1))-MAX($C31,R$4))/MAX(1,$D31+1-$C31))</f>
        <v>45.196261682243</v>
      </c>
      <c r="S31" s="64" t="n">
        <f aca="false">IF(OR(S$4="",$C31="",$D31="",N($E31)=0),"",$E31*MAX(0,MIN($D31+1,EDATE(S$4,1))-MAX($C31,S$4))/MAX(1,$D31+1-$C31))</f>
        <v>42.2803738317757</v>
      </c>
      <c r="T31" s="64" t="n">
        <f aca="false">IF(OR(T$4="",$C31="",$D31="",N($E31)=0),"",$E31*MAX(0,MIN($D31+1,EDATE(T$4,1))-MAX($C31,T$4))/MAX(1,$D31+1-$C31))</f>
        <v>45.196261682243</v>
      </c>
      <c r="U31" s="64" t="n">
        <f aca="false">IF(OR(U$4="",$C31="",$D31="",N($E31)=0),"",$E31*MAX(0,MIN($D31+1,EDATE(U$4,1))-MAX($C31,U$4))/MAX(1,$D31+1-$C31))</f>
        <v>43.7383177570094</v>
      </c>
      <c r="V31" s="64" t="n">
        <f aca="false">IF(OR(V$4="",$C31="",$D31="",N($E31)=0),"",$E31*MAX(0,MIN($D31+1,EDATE(V$4,1))-MAX($C31,V$4))/MAX(1,$D31+1-$C31))</f>
        <v>45.196261682243</v>
      </c>
      <c r="W31" s="64" t="n">
        <f aca="false">IF(OR(W$4="",$C31="",$D31="",N($E31)=0),"",$E31*MAX(0,MIN($D31+1,EDATE(W$4,1))-MAX($C31,W$4))/MAX(1,$D31+1-$C31))</f>
        <v>43.7383177570094</v>
      </c>
      <c r="X31" s="64" t="n">
        <f aca="false">IF(OR(X$4="",$C31="",$D31="",N($E31)=0),"",$E31*MAX(0,MIN($D31+1,EDATE(X$4,1))-MAX($C31,X$4))/MAX(1,$D31+1-$C31))</f>
        <v>45.196261682243</v>
      </c>
      <c r="Y31" s="64" t="n">
        <f aca="false">IF(OR(Y$4="",$C31="",$D31="",N($E31)=0),"",$E31*MAX(0,MIN($D31+1,EDATE(Y$4,1))-MAX($C31,Y$4))/MAX(1,$D31+1-$C31))</f>
        <v>45.196261682243</v>
      </c>
      <c r="Z31" s="64" t="n">
        <f aca="false">IF(OR(Z$4="",$C31="",$D31="",N($E31)=0),"",$E31*MAX(0,MIN($D31+1,EDATE(Z$4,1))-MAX($C31,Z$4))/MAX(1,$D31+1-$C31))</f>
        <v>43.7383177570094</v>
      </c>
      <c r="AA31" s="64" t="n">
        <f aca="false">IF(OR(AA$4="",$C31="",$D31="",N($E31)=0),"",$E31*MAX(0,MIN($D31+1,EDATE(AA$4,1))-MAX($C31,AA$4))/MAX(1,$D31+1-$C31))</f>
        <v>45.196261682243</v>
      </c>
      <c r="AB31" s="64" t="n">
        <f aca="false">IF(OR(AB$4="",$C31="",$D31="",N($E31)=0),"",$E31*MAX(0,MIN($D31+1,EDATE(AB$4,1))-MAX($C31,AB$4))/MAX(1,$D31+1-$C31))</f>
        <v>43.7383177570094</v>
      </c>
      <c r="AC31" s="64" t="n">
        <f aca="false">IF(OR(AC$4="",$C31="",$D31="",N($E31)=0),"",$E31*MAX(0,MIN($D31+1,EDATE(AC$4,1))-MAX($C31,AC$4))/MAX(1,$D31+1-$C31))</f>
        <v>45.196261682243</v>
      </c>
      <c r="AD31" s="64" t="n">
        <f aca="false">IF(OR(AD$4="",$C31="",$D31="",N($E31)=0),"",$E31*MAX(0,MIN($D31+1,EDATE(AD$4,1))-MAX($C31,AD$4))/MAX(1,$D31+1-$C31))</f>
        <v>1.45794392523364</v>
      </c>
      <c r="AE31" s="64" t="n">
        <f aca="false">IF(OR(AE$4="",$C31="",$D31="",N($E31)=0),"",$E31*MAX(0,MIN($D31+1,EDATE(AE$4,1))-MAX($C31,AE$4))/MAX(1,$D31+1-$C31))</f>
        <v>0</v>
      </c>
      <c r="AF31" s="64" t="n">
        <f aca="false">IF(OR(AF$4="",$C31="",$D31="",N($E31)=0),"",$E31*MAX(0,MIN($D31+1,EDATE(AF$4,1))-MAX($C31,AF$4))/MAX(1,$D31+1-$C31))</f>
        <v>0</v>
      </c>
      <c r="AG31" s="64" t="n">
        <f aca="false">IF(OR(AG$4="",$C31="",$D31="",N($E31)=0),"",$E31*MAX(0,MIN($D31+1,EDATE(AG$4,1))-MAX($C31,AG$4))/MAX(1,$D31+1-$C31))</f>
        <v>0</v>
      </c>
      <c r="AH31" s="64" t="n">
        <f aca="false">IF(OR(AH$4="",$C31="",$D31="",N($E31)=0),"",$E31*MAX(0,MIN($D31+1,EDATE(AH$4,1))-MAX($C31,AH$4))/MAX(1,$D31+1-$C31))</f>
        <v>0</v>
      </c>
      <c r="AI31" s="64" t="n">
        <f aca="false">IF(OR(AI$4="",$C31="",$D31="",N($E31)=0),"",$E31*MAX(0,MIN($D31+1,EDATE(AI$4,1))-MAX($C31,AI$4))/MAX(1,$D31+1-$C31))</f>
        <v>0</v>
      </c>
      <c r="AJ31" s="64" t="n">
        <f aca="false">IF(OR(AJ$4="",$C31="",$D31="",N($E31)=0),"",$E31*MAX(0,MIN($D31+1,EDATE(AJ$4,1))-MAX($C31,AJ$4))/MAX(1,$D31+1-$C31))</f>
        <v>0</v>
      </c>
      <c r="AK31" s="64" t="n">
        <f aca="false">IF(OR(AK$4="",$C31="",$D31="",N($E31)=0),"",$E31*MAX(0,MIN($D31+1,EDATE(AK$4,1))-MAX($C31,AK$4))/MAX(1,$D31+1-$C31))</f>
        <v>0</v>
      </c>
      <c r="AL31" s="64" t="n">
        <f aca="false">IF(OR(AL$4="",$C31="",$D31="",N($E31)=0),"",$E31*MAX(0,MIN($D31+1,EDATE(AL$4,1))-MAX($C31,AL$4))/MAX(1,$D31+1-$C31))</f>
        <v>0</v>
      </c>
      <c r="AM31" s="64" t="n">
        <f aca="false">IF(OR(AM$4="",$C31="",$D31="",N($E31)=0),"",$E31*MAX(0,MIN($D31+1,EDATE(AM$4,1))-MAX($C31,AM$4))/MAX(1,$D31+1-$C31))</f>
        <v>0</v>
      </c>
      <c r="AN31" s="64" t="n">
        <f aca="false">IF(OR(AN$4="",$C31="",$D31="",N($E31)=0),"",$E31*MAX(0,MIN($D31+1,EDATE(AN$4,1))-MAX($C31,AN$4))/MAX(1,$D31+1-$C31))</f>
        <v>0</v>
      </c>
      <c r="AO31" s="64" t="n">
        <f aca="false">IF(OR(AO$4="",$C31="",$D31="",N($E31)=0),"",$E31*MAX(0,MIN($D31+1,EDATE(AO$4,1))-MAX($C31,AO$4))/MAX(1,$D31+1-$C31))</f>
        <v>0</v>
      </c>
      <c r="AP31" s="64" t="str">
        <f aca="false">IF(OR(AP$4="",$C31="",$D31="",N($E31)=0),"",$E31*MAX(0,MIN($D31+1,EDATE(AP$4,1))-MAX($C31,AP$4))/MAX(1,$D31+1-$C31))</f>
        <v/>
      </c>
      <c r="AQ31" s="64" t="str">
        <f aca="false">IF(OR(AQ$4="",$C31="",$D31="",N($E31)=0),"",$E31*MAX(0,MIN($D31+1,EDATE(AQ$4,1))-MAX($C31,AQ$4))/MAX(1,$D31+1-$C31))</f>
        <v/>
      </c>
      <c r="AR31" s="64" t="str">
        <f aca="false">IF(OR(AR$4="",$C31="",$D31="",N($E31)=0),"",$E31*MAX(0,MIN($D31+1,EDATE(AR$4,1))-MAX($C31,AR$4))/MAX(1,$D31+1-$C31))</f>
        <v/>
      </c>
      <c r="AS31" s="64" t="str">
        <f aca="false">IF(OR(AS$4="",$C31="",$D31="",N($E31)=0),"",$E31*MAX(0,MIN($D31+1,EDATE(AS$4,1))-MAX($C31,AS$4))/MAX(1,$D31+1-$C31))</f>
        <v/>
      </c>
      <c r="AT31" s="64" t="str">
        <f aca="false">IF(OR(AT$4="",$C31="",$D31="",N($E31)=0),"",$E31*MAX(0,MIN($D31+1,EDATE(AT$4,1))-MAX($C31,AT$4))/MAX(1,$D31+1-$C31))</f>
        <v/>
      </c>
      <c r="AU31" s="64" t="str">
        <f aca="false">IF(OR(AU$4="",$C31="",$D31="",N($E31)=0),"",$E31*MAX(0,MIN($D31+1,EDATE(AU$4,1))-MAX($C31,AU$4))/MAX(1,$D31+1-$C31))</f>
        <v/>
      </c>
      <c r="AV31" s="64" t="str">
        <f aca="false">IF(OR(AV$4="",$C31="",$D31="",N($E31)=0),"",$E31*MAX(0,MIN($D31+1,EDATE(AV$4,1))-MAX($C31,AV$4))/MAX(1,$D31+1-$C31))</f>
        <v/>
      </c>
      <c r="AW31" s="64" t="str">
        <f aca="false">IF(OR(AW$4="",$C31="",$D31="",N($E31)=0),"",$E31*MAX(0,MIN($D31+1,EDATE(AW$4,1))-MAX($C31,AW$4))/MAX(1,$D31+1-$C31))</f>
        <v/>
      </c>
      <c r="AX31" s="64" t="str">
        <f aca="false">IF(OR(AX$4="",$C31="",$D31="",N($E31)=0),"",$E31*MAX(0,MIN($D31+1,EDATE(AX$4,1))-MAX($C31,AX$4))/MAX(1,$D31+1-$C31))</f>
        <v/>
      </c>
      <c r="AY31" s="64" t="str">
        <f aca="false">IF(OR(AY$4="",$C31="",$D31="",N($E31)=0),"",$E31*MAX(0,MIN($D31+1,EDATE(AY$4,1))-MAX($C31,AY$4))/MAX(1,$D31+1-$C31))</f>
        <v/>
      </c>
      <c r="AZ31" s="64" t="str">
        <f aca="false">IF(OR(AZ$4="",$C31="",$D31="",N($E31)=0),"",$E31*MAX(0,MIN($D31+1,EDATE(AZ$4,1))-MAX($C31,AZ$4))/MAX(1,$D31+1-$C31))</f>
        <v/>
      </c>
      <c r="BA31" s="64" t="str">
        <f aca="false">IF(OR(BA$4="",$C31="",$D31="",N($E31)=0),"",$E31*MAX(0,MIN($D31+1,EDATE(BA$4,1))-MAX($C31,BA$4))/MAX(1,$D31+1-$C31))</f>
        <v/>
      </c>
      <c r="BB31" s="64" t="str">
        <f aca="false">IF(OR(BB$4="",$C31="",$D31="",N($E31)=0),"",$E31*MAX(0,MIN($D31+1,EDATE(BB$4,1))-MAX($C31,BB$4))/MAX(1,$D31+1-$C31))</f>
        <v/>
      </c>
      <c r="BC31" s="64" t="str">
        <f aca="false">IF(OR(BC$4="",$C31="",$D31="",N($E31)=0),"",$E31*MAX(0,MIN($D31+1,EDATE(BC$4,1))-MAX($C31,BC$4))/MAX(1,$D31+1-$C31))</f>
        <v/>
      </c>
      <c r="BD31" s="64" t="str">
        <f aca="false">IF(OR(BD$4="",$C31="",$D31="",N($E31)=0),"",$E31*MAX(0,MIN($D31+1,EDATE(BD$4,1))-MAX($C31,BD$4))/MAX(1,$D31+1-$C31))</f>
        <v/>
      </c>
      <c r="BE31" s="64" t="str">
        <f aca="false">IF(OR(BE$4="",$C31="",$D31="",N($E31)=0),"",$E31*MAX(0,MIN($D31+1,EDATE(BE$4,1))-MAX($C31,BE$4))/MAX(1,$D31+1-$C31))</f>
        <v/>
      </c>
      <c r="BF31" s="64" t="str">
        <f aca="false">IF(OR(BF$4="",$C31="",$D31="",N($E31)=0),"",$E31*MAX(0,MIN($D31+1,EDATE(BF$4,1))-MAX($C31,BF$4))/MAX(1,$D31+1-$C31))</f>
        <v/>
      </c>
      <c r="BG31" s="64" t="str">
        <f aca="false">IF(OR(BG$4="",$C31="",$D31="",N($E31)=0),"",$E31*MAX(0,MIN($D31+1,EDATE(BG$4,1))-MAX($C31,BG$4))/MAX(1,$D31+1-$C31))</f>
        <v/>
      </c>
      <c r="BH31" s="64" t="str">
        <f aca="false">IF(OR(BH$4="",$C31="",$D31="",N($E31)=0),"",$E31*MAX(0,MIN($D31+1,EDATE(BH$4,1))-MAX($C31,BH$4))/MAX(1,$D31+1-$C31))</f>
        <v/>
      </c>
      <c r="BI31" s="64" t="str">
        <f aca="false">IF(OR(BI$4="",$C31="",$D31="",N($E31)=0),"",$E31*MAX(0,MIN($D31+1,EDATE(BI$4,1))-MAX($C31,BI$4))/MAX(1,$D31+1-$C31))</f>
        <v/>
      </c>
      <c r="BJ31" s="64" t="str">
        <f aca="false">IF(OR(BJ$4="",$C31="",$D31="",N($E31)=0),"",$E31*MAX(0,MIN($D31+1,EDATE(BJ$4,1))-MAX($C31,BJ$4))/MAX(1,$D31+1-$C31))</f>
        <v/>
      </c>
      <c r="BK31" s="64" t="str">
        <f aca="false">IF(OR(BK$4="",$C31="",$D31="",N($E31)=0),"",$E31*MAX(0,MIN($D31+1,EDATE(BK$4,1))-MAX($C31,BK$4))/MAX(1,$D31+1-$C31))</f>
        <v/>
      </c>
      <c r="BL31" s="64" t="str">
        <f aca="false">IF(OR(BL$4="",$C31="",$D31="",N($E31)=0),"",$E31*MAX(0,MIN($D31+1,EDATE(BL$4,1))-MAX($C31,BL$4))/MAX(1,$D31+1-$C31))</f>
        <v/>
      </c>
      <c r="BM31" s="64" t="str">
        <f aca="false">IF(OR(BM$4="",$C31="",$D31="",N($E31)=0),"",$E31*MAX(0,MIN($D31+1,EDATE(BM$4,1))-MAX($C31,BM$4))/MAX(1,$D31+1-$C31))</f>
        <v/>
      </c>
      <c r="BN31" s="64" t="str">
        <f aca="false">IF(OR(BN$4="",$C31="",$D31="",N($E31)=0),"",$E31*MAX(0,MIN($D31+1,EDATE(BN$4,1))-MAX($C31,BN$4))/MAX(1,$D31+1-$C31))</f>
        <v/>
      </c>
      <c r="BO31" s="64" t="str">
        <f aca="false">IF(OR(BO$4="",$C31="",$D31="",N($E31)=0),"",$E31*MAX(0,MIN($D31+1,EDATE(BO$4,1))-MAX($C31,BO$4))/MAX(1,$D31+1-$C31))</f>
        <v/>
      </c>
      <c r="BP31" s="64" t="str">
        <f aca="false">IF(OR(BP$4="",$C31="",$D31="",N($E31)=0),"",$E31*MAX(0,MIN($D31+1,EDATE(BP$4,1))-MAX($C31,BP$4))/MAX(1,$D31+1-$C31))</f>
        <v/>
      </c>
      <c r="BQ31" s="64" t="str">
        <f aca="false">IF(OR(BQ$4="",$C31="",$D31="",N($E31)=0),"",$E31*MAX(0,MIN($D31+1,EDATE(BQ$4,1))-MAX($C31,BQ$4))/MAX(1,$D31+1-$C31))</f>
        <v/>
      </c>
      <c r="BR31" s="64" t="str">
        <f aca="false">IF(OR(BR$4="",$C31="",$D31="",N($E31)=0),"",$E31*MAX(0,MIN($D31+1,EDATE(BR$4,1))-MAX($C31,BR$4))/MAX(1,$D31+1-$C31))</f>
        <v/>
      </c>
      <c r="BS31" s="64" t="str">
        <f aca="false">IF(OR(BS$4="",$C31="",$D31="",N($E31)=0),"",$E31*MAX(0,MIN($D31+1,EDATE(BS$4,1))-MAX($C31,BS$4))/MAX(1,$D31+1-$C31))</f>
        <v/>
      </c>
      <c r="BT31" s="64" t="str">
        <f aca="false">IF(OR(BT$4="",$C31="",$D31="",N($E31)=0),"",$E31*MAX(0,MIN($D31+1,EDATE(BT$4,1))-MAX($C31,BT$4))/MAX(1,$D31+1-$C31))</f>
        <v/>
      </c>
      <c r="BU31" s="64" t="str">
        <f aca="false">IF(OR(BU$4="",$C31="",$D31="",N($E31)=0),"",$E31*MAX(0,MIN($D31+1,EDATE(BU$4,1))-MAX($C31,BU$4))/MAX(1,$D31+1-$C31))</f>
        <v/>
      </c>
      <c r="BV31" s="64" t="str">
        <f aca="false">IF(OR(BV$4="",$C31="",$D31="",N($E31)=0),"",$E31*MAX(0,MIN($D31+1,EDATE(BV$4,1))-MAX($C31,BV$4))/MAX(1,$D31+1-$C31))</f>
        <v/>
      </c>
      <c r="BW31" s="64" t="str">
        <f aca="false">IF(OR(BW$4="",$C31="",$D31="",N($E31)=0),"",$E31*MAX(0,MIN($D31+1,EDATE(BW$4,1))-MAX($C31,BW$4))/MAX(1,$D31+1-$C31))</f>
        <v/>
      </c>
      <c r="BX31" s="64" t="str">
        <f aca="false">IF(OR(BX$4="",$C31="",$D31="",N($E31)=0),"",$E31*MAX(0,MIN($D31+1,EDATE(BX$4,1))-MAX($C31,BX$4))/MAX(1,$D31+1-$C31))</f>
        <v/>
      </c>
      <c r="BY31" s="64" t="str">
        <f aca="false">IF(OR(BY$4="",$C31="",$D31="",N($E31)=0),"",$E31*MAX(0,MIN($D31+1,EDATE(BY$4,1))-MAX($C31,BY$4))/MAX(1,$D31+1-$C31))</f>
        <v/>
      </c>
    </row>
    <row r="32" customFormat="false" ht="15" hidden="false" customHeight="false" outlineLevel="0" collapsed="false">
      <c r="A32" s="61" t="str">
        <f aca="false">IF(BOE!$A33="","",BOE!$A33)</f>
        <v>LOE-1</v>
      </c>
      <c r="B32" s="61" t="str">
        <f aca="false">IF(BOE!$A33="","",BOE!$C33)</f>
        <v>System Safety Working Group meetings</v>
      </c>
      <c r="C32" s="62" t="n">
        <f aca="false">IF(BOE!$O33="","",BOE!$O33)</f>
        <v>46391</v>
      </c>
      <c r="D32" s="62" t="n">
        <f aca="false">IF(BOE!$P33="","",BOE!$P33)</f>
        <v>47483</v>
      </c>
      <c r="E32" s="63" t="n">
        <f aca="false">IF(Inputs!$B$7="P90",BOE!$T33,BOE!$R33)</f>
        <v>287.014373716632</v>
      </c>
      <c r="F32" s="64" t="n">
        <f aca="false">IF(OR(F$4="",$C32="",$D32="",N($E32)=0),"",$E32*MAX(0,MIN($D32+1,EDATE(F$4,1))-MAX($C32,F$4))/MAX(1,$D32+1-$C32))</f>
        <v>8.1403893734818</v>
      </c>
      <c r="G32" s="64" t="n">
        <f aca="false">IF(OR(G$4="",$C32="",$D32="",N($E32)=0),"",$E32*MAX(0,MIN($D32+1,EDATE(G$4,1))-MAX($C32,G$4))/MAX(1,$D32+1-$C32))</f>
        <v>7.35260975669324</v>
      </c>
      <c r="H32" s="64" t="n">
        <f aca="false">IF(OR(H$4="",$C32="",$D32="",N($E32)=0),"",$E32*MAX(0,MIN($D32+1,EDATE(H$4,1))-MAX($C32,H$4))/MAX(1,$D32+1-$C32))</f>
        <v>8.1403893734818</v>
      </c>
      <c r="I32" s="64" t="n">
        <f aca="false">IF(OR(I$4="",$C32="",$D32="",N($E32)=0),"",$E32*MAX(0,MIN($D32+1,EDATE(I$4,1))-MAX($C32,I$4))/MAX(1,$D32+1-$C32))</f>
        <v>7.87779616788561</v>
      </c>
      <c r="J32" s="64" t="n">
        <f aca="false">IF(OR(J$4="",$C32="",$D32="",N($E32)=0),"",$E32*MAX(0,MIN($D32+1,EDATE(J$4,1))-MAX($C32,J$4))/MAX(1,$D32+1-$C32))</f>
        <v>8.1403893734818</v>
      </c>
      <c r="K32" s="64" t="n">
        <f aca="false">IF(OR(K$4="",$C32="",$D32="",N($E32)=0),"",$E32*MAX(0,MIN($D32+1,EDATE(K$4,1))-MAX($C32,K$4))/MAX(1,$D32+1-$C32))</f>
        <v>7.87779616788561</v>
      </c>
      <c r="L32" s="64" t="n">
        <f aca="false">IF(OR(L$4="",$C32="",$D32="",N($E32)=0),"",$E32*MAX(0,MIN($D32+1,EDATE(L$4,1))-MAX($C32,L$4))/MAX(1,$D32+1-$C32))</f>
        <v>8.1403893734818</v>
      </c>
      <c r="M32" s="64" t="n">
        <f aca="false">IF(OR(M$4="",$C32="",$D32="",N($E32)=0),"",$E32*MAX(0,MIN($D32+1,EDATE(M$4,1))-MAX($C32,M$4))/MAX(1,$D32+1-$C32))</f>
        <v>8.1403893734818</v>
      </c>
      <c r="N32" s="64" t="n">
        <f aca="false">IF(OR(N$4="",$C32="",$D32="",N($E32)=0),"",$E32*MAX(0,MIN($D32+1,EDATE(N$4,1))-MAX($C32,N$4))/MAX(1,$D32+1-$C32))</f>
        <v>7.87779616788561</v>
      </c>
      <c r="O32" s="64" t="n">
        <f aca="false">IF(OR(O$4="",$C32="",$D32="",N($E32)=0),"",$E32*MAX(0,MIN($D32+1,EDATE(O$4,1))-MAX($C32,O$4))/MAX(1,$D32+1-$C32))</f>
        <v>8.1403893734818</v>
      </c>
      <c r="P32" s="64" t="n">
        <f aca="false">IF(OR(P$4="",$C32="",$D32="",N($E32)=0),"",$E32*MAX(0,MIN($D32+1,EDATE(P$4,1))-MAX($C32,P$4))/MAX(1,$D32+1-$C32))</f>
        <v>7.87779616788561</v>
      </c>
      <c r="Q32" s="64" t="n">
        <f aca="false">IF(OR(Q$4="",$C32="",$D32="",N($E32)=0),"",$E32*MAX(0,MIN($D32+1,EDATE(Q$4,1))-MAX($C32,Q$4))/MAX(1,$D32+1-$C32))</f>
        <v>8.1403893734818</v>
      </c>
      <c r="R32" s="64" t="n">
        <f aca="false">IF(OR(R$4="",$C32="",$D32="",N($E32)=0),"",$E32*MAX(0,MIN($D32+1,EDATE(R$4,1))-MAX($C32,R$4))/MAX(1,$D32+1-$C32))</f>
        <v>8.1403893734818</v>
      </c>
      <c r="S32" s="64" t="n">
        <f aca="false">IF(OR(S$4="",$C32="",$D32="",N($E32)=0),"",$E32*MAX(0,MIN($D32+1,EDATE(S$4,1))-MAX($C32,S$4))/MAX(1,$D32+1-$C32))</f>
        <v>7.61520296228942</v>
      </c>
      <c r="T32" s="64" t="n">
        <f aca="false">IF(OR(T$4="",$C32="",$D32="",N($E32)=0),"",$E32*MAX(0,MIN($D32+1,EDATE(T$4,1))-MAX($C32,T$4))/MAX(1,$D32+1-$C32))</f>
        <v>8.1403893734818</v>
      </c>
      <c r="U32" s="64" t="n">
        <f aca="false">IF(OR(U$4="",$C32="",$D32="",N($E32)=0),"",$E32*MAX(0,MIN($D32+1,EDATE(U$4,1))-MAX($C32,U$4))/MAX(1,$D32+1-$C32))</f>
        <v>7.87779616788561</v>
      </c>
      <c r="V32" s="64" t="n">
        <f aca="false">IF(OR(V$4="",$C32="",$D32="",N($E32)=0),"",$E32*MAX(0,MIN($D32+1,EDATE(V$4,1))-MAX($C32,V$4))/MAX(1,$D32+1-$C32))</f>
        <v>8.1403893734818</v>
      </c>
      <c r="W32" s="64" t="n">
        <f aca="false">IF(OR(W$4="",$C32="",$D32="",N($E32)=0),"",$E32*MAX(0,MIN($D32+1,EDATE(W$4,1))-MAX($C32,W$4))/MAX(1,$D32+1-$C32))</f>
        <v>7.87779616788561</v>
      </c>
      <c r="X32" s="64" t="n">
        <f aca="false">IF(OR(X$4="",$C32="",$D32="",N($E32)=0),"",$E32*MAX(0,MIN($D32+1,EDATE(X$4,1))-MAX($C32,X$4))/MAX(1,$D32+1-$C32))</f>
        <v>8.1403893734818</v>
      </c>
      <c r="Y32" s="64" t="n">
        <f aca="false">IF(OR(Y$4="",$C32="",$D32="",N($E32)=0),"",$E32*MAX(0,MIN($D32+1,EDATE(Y$4,1))-MAX($C32,Y$4))/MAX(1,$D32+1-$C32))</f>
        <v>8.1403893734818</v>
      </c>
      <c r="Z32" s="64" t="n">
        <f aca="false">IF(OR(Z$4="",$C32="",$D32="",N($E32)=0),"",$E32*MAX(0,MIN($D32+1,EDATE(Z$4,1))-MAX($C32,Z$4))/MAX(1,$D32+1-$C32))</f>
        <v>7.87779616788561</v>
      </c>
      <c r="AA32" s="64" t="n">
        <f aca="false">IF(OR(AA$4="",$C32="",$D32="",N($E32)=0),"",$E32*MAX(0,MIN($D32+1,EDATE(AA$4,1))-MAX($C32,AA$4))/MAX(1,$D32+1-$C32))</f>
        <v>8.1403893734818</v>
      </c>
      <c r="AB32" s="64" t="n">
        <f aca="false">IF(OR(AB$4="",$C32="",$D32="",N($E32)=0),"",$E32*MAX(0,MIN($D32+1,EDATE(AB$4,1))-MAX($C32,AB$4))/MAX(1,$D32+1-$C32))</f>
        <v>7.87779616788561</v>
      </c>
      <c r="AC32" s="64" t="n">
        <f aca="false">IF(OR(AC$4="",$C32="",$D32="",N($E32)=0),"",$E32*MAX(0,MIN($D32+1,EDATE(AC$4,1))-MAX($C32,AC$4))/MAX(1,$D32+1-$C32))</f>
        <v>8.1403893734818</v>
      </c>
      <c r="AD32" s="64" t="n">
        <f aca="false">IF(OR(AD$4="",$C32="",$D32="",N($E32)=0),"",$E32*MAX(0,MIN($D32+1,EDATE(AD$4,1))-MAX($C32,AD$4))/MAX(1,$D32+1-$C32))</f>
        <v>8.1403893734818</v>
      </c>
      <c r="AE32" s="64" t="n">
        <f aca="false">IF(OR(AE$4="",$C32="",$D32="",N($E32)=0),"",$E32*MAX(0,MIN($D32+1,EDATE(AE$4,1))-MAX($C32,AE$4))/MAX(1,$D32+1-$C32))</f>
        <v>7.35260975669324</v>
      </c>
      <c r="AF32" s="64" t="n">
        <f aca="false">IF(OR(AF$4="",$C32="",$D32="",N($E32)=0),"",$E32*MAX(0,MIN($D32+1,EDATE(AF$4,1))-MAX($C32,AF$4))/MAX(1,$D32+1-$C32))</f>
        <v>8.1403893734818</v>
      </c>
      <c r="AG32" s="64" t="n">
        <f aca="false">IF(OR(AG$4="",$C32="",$D32="",N($E32)=0),"",$E32*MAX(0,MIN($D32+1,EDATE(AG$4,1))-MAX($C32,AG$4))/MAX(1,$D32+1-$C32))</f>
        <v>7.87779616788561</v>
      </c>
      <c r="AH32" s="64" t="n">
        <f aca="false">IF(OR(AH$4="",$C32="",$D32="",N($E32)=0),"",$E32*MAX(0,MIN($D32+1,EDATE(AH$4,1))-MAX($C32,AH$4))/MAX(1,$D32+1-$C32))</f>
        <v>8.1403893734818</v>
      </c>
      <c r="AI32" s="64" t="n">
        <f aca="false">IF(OR(AI$4="",$C32="",$D32="",N($E32)=0),"",$E32*MAX(0,MIN($D32+1,EDATE(AI$4,1))-MAX($C32,AI$4))/MAX(1,$D32+1-$C32))</f>
        <v>7.87779616788561</v>
      </c>
      <c r="AJ32" s="64" t="n">
        <f aca="false">IF(OR(AJ$4="",$C32="",$D32="",N($E32)=0),"",$E32*MAX(0,MIN($D32+1,EDATE(AJ$4,1))-MAX($C32,AJ$4))/MAX(1,$D32+1-$C32))</f>
        <v>8.1403893734818</v>
      </c>
      <c r="AK32" s="64" t="n">
        <f aca="false">IF(OR(AK$4="",$C32="",$D32="",N($E32)=0),"",$E32*MAX(0,MIN($D32+1,EDATE(AK$4,1))-MAX($C32,AK$4))/MAX(1,$D32+1-$C32))</f>
        <v>8.1403893734818</v>
      </c>
      <c r="AL32" s="64" t="n">
        <f aca="false">IF(OR(AL$4="",$C32="",$D32="",N($E32)=0),"",$E32*MAX(0,MIN($D32+1,EDATE(AL$4,1))-MAX($C32,AL$4))/MAX(1,$D32+1-$C32))</f>
        <v>7.87779616788561</v>
      </c>
      <c r="AM32" s="64" t="n">
        <f aca="false">IF(OR(AM$4="",$C32="",$D32="",N($E32)=0),"",$E32*MAX(0,MIN($D32+1,EDATE(AM$4,1))-MAX($C32,AM$4))/MAX(1,$D32+1-$C32))</f>
        <v>8.1403893734818</v>
      </c>
      <c r="AN32" s="64" t="n">
        <f aca="false">IF(OR(AN$4="",$C32="",$D32="",N($E32)=0),"",$E32*MAX(0,MIN($D32+1,EDATE(AN$4,1))-MAX($C32,AN$4))/MAX(1,$D32+1-$C32))</f>
        <v>7.87779616788561</v>
      </c>
      <c r="AO32" s="64" t="n">
        <f aca="false">IF(OR(AO$4="",$C32="",$D32="",N($E32)=0),"",$E32*MAX(0,MIN($D32+1,EDATE(AO$4,1))-MAX($C32,AO$4))/MAX(1,$D32+1-$C32))</f>
        <v>7.35260975669324</v>
      </c>
      <c r="AP32" s="64" t="str">
        <f aca="false">IF(OR(AP$4="",$C32="",$D32="",N($E32)=0),"",$E32*MAX(0,MIN($D32+1,EDATE(AP$4,1))-MAX($C32,AP$4))/MAX(1,$D32+1-$C32))</f>
        <v/>
      </c>
      <c r="AQ32" s="64" t="str">
        <f aca="false">IF(OR(AQ$4="",$C32="",$D32="",N($E32)=0),"",$E32*MAX(0,MIN($D32+1,EDATE(AQ$4,1))-MAX($C32,AQ$4))/MAX(1,$D32+1-$C32))</f>
        <v/>
      </c>
      <c r="AR32" s="64" t="str">
        <f aca="false">IF(OR(AR$4="",$C32="",$D32="",N($E32)=0),"",$E32*MAX(0,MIN($D32+1,EDATE(AR$4,1))-MAX($C32,AR$4))/MAX(1,$D32+1-$C32))</f>
        <v/>
      </c>
      <c r="AS32" s="64" t="str">
        <f aca="false">IF(OR(AS$4="",$C32="",$D32="",N($E32)=0),"",$E32*MAX(0,MIN($D32+1,EDATE(AS$4,1))-MAX($C32,AS$4))/MAX(1,$D32+1-$C32))</f>
        <v/>
      </c>
      <c r="AT32" s="64" t="str">
        <f aca="false">IF(OR(AT$4="",$C32="",$D32="",N($E32)=0),"",$E32*MAX(0,MIN($D32+1,EDATE(AT$4,1))-MAX($C32,AT$4))/MAX(1,$D32+1-$C32))</f>
        <v/>
      </c>
      <c r="AU32" s="64" t="str">
        <f aca="false">IF(OR(AU$4="",$C32="",$D32="",N($E32)=0),"",$E32*MAX(0,MIN($D32+1,EDATE(AU$4,1))-MAX($C32,AU$4))/MAX(1,$D32+1-$C32))</f>
        <v/>
      </c>
      <c r="AV32" s="64" t="str">
        <f aca="false">IF(OR(AV$4="",$C32="",$D32="",N($E32)=0),"",$E32*MAX(0,MIN($D32+1,EDATE(AV$4,1))-MAX($C32,AV$4))/MAX(1,$D32+1-$C32))</f>
        <v/>
      </c>
      <c r="AW32" s="64" t="str">
        <f aca="false">IF(OR(AW$4="",$C32="",$D32="",N($E32)=0),"",$E32*MAX(0,MIN($D32+1,EDATE(AW$4,1))-MAX($C32,AW$4))/MAX(1,$D32+1-$C32))</f>
        <v/>
      </c>
      <c r="AX32" s="64" t="str">
        <f aca="false">IF(OR(AX$4="",$C32="",$D32="",N($E32)=0),"",$E32*MAX(0,MIN($D32+1,EDATE(AX$4,1))-MAX($C32,AX$4))/MAX(1,$D32+1-$C32))</f>
        <v/>
      </c>
      <c r="AY32" s="64" t="str">
        <f aca="false">IF(OR(AY$4="",$C32="",$D32="",N($E32)=0),"",$E32*MAX(0,MIN($D32+1,EDATE(AY$4,1))-MAX($C32,AY$4))/MAX(1,$D32+1-$C32))</f>
        <v/>
      </c>
      <c r="AZ32" s="64" t="str">
        <f aca="false">IF(OR(AZ$4="",$C32="",$D32="",N($E32)=0),"",$E32*MAX(0,MIN($D32+1,EDATE(AZ$4,1))-MAX($C32,AZ$4))/MAX(1,$D32+1-$C32))</f>
        <v/>
      </c>
      <c r="BA32" s="64" t="str">
        <f aca="false">IF(OR(BA$4="",$C32="",$D32="",N($E32)=0),"",$E32*MAX(0,MIN($D32+1,EDATE(BA$4,1))-MAX($C32,BA$4))/MAX(1,$D32+1-$C32))</f>
        <v/>
      </c>
      <c r="BB32" s="64" t="str">
        <f aca="false">IF(OR(BB$4="",$C32="",$D32="",N($E32)=0),"",$E32*MAX(0,MIN($D32+1,EDATE(BB$4,1))-MAX($C32,BB$4))/MAX(1,$D32+1-$C32))</f>
        <v/>
      </c>
      <c r="BC32" s="64" t="str">
        <f aca="false">IF(OR(BC$4="",$C32="",$D32="",N($E32)=0),"",$E32*MAX(0,MIN($D32+1,EDATE(BC$4,1))-MAX($C32,BC$4))/MAX(1,$D32+1-$C32))</f>
        <v/>
      </c>
      <c r="BD32" s="64" t="str">
        <f aca="false">IF(OR(BD$4="",$C32="",$D32="",N($E32)=0),"",$E32*MAX(0,MIN($D32+1,EDATE(BD$4,1))-MAX($C32,BD$4))/MAX(1,$D32+1-$C32))</f>
        <v/>
      </c>
      <c r="BE32" s="64" t="str">
        <f aca="false">IF(OR(BE$4="",$C32="",$D32="",N($E32)=0),"",$E32*MAX(0,MIN($D32+1,EDATE(BE$4,1))-MAX($C32,BE$4))/MAX(1,$D32+1-$C32))</f>
        <v/>
      </c>
      <c r="BF32" s="64" t="str">
        <f aca="false">IF(OR(BF$4="",$C32="",$D32="",N($E32)=0),"",$E32*MAX(0,MIN($D32+1,EDATE(BF$4,1))-MAX($C32,BF$4))/MAX(1,$D32+1-$C32))</f>
        <v/>
      </c>
      <c r="BG32" s="64" t="str">
        <f aca="false">IF(OR(BG$4="",$C32="",$D32="",N($E32)=0),"",$E32*MAX(0,MIN($D32+1,EDATE(BG$4,1))-MAX($C32,BG$4))/MAX(1,$D32+1-$C32))</f>
        <v/>
      </c>
      <c r="BH32" s="64" t="str">
        <f aca="false">IF(OR(BH$4="",$C32="",$D32="",N($E32)=0),"",$E32*MAX(0,MIN($D32+1,EDATE(BH$4,1))-MAX($C32,BH$4))/MAX(1,$D32+1-$C32))</f>
        <v/>
      </c>
      <c r="BI32" s="64" t="str">
        <f aca="false">IF(OR(BI$4="",$C32="",$D32="",N($E32)=0),"",$E32*MAX(0,MIN($D32+1,EDATE(BI$4,1))-MAX($C32,BI$4))/MAX(1,$D32+1-$C32))</f>
        <v/>
      </c>
      <c r="BJ32" s="64" t="str">
        <f aca="false">IF(OR(BJ$4="",$C32="",$D32="",N($E32)=0),"",$E32*MAX(0,MIN($D32+1,EDATE(BJ$4,1))-MAX($C32,BJ$4))/MAX(1,$D32+1-$C32))</f>
        <v/>
      </c>
      <c r="BK32" s="64" t="str">
        <f aca="false">IF(OR(BK$4="",$C32="",$D32="",N($E32)=0),"",$E32*MAX(0,MIN($D32+1,EDATE(BK$4,1))-MAX($C32,BK$4))/MAX(1,$D32+1-$C32))</f>
        <v/>
      </c>
      <c r="BL32" s="64" t="str">
        <f aca="false">IF(OR(BL$4="",$C32="",$D32="",N($E32)=0),"",$E32*MAX(0,MIN($D32+1,EDATE(BL$4,1))-MAX($C32,BL$4))/MAX(1,$D32+1-$C32))</f>
        <v/>
      </c>
      <c r="BM32" s="64" t="str">
        <f aca="false">IF(OR(BM$4="",$C32="",$D32="",N($E32)=0),"",$E32*MAX(0,MIN($D32+1,EDATE(BM$4,1))-MAX($C32,BM$4))/MAX(1,$D32+1-$C32))</f>
        <v/>
      </c>
      <c r="BN32" s="64" t="str">
        <f aca="false">IF(OR(BN$4="",$C32="",$D32="",N($E32)=0),"",$E32*MAX(0,MIN($D32+1,EDATE(BN$4,1))-MAX($C32,BN$4))/MAX(1,$D32+1-$C32))</f>
        <v/>
      </c>
      <c r="BO32" s="64" t="str">
        <f aca="false">IF(OR(BO$4="",$C32="",$D32="",N($E32)=0),"",$E32*MAX(0,MIN($D32+1,EDATE(BO$4,1))-MAX($C32,BO$4))/MAX(1,$D32+1-$C32))</f>
        <v/>
      </c>
      <c r="BP32" s="64" t="str">
        <f aca="false">IF(OR(BP$4="",$C32="",$D32="",N($E32)=0),"",$E32*MAX(0,MIN($D32+1,EDATE(BP$4,1))-MAX($C32,BP$4))/MAX(1,$D32+1-$C32))</f>
        <v/>
      </c>
      <c r="BQ32" s="64" t="str">
        <f aca="false">IF(OR(BQ$4="",$C32="",$D32="",N($E32)=0),"",$E32*MAX(0,MIN($D32+1,EDATE(BQ$4,1))-MAX($C32,BQ$4))/MAX(1,$D32+1-$C32))</f>
        <v/>
      </c>
      <c r="BR32" s="64" t="str">
        <f aca="false">IF(OR(BR$4="",$C32="",$D32="",N($E32)=0),"",$E32*MAX(0,MIN($D32+1,EDATE(BR$4,1))-MAX($C32,BR$4))/MAX(1,$D32+1-$C32))</f>
        <v/>
      </c>
      <c r="BS32" s="64" t="str">
        <f aca="false">IF(OR(BS$4="",$C32="",$D32="",N($E32)=0),"",$E32*MAX(0,MIN($D32+1,EDATE(BS$4,1))-MAX($C32,BS$4))/MAX(1,$D32+1-$C32))</f>
        <v/>
      </c>
      <c r="BT32" s="64" t="str">
        <f aca="false">IF(OR(BT$4="",$C32="",$D32="",N($E32)=0),"",$E32*MAX(0,MIN($D32+1,EDATE(BT$4,1))-MAX($C32,BT$4))/MAX(1,$D32+1-$C32))</f>
        <v/>
      </c>
      <c r="BU32" s="64" t="str">
        <f aca="false">IF(OR(BU$4="",$C32="",$D32="",N($E32)=0),"",$E32*MAX(0,MIN($D32+1,EDATE(BU$4,1))-MAX($C32,BU$4))/MAX(1,$D32+1-$C32))</f>
        <v/>
      </c>
      <c r="BV32" s="64" t="str">
        <f aca="false">IF(OR(BV$4="",$C32="",$D32="",N($E32)=0),"",$E32*MAX(0,MIN($D32+1,EDATE(BV$4,1))-MAX($C32,BV$4))/MAX(1,$D32+1-$C32))</f>
        <v/>
      </c>
      <c r="BW32" s="64" t="str">
        <f aca="false">IF(OR(BW$4="",$C32="",$D32="",N($E32)=0),"",$E32*MAX(0,MIN($D32+1,EDATE(BW$4,1))-MAX($C32,BW$4))/MAX(1,$D32+1-$C32))</f>
        <v/>
      </c>
      <c r="BX32" s="64" t="str">
        <f aca="false">IF(OR(BX$4="",$C32="",$D32="",N($E32)=0),"",$E32*MAX(0,MIN($D32+1,EDATE(BX$4,1))-MAX($C32,BX$4))/MAX(1,$D32+1-$C32))</f>
        <v/>
      </c>
      <c r="BY32" s="64" t="str">
        <f aca="false">IF(OR(BY$4="",$C32="",$D32="",N($E32)=0),"",$E32*MAX(0,MIN($D32+1,EDATE(BY$4,1))-MAX($C32,BY$4))/MAX(1,$D32+1-$C32))</f>
        <v/>
      </c>
    </row>
    <row r="33" customFormat="false" ht="15" hidden="false" customHeight="false" outlineLevel="0" collapsed="false">
      <c r="A33" s="61" t="str">
        <f aca="false">IF(BOE!$A34="","",BOE!$A34)</f>
        <v>LOE-2</v>
      </c>
      <c r="B33" s="61" t="str">
        <f aca="false">IF(BOE!$A34="","",BOE!$C34)</f>
        <v>Design review safety data packages (SRR/PDR/CDR/TRR)</v>
      </c>
      <c r="C33" s="62" t="n">
        <f aca="false">IF(BOE!$O34="","",BOE!$O34)</f>
        <v>46439</v>
      </c>
      <c r="D33" s="62" t="n">
        <f aca="false">IF(BOE!$P34="","",BOE!$P34)</f>
        <v>47122</v>
      </c>
      <c r="E33" s="63" t="n">
        <f aca="false">IF(Inputs!$B$7="P90",BOE!$T34,BOE!$R34)</f>
        <v>320</v>
      </c>
      <c r="F33" s="64" t="n">
        <f aca="false">IF(OR(F$4="",$C33="",$D33="",N($E33)=0),"",$E33*MAX(0,MIN($D33+1,EDATE(F$4,1))-MAX($C33,F$4))/MAX(1,$D33+1-$C33))</f>
        <v>0</v>
      </c>
      <c r="G33" s="64" t="n">
        <f aca="false">IF(OR(G$4="",$C33="",$D33="",N($E33)=0),"",$E33*MAX(0,MIN($D33+1,EDATE(G$4,1))-MAX($C33,G$4))/MAX(1,$D33+1-$C33))</f>
        <v>5.14619883040936</v>
      </c>
      <c r="H33" s="64" t="n">
        <f aca="false">IF(OR(H$4="",$C33="",$D33="",N($E33)=0),"",$E33*MAX(0,MIN($D33+1,EDATE(H$4,1))-MAX($C33,H$4))/MAX(1,$D33+1-$C33))</f>
        <v>14.5029239766082</v>
      </c>
      <c r="I33" s="64" t="n">
        <f aca="false">IF(OR(I$4="",$C33="",$D33="",N($E33)=0),"",$E33*MAX(0,MIN($D33+1,EDATE(I$4,1))-MAX($C33,I$4))/MAX(1,$D33+1-$C33))</f>
        <v>14.0350877192982</v>
      </c>
      <c r="J33" s="64" t="n">
        <f aca="false">IF(OR(J$4="",$C33="",$D33="",N($E33)=0),"",$E33*MAX(0,MIN($D33+1,EDATE(J$4,1))-MAX($C33,J$4))/MAX(1,$D33+1-$C33))</f>
        <v>14.5029239766082</v>
      </c>
      <c r="K33" s="64" t="n">
        <f aca="false">IF(OR(K$4="",$C33="",$D33="",N($E33)=0),"",$E33*MAX(0,MIN($D33+1,EDATE(K$4,1))-MAX($C33,K$4))/MAX(1,$D33+1-$C33))</f>
        <v>14.0350877192982</v>
      </c>
      <c r="L33" s="64" t="n">
        <f aca="false">IF(OR(L$4="",$C33="",$D33="",N($E33)=0),"",$E33*MAX(0,MIN($D33+1,EDATE(L$4,1))-MAX($C33,L$4))/MAX(1,$D33+1-$C33))</f>
        <v>14.5029239766082</v>
      </c>
      <c r="M33" s="64" t="n">
        <f aca="false">IF(OR(M$4="",$C33="",$D33="",N($E33)=0),"",$E33*MAX(0,MIN($D33+1,EDATE(M$4,1))-MAX($C33,M$4))/MAX(1,$D33+1-$C33))</f>
        <v>14.5029239766082</v>
      </c>
      <c r="N33" s="64" t="n">
        <f aca="false">IF(OR(N$4="",$C33="",$D33="",N($E33)=0),"",$E33*MAX(0,MIN($D33+1,EDATE(N$4,1))-MAX($C33,N$4))/MAX(1,$D33+1-$C33))</f>
        <v>14.0350877192982</v>
      </c>
      <c r="O33" s="64" t="n">
        <f aca="false">IF(OR(O$4="",$C33="",$D33="",N($E33)=0),"",$E33*MAX(0,MIN($D33+1,EDATE(O$4,1))-MAX($C33,O$4))/MAX(1,$D33+1-$C33))</f>
        <v>14.5029239766082</v>
      </c>
      <c r="P33" s="64" t="n">
        <f aca="false">IF(OR(P$4="",$C33="",$D33="",N($E33)=0),"",$E33*MAX(0,MIN($D33+1,EDATE(P$4,1))-MAX($C33,P$4))/MAX(1,$D33+1-$C33))</f>
        <v>14.0350877192982</v>
      </c>
      <c r="Q33" s="64" t="n">
        <f aca="false">IF(OR(Q$4="",$C33="",$D33="",N($E33)=0),"",$E33*MAX(0,MIN($D33+1,EDATE(Q$4,1))-MAX($C33,Q$4))/MAX(1,$D33+1-$C33))</f>
        <v>14.5029239766082</v>
      </c>
      <c r="R33" s="64" t="n">
        <f aca="false">IF(OR(R$4="",$C33="",$D33="",N($E33)=0),"",$E33*MAX(0,MIN($D33+1,EDATE(R$4,1))-MAX($C33,R$4))/MAX(1,$D33+1-$C33))</f>
        <v>14.5029239766082</v>
      </c>
      <c r="S33" s="64" t="n">
        <f aca="false">IF(OR(S$4="",$C33="",$D33="",N($E33)=0),"",$E33*MAX(0,MIN($D33+1,EDATE(S$4,1))-MAX($C33,S$4))/MAX(1,$D33+1-$C33))</f>
        <v>13.5672514619883</v>
      </c>
      <c r="T33" s="64" t="n">
        <f aca="false">IF(OR(T$4="",$C33="",$D33="",N($E33)=0),"",$E33*MAX(0,MIN($D33+1,EDATE(T$4,1))-MAX($C33,T$4))/MAX(1,$D33+1-$C33))</f>
        <v>14.5029239766082</v>
      </c>
      <c r="U33" s="64" t="n">
        <f aca="false">IF(OR(U$4="",$C33="",$D33="",N($E33)=0),"",$E33*MAX(0,MIN($D33+1,EDATE(U$4,1))-MAX($C33,U$4))/MAX(1,$D33+1-$C33))</f>
        <v>14.0350877192982</v>
      </c>
      <c r="V33" s="64" t="n">
        <f aca="false">IF(OR(V$4="",$C33="",$D33="",N($E33)=0),"",$E33*MAX(0,MIN($D33+1,EDATE(V$4,1))-MAX($C33,V$4))/MAX(1,$D33+1-$C33))</f>
        <v>14.5029239766082</v>
      </c>
      <c r="W33" s="64" t="n">
        <f aca="false">IF(OR(W$4="",$C33="",$D33="",N($E33)=0),"",$E33*MAX(0,MIN($D33+1,EDATE(W$4,1))-MAX($C33,W$4))/MAX(1,$D33+1-$C33))</f>
        <v>14.0350877192982</v>
      </c>
      <c r="X33" s="64" t="n">
        <f aca="false">IF(OR(X$4="",$C33="",$D33="",N($E33)=0),"",$E33*MAX(0,MIN($D33+1,EDATE(X$4,1))-MAX($C33,X$4))/MAX(1,$D33+1-$C33))</f>
        <v>14.5029239766082</v>
      </c>
      <c r="Y33" s="64" t="n">
        <f aca="false">IF(OR(Y$4="",$C33="",$D33="",N($E33)=0),"",$E33*MAX(0,MIN($D33+1,EDATE(Y$4,1))-MAX($C33,Y$4))/MAX(1,$D33+1-$C33))</f>
        <v>14.5029239766082</v>
      </c>
      <c r="Z33" s="64" t="n">
        <f aca="false">IF(OR(Z$4="",$C33="",$D33="",N($E33)=0),"",$E33*MAX(0,MIN($D33+1,EDATE(Z$4,1))-MAX($C33,Z$4))/MAX(1,$D33+1-$C33))</f>
        <v>14.0350877192982</v>
      </c>
      <c r="AA33" s="64" t="n">
        <f aca="false">IF(OR(AA$4="",$C33="",$D33="",N($E33)=0),"",$E33*MAX(0,MIN($D33+1,EDATE(AA$4,1))-MAX($C33,AA$4))/MAX(1,$D33+1-$C33))</f>
        <v>14.5029239766082</v>
      </c>
      <c r="AB33" s="64" t="n">
        <f aca="false">IF(OR(AB$4="",$C33="",$D33="",N($E33)=0),"",$E33*MAX(0,MIN($D33+1,EDATE(AB$4,1))-MAX($C33,AB$4))/MAX(1,$D33+1-$C33))</f>
        <v>14.0350877192982</v>
      </c>
      <c r="AC33" s="64" t="n">
        <f aca="false">IF(OR(AC$4="",$C33="",$D33="",N($E33)=0),"",$E33*MAX(0,MIN($D33+1,EDATE(AC$4,1))-MAX($C33,AC$4))/MAX(1,$D33+1-$C33))</f>
        <v>14.5029239766082</v>
      </c>
      <c r="AD33" s="64" t="n">
        <f aca="false">IF(OR(AD$4="",$C33="",$D33="",N($E33)=0),"",$E33*MAX(0,MIN($D33+1,EDATE(AD$4,1))-MAX($C33,AD$4))/MAX(1,$D33+1-$C33))</f>
        <v>0.467836257309942</v>
      </c>
      <c r="AE33" s="64" t="n">
        <f aca="false">IF(OR(AE$4="",$C33="",$D33="",N($E33)=0),"",$E33*MAX(0,MIN($D33+1,EDATE(AE$4,1))-MAX($C33,AE$4))/MAX(1,$D33+1-$C33))</f>
        <v>0</v>
      </c>
      <c r="AF33" s="64" t="n">
        <f aca="false">IF(OR(AF$4="",$C33="",$D33="",N($E33)=0),"",$E33*MAX(0,MIN($D33+1,EDATE(AF$4,1))-MAX($C33,AF$4))/MAX(1,$D33+1-$C33))</f>
        <v>0</v>
      </c>
      <c r="AG33" s="64" t="n">
        <f aca="false">IF(OR(AG$4="",$C33="",$D33="",N($E33)=0),"",$E33*MAX(0,MIN($D33+1,EDATE(AG$4,1))-MAX($C33,AG$4))/MAX(1,$D33+1-$C33))</f>
        <v>0</v>
      </c>
      <c r="AH33" s="64" t="n">
        <f aca="false">IF(OR(AH$4="",$C33="",$D33="",N($E33)=0),"",$E33*MAX(0,MIN($D33+1,EDATE(AH$4,1))-MAX($C33,AH$4))/MAX(1,$D33+1-$C33))</f>
        <v>0</v>
      </c>
      <c r="AI33" s="64" t="n">
        <f aca="false">IF(OR(AI$4="",$C33="",$D33="",N($E33)=0),"",$E33*MAX(0,MIN($D33+1,EDATE(AI$4,1))-MAX($C33,AI$4))/MAX(1,$D33+1-$C33))</f>
        <v>0</v>
      </c>
      <c r="AJ33" s="64" t="n">
        <f aca="false">IF(OR(AJ$4="",$C33="",$D33="",N($E33)=0),"",$E33*MAX(0,MIN($D33+1,EDATE(AJ$4,1))-MAX($C33,AJ$4))/MAX(1,$D33+1-$C33))</f>
        <v>0</v>
      </c>
      <c r="AK33" s="64" t="n">
        <f aca="false">IF(OR(AK$4="",$C33="",$D33="",N($E33)=0),"",$E33*MAX(0,MIN($D33+1,EDATE(AK$4,1))-MAX($C33,AK$4))/MAX(1,$D33+1-$C33))</f>
        <v>0</v>
      </c>
      <c r="AL33" s="64" t="n">
        <f aca="false">IF(OR(AL$4="",$C33="",$D33="",N($E33)=0),"",$E33*MAX(0,MIN($D33+1,EDATE(AL$4,1))-MAX($C33,AL$4))/MAX(1,$D33+1-$C33))</f>
        <v>0</v>
      </c>
      <c r="AM33" s="64" t="n">
        <f aca="false">IF(OR(AM$4="",$C33="",$D33="",N($E33)=0),"",$E33*MAX(0,MIN($D33+1,EDATE(AM$4,1))-MAX($C33,AM$4))/MAX(1,$D33+1-$C33))</f>
        <v>0</v>
      </c>
      <c r="AN33" s="64" t="n">
        <f aca="false">IF(OR(AN$4="",$C33="",$D33="",N($E33)=0),"",$E33*MAX(0,MIN($D33+1,EDATE(AN$4,1))-MAX($C33,AN$4))/MAX(1,$D33+1-$C33))</f>
        <v>0</v>
      </c>
      <c r="AO33" s="64" t="n">
        <f aca="false">IF(OR(AO$4="",$C33="",$D33="",N($E33)=0),"",$E33*MAX(0,MIN($D33+1,EDATE(AO$4,1))-MAX($C33,AO$4))/MAX(1,$D33+1-$C33))</f>
        <v>0</v>
      </c>
      <c r="AP33" s="64" t="str">
        <f aca="false">IF(OR(AP$4="",$C33="",$D33="",N($E33)=0),"",$E33*MAX(0,MIN($D33+1,EDATE(AP$4,1))-MAX($C33,AP$4))/MAX(1,$D33+1-$C33))</f>
        <v/>
      </c>
      <c r="AQ33" s="64" t="str">
        <f aca="false">IF(OR(AQ$4="",$C33="",$D33="",N($E33)=0),"",$E33*MAX(0,MIN($D33+1,EDATE(AQ$4,1))-MAX($C33,AQ$4))/MAX(1,$D33+1-$C33))</f>
        <v/>
      </c>
      <c r="AR33" s="64" t="str">
        <f aca="false">IF(OR(AR$4="",$C33="",$D33="",N($E33)=0),"",$E33*MAX(0,MIN($D33+1,EDATE(AR$4,1))-MAX($C33,AR$4))/MAX(1,$D33+1-$C33))</f>
        <v/>
      </c>
      <c r="AS33" s="64" t="str">
        <f aca="false">IF(OR(AS$4="",$C33="",$D33="",N($E33)=0),"",$E33*MAX(0,MIN($D33+1,EDATE(AS$4,1))-MAX($C33,AS$4))/MAX(1,$D33+1-$C33))</f>
        <v/>
      </c>
      <c r="AT33" s="64" t="str">
        <f aca="false">IF(OR(AT$4="",$C33="",$D33="",N($E33)=0),"",$E33*MAX(0,MIN($D33+1,EDATE(AT$4,1))-MAX($C33,AT$4))/MAX(1,$D33+1-$C33))</f>
        <v/>
      </c>
      <c r="AU33" s="64" t="str">
        <f aca="false">IF(OR(AU$4="",$C33="",$D33="",N($E33)=0),"",$E33*MAX(0,MIN($D33+1,EDATE(AU$4,1))-MAX($C33,AU$4))/MAX(1,$D33+1-$C33))</f>
        <v/>
      </c>
      <c r="AV33" s="64" t="str">
        <f aca="false">IF(OR(AV$4="",$C33="",$D33="",N($E33)=0),"",$E33*MAX(0,MIN($D33+1,EDATE(AV$4,1))-MAX($C33,AV$4))/MAX(1,$D33+1-$C33))</f>
        <v/>
      </c>
      <c r="AW33" s="64" t="str">
        <f aca="false">IF(OR(AW$4="",$C33="",$D33="",N($E33)=0),"",$E33*MAX(0,MIN($D33+1,EDATE(AW$4,1))-MAX($C33,AW$4))/MAX(1,$D33+1-$C33))</f>
        <v/>
      </c>
      <c r="AX33" s="64" t="str">
        <f aca="false">IF(OR(AX$4="",$C33="",$D33="",N($E33)=0),"",$E33*MAX(0,MIN($D33+1,EDATE(AX$4,1))-MAX($C33,AX$4))/MAX(1,$D33+1-$C33))</f>
        <v/>
      </c>
      <c r="AY33" s="64" t="str">
        <f aca="false">IF(OR(AY$4="",$C33="",$D33="",N($E33)=0),"",$E33*MAX(0,MIN($D33+1,EDATE(AY$4,1))-MAX($C33,AY$4))/MAX(1,$D33+1-$C33))</f>
        <v/>
      </c>
      <c r="AZ33" s="64" t="str">
        <f aca="false">IF(OR(AZ$4="",$C33="",$D33="",N($E33)=0),"",$E33*MAX(0,MIN($D33+1,EDATE(AZ$4,1))-MAX($C33,AZ$4))/MAX(1,$D33+1-$C33))</f>
        <v/>
      </c>
      <c r="BA33" s="64" t="str">
        <f aca="false">IF(OR(BA$4="",$C33="",$D33="",N($E33)=0),"",$E33*MAX(0,MIN($D33+1,EDATE(BA$4,1))-MAX($C33,BA$4))/MAX(1,$D33+1-$C33))</f>
        <v/>
      </c>
      <c r="BB33" s="64" t="str">
        <f aca="false">IF(OR(BB$4="",$C33="",$D33="",N($E33)=0),"",$E33*MAX(0,MIN($D33+1,EDATE(BB$4,1))-MAX($C33,BB$4))/MAX(1,$D33+1-$C33))</f>
        <v/>
      </c>
      <c r="BC33" s="64" t="str">
        <f aca="false">IF(OR(BC$4="",$C33="",$D33="",N($E33)=0),"",$E33*MAX(0,MIN($D33+1,EDATE(BC$4,1))-MAX($C33,BC$4))/MAX(1,$D33+1-$C33))</f>
        <v/>
      </c>
      <c r="BD33" s="64" t="str">
        <f aca="false">IF(OR(BD$4="",$C33="",$D33="",N($E33)=0),"",$E33*MAX(0,MIN($D33+1,EDATE(BD$4,1))-MAX($C33,BD$4))/MAX(1,$D33+1-$C33))</f>
        <v/>
      </c>
      <c r="BE33" s="64" t="str">
        <f aca="false">IF(OR(BE$4="",$C33="",$D33="",N($E33)=0),"",$E33*MAX(0,MIN($D33+1,EDATE(BE$4,1))-MAX($C33,BE$4))/MAX(1,$D33+1-$C33))</f>
        <v/>
      </c>
      <c r="BF33" s="64" t="str">
        <f aca="false">IF(OR(BF$4="",$C33="",$D33="",N($E33)=0),"",$E33*MAX(0,MIN($D33+1,EDATE(BF$4,1))-MAX($C33,BF$4))/MAX(1,$D33+1-$C33))</f>
        <v/>
      </c>
      <c r="BG33" s="64" t="str">
        <f aca="false">IF(OR(BG$4="",$C33="",$D33="",N($E33)=0),"",$E33*MAX(0,MIN($D33+1,EDATE(BG$4,1))-MAX($C33,BG$4))/MAX(1,$D33+1-$C33))</f>
        <v/>
      </c>
      <c r="BH33" s="64" t="str">
        <f aca="false">IF(OR(BH$4="",$C33="",$D33="",N($E33)=0),"",$E33*MAX(0,MIN($D33+1,EDATE(BH$4,1))-MAX($C33,BH$4))/MAX(1,$D33+1-$C33))</f>
        <v/>
      </c>
      <c r="BI33" s="64" t="str">
        <f aca="false">IF(OR(BI$4="",$C33="",$D33="",N($E33)=0),"",$E33*MAX(0,MIN($D33+1,EDATE(BI$4,1))-MAX($C33,BI$4))/MAX(1,$D33+1-$C33))</f>
        <v/>
      </c>
      <c r="BJ33" s="64" t="str">
        <f aca="false">IF(OR(BJ$4="",$C33="",$D33="",N($E33)=0),"",$E33*MAX(0,MIN($D33+1,EDATE(BJ$4,1))-MAX($C33,BJ$4))/MAX(1,$D33+1-$C33))</f>
        <v/>
      </c>
      <c r="BK33" s="64" t="str">
        <f aca="false">IF(OR(BK$4="",$C33="",$D33="",N($E33)=0),"",$E33*MAX(0,MIN($D33+1,EDATE(BK$4,1))-MAX($C33,BK$4))/MAX(1,$D33+1-$C33))</f>
        <v/>
      </c>
      <c r="BL33" s="64" t="str">
        <f aca="false">IF(OR(BL$4="",$C33="",$D33="",N($E33)=0),"",$E33*MAX(0,MIN($D33+1,EDATE(BL$4,1))-MAX($C33,BL$4))/MAX(1,$D33+1-$C33))</f>
        <v/>
      </c>
      <c r="BM33" s="64" t="str">
        <f aca="false">IF(OR(BM$4="",$C33="",$D33="",N($E33)=0),"",$E33*MAX(0,MIN($D33+1,EDATE(BM$4,1))-MAX($C33,BM$4))/MAX(1,$D33+1-$C33))</f>
        <v/>
      </c>
      <c r="BN33" s="64" t="str">
        <f aca="false">IF(OR(BN$4="",$C33="",$D33="",N($E33)=0),"",$E33*MAX(0,MIN($D33+1,EDATE(BN$4,1))-MAX($C33,BN$4))/MAX(1,$D33+1-$C33))</f>
        <v/>
      </c>
      <c r="BO33" s="64" t="str">
        <f aca="false">IF(OR(BO$4="",$C33="",$D33="",N($E33)=0),"",$E33*MAX(0,MIN($D33+1,EDATE(BO$4,1))-MAX($C33,BO$4))/MAX(1,$D33+1-$C33))</f>
        <v/>
      </c>
      <c r="BP33" s="64" t="str">
        <f aca="false">IF(OR(BP$4="",$C33="",$D33="",N($E33)=0),"",$E33*MAX(0,MIN($D33+1,EDATE(BP$4,1))-MAX($C33,BP$4))/MAX(1,$D33+1-$C33))</f>
        <v/>
      </c>
      <c r="BQ33" s="64" t="str">
        <f aca="false">IF(OR(BQ$4="",$C33="",$D33="",N($E33)=0),"",$E33*MAX(0,MIN($D33+1,EDATE(BQ$4,1))-MAX($C33,BQ$4))/MAX(1,$D33+1-$C33))</f>
        <v/>
      </c>
      <c r="BR33" s="64" t="str">
        <f aca="false">IF(OR(BR$4="",$C33="",$D33="",N($E33)=0),"",$E33*MAX(0,MIN($D33+1,EDATE(BR$4,1))-MAX($C33,BR$4))/MAX(1,$D33+1-$C33))</f>
        <v/>
      </c>
      <c r="BS33" s="64" t="str">
        <f aca="false">IF(OR(BS$4="",$C33="",$D33="",N($E33)=0),"",$E33*MAX(0,MIN($D33+1,EDATE(BS$4,1))-MAX($C33,BS$4))/MAX(1,$D33+1-$C33))</f>
        <v/>
      </c>
      <c r="BT33" s="64" t="str">
        <f aca="false">IF(OR(BT$4="",$C33="",$D33="",N($E33)=0),"",$E33*MAX(0,MIN($D33+1,EDATE(BT$4,1))-MAX($C33,BT$4))/MAX(1,$D33+1-$C33))</f>
        <v/>
      </c>
      <c r="BU33" s="64" t="str">
        <f aca="false">IF(OR(BU$4="",$C33="",$D33="",N($E33)=0),"",$E33*MAX(0,MIN($D33+1,EDATE(BU$4,1))-MAX($C33,BU$4))/MAX(1,$D33+1-$C33))</f>
        <v/>
      </c>
      <c r="BV33" s="64" t="str">
        <f aca="false">IF(OR(BV$4="",$C33="",$D33="",N($E33)=0),"",$E33*MAX(0,MIN($D33+1,EDATE(BV$4,1))-MAX($C33,BV$4))/MAX(1,$D33+1-$C33))</f>
        <v/>
      </c>
      <c r="BW33" s="64" t="str">
        <f aca="false">IF(OR(BW$4="",$C33="",$D33="",N($E33)=0),"",$E33*MAX(0,MIN($D33+1,EDATE(BW$4,1))-MAX($C33,BW$4))/MAX(1,$D33+1-$C33))</f>
        <v/>
      </c>
      <c r="BX33" s="64" t="str">
        <f aca="false">IF(OR(BX$4="",$C33="",$D33="",N($E33)=0),"",$E33*MAX(0,MIN($D33+1,EDATE(BX$4,1))-MAX($C33,BX$4))/MAX(1,$D33+1-$C33))</f>
        <v/>
      </c>
      <c r="BY33" s="64" t="str">
        <f aca="false">IF(OR(BY$4="",$C33="",$D33="",N($E33)=0),"",$E33*MAX(0,MIN($D33+1,EDATE(BY$4,1))-MAX($C33,BY$4))/MAX(1,$D33+1-$C33))</f>
        <v/>
      </c>
    </row>
    <row r="34" customFormat="false" ht="15" hidden="false" customHeight="false" outlineLevel="0" collapsed="false">
      <c r="A34" s="61" t="str">
        <f aca="false">IF(BOE!$A35="","",BOE!$A35)</f>
        <v>LOE-3</v>
      </c>
      <c r="B34" s="61" t="str">
        <f aca="false">IF(BOE!$A35="","",BOE!$C35)</f>
        <v>Safety program management, BOE/EVM upkeep, travel</v>
      </c>
      <c r="C34" s="62" t="n">
        <f aca="false">IF(BOE!$O35="","",BOE!$O35)</f>
        <v>46391</v>
      </c>
      <c r="D34" s="62" t="n">
        <f aca="false">IF(BOE!$P35="","",BOE!$P35)</f>
        <v>47483</v>
      </c>
      <c r="E34" s="63" t="n">
        <f aca="false">IF(Inputs!$B$7="P90",BOE!$T35,BOE!$R35)</f>
        <v>215.260780287474</v>
      </c>
      <c r="F34" s="64" t="n">
        <f aca="false">IF(OR(F$4="",$C34="",$D34="",N($E34)=0),"",$E34*MAX(0,MIN($D34+1,EDATE(F$4,1))-MAX($C34,F$4))/MAX(1,$D34+1-$C34))</f>
        <v>6.10529203011135</v>
      </c>
      <c r="G34" s="64" t="n">
        <f aca="false">IF(OR(G$4="",$C34="",$D34="",N($E34)=0),"",$E34*MAX(0,MIN($D34+1,EDATE(G$4,1))-MAX($C34,G$4))/MAX(1,$D34+1-$C34))</f>
        <v>5.51445731751993</v>
      </c>
      <c r="H34" s="64" t="n">
        <f aca="false">IF(OR(H$4="",$C34="",$D34="",N($E34)=0),"",$E34*MAX(0,MIN($D34+1,EDATE(H$4,1))-MAX($C34,H$4))/MAX(1,$D34+1-$C34))</f>
        <v>6.10529203011135</v>
      </c>
      <c r="I34" s="64" t="n">
        <f aca="false">IF(OR(I$4="",$C34="",$D34="",N($E34)=0),"",$E34*MAX(0,MIN($D34+1,EDATE(I$4,1))-MAX($C34,I$4))/MAX(1,$D34+1-$C34))</f>
        <v>5.90834712591421</v>
      </c>
      <c r="J34" s="64" t="n">
        <f aca="false">IF(OR(J$4="",$C34="",$D34="",N($E34)=0),"",$E34*MAX(0,MIN($D34+1,EDATE(J$4,1))-MAX($C34,J$4))/MAX(1,$D34+1-$C34))</f>
        <v>6.10529203011135</v>
      </c>
      <c r="K34" s="64" t="n">
        <f aca="false">IF(OR(K$4="",$C34="",$D34="",N($E34)=0),"",$E34*MAX(0,MIN($D34+1,EDATE(K$4,1))-MAX($C34,K$4))/MAX(1,$D34+1-$C34))</f>
        <v>5.90834712591421</v>
      </c>
      <c r="L34" s="64" t="n">
        <f aca="false">IF(OR(L$4="",$C34="",$D34="",N($E34)=0),"",$E34*MAX(0,MIN($D34+1,EDATE(L$4,1))-MAX($C34,L$4))/MAX(1,$D34+1-$C34))</f>
        <v>6.10529203011135</v>
      </c>
      <c r="M34" s="64" t="n">
        <f aca="false">IF(OR(M$4="",$C34="",$D34="",N($E34)=0),"",$E34*MAX(0,MIN($D34+1,EDATE(M$4,1))-MAX($C34,M$4))/MAX(1,$D34+1-$C34))</f>
        <v>6.10529203011135</v>
      </c>
      <c r="N34" s="64" t="n">
        <f aca="false">IF(OR(N$4="",$C34="",$D34="",N($E34)=0),"",$E34*MAX(0,MIN($D34+1,EDATE(N$4,1))-MAX($C34,N$4))/MAX(1,$D34+1-$C34))</f>
        <v>5.90834712591421</v>
      </c>
      <c r="O34" s="64" t="n">
        <f aca="false">IF(OR(O$4="",$C34="",$D34="",N($E34)=0),"",$E34*MAX(0,MIN($D34+1,EDATE(O$4,1))-MAX($C34,O$4))/MAX(1,$D34+1-$C34))</f>
        <v>6.10529203011135</v>
      </c>
      <c r="P34" s="64" t="n">
        <f aca="false">IF(OR(P$4="",$C34="",$D34="",N($E34)=0),"",$E34*MAX(0,MIN($D34+1,EDATE(P$4,1))-MAX($C34,P$4))/MAX(1,$D34+1-$C34))</f>
        <v>5.90834712591421</v>
      </c>
      <c r="Q34" s="64" t="n">
        <f aca="false">IF(OR(Q$4="",$C34="",$D34="",N($E34)=0),"",$E34*MAX(0,MIN($D34+1,EDATE(Q$4,1))-MAX($C34,Q$4))/MAX(1,$D34+1-$C34))</f>
        <v>6.10529203011135</v>
      </c>
      <c r="R34" s="64" t="n">
        <f aca="false">IF(OR(R$4="",$C34="",$D34="",N($E34)=0),"",$E34*MAX(0,MIN($D34+1,EDATE(R$4,1))-MAX($C34,R$4))/MAX(1,$D34+1-$C34))</f>
        <v>6.10529203011135</v>
      </c>
      <c r="S34" s="64" t="n">
        <f aca="false">IF(OR(S$4="",$C34="",$D34="",N($E34)=0),"",$E34*MAX(0,MIN($D34+1,EDATE(S$4,1))-MAX($C34,S$4))/MAX(1,$D34+1-$C34))</f>
        <v>5.71140222171707</v>
      </c>
      <c r="T34" s="64" t="n">
        <f aca="false">IF(OR(T$4="",$C34="",$D34="",N($E34)=0),"",$E34*MAX(0,MIN($D34+1,EDATE(T$4,1))-MAX($C34,T$4))/MAX(1,$D34+1-$C34))</f>
        <v>6.10529203011135</v>
      </c>
      <c r="U34" s="64" t="n">
        <f aca="false">IF(OR(U$4="",$C34="",$D34="",N($E34)=0),"",$E34*MAX(0,MIN($D34+1,EDATE(U$4,1))-MAX($C34,U$4))/MAX(1,$D34+1-$C34))</f>
        <v>5.90834712591421</v>
      </c>
      <c r="V34" s="64" t="n">
        <f aca="false">IF(OR(V$4="",$C34="",$D34="",N($E34)=0),"",$E34*MAX(0,MIN($D34+1,EDATE(V$4,1))-MAX($C34,V$4))/MAX(1,$D34+1-$C34))</f>
        <v>6.10529203011135</v>
      </c>
      <c r="W34" s="64" t="n">
        <f aca="false">IF(OR(W$4="",$C34="",$D34="",N($E34)=0),"",$E34*MAX(0,MIN($D34+1,EDATE(W$4,1))-MAX($C34,W$4))/MAX(1,$D34+1-$C34))</f>
        <v>5.90834712591421</v>
      </c>
      <c r="X34" s="64" t="n">
        <f aca="false">IF(OR(X$4="",$C34="",$D34="",N($E34)=0),"",$E34*MAX(0,MIN($D34+1,EDATE(X$4,1))-MAX($C34,X$4))/MAX(1,$D34+1-$C34))</f>
        <v>6.10529203011135</v>
      </c>
      <c r="Y34" s="64" t="n">
        <f aca="false">IF(OR(Y$4="",$C34="",$D34="",N($E34)=0),"",$E34*MAX(0,MIN($D34+1,EDATE(Y$4,1))-MAX($C34,Y$4))/MAX(1,$D34+1-$C34))</f>
        <v>6.10529203011135</v>
      </c>
      <c r="Z34" s="64" t="n">
        <f aca="false">IF(OR(Z$4="",$C34="",$D34="",N($E34)=0),"",$E34*MAX(0,MIN($D34+1,EDATE(Z$4,1))-MAX($C34,Z$4))/MAX(1,$D34+1-$C34))</f>
        <v>5.90834712591421</v>
      </c>
      <c r="AA34" s="64" t="n">
        <f aca="false">IF(OR(AA$4="",$C34="",$D34="",N($E34)=0),"",$E34*MAX(0,MIN($D34+1,EDATE(AA$4,1))-MAX($C34,AA$4))/MAX(1,$D34+1-$C34))</f>
        <v>6.10529203011135</v>
      </c>
      <c r="AB34" s="64" t="n">
        <f aca="false">IF(OR(AB$4="",$C34="",$D34="",N($E34)=0),"",$E34*MAX(0,MIN($D34+1,EDATE(AB$4,1))-MAX($C34,AB$4))/MAX(1,$D34+1-$C34))</f>
        <v>5.90834712591421</v>
      </c>
      <c r="AC34" s="64" t="n">
        <f aca="false">IF(OR(AC$4="",$C34="",$D34="",N($E34)=0),"",$E34*MAX(0,MIN($D34+1,EDATE(AC$4,1))-MAX($C34,AC$4))/MAX(1,$D34+1-$C34))</f>
        <v>6.10529203011135</v>
      </c>
      <c r="AD34" s="64" t="n">
        <f aca="false">IF(OR(AD$4="",$C34="",$D34="",N($E34)=0),"",$E34*MAX(0,MIN($D34+1,EDATE(AD$4,1))-MAX($C34,AD$4))/MAX(1,$D34+1-$C34))</f>
        <v>6.10529203011135</v>
      </c>
      <c r="AE34" s="64" t="n">
        <f aca="false">IF(OR(AE$4="",$C34="",$D34="",N($E34)=0),"",$E34*MAX(0,MIN($D34+1,EDATE(AE$4,1))-MAX($C34,AE$4))/MAX(1,$D34+1-$C34))</f>
        <v>5.51445731751993</v>
      </c>
      <c r="AF34" s="64" t="n">
        <f aca="false">IF(OR(AF$4="",$C34="",$D34="",N($E34)=0),"",$E34*MAX(0,MIN($D34+1,EDATE(AF$4,1))-MAX($C34,AF$4))/MAX(1,$D34+1-$C34))</f>
        <v>6.10529203011135</v>
      </c>
      <c r="AG34" s="64" t="n">
        <f aca="false">IF(OR(AG$4="",$C34="",$D34="",N($E34)=0),"",$E34*MAX(0,MIN($D34+1,EDATE(AG$4,1))-MAX($C34,AG$4))/MAX(1,$D34+1-$C34))</f>
        <v>5.90834712591421</v>
      </c>
      <c r="AH34" s="64" t="n">
        <f aca="false">IF(OR(AH$4="",$C34="",$D34="",N($E34)=0),"",$E34*MAX(0,MIN($D34+1,EDATE(AH$4,1))-MAX($C34,AH$4))/MAX(1,$D34+1-$C34))</f>
        <v>6.10529203011135</v>
      </c>
      <c r="AI34" s="64" t="n">
        <f aca="false">IF(OR(AI$4="",$C34="",$D34="",N($E34)=0),"",$E34*MAX(0,MIN($D34+1,EDATE(AI$4,1))-MAX($C34,AI$4))/MAX(1,$D34+1-$C34))</f>
        <v>5.90834712591421</v>
      </c>
      <c r="AJ34" s="64" t="n">
        <f aca="false">IF(OR(AJ$4="",$C34="",$D34="",N($E34)=0),"",$E34*MAX(0,MIN($D34+1,EDATE(AJ$4,1))-MAX($C34,AJ$4))/MAX(1,$D34+1-$C34))</f>
        <v>6.10529203011135</v>
      </c>
      <c r="AK34" s="64" t="n">
        <f aca="false">IF(OR(AK$4="",$C34="",$D34="",N($E34)=0),"",$E34*MAX(0,MIN($D34+1,EDATE(AK$4,1))-MAX($C34,AK$4))/MAX(1,$D34+1-$C34))</f>
        <v>6.10529203011135</v>
      </c>
      <c r="AL34" s="64" t="n">
        <f aca="false">IF(OR(AL$4="",$C34="",$D34="",N($E34)=0),"",$E34*MAX(0,MIN($D34+1,EDATE(AL$4,1))-MAX($C34,AL$4))/MAX(1,$D34+1-$C34))</f>
        <v>5.90834712591421</v>
      </c>
      <c r="AM34" s="64" t="n">
        <f aca="false">IF(OR(AM$4="",$C34="",$D34="",N($E34)=0),"",$E34*MAX(0,MIN($D34+1,EDATE(AM$4,1))-MAX($C34,AM$4))/MAX(1,$D34+1-$C34))</f>
        <v>6.10529203011135</v>
      </c>
      <c r="AN34" s="64" t="n">
        <f aca="false">IF(OR(AN$4="",$C34="",$D34="",N($E34)=0),"",$E34*MAX(0,MIN($D34+1,EDATE(AN$4,1))-MAX($C34,AN$4))/MAX(1,$D34+1-$C34))</f>
        <v>5.90834712591421</v>
      </c>
      <c r="AO34" s="64" t="n">
        <f aca="false">IF(OR(AO$4="",$C34="",$D34="",N($E34)=0),"",$E34*MAX(0,MIN($D34+1,EDATE(AO$4,1))-MAX($C34,AO$4))/MAX(1,$D34+1-$C34))</f>
        <v>5.51445731751993</v>
      </c>
      <c r="AP34" s="64" t="str">
        <f aca="false">IF(OR(AP$4="",$C34="",$D34="",N($E34)=0),"",$E34*MAX(0,MIN($D34+1,EDATE(AP$4,1))-MAX($C34,AP$4))/MAX(1,$D34+1-$C34))</f>
        <v/>
      </c>
      <c r="AQ34" s="64" t="str">
        <f aca="false">IF(OR(AQ$4="",$C34="",$D34="",N($E34)=0),"",$E34*MAX(0,MIN($D34+1,EDATE(AQ$4,1))-MAX($C34,AQ$4))/MAX(1,$D34+1-$C34))</f>
        <v/>
      </c>
      <c r="AR34" s="64" t="str">
        <f aca="false">IF(OR(AR$4="",$C34="",$D34="",N($E34)=0),"",$E34*MAX(0,MIN($D34+1,EDATE(AR$4,1))-MAX($C34,AR$4))/MAX(1,$D34+1-$C34))</f>
        <v/>
      </c>
      <c r="AS34" s="64" t="str">
        <f aca="false">IF(OR(AS$4="",$C34="",$D34="",N($E34)=0),"",$E34*MAX(0,MIN($D34+1,EDATE(AS$4,1))-MAX($C34,AS$4))/MAX(1,$D34+1-$C34))</f>
        <v/>
      </c>
      <c r="AT34" s="64" t="str">
        <f aca="false">IF(OR(AT$4="",$C34="",$D34="",N($E34)=0),"",$E34*MAX(0,MIN($D34+1,EDATE(AT$4,1))-MAX($C34,AT$4))/MAX(1,$D34+1-$C34))</f>
        <v/>
      </c>
      <c r="AU34" s="64" t="str">
        <f aca="false">IF(OR(AU$4="",$C34="",$D34="",N($E34)=0),"",$E34*MAX(0,MIN($D34+1,EDATE(AU$4,1))-MAX($C34,AU$4))/MAX(1,$D34+1-$C34))</f>
        <v/>
      </c>
      <c r="AV34" s="64" t="str">
        <f aca="false">IF(OR(AV$4="",$C34="",$D34="",N($E34)=0),"",$E34*MAX(0,MIN($D34+1,EDATE(AV$4,1))-MAX($C34,AV$4))/MAX(1,$D34+1-$C34))</f>
        <v/>
      </c>
      <c r="AW34" s="64" t="str">
        <f aca="false">IF(OR(AW$4="",$C34="",$D34="",N($E34)=0),"",$E34*MAX(0,MIN($D34+1,EDATE(AW$4,1))-MAX($C34,AW$4))/MAX(1,$D34+1-$C34))</f>
        <v/>
      </c>
      <c r="AX34" s="64" t="str">
        <f aca="false">IF(OR(AX$4="",$C34="",$D34="",N($E34)=0),"",$E34*MAX(0,MIN($D34+1,EDATE(AX$4,1))-MAX($C34,AX$4))/MAX(1,$D34+1-$C34))</f>
        <v/>
      </c>
      <c r="AY34" s="64" t="str">
        <f aca="false">IF(OR(AY$4="",$C34="",$D34="",N($E34)=0),"",$E34*MAX(0,MIN($D34+1,EDATE(AY$4,1))-MAX($C34,AY$4))/MAX(1,$D34+1-$C34))</f>
        <v/>
      </c>
      <c r="AZ34" s="64" t="str">
        <f aca="false">IF(OR(AZ$4="",$C34="",$D34="",N($E34)=0),"",$E34*MAX(0,MIN($D34+1,EDATE(AZ$4,1))-MAX($C34,AZ$4))/MAX(1,$D34+1-$C34))</f>
        <v/>
      </c>
      <c r="BA34" s="64" t="str">
        <f aca="false">IF(OR(BA$4="",$C34="",$D34="",N($E34)=0),"",$E34*MAX(0,MIN($D34+1,EDATE(BA$4,1))-MAX($C34,BA$4))/MAX(1,$D34+1-$C34))</f>
        <v/>
      </c>
      <c r="BB34" s="64" t="str">
        <f aca="false">IF(OR(BB$4="",$C34="",$D34="",N($E34)=0),"",$E34*MAX(0,MIN($D34+1,EDATE(BB$4,1))-MAX($C34,BB$4))/MAX(1,$D34+1-$C34))</f>
        <v/>
      </c>
      <c r="BC34" s="64" t="str">
        <f aca="false">IF(OR(BC$4="",$C34="",$D34="",N($E34)=0),"",$E34*MAX(0,MIN($D34+1,EDATE(BC$4,1))-MAX($C34,BC$4))/MAX(1,$D34+1-$C34))</f>
        <v/>
      </c>
      <c r="BD34" s="64" t="str">
        <f aca="false">IF(OR(BD$4="",$C34="",$D34="",N($E34)=0),"",$E34*MAX(0,MIN($D34+1,EDATE(BD$4,1))-MAX($C34,BD$4))/MAX(1,$D34+1-$C34))</f>
        <v/>
      </c>
      <c r="BE34" s="64" t="str">
        <f aca="false">IF(OR(BE$4="",$C34="",$D34="",N($E34)=0),"",$E34*MAX(0,MIN($D34+1,EDATE(BE$4,1))-MAX($C34,BE$4))/MAX(1,$D34+1-$C34))</f>
        <v/>
      </c>
      <c r="BF34" s="64" t="str">
        <f aca="false">IF(OR(BF$4="",$C34="",$D34="",N($E34)=0),"",$E34*MAX(0,MIN($D34+1,EDATE(BF$4,1))-MAX($C34,BF$4))/MAX(1,$D34+1-$C34))</f>
        <v/>
      </c>
      <c r="BG34" s="64" t="str">
        <f aca="false">IF(OR(BG$4="",$C34="",$D34="",N($E34)=0),"",$E34*MAX(0,MIN($D34+1,EDATE(BG$4,1))-MAX($C34,BG$4))/MAX(1,$D34+1-$C34))</f>
        <v/>
      </c>
      <c r="BH34" s="64" t="str">
        <f aca="false">IF(OR(BH$4="",$C34="",$D34="",N($E34)=0),"",$E34*MAX(0,MIN($D34+1,EDATE(BH$4,1))-MAX($C34,BH$4))/MAX(1,$D34+1-$C34))</f>
        <v/>
      </c>
      <c r="BI34" s="64" t="str">
        <f aca="false">IF(OR(BI$4="",$C34="",$D34="",N($E34)=0),"",$E34*MAX(0,MIN($D34+1,EDATE(BI$4,1))-MAX($C34,BI$4))/MAX(1,$D34+1-$C34))</f>
        <v/>
      </c>
      <c r="BJ34" s="64" t="str">
        <f aca="false">IF(OR(BJ$4="",$C34="",$D34="",N($E34)=0),"",$E34*MAX(0,MIN($D34+1,EDATE(BJ$4,1))-MAX($C34,BJ$4))/MAX(1,$D34+1-$C34))</f>
        <v/>
      </c>
      <c r="BK34" s="64" t="str">
        <f aca="false">IF(OR(BK$4="",$C34="",$D34="",N($E34)=0),"",$E34*MAX(0,MIN($D34+1,EDATE(BK$4,1))-MAX($C34,BK$4))/MAX(1,$D34+1-$C34))</f>
        <v/>
      </c>
      <c r="BL34" s="64" t="str">
        <f aca="false">IF(OR(BL$4="",$C34="",$D34="",N($E34)=0),"",$E34*MAX(0,MIN($D34+1,EDATE(BL$4,1))-MAX($C34,BL$4))/MAX(1,$D34+1-$C34))</f>
        <v/>
      </c>
      <c r="BM34" s="64" t="str">
        <f aca="false">IF(OR(BM$4="",$C34="",$D34="",N($E34)=0),"",$E34*MAX(0,MIN($D34+1,EDATE(BM$4,1))-MAX($C34,BM$4))/MAX(1,$D34+1-$C34))</f>
        <v/>
      </c>
      <c r="BN34" s="64" t="str">
        <f aca="false">IF(OR(BN$4="",$C34="",$D34="",N($E34)=0),"",$E34*MAX(0,MIN($D34+1,EDATE(BN$4,1))-MAX($C34,BN$4))/MAX(1,$D34+1-$C34))</f>
        <v/>
      </c>
      <c r="BO34" s="64" t="str">
        <f aca="false">IF(OR(BO$4="",$C34="",$D34="",N($E34)=0),"",$E34*MAX(0,MIN($D34+1,EDATE(BO$4,1))-MAX($C34,BO$4))/MAX(1,$D34+1-$C34))</f>
        <v/>
      </c>
      <c r="BP34" s="64" t="str">
        <f aca="false">IF(OR(BP$4="",$C34="",$D34="",N($E34)=0),"",$E34*MAX(0,MIN($D34+1,EDATE(BP$4,1))-MAX($C34,BP$4))/MAX(1,$D34+1-$C34))</f>
        <v/>
      </c>
      <c r="BQ34" s="64" t="str">
        <f aca="false">IF(OR(BQ$4="",$C34="",$D34="",N($E34)=0),"",$E34*MAX(0,MIN($D34+1,EDATE(BQ$4,1))-MAX($C34,BQ$4))/MAX(1,$D34+1-$C34))</f>
        <v/>
      </c>
      <c r="BR34" s="64" t="str">
        <f aca="false">IF(OR(BR$4="",$C34="",$D34="",N($E34)=0),"",$E34*MAX(0,MIN($D34+1,EDATE(BR$4,1))-MAX($C34,BR$4))/MAX(1,$D34+1-$C34))</f>
        <v/>
      </c>
      <c r="BS34" s="64" t="str">
        <f aca="false">IF(OR(BS$4="",$C34="",$D34="",N($E34)=0),"",$E34*MAX(0,MIN($D34+1,EDATE(BS$4,1))-MAX($C34,BS$4))/MAX(1,$D34+1-$C34))</f>
        <v/>
      </c>
      <c r="BT34" s="64" t="str">
        <f aca="false">IF(OR(BT$4="",$C34="",$D34="",N($E34)=0),"",$E34*MAX(0,MIN($D34+1,EDATE(BT$4,1))-MAX($C34,BT$4))/MAX(1,$D34+1-$C34))</f>
        <v/>
      </c>
      <c r="BU34" s="64" t="str">
        <f aca="false">IF(OR(BU$4="",$C34="",$D34="",N($E34)=0),"",$E34*MAX(0,MIN($D34+1,EDATE(BU$4,1))-MAX($C34,BU$4))/MAX(1,$D34+1-$C34))</f>
        <v/>
      </c>
      <c r="BV34" s="64" t="str">
        <f aca="false">IF(OR(BV$4="",$C34="",$D34="",N($E34)=0),"",$E34*MAX(0,MIN($D34+1,EDATE(BV$4,1))-MAX($C34,BV$4))/MAX(1,$D34+1-$C34))</f>
        <v/>
      </c>
      <c r="BW34" s="64" t="str">
        <f aca="false">IF(OR(BW$4="",$C34="",$D34="",N($E34)=0),"",$E34*MAX(0,MIN($D34+1,EDATE(BW$4,1))-MAX($C34,BW$4))/MAX(1,$D34+1-$C34))</f>
        <v/>
      </c>
      <c r="BX34" s="64" t="str">
        <f aca="false">IF(OR(BX$4="",$C34="",$D34="",N($E34)=0),"",$E34*MAX(0,MIN($D34+1,EDATE(BX$4,1))-MAX($C34,BX$4))/MAX(1,$D34+1-$C34))</f>
        <v/>
      </c>
      <c r="BY34" s="64" t="str">
        <f aca="false">IF(OR(BY$4="",$C34="",$D34="",N($E34)=0),"",$E34*MAX(0,MIN($D34+1,EDATE(BY$4,1))-MAX($C34,BY$4))/MAX(1,$D34+1-$C34))</f>
        <v/>
      </c>
    </row>
    <row r="35" customFormat="false" ht="15" hidden="false" customHeight="false" outlineLevel="0" collapsed="false">
      <c r="A35" s="61" t="str">
        <f aca="false">IF(BOE!$A36="","",BOE!$A36)</f>
        <v/>
      </c>
      <c r="B35" s="61" t="str">
        <f aca="false">IF(BOE!$A36="","",BOE!$C36)</f>
        <v/>
      </c>
      <c r="C35" s="62" t="str">
        <f aca="false">IF(BOE!$O36="","",BOE!$O36)</f>
        <v/>
      </c>
      <c r="D35" s="62" t="str">
        <f aca="false">IF(BOE!$P36="","",BOE!$P36)</f>
        <v/>
      </c>
      <c r="E35" s="63" t="n">
        <f aca="false">IF(Inputs!$B$7="P90",BOE!$T36,BOE!$R36)</f>
        <v>0</v>
      </c>
      <c r="F35" s="64" t="str">
        <f aca="false">IF(OR(F$4="",$C35="",$D35="",N($E35)=0),"",$E35*MAX(0,MIN($D35+1,EDATE(F$4,1))-MAX($C35,F$4))/MAX(1,$D35+1-$C35))</f>
        <v/>
      </c>
      <c r="G35" s="64" t="str">
        <f aca="false">IF(OR(G$4="",$C35="",$D35="",N($E35)=0),"",$E35*MAX(0,MIN($D35+1,EDATE(G$4,1))-MAX($C35,G$4))/MAX(1,$D35+1-$C35))</f>
        <v/>
      </c>
      <c r="H35" s="64" t="str">
        <f aca="false">IF(OR(H$4="",$C35="",$D35="",N($E35)=0),"",$E35*MAX(0,MIN($D35+1,EDATE(H$4,1))-MAX($C35,H$4))/MAX(1,$D35+1-$C35))</f>
        <v/>
      </c>
      <c r="I35" s="64" t="str">
        <f aca="false">IF(OR(I$4="",$C35="",$D35="",N($E35)=0),"",$E35*MAX(0,MIN($D35+1,EDATE(I$4,1))-MAX($C35,I$4))/MAX(1,$D35+1-$C35))</f>
        <v/>
      </c>
      <c r="J35" s="64" t="str">
        <f aca="false">IF(OR(J$4="",$C35="",$D35="",N($E35)=0),"",$E35*MAX(0,MIN($D35+1,EDATE(J$4,1))-MAX($C35,J$4))/MAX(1,$D35+1-$C35))</f>
        <v/>
      </c>
      <c r="K35" s="64" t="str">
        <f aca="false">IF(OR(K$4="",$C35="",$D35="",N($E35)=0),"",$E35*MAX(0,MIN($D35+1,EDATE(K$4,1))-MAX($C35,K$4))/MAX(1,$D35+1-$C35))</f>
        <v/>
      </c>
      <c r="L35" s="64" t="str">
        <f aca="false">IF(OR(L$4="",$C35="",$D35="",N($E35)=0),"",$E35*MAX(0,MIN($D35+1,EDATE(L$4,1))-MAX($C35,L$4))/MAX(1,$D35+1-$C35))</f>
        <v/>
      </c>
      <c r="M35" s="64" t="str">
        <f aca="false">IF(OR(M$4="",$C35="",$D35="",N($E35)=0),"",$E35*MAX(0,MIN($D35+1,EDATE(M$4,1))-MAX($C35,M$4))/MAX(1,$D35+1-$C35))</f>
        <v/>
      </c>
      <c r="N35" s="64" t="str">
        <f aca="false">IF(OR(N$4="",$C35="",$D35="",N($E35)=0),"",$E35*MAX(0,MIN($D35+1,EDATE(N$4,1))-MAX($C35,N$4))/MAX(1,$D35+1-$C35))</f>
        <v/>
      </c>
      <c r="O35" s="64" t="str">
        <f aca="false">IF(OR(O$4="",$C35="",$D35="",N($E35)=0),"",$E35*MAX(0,MIN($D35+1,EDATE(O$4,1))-MAX($C35,O$4))/MAX(1,$D35+1-$C35))</f>
        <v/>
      </c>
      <c r="P35" s="64" t="str">
        <f aca="false">IF(OR(P$4="",$C35="",$D35="",N($E35)=0),"",$E35*MAX(0,MIN($D35+1,EDATE(P$4,1))-MAX($C35,P$4))/MAX(1,$D35+1-$C35))</f>
        <v/>
      </c>
      <c r="Q35" s="64" t="str">
        <f aca="false">IF(OR(Q$4="",$C35="",$D35="",N($E35)=0),"",$E35*MAX(0,MIN($D35+1,EDATE(Q$4,1))-MAX($C35,Q$4))/MAX(1,$D35+1-$C35))</f>
        <v/>
      </c>
      <c r="R35" s="64" t="str">
        <f aca="false">IF(OR(R$4="",$C35="",$D35="",N($E35)=0),"",$E35*MAX(0,MIN($D35+1,EDATE(R$4,1))-MAX($C35,R$4))/MAX(1,$D35+1-$C35))</f>
        <v/>
      </c>
      <c r="S35" s="64" t="str">
        <f aca="false">IF(OR(S$4="",$C35="",$D35="",N($E35)=0),"",$E35*MAX(0,MIN($D35+1,EDATE(S$4,1))-MAX($C35,S$4))/MAX(1,$D35+1-$C35))</f>
        <v/>
      </c>
      <c r="T35" s="64" t="str">
        <f aca="false">IF(OR(T$4="",$C35="",$D35="",N($E35)=0),"",$E35*MAX(0,MIN($D35+1,EDATE(T$4,1))-MAX($C35,T$4))/MAX(1,$D35+1-$C35))</f>
        <v/>
      </c>
      <c r="U35" s="64" t="str">
        <f aca="false">IF(OR(U$4="",$C35="",$D35="",N($E35)=0),"",$E35*MAX(0,MIN($D35+1,EDATE(U$4,1))-MAX($C35,U$4))/MAX(1,$D35+1-$C35))</f>
        <v/>
      </c>
      <c r="V35" s="64" t="str">
        <f aca="false">IF(OR(V$4="",$C35="",$D35="",N($E35)=0),"",$E35*MAX(0,MIN($D35+1,EDATE(V$4,1))-MAX($C35,V$4))/MAX(1,$D35+1-$C35))</f>
        <v/>
      </c>
      <c r="W35" s="64" t="str">
        <f aca="false">IF(OR(W$4="",$C35="",$D35="",N($E35)=0),"",$E35*MAX(0,MIN($D35+1,EDATE(W$4,1))-MAX($C35,W$4))/MAX(1,$D35+1-$C35))</f>
        <v/>
      </c>
      <c r="X35" s="64" t="str">
        <f aca="false">IF(OR(X$4="",$C35="",$D35="",N($E35)=0),"",$E35*MAX(0,MIN($D35+1,EDATE(X$4,1))-MAX($C35,X$4))/MAX(1,$D35+1-$C35))</f>
        <v/>
      </c>
      <c r="Y35" s="64" t="str">
        <f aca="false">IF(OR(Y$4="",$C35="",$D35="",N($E35)=0),"",$E35*MAX(0,MIN($D35+1,EDATE(Y$4,1))-MAX($C35,Y$4))/MAX(1,$D35+1-$C35))</f>
        <v/>
      </c>
      <c r="Z35" s="64" t="str">
        <f aca="false">IF(OR(Z$4="",$C35="",$D35="",N($E35)=0),"",$E35*MAX(0,MIN($D35+1,EDATE(Z$4,1))-MAX($C35,Z$4))/MAX(1,$D35+1-$C35))</f>
        <v/>
      </c>
      <c r="AA35" s="64" t="str">
        <f aca="false">IF(OR(AA$4="",$C35="",$D35="",N($E35)=0),"",$E35*MAX(0,MIN($D35+1,EDATE(AA$4,1))-MAX($C35,AA$4))/MAX(1,$D35+1-$C35))</f>
        <v/>
      </c>
      <c r="AB35" s="64" t="str">
        <f aca="false">IF(OR(AB$4="",$C35="",$D35="",N($E35)=0),"",$E35*MAX(0,MIN($D35+1,EDATE(AB$4,1))-MAX($C35,AB$4))/MAX(1,$D35+1-$C35))</f>
        <v/>
      </c>
      <c r="AC35" s="64" t="str">
        <f aca="false">IF(OR(AC$4="",$C35="",$D35="",N($E35)=0),"",$E35*MAX(0,MIN($D35+1,EDATE(AC$4,1))-MAX($C35,AC$4))/MAX(1,$D35+1-$C35))</f>
        <v/>
      </c>
      <c r="AD35" s="64" t="str">
        <f aca="false">IF(OR(AD$4="",$C35="",$D35="",N($E35)=0),"",$E35*MAX(0,MIN($D35+1,EDATE(AD$4,1))-MAX($C35,AD$4))/MAX(1,$D35+1-$C35))</f>
        <v/>
      </c>
      <c r="AE35" s="64" t="str">
        <f aca="false">IF(OR(AE$4="",$C35="",$D35="",N($E35)=0),"",$E35*MAX(0,MIN($D35+1,EDATE(AE$4,1))-MAX($C35,AE$4))/MAX(1,$D35+1-$C35))</f>
        <v/>
      </c>
      <c r="AF35" s="64" t="str">
        <f aca="false">IF(OR(AF$4="",$C35="",$D35="",N($E35)=0),"",$E35*MAX(0,MIN($D35+1,EDATE(AF$4,1))-MAX($C35,AF$4))/MAX(1,$D35+1-$C35))</f>
        <v/>
      </c>
      <c r="AG35" s="64" t="str">
        <f aca="false">IF(OR(AG$4="",$C35="",$D35="",N($E35)=0),"",$E35*MAX(0,MIN($D35+1,EDATE(AG$4,1))-MAX($C35,AG$4))/MAX(1,$D35+1-$C35))</f>
        <v/>
      </c>
      <c r="AH35" s="64" t="str">
        <f aca="false">IF(OR(AH$4="",$C35="",$D35="",N($E35)=0),"",$E35*MAX(0,MIN($D35+1,EDATE(AH$4,1))-MAX($C35,AH$4))/MAX(1,$D35+1-$C35))</f>
        <v/>
      </c>
      <c r="AI35" s="64" t="str">
        <f aca="false">IF(OR(AI$4="",$C35="",$D35="",N($E35)=0),"",$E35*MAX(0,MIN($D35+1,EDATE(AI$4,1))-MAX($C35,AI$4))/MAX(1,$D35+1-$C35))</f>
        <v/>
      </c>
      <c r="AJ35" s="64" t="str">
        <f aca="false">IF(OR(AJ$4="",$C35="",$D35="",N($E35)=0),"",$E35*MAX(0,MIN($D35+1,EDATE(AJ$4,1))-MAX($C35,AJ$4))/MAX(1,$D35+1-$C35))</f>
        <v/>
      </c>
      <c r="AK35" s="64" t="str">
        <f aca="false">IF(OR(AK$4="",$C35="",$D35="",N($E35)=0),"",$E35*MAX(0,MIN($D35+1,EDATE(AK$4,1))-MAX($C35,AK$4))/MAX(1,$D35+1-$C35))</f>
        <v/>
      </c>
      <c r="AL35" s="64" t="str">
        <f aca="false">IF(OR(AL$4="",$C35="",$D35="",N($E35)=0),"",$E35*MAX(0,MIN($D35+1,EDATE(AL$4,1))-MAX($C35,AL$4))/MAX(1,$D35+1-$C35))</f>
        <v/>
      </c>
      <c r="AM35" s="64" t="str">
        <f aca="false">IF(OR(AM$4="",$C35="",$D35="",N($E35)=0),"",$E35*MAX(0,MIN($D35+1,EDATE(AM$4,1))-MAX($C35,AM$4))/MAX(1,$D35+1-$C35))</f>
        <v/>
      </c>
      <c r="AN35" s="64" t="str">
        <f aca="false">IF(OR(AN$4="",$C35="",$D35="",N($E35)=0),"",$E35*MAX(0,MIN($D35+1,EDATE(AN$4,1))-MAX($C35,AN$4))/MAX(1,$D35+1-$C35))</f>
        <v/>
      </c>
      <c r="AO35" s="64" t="str">
        <f aca="false">IF(OR(AO$4="",$C35="",$D35="",N($E35)=0),"",$E35*MAX(0,MIN($D35+1,EDATE(AO$4,1))-MAX($C35,AO$4))/MAX(1,$D35+1-$C35))</f>
        <v/>
      </c>
      <c r="AP35" s="64" t="str">
        <f aca="false">IF(OR(AP$4="",$C35="",$D35="",N($E35)=0),"",$E35*MAX(0,MIN($D35+1,EDATE(AP$4,1))-MAX($C35,AP$4))/MAX(1,$D35+1-$C35))</f>
        <v/>
      </c>
      <c r="AQ35" s="64" t="str">
        <f aca="false">IF(OR(AQ$4="",$C35="",$D35="",N($E35)=0),"",$E35*MAX(0,MIN($D35+1,EDATE(AQ$4,1))-MAX($C35,AQ$4))/MAX(1,$D35+1-$C35))</f>
        <v/>
      </c>
      <c r="AR35" s="64" t="str">
        <f aca="false">IF(OR(AR$4="",$C35="",$D35="",N($E35)=0),"",$E35*MAX(0,MIN($D35+1,EDATE(AR$4,1))-MAX($C35,AR$4))/MAX(1,$D35+1-$C35))</f>
        <v/>
      </c>
      <c r="AS35" s="64" t="str">
        <f aca="false">IF(OR(AS$4="",$C35="",$D35="",N($E35)=0),"",$E35*MAX(0,MIN($D35+1,EDATE(AS$4,1))-MAX($C35,AS$4))/MAX(1,$D35+1-$C35))</f>
        <v/>
      </c>
      <c r="AT35" s="64" t="str">
        <f aca="false">IF(OR(AT$4="",$C35="",$D35="",N($E35)=0),"",$E35*MAX(0,MIN($D35+1,EDATE(AT$4,1))-MAX($C35,AT$4))/MAX(1,$D35+1-$C35))</f>
        <v/>
      </c>
      <c r="AU35" s="64" t="str">
        <f aca="false">IF(OR(AU$4="",$C35="",$D35="",N($E35)=0),"",$E35*MAX(0,MIN($D35+1,EDATE(AU$4,1))-MAX($C35,AU$4))/MAX(1,$D35+1-$C35))</f>
        <v/>
      </c>
      <c r="AV35" s="64" t="str">
        <f aca="false">IF(OR(AV$4="",$C35="",$D35="",N($E35)=0),"",$E35*MAX(0,MIN($D35+1,EDATE(AV$4,1))-MAX($C35,AV$4))/MAX(1,$D35+1-$C35))</f>
        <v/>
      </c>
      <c r="AW35" s="64" t="str">
        <f aca="false">IF(OR(AW$4="",$C35="",$D35="",N($E35)=0),"",$E35*MAX(0,MIN($D35+1,EDATE(AW$4,1))-MAX($C35,AW$4))/MAX(1,$D35+1-$C35))</f>
        <v/>
      </c>
      <c r="AX35" s="64" t="str">
        <f aca="false">IF(OR(AX$4="",$C35="",$D35="",N($E35)=0),"",$E35*MAX(0,MIN($D35+1,EDATE(AX$4,1))-MAX($C35,AX$4))/MAX(1,$D35+1-$C35))</f>
        <v/>
      </c>
      <c r="AY35" s="64" t="str">
        <f aca="false">IF(OR(AY$4="",$C35="",$D35="",N($E35)=0),"",$E35*MAX(0,MIN($D35+1,EDATE(AY$4,1))-MAX($C35,AY$4))/MAX(1,$D35+1-$C35))</f>
        <v/>
      </c>
      <c r="AZ35" s="64" t="str">
        <f aca="false">IF(OR(AZ$4="",$C35="",$D35="",N($E35)=0),"",$E35*MAX(0,MIN($D35+1,EDATE(AZ$4,1))-MAX($C35,AZ$4))/MAX(1,$D35+1-$C35))</f>
        <v/>
      </c>
      <c r="BA35" s="64" t="str">
        <f aca="false">IF(OR(BA$4="",$C35="",$D35="",N($E35)=0),"",$E35*MAX(0,MIN($D35+1,EDATE(BA$4,1))-MAX($C35,BA$4))/MAX(1,$D35+1-$C35))</f>
        <v/>
      </c>
      <c r="BB35" s="64" t="str">
        <f aca="false">IF(OR(BB$4="",$C35="",$D35="",N($E35)=0),"",$E35*MAX(0,MIN($D35+1,EDATE(BB$4,1))-MAX($C35,BB$4))/MAX(1,$D35+1-$C35))</f>
        <v/>
      </c>
      <c r="BC35" s="64" t="str">
        <f aca="false">IF(OR(BC$4="",$C35="",$D35="",N($E35)=0),"",$E35*MAX(0,MIN($D35+1,EDATE(BC$4,1))-MAX($C35,BC$4))/MAX(1,$D35+1-$C35))</f>
        <v/>
      </c>
      <c r="BD35" s="64" t="str">
        <f aca="false">IF(OR(BD$4="",$C35="",$D35="",N($E35)=0),"",$E35*MAX(0,MIN($D35+1,EDATE(BD$4,1))-MAX($C35,BD$4))/MAX(1,$D35+1-$C35))</f>
        <v/>
      </c>
      <c r="BE35" s="64" t="str">
        <f aca="false">IF(OR(BE$4="",$C35="",$D35="",N($E35)=0),"",$E35*MAX(0,MIN($D35+1,EDATE(BE$4,1))-MAX($C35,BE$4))/MAX(1,$D35+1-$C35))</f>
        <v/>
      </c>
      <c r="BF35" s="64" t="str">
        <f aca="false">IF(OR(BF$4="",$C35="",$D35="",N($E35)=0),"",$E35*MAX(0,MIN($D35+1,EDATE(BF$4,1))-MAX($C35,BF$4))/MAX(1,$D35+1-$C35))</f>
        <v/>
      </c>
      <c r="BG35" s="64" t="str">
        <f aca="false">IF(OR(BG$4="",$C35="",$D35="",N($E35)=0),"",$E35*MAX(0,MIN($D35+1,EDATE(BG$4,1))-MAX($C35,BG$4))/MAX(1,$D35+1-$C35))</f>
        <v/>
      </c>
      <c r="BH35" s="64" t="str">
        <f aca="false">IF(OR(BH$4="",$C35="",$D35="",N($E35)=0),"",$E35*MAX(0,MIN($D35+1,EDATE(BH$4,1))-MAX($C35,BH$4))/MAX(1,$D35+1-$C35))</f>
        <v/>
      </c>
      <c r="BI35" s="64" t="str">
        <f aca="false">IF(OR(BI$4="",$C35="",$D35="",N($E35)=0),"",$E35*MAX(0,MIN($D35+1,EDATE(BI$4,1))-MAX($C35,BI$4))/MAX(1,$D35+1-$C35))</f>
        <v/>
      </c>
      <c r="BJ35" s="64" t="str">
        <f aca="false">IF(OR(BJ$4="",$C35="",$D35="",N($E35)=0),"",$E35*MAX(0,MIN($D35+1,EDATE(BJ$4,1))-MAX($C35,BJ$4))/MAX(1,$D35+1-$C35))</f>
        <v/>
      </c>
      <c r="BK35" s="64" t="str">
        <f aca="false">IF(OR(BK$4="",$C35="",$D35="",N($E35)=0),"",$E35*MAX(0,MIN($D35+1,EDATE(BK$4,1))-MAX($C35,BK$4))/MAX(1,$D35+1-$C35))</f>
        <v/>
      </c>
      <c r="BL35" s="64" t="str">
        <f aca="false">IF(OR(BL$4="",$C35="",$D35="",N($E35)=0),"",$E35*MAX(0,MIN($D35+1,EDATE(BL$4,1))-MAX($C35,BL$4))/MAX(1,$D35+1-$C35))</f>
        <v/>
      </c>
      <c r="BM35" s="64" t="str">
        <f aca="false">IF(OR(BM$4="",$C35="",$D35="",N($E35)=0),"",$E35*MAX(0,MIN($D35+1,EDATE(BM$4,1))-MAX($C35,BM$4))/MAX(1,$D35+1-$C35))</f>
        <v/>
      </c>
      <c r="BN35" s="64" t="str">
        <f aca="false">IF(OR(BN$4="",$C35="",$D35="",N($E35)=0),"",$E35*MAX(0,MIN($D35+1,EDATE(BN$4,1))-MAX($C35,BN$4))/MAX(1,$D35+1-$C35))</f>
        <v/>
      </c>
      <c r="BO35" s="64" t="str">
        <f aca="false">IF(OR(BO$4="",$C35="",$D35="",N($E35)=0),"",$E35*MAX(0,MIN($D35+1,EDATE(BO$4,1))-MAX($C35,BO$4))/MAX(1,$D35+1-$C35))</f>
        <v/>
      </c>
      <c r="BP35" s="64" t="str">
        <f aca="false">IF(OR(BP$4="",$C35="",$D35="",N($E35)=0),"",$E35*MAX(0,MIN($D35+1,EDATE(BP$4,1))-MAX($C35,BP$4))/MAX(1,$D35+1-$C35))</f>
        <v/>
      </c>
      <c r="BQ35" s="64" t="str">
        <f aca="false">IF(OR(BQ$4="",$C35="",$D35="",N($E35)=0),"",$E35*MAX(0,MIN($D35+1,EDATE(BQ$4,1))-MAX($C35,BQ$4))/MAX(1,$D35+1-$C35))</f>
        <v/>
      </c>
      <c r="BR35" s="64" t="str">
        <f aca="false">IF(OR(BR$4="",$C35="",$D35="",N($E35)=0),"",$E35*MAX(0,MIN($D35+1,EDATE(BR$4,1))-MAX($C35,BR$4))/MAX(1,$D35+1-$C35))</f>
        <v/>
      </c>
      <c r="BS35" s="64" t="str">
        <f aca="false">IF(OR(BS$4="",$C35="",$D35="",N($E35)=0),"",$E35*MAX(0,MIN($D35+1,EDATE(BS$4,1))-MAX($C35,BS$4))/MAX(1,$D35+1-$C35))</f>
        <v/>
      </c>
      <c r="BT35" s="64" t="str">
        <f aca="false">IF(OR(BT$4="",$C35="",$D35="",N($E35)=0),"",$E35*MAX(0,MIN($D35+1,EDATE(BT$4,1))-MAX($C35,BT$4))/MAX(1,$D35+1-$C35))</f>
        <v/>
      </c>
      <c r="BU35" s="64" t="str">
        <f aca="false">IF(OR(BU$4="",$C35="",$D35="",N($E35)=0),"",$E35*MAX(0,MIN($D35+1,EDATE(BU$4,1))-MAX($C35,BU$4))/MAX(1,$D35+1-$C35))</f>
        <v/>
      </c>
      <c r="BV35" s="64" t="str">
        <f aca="false">IF(OR(BV$4="",$C35="",$D35="",N($E35)=0),"",$E35*MAX(0,MIN($D35+1,EDATE(BV$4,1))-MAX($C35,BV$4))/MAX(1,$D35+1-$C35))</f>
        <v/>
      </c>
      <c r="BW35" s="64" t="str">
        <f aca="false">IF(OR(BW$4="",$C35="",$D35="",N($E35)=0),"",$E35*MAX(0,MIN($D35+1,EDATE(BW$4,1))-MAX($C35,BW$4))/MAX(1,$D35+1-$C35))</f>
        <v/>
      </c>
      <c r="BX35" s="64" t="str">
        <f aca="false">IF(OR(BX$4="",$C35="",$D35="",N($E35)=0),"",$E35*MAX(0,MIN($D35+1,EDATE(BX$4,1))-MAX($C35,BX$4))/MAX(1,$D35+1-$C35))</f>
        <v/>
      </c>
      <c r="BY35" s="64" t="str">
        <f aca="false">IF(OR(BY$4="",$C35="",$D35="",N($E35)=0),"",$E35*MAX(0,MIN($D35+1,EDATE(BY$4,1))-MAX($C35,BY$4))/MAX(1,$D35+1-$C35))</f>
        <v/>
      </c>
    </row>
    <row r="36" customFormat="false" ht="15" hidden="false" customHeight="false" outlineLevel="0" collapsed="false">
      <c r="A36" s="61" t="str">
        <f aca="false">IF(BOE!$A37="","",BOE!$A37)</f>
        <v/>
      </c>
      <c r="B36" s="61" t="str">
        <f aca="false">IF(BOE!$A37="","",BOE!$C37)</f>
        <v/>
      </c>
      <c r="C36" s="62" t="str">
        <f aca="false">IF(BOE!$O37="","",BOE!$O37)</f>
        <v/>
      </c>
      <c r="D36" s="62" t="str">
        <f aca="false">IF(BOE!$P37="","",BOE!$P37)</f>
        <v/>
      </c>
      <c r="E36" s="63" t="n">
        <f aca="false">IF(Inputs!$B$7="P90",BOE!$T37,BOE!$R37)</f>
        <v>0</v>
      </c>
      <c r="F36" s="64" t="str">
        <f aca="false">IF(OR(F$4="",$C36="",$D36="",N($E36)=0),"",$E36*MAX(0,MIN($D36+1,EDATE(F$4,1))-MAX($C36,F$4))/MAX(1,$D36+1-$C36))</f>
        <v/>
      </c>
      <c r="G36" s="64" t="str">
        <f aca="false">IF(OR(G$4="",$C36="",$D36="",N($E36)=0),"",$E36*MAX(0,MIN($D36+1,EDATE(G$4,1))-MAX($C36,G$4))/MAX(1,$D36+1-$C36))</f>
        <v/>
      </c>
      <c r="H36" s="64" t="str">
        <f aca="false">IF(OR(H$4="",$C36="",$D36="",N($E36)=0),"",$E36*MAX(0,MIN($D36+1,EDATE(H$4,1))-MAX($C36,H$4))/MAX(1,$D36+1-$C36))</f>
        <v/>
      </c>
      <c r="I36" s="64" t="str">
        <f aca="false">IF(OR(I$4="",$C36="",$D36="",N($E36)=0),"",$E36*MAX(0,MIN($D36+1,EDATE(I$4,1))-MAX($C36,I$4))/MAX(1,$D36+1-$C36))</f>
        <v/>
      </c>
      <c r="J36" s="64" t="str">
        <f aca="false">IF(OR(J$4="",$C36="",$D36="",N($E36)=0),"",$E36*MAX(0,MIN($D36+1,EDATE(J$4,1))-MAX($C36,J$4))/MAX(1,$D36+1-$C36))</f>
        <v/>
      </c>
      <c r="K36" s="64" t="str">
        <f aca="false">IF(OR(K$4="",$C36="",$D36="",N($E36)=0),"",$E36*MAX(0,MIN($D36+1,EDATE(K$4,1))-MAX($C36,K$4))/MAX(1,$D36+1-$C36))</f>
        <v/>
      </c>
      <c r="L36" s="64" t="str">
        <f aca="false">IF(OR(L$4="",$C36="",$D36="",N($E36)=0),"",$E36*MAX(0,MIN($D36+1,EDATE(L$4,1))-MAX($C36,L$4))/MAX(1,$D36+1-$C36))</f>
        <v/>
      </c>
      <c r="M36" s="64" t="str">
        <f aca="false">IF(OR(M$4="",$C36="",$D36="",N($E36)=0),"",$E36*MAX(0,MIN($D36+1,EDATE(M$4,1))-MAX($C36,M$4))/MAX(1,$D36+1-$C36))</f>
        <v/>
      </c>
      <c r="N36" s="64" t="str">
        <f aca="false">IF(OR(N$4="",$C36="",$D36="",N($E36)=0),"",$E36*MAX(0,MIN($D36+1,EDATE(N$4,1))-MAX($C36,N$4))/MAX(1,$D36+1-$C36))</f>
        <v/>
      </c>
      <c r="O36" s="64" t="str">
        <f aca="false">IF(OR(O$4="",$C36="",$D36="",N($E36)=0),"",$E36*MAX(0,MIN($D36+1,EDATE(O$4,1))-MAX($C36,O$4))/MAX(1,$D36+1-$C36))</f>
        <v/>
      </c>
      <c r="P36" s="64" t="str">
        <f aca="false">IF(OR(P$4="",$C36="",$D36="",N($E36)=0),"",$E36*MAX(0,MIN($D36+1,EDATE(P$4,1))-MAX($C36,P$4))/MAX(1,$D36+1-$C36))</f>
        <v/>
      </c>
      <c r="Q36" s="64" t="str">
        <f aca="false">IF(OR(Q$4="",$C36="",$D36="",N($E36)=0),"",$E36*MAX(0,MIN($D36+1,EDATE(Q$4,1))-MAX($C36,Q$4))/MAX(1,$D36+1-$C36))</f>
        <v/>
      </c>
      <c r="R36" s="64" t="str">
        <f aca="false">IF(OR(R$4="",$C36="",$D36="",N($E36)=0),"",$E36*MAX(0,MIN($D36+1,EDATE(R$4,1))-MAX($C36,R$4))/MAX(1,$D36+1-$C36))</f>
        <v/>
      </c>
      <c r="S36" s="64" t="str">
        <f aca="false">IF(OR(S$4="",$C36="",$D36="",N($E36)=0),"",$E36*MAX(0,MIN($D36+1,EDATE(S$4,1))-MAX($C36,S$4))/MAX(1,$D36+1-$C36))</f>
        <v/>
      </c>
      <c r="T36" s="64" t="str">
        <f aca="false">IF(OR(T$4="",$C36="",$D36="",N($E36)=0),"",$E36*MAX(0,MIN($D36+1,EDATE(T$4,1))-MAX($C36,T$4))/MAX(1,$D36+1-$C36))</f>
        <v/>
      </c>
      <c r="U36" s="64" t="str">
        <f aca="false">IF(OR(U$4="",$C36="",$D36="",N($E36)=0),"",$E36*MAX(0,MIN($D36+1,EDATE(U$4,1))-MAX($C36,U$4))/MAX(1,$D36+1-$C36))</f>
        <v/>
      </c>
      <c r="V36" s="64" t="str">
        <f aca="false">IF(OR(V$4="",$C36="",$D36="",N($E36)=0),"",$E36*MAX(0,MIN($D36+1,EDATE(V$4,1))-MAX($C36,V$4))/MAX(1,$D36+1-$C36))</f>
        <v/>
      </c>
      <c r="W36" s="64" t="str">
        <f aca="false">IF(OR(W$4="",$C36="",$D36="",N($E36)=0),"",$E36*MAX(0,MIN($D36+1,EDATE(W$4,1))-MAX($C36,W$4))/MAX(1,$D36+1-$C36))</f>
        <v/>
      </c>
      <c r="X36" s="64" t="str">
        <f aca="false">IF(OR(X$4="",$C36="",$D36="",N($E36)=0),"",$E36*MAX(0,MIN($D36+1,EDATE(X$4,1))-MAX($C36,X$4))/MAX(1,$D36+1-$C36))</f>
        <v/>
      </c>
      <c r="Y36" s="64" t="str">
        <f aca="false">IF(OR(Y$4="",$C36="",$D36="",N($E36)=0),"",$E36*MAX(0,MIN($D36+1,EDATE(Y$4,1))-MAX($C36,Y$4))/MAX(1,$D36+1-$C36))</f>
        <v/>
      </c>
      <c r="Z36" s="64" t="str">
        <f aca="false">IF(OR(Z$4="",$C36="",$D36="",N($E36)=0),"",$E36*MAX(0,MIN($D36+1,EDATE(Z$4,1))-MAX($C36,Z$4))/MAX(1,$D36+1-$C36))</f>
        <v/>
      </c>
      <c r="AA36" s="64" t="str">
        <f aca="false">IF(OR(AA$4="",$C36="",$D36="",N($E36)=0),"",$E36*MAX(0,MIN($D36+1,EDATE(AA$4,1))-MAX($C36,AA$4))/MAX(1,$D36+1-$C36))</f>
        <v/>
      </c>
      <c r="AB36" s="64" t="str">
        <f aca="false">IF(OR(AB$4="",$C36="",$D36="",N($E36)=0),"",$E36*MAX(0,MIN($D36+1,EDATE(AB$4,1))-MAX($C36,AB$4))/MAX(1,$D36+1-$C36))</f>
        <v/>
      </c>
      <c r="AC36" s="64" t="str">
        <f aca="false">IF(OR(AC$4="",$C36="",$D36="",N($E36)=0),"",$E36*MAX(0,MIN($D36+1,EDATE(AC$4,1))-MAX($C36,AC$4))/MAX(1,$D36+1-$C36))</f>
        <v/>
      </c>
      <c r="AD36" s="64" t="str">
        <f aca="false">IF(OR(AD$4="",$C36="",$D36="",N($E36)=0),"",$E36*MAX(0,MIN($D36+1,EDATE(AD$4,1))-MAX($C36,AD$4))/MAX(1,$D36+1-$C36))</f>
        <v/>
      </c>
      <c r="AE36" s="64" t="str">
        <f aca="false">IF(OR(AE$4="",$C36="",$D36="",N($E36)=0),"",$E36*MAX(0,MIN($D36+1,EDATE(AE$4,1))-MAX($C36,AE$4))/MAX(1,$D36+1-$C36))</f>
        <v/>
      </c>
      <c r="AF36" s="64" t="str">
        <f aca="false">IF(OR(AF$4="",$C36="",$D36="",N($E36)=0),"",$E36*MAX(0,MIN($D36+1,EDATE(AF$4,1))-MAX($C36,AF$4))/MAX(1,$D36+1-$C36))</f>
        <v/>
      </c>
      <c r="AG36" s="64" t="str">
        <f aca="false">IF(OR(AG$4="",$C36="",$D36="",N($E36)=0),"",$E36*MAX(0,MIN($D36+1,EDATE(AG$4,1))-MAX($C36,AG$4))/MAX(1,$D36+1-$C36))</f>
        <v/>
      </c>
      <c r="AH36" s="64" t="str">
        <f aca="false">IF(OR(AH$4="",$C36="",$D36="",N($E36)=0),"",$E36*MAX(0,MIN($D36+1,EDATE(AH$4,1))-MAX($C36,AH$4))/MAX(1,$D36+1-$C36))</f>
        <v/>
      </c>
      <c r="AI36" s="64" t="str">
        <f aca="false">IF(OR(AI$4="",$C36="",$D36="",N($E36)=0),"",$E36*MAX(0,MIN($D36+1,EDATE(AI$4,1))-MAX($C36,AI$4))/MAX(1,$D36+1-$C36))</f>
        <v/>
      </c>
      <c r="AJ36" s="64" t="str">
        <f aca="false">IF(OR(AJ$4="",$C36="",$D36="",N($E36)=0),"",$E36*MAX(0,MIN($D36+1,EDATE(AJ$4,1))-MAX($C36,AJ$4))/MAX(1,$D36+1-$C36))</f>
        <v/>
      </c>
      <c r="AK36" s="64" t="str">
        <f aca="false">IF(OR(AK$4="",$C36="",$D36="",N($E36)=0),"",$E36*MAX(0,MIN($D36+1,EDATE(AK$4,1))-MAX($C36,AK$4))/MAX(1,$D36+1-$C36))</f>
        <v/>
      </c>
      <c r="AL36" s="64" t="str">
        <f aca="false">IF(OR(AL$4="",$C36="",$D36="",N($E36)=0),"",$E36*MAX(0,MIN($D36+1,EDATE(AL$4,1))-MAX($C36,AL$4))/MAX(1,$D36+1-$C36))</f>
        <v/>
      </c>
      <c r="AM36" s="64" t="str">
        <f aca="false">IF(OR(AM$4="",$C36="",$D36="",N($E36)=0),"",$E36*MAX(0,MIN($D36+1,EDATE(AM$4,1))-MAX($C36,AM$4))/MAX(1,$D36+1-$C36))</f>
        <v/>
      </c>
      <c r="AN36" s="64" t="str">
        <f aca="false">IF(OR(AN$4="",$C36="",$D36="",N($E36)=0),"",$E36*MAX(0,MIN($D36+1,EDATE(AN$4,1))-MAX($C36,AN$4))/MAX(1,$D36+1-$C36))</f>
        <v/>
      </c>
      <c r="AO36" s="64" t="str">
        <f aca="false">IF(OR(AO$4="",$C36="",$D36="",N($E36)=0),"",$E36*MAX(0,MIN($D36+1,EDATE(AO$4,1))-MAX($C36,AO$4))/MAX(1,$D36+1-$C36))</f>
        <v/>
      </c>
      <c r="AP36" s="64" t="str">
        <f aca="false">IF(OR(AP$4="",$C36="",$D36="",N($E36)=0),"",$E36*MAX(0,MIN($D36+1,EDATE(AP$4,1))-MAX($C36,AP$4))/MAX(1,$D36+1-$C36))</f>
        <v/>
      </c>
      <c r="AQ36" s="64" t="str">
        <f aca="false">IF(OR(AQ$4="",$C36="",$D36="",N($E36)=0),"",$E36*MAX(0,MIN($D36+1,EDATE(AQ$4,1))-MAX($C36,AQ$4))/MAX(1,$D36+1-$C36))</f>
        <v/>
      </c>
      <c r="AR36" s="64" t="str">
        <f aca="false">IF(OR(AR$4="",$C36="",$D36="",N($E36)=0),"",$E36*MAX(0,MIN($D36+1,EDATE(AR$4,1))-MAX($C36,AR$4))/MAX(1,$D36+1-$C36))</f>
        <v/>
      </c>
      <c r="AS36" s="64" t="str">
        <f aca="false">IF(OR(AS$4="",$C36="",$D36="",N($E36)=0),"",$E36*MAX(0,MIN($D36+1,EDATE(AS$4,1))-MAX($C36,AS$4))/MAX(1,$D36+1-$C36))</f>
        <v/>
      </c>
      <c r="AT36" s="64" t="str">
        <f aca="false">IF(OR(AT$4="",$C36="",$D36="",N($E36)=0),"",$E36*MAX(0,MIN($D36+1,EDATE(AT$4,1))-MAX($C36,AT$4))/MAX(1,$D36+1-$C36))</f>
        <v/>
      </c>
      <c r="AU36" s="64" t="str">
        <f aca="false">IF(OR(AU$4="",$C36="",$D36="",N($E36)=0),"",$E36*MAX(0,MIN($D36+1,EDATE(AU$4,1))-MAX($C36,AU$4))/MAX(1,$D36+1-$C36))</f>
        <v/>
      </c>
      <c r="AV36" s="64" t="str">
        <f aca="false">IF(OR(AV$4="",$C36="",$D36="",N($E36)=0),"",$E36*MAX(0,MIN($D36+1,EDATE(AV$4,1))-MAX($C36,AV$4))/MAX(1,$D36+1-$C36))</f>
        <v/>
      </c>
      <c r="AW36" s="64" t="str">
        <f aca="false">IF(OR(AW$4="",$C36="",$D36="",N($E36)=0),"",$E36*MAX(0,MIN($D36+1,EDATE(AW$4,1))-MAX($C36,AW$4))/MAX(1,$D36+1-$C36))</f>
        <v/>
      </c>
      <c r="AX36" s="64" t="str">
        <f aca="false">IF(OR(AX$4="",$C36="",$D36="",N($E36)=0),"",$E36*MAX(0,MIN($D36+1,EDATE(AX$4,1))-MAX($C36,AX$4))/MAX(1,$D36+1-$C36))</f>
        <v/>
      </c>
      <c r="AY36" s="64" t="str">
        <f aca="false">IF(OR(AY$4="",$C36="",$D36="",N($E36)=0),"",$E36*MAX(0,MIN($D36+1,EDATE(AY$4,1))-MAX($C36,AY$4))/MAX(1,$D36+1-$C36))</f>
        <v/>
      </c>
      <c r="AZ36" s="64" t="str">
        <f aca="false">IF(OR(AZ$4="",$C36="",$D36="",N($E36)=0),"",$E36*MAX(0,MIN($D36+1,EDATE(AZ$4,1))-MAX($C36,AZ$4))/MAX(1,$D36+1-$C36))</f>
        <v/>
      </c>
      <c r="BA36" s="64" t="str">
        <f aca="false">IF(OR(BA$4="",$C36="",$D36="",N($E36)=0),"",$E36*MAX(0,MIN($D36+1,EDATE(BA$4,1))-MAX($C36,BA$4))/MAX(1,$D36+1-$C36))</f>
        <v/>
      </c>
      <c r="BB36" s="64" t="str">
        <f aca="false">IF(OR(BB$4="",$C36="",$D36="",N($E36)=0),"",$E36*MAX(0,MIN($D36+1,EDATE(BB$4,1))-MAX($C36,BB$4))/MAX(1,$D36+1-$C36))</f>
        <v/>
      </c>
      <c r="BC36" s="64" t="str">
        <f aca="false">IF(OR(BC$4="",$C36="",$D36="",N($E36)=0),"",$E36*MAX(0,MIN($D36+1,EDATE(BC$4,1))-MAX($C36,BC$4))/MAX(1,$D36+1-$C36))</f>
        <v/>
      </c>
      <c r="BD36" s="64" t="str">
        <f aca="false">IF(OR(BD$4="",$C36="",$D36="",N($E36)=0),"",$E36*MAX(0,MIN($D36+1,EDATE(BD$4,1))-MAX($C36,BD$4))/MAX(1,$D36+1-$C36))</f>
        <v/>
      </c>
      <c r="BE36" s="64" t="str">
        <f aca="false">IF(OR(BE$4="",$C36="",$D36="",N($E36)=0),"",$E36*MAX(0,MIN($D36+1,EDATE(BE$4,1))-MAX($C36,BE$4))/MAX(1,$D36+1-$C36))</f>
        <v/>
      </c>
      <c r="BF36" s="64" t="str">
        <f aca="false">IF(OR(BF$4="",$C36="",$D36="",N($E36)=0),"",$E36*MAX(0,MIN($D36+1,EDATE(BF$4,1))-MAX($C36,BF$4))/MAX(1,$D36+1-$C36))</f>
        <v/>
      </c>
      <c r="BG36" s="64" t="str">
        <f aca="false">IF(OR(BG$4="",$C36="",$D36="",N($E36)=0),"",$E36*MAX(0,MIN($D36+1,EDATE(BG$4,1))-MAX($C36,BG$4))/MAX(1,$D36+1-$C36))</f>
        <v/>
      </c>
      <c r="BH36" s="64" t="str">
        <f aca="false">IF(OR(BH$4="",$C36="",$D36="",N($E36)=0),"",$E36*MAX(0,MIN($D36+1,EDATE(BH$4,1))-MAX($C36,BH$4))/MAX(1,$D36+1-$C36))</f>
        <v/>
      </c>
      <c r="BI36" s="64" t="str">
        <f aca="false">IF(OR(BI$4="",$C36="",$D36="",N($E36)=0),"",$E36*MAX(0,MIN($D36+1,EDATE(BI$4,1))-MAX($C36,BI$4))/MAX(1,$D36+1-$C36))</f>
        <v/>
      </c>
      <c r="BJ36" s="64" t="str">
        <f aca="false">IF(OR(BJ$4="",$C36="",$D36="",N($E36)=0),"",$E36*MAX(0,MIN($D36+1,EDATE(BJ$4,1))-MAX($C36,BJ$4))/MAX(1,$D36+1-$C36))</f>
        <v/>
      </c>
      <c r="BK36" s="64" t="str">
        <f aca="false">IF(OR(BK$4="",$C36="",$D36="",N($E36)=0),"",$E36*MAX(0,MIN($D36+1,EDATE(BK$4,1))-MAX($C36,BK$4))/MAX(1,$D36+1-$C36))</f>
        <v/>
      </c>
      <c r="BL36" s="64" t="str">
        <f aca="false">IF(OR(BL$4="",$C36="",$D36="",N($E36)=0),"",$E36*MAX(0,MIN($D36+1,EDATE(BL$4,1))-MAX($C36,BL$4))/MAX(1,$D36+1-$C36))</f>
        <v/>
      </c>
      <c r="BM36" s="64" t="str">
        <f aca="false">IF(OR(BM$4="",$C36="",$D36="",N($E36)=0),"",$E36*MAX(0,MIN($D36+1,EDATE(BM$4,1))-MAX($C36,BM$4))/MAX(1,$D36+1-$C36))</f>
        <v/>
      </c>
      <c r="BN36" s="64" t="str">
        <f aca="false">IF(OR(BN$4="",$C36="",$D36="",N($E36)=0),"",$E36*MAX(0,MIN($D36+1,EDATE(BN$4,1))-MAX($C36,BN$4))/MAX(1,$D36+1-$C36))</f>
        <v/>
      </c>
      <c r="BO36" s="64" t="str">
        <f aca="false">IF(OR(BO$4="",$C36="",$D36="",N($E36)=0),"",$E36*MAX(0,MIN($D36+1,EDATE(BO$4,1))-MAX($C36,BO$4))/MAX(1,$D36+1-$C36))</f>
        <v/>
      </c>
      <c r="BP36" s="64" t="str">
        <f aca="false">IF(OR(BP$4="",$C36="",$D36="",N($E36)=0),"",$E36*MAX(0,MIN($D36+1,EDATE(BP$4,1))-MAX($C36,BP$4))/MAX(1,$D36+1-$C36))</f>
        <v/>
      </c>
      <c r="BQ36" s="64" t="str">
        <f aca="false">IF(OR(BQ$4="",$C36="",$D36="",N($E36)=0),"",$E36*MAX(0,MIN($D36+1,EDATE(BQ$4,1))-MAX($C36,BQ$4))/MAX(1,$D36+1-$C36))</f>
        <v/>
      </c>
      <c r="BR36" s="64" t="str">
        <f aca="false">IF(OR(BR$4="",$C36="",$D36="",N($E36)=0),"",$E36*MAX(0,MIN($D36+1,EDATE(BR$4,1))-MAX($C36,BR$4))/MAX(1,$D36+1-$C36))</f>
        <v/>
      </c>
      <c r="BS36" s="64" t="str">
        <f aca="false">IF(OR(BS$4="",$C36="",$D36="",N($E36)=0),"",$E36*MAX(0,MIN($D36+1,EDATE(BS$4,1))-MAX($C36,BS$4))/MAX(1,$D36+1-$C36))</f>
        <v/>
      </c>
      <c r="BT36" s="64" t="str">
        <f aca="false">IF(OR(BT$4="",$C36="",$D36="",N($E36)=0),"",$E36*MAX(0,MIN($D36+1,EDATE(BT$4,1))-MAX($C36,BT$4))/MAX(1,$D36+1-$C36))</f>
        <v/>
      </c>
      <c r="BU36" s="64" t="str">
        <f aca="false">IF(OR(BU$4="",$C36="",$D36="",N($E36)=0),"",$E36*MAX(0,MIN($D36+1,EDATE(BU$4,1))-MAX($C36,BU$4))/MAX(1,$D36+1-$C36))</f>
        <v/>
      </c>
      <c r="BV36" s="64" t="str">
        <f aca="false">IF(OR(BV$4="",$C36="",$D36="",N($E36)=0),"",$E36*MAX(0,MIN($D36+1,EDATE(BV$4,1))-MAX($C36,BV$4))/MAX(1,$D36+1-$C36))</f>
        <v/>
      </c>
      <c r="BW36" s="64" t="str">
        <f aca="false">IF(OR(BW$4="",$C36="",$D36="",N($E36)=0),"",$E36*MAX(0,MIN($D36+1,EDATE(BW$4,1))-MAX($C36,BW$4))/MAX(1,$D36+1-$C36))</f>
        <v/>
      </c>
      <c r="BX36" s="64" t="str">
        <f aca="false">IF(OR(BX$4="",$C36="",$D36="",N($E36)=0),"",$E36*MAX(0,MIN($D36+1,EDATE(BX$4,1))-MAX($C36,BX$4))/MAX(1,$D36+1-$C36))</f>
        <v/>
      </c>
      <c r="BY36" s="64" t="str">
        <f aca="false">IF(OR(BY$4="",$C36="",$D36="",N($E36)=0),"",$E36*MAX(0,MIN($D36+1,EDATE(BY$4,1))-MAX($C36,BY$4))/MAX(1,$D36+1-$C36))</f>
        <v/>
      </c>
    </row>
    <row r="37" customFormat="false" ht="15" hidden="false" customHeight="false" outlineLevel="0" collapsed="false">
      <c r="A37" s="61" t="str">
        <f aca="false">IF(BOE!$A38="","",BOE!$A38)</f>
        <v/>
      </c>
      <c r="B37" s="61" t="str">
        <f aca="false">IF(BOE!$A38="","",BOE!$C38)</f>
        <v/>
      </c>
      <c r="C37" s="62" t="str">
        <f aca="false">IF(BOE!$O38="","",BOE!$O38)</f>
        <v/>
      </c>
      <c r="D37" s="62" t="str">
        <f aca="false">IF(BOE!$P38="","",BOE!$P38)</f>
        <v/>
      </c>
      <c r="E37" s="63" t="n">
        <f aca="false">IF(Inputs!$B$7="P90",BOE!$T38,BOE!$R38)</f>
        <v>0</v>
      </c>
      <c r="F37" s="64" t="str">
        <f aca="false">IF(OR(F$4="",$C37="",$D37="",N($E37)=0),"",$E37*MAX(0,MIN($D37+1,EDATE(F$4,1))-MAX($C37,F$4))/MAX(1,$D37+1-$C37))</f>
        <v/>
      </c>
      <c r="G37" s="64" t="str">
        <f aca="false">IF(OR(G$4="",$C37="",$D37="",N($E37)=0),"",$E37*MAX(0,MIN($D37+1,EDATE(G$4,1))-MAX($C37,G$4))/MAX(1,$D37+1-$C37))</f>
        <v/>
      </c>
      <c r="H37" s="64" t="str">
        <f aca="false">IF(OR(H$4="",$C37="",$D37="",N($E37)=0),"",$E37*MAX(0,MIN($D37+1,EDATE(H$4,1))-MAX($C37,H$4))/MAX(1,$D37+1-$C37))</f>
        <v/>
      </c>
      <c r="I37" s="64" t="str">
        <f aca="false">IF(OR(I$4="",$C37="",$D37="",N($E37)=0),"",$E37*MAX(0,MIN($D37+1,EDATE(I$4,1))-MAX($C37,I$4))/MAX(1,$D37+1-$C37))</f>
        <v/>
      </c>
      <c r="J37" s="64" t="str">
        <f aca="false">IF(OR(J$4="",$C37="",$D37="",N($E37)=0),"",$E37*MAX(0,MIN($D37+1,EDATE(J$4,1))-MAX($C37,J$4))/MAX(1,$D37+1-$C37))</f>
        <v/>
      </c>
      <c r="K37" s="64" t="str">
        <f aca="false">IF(OR(K$4="",$C37="",$D37="",N($E37)=0),"",$E37*MAX(0,MIN($D37+1,EDATE(K$4,1))-MAX($C37,K$4))/MAX(1,$D37+1-$C37))</f>
        <v/>
      </c>
      <c r="L37" s="64" t="str">
        <f aca="false">IF(OR(L$4="",$C37="",$D37="",N($E37)=0),"",$E37*MAX(0,MIN($D37+1,EDATE(L$4,1))-MAX($C37,L$4))/MAX(1,$D37+1-$C37))</f>
        <v/>
      </c>
      <c r="M37" s="64" t="str">
        <f aca="false">IF(OR(M$4="",$C37="",$D37="",N($E37)=0),"",$E37*MAX(0,MIN($D37+1,EDATE(M$4,1))-MAX($C37,M$4))/MAX(1,$D37+1-$C37))</f>
        <v/>
      </c>
      <c r="N37" s="64" t="str">
        <f aca="false">IF(OR(N$4="",$C37="",$D37="",N($E37)=0),"",$E37*MAX(0,MIN($D37+1,EDATE(N$4,1))-MAX($C37,N$4))/MAX(1,$D37+1-$C37))</f>
        <v/>
      </c>
      <c r="O37" s="64" t="str">
        <f aca="false">IF(OR(O$4="",$C37="",$D37="",N($E37)=0),"",$E37*MAX(0,MIN($D37+1,EDATE(O$4,1))-MAX($C37,O$4))/MAX(1,$D37+1-$C37))</f>
        <v/>
      </c>
      <c r="P37" s="64" t="str">
        <f aca="false">IF(OR(P$4="",$C37="",$D37="",N($E37)=0),"",$E37*MAX(0,MIN($D37+1,EDATE(P$4,1))-MAX($C37,P$4))/MAX(1,$D37+1-$C37))</f>
        <v/>
      </c>
      <c r="Q37" s="64" t="str">
        <f aca="false">IF(OR(Q$4="",$C37="",$D37="",N($E37)=0),"",$E37*MAX(0,MIN($D37+1,EDATE(Q$4,1))-MAX($C37,Q$4))/MAX(1,$D37+1-$C37))</f>
        <v/>
      </c>
      <c r="R37" s="64" t="str">
        <f aca="false">IF(OR(R$4="",$C37="",$D37="",N($E37)=0),"",$E37*MAX(0,MIN($D37+1,EDATE(R$4,1))-MAX($C37,R$4))/MAX(1,$D37+1-$C37))</f>
        <v/>
      </c>
      <c r="S37" s="64" t="str">
        <f aca="false">IF(OR(S$4="",$C37="",$D37="",N($E37)=0),"",$E37*MAX(0,MIN($D37+1,EDATE(S$4,1))-MAX($C37,S$4))/MAX(1,$D37+1-$C37))</f>
        <v/>
      </c>
      <c r="T37" s="64" t="str">
        <f aca="false">IF(OR(T$4="",$C37="",$D37="",N($E37)=0),"",$E37*MAX(0,MIN($D37+1,EDATE(T$4,1))-MAX($C37,T$4))/MAX(1,$D37+1-$C37))</f>
        <v/>
      </c>
      <c r="U37" s="64" t="str">
        <f aca="false">IF(OR(U$4="",$C37="",$D37="",N($E37)=0),"",$E37*MAX(0,MIN($D37+1,EDATE(U$4,1))-MAX($C37,U$4))/MAX(1,$D37+1-$C37))</f>
        <v/>
      </c>
      <c r="V37" s="64" t="str">
        <f aca="false">IF(OR(V$4="",$C37="",$D37="",N($E37)=0),"",$E37*MAX(0,MIN($D37+1,EDATE(V$4,1))-MAX($C37,V$4))/MAX(1,$D37+1-$C37))</f>
        <v/>
      </c>
      <c r="W37" s="64" t="str">
        <f aca="false">IF(OR(W$4="",$C37="",$D37="",N($E37)=0),"",$E37*MAX(0,MIN($D37+1,EDATE(W$4,1))-MAX($C37,W$4))/MAX(1,$D37+1-$C37))</f>
        <v/>
      </c>
      <c r="X37" s="64" t="str">
        <f aca="false">IF(OR(X$4="",$C37="",$D37="",N($E37)=0),"",$E37*MAX(0,MIN($D37+1,EDATE(X$4,1))-MAX($C37,X$4))/MAX(1,$D37+1-$C37))</f>
        <v/>
      </c>
      <c r="Y37" s="64" t="str">
        <f aca="false">IF(OR(Y$4="",$C37="",$D37="",N($E37)=0),"",$E37*MAX(0,MIN($D37+1,EDATE(Y$4,1))-MAX($C37,Y$4))/MAX(1,$D37+1-$C37))</f>
        <v/>
      </c>
      <c r="Z37" s="64" t="str">
        <f aca="false">IF(OR(Z$4="",$C37="",$D37="",N($E37)=0),"",$E37*MAX(0,MIN($D37+1,EDATE(Z$4,1))-MAX($C37,Z$4))/MAX(1,$D37+1-$C37))</f>
        <v/>
      </c>
      <c r="AA37" s="64" t="str">
        <f aca="false">IF(OR(AA$4="",$C37="",$D37="",N($E37)=0),"",$E37*MAX(0,MIN($D37+1,EDATE(AA$4,1))-MAX($C37,AA$4))/MAX(1,$D37+1-$C37))</f>
        <v/>
      </c>
      <c r="AB37" s="64" t="str">
        <f aca="false">IF(OR(AB$4="",$C37="",$D37="",N($E37)=0),"",$E37*MAX(0,MIN($D37+1,EDATE(AB$4,1))-MAX($C37,AB$4))/MAX(1,$D37+1-$C37))</f>
        <v/>
      </c>
      <c r="AC37" s="64" t="str">
        <f aca="false">IF(OR(AC$4="",$C37="",$D37="",N($E37)=0),"",$E37*MAX(0,MIN($D37+1,EDATE(AC$4,1))-MAX($C37,AC$4))/MAX(1,$D37+1-$C37))</f>
        <v/>
      </c>
      <c r="AD37" s="64" t="str">
        <f aca="false">IF(OR(AD$4="",$C37="",$D37="",N($E37)=0),"",$E37*MAX(0,MIN($D37+1,EDATE(AD$4,1))-MAX($C37,AD$4))/MAX(1,$D37+1-$C37))</f>
        <v/>
      </c>
      <c r="AE37" s="64" t="str">
        <f aca="false">IF(OR(AE$4="",$C37="",$D37="",N($E37)=0),"",$E37*MAX(0,MIN($D37+1,EDATE(AE$4,1))-MAX($C37,AE$4))/MAX(1,$D37+1-$C37))</f>
        <v/>
      </c>
      <c r="AF37" s="64" t="str">
        <f aca="false">IF(OR(AF$4="",$C37="",$D37="",N($E37)=0),"",$E37*MAX(0,MIN($D37+1,EDATE(AF$4,1))-MAX($C37,AF$4))/MAX(1,$D37+1-$C37))</f>
        <v/>
      </c>
      <c r="AG37" s="64" t="str">
        <f aca="false">IF(OR(AG$4="",$C37="",$D37="",N($E37)=0),"",$E37*MAX(0,MIN($D37+1,EDATE(AG$4,1))-MAX($C37,AG$4))/MAX(1,$D37+1-$C37))</f>
        <v/>
      </c>
      <c r="AH37" s="64" t="str">
        <f aca="false">IF(OR(AH$4="",$C37="",$D37="",N($E37)=0),"",$E37*MAX(0,MIN($D37+1,EDATE(AH$4,1))-MAX($C37,AH$4))/MAX(1,$D37+1-$C37))</f>
        <v/>
      </c>
      <c r="AI37" s="64" t="str">
        <f aca="false">IF(OR(AI$4="",$C37="",$D37="",N($E37)=0),"",$E37*MAX(0,MIN($D37+1,EDATE(AI$4,1))-MAX($C37,AI$4))/MAX(1,$D37+1-$C37))</f>
        <v/>
      </c>
      <c r="AJ37" s="64" t="str">
        <f aca="false">IF(OR(AJ$4="",$C37="",$D37="",N($E37)=0),"",$E37*MAX(0,MIN($D37+1,EDATE(AJ$4,1))-MAX($C37,AJ$4))/MAX(1,$D37+1-$C37))</f>
        <v/>
      </c>
      <c r="AK37" s="64" t="str">
        <f aca="false">IF(OR(AK$4="",$C37="",$D37="",N($E37)=0),"",$E37*MAX(0,MIN($D37+1,EDATE(AK$4,1))-MAX($C37,AK$4))/MAX(1,$D37+1-$C37))</f>
        <v/>
      </c>
      <c r="AL37" s="64" t="str">
        <f aca="false">IF(OR(AL$4="",$C37="",$D37="",N($E37)=0),"",$E37*MAX(0,MIN($D37+1,EDATE(AL$4,1))-MAX($C37,AL$4))/MAX(1,$D37+1-$C37))</f>
        <v/>
      </c>
      <c r="AM37" s="64" t="str">
        <f aca="false">IF(OR(AM$4="",$C37="",$D37="",N($E37)=0),"",$E37*MAX(0,MIN($D37+1,EDATE(AM$4,1))-MAX($C37,AM$4))/MAX(1,$D37+1-$C37))</f>
        <v/>
      </c>
      <c r="AN37" s="64" t="str">
        <f aca="false">IF(OR(AN$4="",$C37="",$D37="",N($E37)=0),"",$E37*MAX(0,MIN($D37+1,EDATE(AN$4,1))-MAX($C37,AN$4))/MAX(1,$D37+1-$C37))</f>
        <v/>
      </c>
      <c r="AO37" s="64" t="str">
        <f aca="false">IF(OR(AO$4="",$C37="",$D37="",N($E37)=0),"",$E37*MAX(0,MIN($D37+1,EDATE(AO$4,1))-MAX($C37,AO$4))/MAX(1,$D37+1-$C37))</f>
        <v/>
      </c>
      <c r="AP37" s="64" t="str">
        <f aca="false">IF(OR(AP$4="",$C37="",$D37="",N($E37)=0),"",$E37*MAX(0,MIN($D37+1,EDATE(AP$4,1))-MAX($C37,AP$4))/MAX(1,$D37+1-$C37))</f>
        <v/>
      </c>
      <c r="AQ37" s="64" t="str">
        <f aca="false">IF(OR(AQ$4="",$C37="",$D37="",N($E37)=0),"",$E37*MAX(0,MIN($D37+1,EDATE(AQ$4,1))-MAX($C37,AQ$4))/MAX(1,$D37+1-$C37))</f>
        <v/>
      </c>
      <c r="AR37" s="64" t="str">
        <f aca="false">IF(OR(AR$4="",$C37="",$D37="",N($E37)=0),"",$E37*MAX(0,MIN($D37+1,EDATE(AR$4,1))-MAX($C37,AR$4))/MAX(1,$D37+1-$C37))</f>
        <v/>
      </c>
      <c r="AS37" s="64" t="str">
        <f aca="false">IF(OR(AS$4="",$C37="",$D37="",N($E37)=0),"",$E37*MAX(0,MIN($D37+1,EDATE(AS$4,1))-MAX($C37,AS$4))/MAX(1,$D37+1-$C37))</f>
        <v/>
      </c>
      <c r="AT37" s="64" t="str">
        <f aca="false">IF(OR(AT$4="",$C37="",$D37="",N($E37)=0),"",$E37*MAX(0,MIN($D37+1,EDATE(AT$4,1))-MAX($C37,AT$4))/MAX(1,$D37+1-$C37))</f>
        <v/>
      </c>
      <c r="AU37" s="64" t="str">
        <f aca="false">IF(OR(AU$4="",$C37="",$D37="",N($E37)=0),"",$E37*MAX(0,MIN($D37+1,EDATE(AU$4,1))-MAX($C37,AU$4))/MAX(1,$D37+1-$C37))</f>
        <v/>
      </c>
      <c r="AV37" s="64" t="str">
        <f aca="false">IF(OR(AV$4="",$C37="",$D37="",N($E37)=0),"",$E37*MAX(0,MIN($D37+1,EDATE(AV$4,1))-MAX($C37,AV$4))/MAX(1,$D37+1-$C37))</f>
        <v/>
      </c>
      <c r="AW37" s="64" t="str">
        <f aca="false">IF(OR(AW$4="",$C37="",$D37="",N($E37)=0),"",$E37*MAX(0,MIN($D37+1,EDATE(AW$4,1))-MAX($C37,AW$4))/MAX(1,$D37+1-$C37))</f>
        <v/>
      </c>
      <c r="AX37" s="64" t="str">
        <f aca="false">IF(OR(AX$4="",$C37="",$D37="",N($E37)=0),"",$E37*MAX(0,MIN($D37+1,EDATE(AX$4,1))-MAX($C37,AX$4))/MAX(1,$D37+1-$C37))</f>
        <v/>
      </c>
      <c r="AY37" s="64" t="str">
        <f aca="false">IF(OR(AY$4="",$C37="",$D37="",N($E37)=0),"",$E37*MAX(0,MIN($D37+1,EDATE(AY$4,1))-MAX($C37,AY$4))/MAX(1,$D37+1-$C37))</f>
        <v/>
      </c>
      <c r="AZ37" s="64" t="str">
        <f aca="false">IF(OR(AZ$4="",$C37="",$D37="",N($E37)=0),"",$E37*MAX(0,MIN($D37+1,EDATE(AZ$4,1))-MAX($C37,AZ$4))/MAX(1,$D37+1-$C37))</f>
        <v/>
      </c>
      <c r="BA37" s="64" t="str">
        <f aca="false">IF(OR(BA$4="",$C37="",$D37="",N($E37)=0),"",$E37*MAX(0,MIN($D37+1,EDATE(BA$4,1))-MAX($C37,BA$4))/MAX(1,$D37+1-$C37))</f>
        <v/>
      </c>
      <c r="BB37" s="64" t="str">
        <f aca="false">IF(OR(BB$4="",$C37="",$D37="",N($E37)=0),"",$E37*MAX(0,MIN($D37+1,EDATE(BB$4,1))-MAX($C37,BB$4))/MAX(1,$D37+1-$C37))</f>
        <v/>
      </c>
      <c r="BC37" s="64" t="str">
        <f aca="false">IF(OR(BC$4="",$C37="",$D37="",N($E37)=0),"",$E37*MAX(0,MIN($D37+1,EDATE(BC$4,1))-MAX($C37,BC$4))/MAX(1,$D37+1-$C37))</f>
        <v/>
      </c>
      <c r="BD37" s="64" t="str">
        <f aca="false">IF(OR(BD$4="",$C37="",$D37="",N($E37)=0),"",$E37*MAX(0,MIN($D37+1,EDATE(BD$4,1))-MAX($C37,BD$4))/MAX(1,$D37+1-$C37))</f>
        <v/>
      </c>
      <c r="BE37" s="64" t="str">
        <f aca="false">IF(OR(BE$4="",$C37="",$D37="",N($E37)=0),"",$E37*MAX(0,MIN($D37+1,EDATE(BE$4,1))-MAX($C37,BE$4))/MAX(1,$D37+1-$C37))</f>
        <v/>
      </c>
      <c r="BF37" s="64" t="str">
        <f aca="false">IF(OR(BF$4="",$C37="",$D37="",N($E37)=0),"",$E37*MAX(0,MIN($D37+1,EDATE(BF$4,1))-MAX($C37,BF$4))/MAX(1,$D37+1-$C37))</f>
        <v/>
      </c>
      <c r="BG37" s="64" t="str">
        <f aca="false">IF(OR(BG$4="",$C37="",$D37="",N($E37)=0),"",$E37*MAX(0,MIN($D37+1,EDATE(BG$4,1))-MAX($C37,BG$4))/MAX(1,$D37+1-$C37))</f>
        <v/>
      </c>
      <c r="BH37" s="64" t="str">
        <f aca="false">IF(OR(BH$4="",$C37="",$D37="",N($E37)=0),"",$E37*MAX(0,MIN($D37+1,EDATE(BH$4,1))-MAX($C37,BH$4))/MAX(1,$D37+1-$C37))</f>
        <v/>
      </c>
      <c r="BI37" s="64" t="str">
        <f aca="false">IF(OR(BI$4="",$C37="",$D37="",N($E37)=0),"",$E37*MAX(0,MIN($D37+1,EDATE(BI$4,1))-MAX($C37,BI$4))/MAX(1,$D37+1-$C37))</f>
        <v/>
      </c>
      <c r="BJ37" s="64" t="str">
        <f aca="false">IF(OR(BJ$4="",$C37="",$D37="",N($E37)=0),"",$E37*MAX(0,MIN($D37+1,EDATE(BJ$4,1))-MAX($C37,BJ$4))/MAX(1,$D37+1-$C37))</f>
        <v/>
      </c>
      <c r="BK37" s="64" t="str">
        <f aca="false">IF(OR(BK$4="",$C37="",$D37="",N($E37)=0),"",$E37*MAX(0,MIN($D37+1,EDATE(BK$4,1))-MAX($C37,BK$4))/MAX(1,$D37+1-$C37))</f>
        <v/>
      </c>
      <c r="BL37" s="64" t="str">
        <f aca="false">IF(OR(BL$4="",$C37="",$D37="",N($E37)=0),"",$E37*MAX(0,MIN($D37+1,EDATE(BL$4,1))-MAX($C37,BL$4))/MAX(1,$D37+1-$C37))</f>
        <v/>
      </c>
      <c r="BM37" s="64" t="str">
        <f aca="false">IF(OR(BM$4="",$C37="",$D37="",N($E37)=0),"",$E37*MAX(0,MIN($D37+1,EDATE(BM$4,1))-MAX($C37,BM$4))/MAX(1,$D37+1-$C37))</f>
        <v/>
      </c>
      <c r="BN37" s="64" t="str">
        <f aca="false">IF(OR(BN$4="",$C37="",$D37="",N($E37)=0),"",$E37*MAX(0,MIN($D37+1,EDATE(BN$4,1))-MAX($C37,BN$4))/MAX(1,$D37+1-$C37))</f>
        <v/>
      </c>
      <c r="BO37" s="64" t="str">
        <f aca="false">IF(OR(BO$4="",$C37="",$D37="",N($E37)=0),"",$E37*MAX(0,MIN($D37+1,EDATE(BO$4,1))-MAX($C37,BO$4))/MAX(1,$D37+1-$C37))</f>
        <v/>
      </c>
      <c r="BP37" s="64" t="str">
        <f aca="false">IF(OR(BP$4="",$C37="",$D37="",N($E37)=0),"",$E37*MAX(0,MIN($D37+1,EDATE(BP$4,1))-MAX($C37,BP$4))/MAX(1,$D37+1-$C37))</f>
        <v/>
      </c>
      <c r="BQ37" s="64" t="str">
        <f aca="false">IF(OR(BQ$4="",$C37="",$D37="",N($E37)=0),"",$E37*MAX(0,MIN($D37+1,EDATE(BQ$4,1))-MAX($C37,BQ$4))/MAX(1,$D37+1-$C37))</f>
        <v/>
      </c>
      <c r="BR37" s="64" t="str">
        <f aca="false">IF(OR(BR$4="",$C37="",$D37="",N($E37)=0),"",$E37*MAX(0,MIN($D37+1,EDATE(BR$4,1))-MAX($C37,BR$4))/MAX(1,$D37+1-$C37))</f>
        <v/>
      </c>
      <c r="BS37" s="64" t="str">
        <f aca="false">IF(OR(BS$4="",$C37="",$D37="",N($E37)=0),"",$E37*MAX(0,MIN($D37+1,EDATE(BS$4,1))-MAX($C37,BS$4))/MAX(1,$D37+1-$C37))</f>
        <v/>
      </c>
      <c r="BT37" s="64" t="str">
        <f aca="false">IF(OR(BT$4="",$C37="",$D37="",N($E37)=0),"",$E37*MAX(0,MIN($D37+1,EDATE(BT$4,1))-MAX($C37,BT$4))/MAX(1,$D37+1-$C37))</f>
        <v/>
      </c>
      <c r="BU37" s="64" t="str">
        <f aca="false">IF(OR(BU$4="",$C37="",$D37="",N($E37)=0),"",$E37*MAX(0,MIN($D37+1,EDATE(BU$4,1))-MAX($C37,BU$4))/MAX(1,$D37+1-$C37))</f>
        <v/>
      </c>
      <c r="BV37" s="64" t="str">
        <f aca="false">IF(OR(BV$4="",$C37="",$D37="",N($E37)=0),"",$E37*MAX(0,MIN($D37+1,EDATE(BV$4,1))-MAX($C37,BV$4))/MAX(1,$D37+1-$C37))</f>
        <v/>
      </c>
      <c r="BW37" s="64" t="str">
        <f aca="false">IF(OR(BW$4="",$C37="",$D37="",N($E37)=0),"",$E37*MAX(0,MIN($D37+1,EDATE(BW$4,1))-MAX($C37,BW$4))/MAX(1,$D37+1-$C37))</f>
        <v/>
      </c>
      <c r="BX37" s="64" t="str">
        <f aca="false">IF(OR(BX$4="",$C37="",$D37="",N($E37)=0),"",$E37*MAX(0,MIN($D37+1,EDATE(BX$4,1))-MAX($C37,BX$4))/MAX(1,$D37+1-$C37))</f>
        <v/>
      </c>
      <c r="BY37" s="64" t="str">
        <f aca="false">IF(OR(BY$4="",$C37="",$D37="",N($E37)=0),"",$E37*MAX(0,MIN($D37+1,EDATE(BY$4,1))-MAX($C37,BY$4))/MAX(1,$D37+1-$C37))</f>
        <v/>
      </c>
    </row>
    <row r="38" customFormat="false" ht="15" hidden="false" customHeight="false" outlineLevel="0" collapsed="false">
      <c r="A38" s="61" t="str">
        <f aca="false">IF(BOE!$A39="","",BOE!$A39)</f>
        <v/>
      </c>
      <c r="B38" s="61" t="str">
        <f aca="false">IF(BOE!$A39="","",BOE!$C39)</f>
        <v/>
      </c>
      <c r="C38" s="62" t="str">
        <f aca="false">IF(BOE!$O39="","",BOE!$O39)</f>
        <v/>
      </c>
      <c r="D38" s="62" t="str">
        <f aca="false">IF(BOE!$P39="","",BOE!$P39)</f>
        <v/>
      </c>
      <c r="E38" s="63" t="n">
        <f aca="false">IF(Inputs!$B$7="P90",BOE!$T39,BOE!$R39)</f>
        <v>0</v>
      </c>
      <c r="F38" s="64" t="str">
        <f aca="false">IF(OR(F$4="",$C38="",$D38="",N($E38)=0),"",$E38*MAX(0,MIN($D38+1,EDATE(F$4,1))-MAX($C38,F$4))/MAX(1,$D38+1-$C38))</f>
        <v/>
      </c>
      <c r="G38" s="64" t="str">
        <f aca="false">IF(OR(G$4="",$C38="",$D38="",N($E38)=0),"",$E38*MAX(0,MIN($D38+1,EDATE(G$4,1))-MAX($C38,G$4))/MAX(1,$D38+1-$C38))</f>
        <v/>
      </c>
      <c r="H38" s="64" t="str">
        <f aca="false">IF(OR(H$4="",$C38="",$D38="",N($E38)=0),"",$E38*MAX(0,MIN($D38+1,EDATE(H$4,1))-MAX($C38,H$4))/MAX(1,$D38+1-$C38))</f>
        <v/>
      </c>
      <c r="I38" s="64" t="str">
        <f aca="false">IF(OR(I$4="",$C38="",$D38="",N($E38)=0),"",$E38*MAX(0,MIN($D38+1,EDATE(I$4,1))-MAX($C38,I$4))/MAX(1,$D38+1-$C38))</f>
        <v/>
      </c>
      <c r="J38" s="64" t="str">
        <f aca="false">IF(OR(J$4="",$C38="",$D38="",N($E38)=0),"",$E38*MAX(0,MIN($D38+1,EDATE(J$4,1))-MAX($C38,J$4))/MAX(1,$D38+1-$C38))</f>
        <v/>
      </c>
      <c r="K38" s="64" t="str">
        <f aca="false">IF(OR(K$4="",$C38="",$D38="",N($E38)=0),"",$E38*MAX(0,MIN($D38+1,EDATE(K$4,1))-MAX($C38,K$4))/MAX(1,$D38+1-$C38))</f>
        <v/>
      </c>
      <c r="L38" s="64" t="str">
        <f aca="false">IF(OR(L$4="",$C38="",$D38="",N($E38)=0),"",$E38*MAX(0,MIN($D38+1,EDATE(L$4,1))-MAX($C38,L$4))/MAX(1,$D38+1-$C38))</f>
        <v/>
      </c>
      <c r="M38" s="64" t="str">
        <f aca="false">IF(OR(M$4="",$C38="",$D38="",N($E38)=0),"",$E38*MAX(0,MIN($D38+1,EDATE(M$4,1))-MAX($C38,M$4))/MAX(1,$D38+1-$C38))</f>
        <v/>
      </c>
      <c r="N38" s="64" t="str">
        <f aca="false">IF(OR(N$4="",$C38="",$D38="",N($E38)=0),"",$E38*MAX(0,MIN($D38+1,EDATE(N$4,1))-MAX($C38,N$4))/MAX(1,$D38+1-$C38))</f>
        <v/>
      </c>
      <c r="O38" s="64" t="str">
        <f aca="false">IF(OR(O$4="",$C38="",$D38="",N($E38)=0),"",$E38*MAX(0,MIN($D38+1,EDATE(O$4,1))-MAX($C38,O$4))/MAX(1,$D38+1-$C38))</f>
        <v/>
      </c>
      <c r="P38" s="64" t="str">
        <f aca="false">IF(OR(P$4="",$C38="",$D38="",N($E38)=0),"",$E38*MAX(0,MIN($D38+1,EDATE(P$4,1))-MAX($C38,P$4))/MAX(1,$D38+1-$C38))</f>
        <v/>
      </c>
      <c r="Q38" s="64" t="str">
        <f aca="false">IF(OR(Q$4="",$C38="",$D38="",N($E38)=0),"",$E38*MAX(0,MIN($D38+1,EDATE(Q$4,1))-MAX($C38,Q$4))/MAX(1,$D38+1-$C38))</f>
        <v/>
      </c>
      <c r="R38" s="64" t="str">
        <f aca="false">IF(OR(R$4="",$C38="",$D38="",N($E38)=0),"",$E38*MAX(0,MIN($D38+1,EDATE(R$4,1))-MAX($C38,R$4))/MAX(1,$D38+1-$C38))</f>
        <v/>
      </c>
      <c r="S38" s="64" t="str">
        <f aca="false">IF(OR(S$4="",$C38="",$D38="",N($E38)=0),"",$E38*MAX(0,MIN($D38+1,EDATE(S$4,1))-MAX($C38,S$4))/MAX(1,$D38+1-$C38))</f>
        <v/>
      </c>
      <c r="T38" s="64" t="str">
        <f aca="false">IF(OR(T$4="",$C38="",$D38="",N($E38)=0),"",$E38*MAX(0,MIN($D38+1,EDATE(T$4,1))-MAX($C38,T$4))/MAX(1,$D38+1-$C38))</f>
        <v/>
      </c>
      <c r="U38" s="64" t="str">
        <f aca="false">IF(OR(U$4="",$C38="",$D38="",N($E38)=0),"",$E38*MAX(0,MIN($D38+1,EDATE(U$4,1))-MAX($C38,U$4))/MAX(1,$D38+1-$C38))</f>
        <v/>
      </c>
      <c r="V38" s="64" t="str">
        <f aca="false">IF(OR(V$4="",$C38="",$D38="",N($E38)=0),"",$E38*MAX(0,MIN($D38+1,EDATE(V$4,1))-MAX($C38,V$4))/MAX(1,$D38+1-$C38))</f>
        <v/>
      </c>
      <c r="W38" s="64" t="str">
        <f aca="false">IF(OR(W$4="",$C38="",$D38="",N($E38)=0),"",$E38*MAX(0,MIN($D38+1,EDATE(W$4,1))-MAX($C38,W$4))/MAX(1,$D38+1-$C38))</f>
        <v/>
      </c>
      <c r="X38" s="64" t="str">
        <f aca="false">IF(OR(X$4="",$C38="",$D38="",N($E38)=0),"",$E38*MAX(0,MIN($D38+1,EDATE(X$4,1))-MAX($C38,X$4))/MAX(1,$D38+1-$C38))</f>
        <v/>
      </c>
      <c r="Y38" s="64" t="str">
        <f aca="false">IF(OR(Y$4="",$C38="",$D38="",N($E38)=0),"",$E38*MAX(0,MIN($D38+1,EDATE(Y$4,1))-MAX($C38,Y$4))/MAX(1,$D38+1-$C38))</f>
        <v/>
      </c>
      <c r="Z38" s="64" t="str">
        <f aca="false">IF(OR(Z$4="",$C38="",$D38="",N($E38)=0),"",$E38*MAX(0,MIN($D38+1,EDATE(Z$4,1))-MAX($C38,Z$4))/MAX(1,$D38+1-$C38))</f>
        <v/>
      </c>
      <c r="AA38" s="64" t="str">
        <f aca="false">IF(OR(AA$4="",$C38="",$D38="",N($E38)=0),"",$E38*MAX(0,MIN($D38+1,EDATE(AA$4,1))-MAX($C38,AA$4))/MAX(1,$D38+1-$C38))</f>
        <v/>
      </c>
      <c r="AB38" s="64" t="str">
        <f aca="false">IF(OR(AB$4="",$C38="",$D38="",N($E38)=0),"",$E38*MAX(0,MIN($D38+1,EDATE(AB$4,1))-MAX($C38,AB$4))/MAX(1,$D38+1-$C38))</f>
        <v/>
      </c>
      <c r="AC38" s="64" t="str">
        <f aca="false">IF(OR(AC$4="",$C38="",$D38="",N($E38)=0),"",$E38*MAX(0,MIN($D38+1,EDATE(AC$4,1))-MAX($C38,AC$4))/MAX(1,$D38+1-$C38))</f>
        <v/>
      </c>
      <c r="AD38" s="64" t="str">
        <f aca="false">IF(OR(AD$4="",$C38="",$D38="",N($E38)=0),"",$E38*MAX(0,MIN($D38+1,EDATE(AD$4,1))-MAX($C38,AD$4))/MAX(1,$D38+1-$C38))</f>
        <v/>
      </c>
      <c r="AE38" s="64" t="str">
        <f aca="false">IF(OR(AE$4="",$C38="",$D38="",N($E38)=0),"",$E38*MAX(0,MIN($D38+1,EDATE(AE$4,1))-MAX($C38,AE$4))/MAX(1,$D38+1-$C38))</f>
        <v/>
      </c>
      <c r="AF38" s="64" t="str">
        <f aca="false">IF(OR(AF$4="",$C38="",$D38="",N($E38)=0),"",$E38*MAX(0,MIN($D38+1,EDATE(AF$4,1))-MAX($C38,AF$4))/MAX(1,$D38+1-$C38))</f>
        <v/>
      </c>
      <c r="AG38" s="64" t="str">
        <f aca="false">IF(OR(AG$4="",$C38="",$D38="",N($E38)=0),"",$E38*MAX(0,MIN($D38+1,EDATE(AG$4,1))-MAX($C38,AG$4))/MAX(1,$D38+1-$C38))</f>
        <v/>
      </c>
      <c r="AH38" s="64" t="str">
        <f aca="false">IF(OR(AH$4="",$C38="",$D38="",N($E38)=0),"",$E38*MAX(0,MIN($D38+1,EDATE(AH$4,1))-MAX($C38,AH$4))/MAX(1,$D38+1-$C38))</f>
        <v/>
      </c>
      <c r="AI38" s="64" t="str">
        <f aca="false">IF(OR(AI$4="",$C38="",$D38="",N($E38)=0),"",$E38*MAX(0,MIN($D38+1,EDATE(AI$4,1))-MAX($C38,AI$4))/MAX(1,$D38+1-$C38))</f>
        <v/>
      </c>
      <c r="AJ38" s="64" t="str">
        <f aca="false">IF(OR(AJ$4="",$C38="",$D38="",N($E38)=0),"",$E38*MAX(0,MIN($D38+1,EDATE(AJ$4,1))-MAX($C38,AJ$4))/MAX(1,$D38+1-$C38))</f>
        <v/>
      </c>
      <c r="AK38" s="64" t="str">
        <f aca="false">IF(OR(AK$4="",$C38="",$D38="",N($E38)=0),"",$E38*MAX(0,MIN($D38+1,EDATE(AK$4,1))-MAX($C38,AK$4))/MAX(1,$D38+1-$C38))</f>
        <v/>
      </c>
      <c r="AL38" s="64" t="str">
        <f aca="false">IF(OR(AL$4="",$C38="",$D38="",N($E38)=0),"",$E38*MAX(0,MIN($D38+1,EDATE(AL$4,1))-MAX($C38,AL$4))/MAX(1,$D38+1-$C38))</f>
        <v/>
      </c>
      <c r="AM38" s="64" t="str">
        <f aca="false">IF(OR(AM$4="",$C38="",$D38="",N($E38)=0),"",$E38*MAX(0,MIN($D38+1,EDATE(AM$4,1))-MAX($C38,AM$4))/MAX(1,$D38+1-$C38))</f>
        <v/>
      </c>
      <c r="AN38" s="64" t="str">
        <f aca="false">IF(OR(AN$4="",$C38="",$D38="",N($E38)=0),"",$E38*MAX(0,MIN($D38+1,EDATE(AN$4,1))-MAX($C38,AN$4))/MAX(1,$D38+1-$C38))</f>
        <v/>
      </c>
      <c r="AO38" s="64" t="str">
        <f aca="false">IF(OR(AO$4="",$C38="",$D38="",N($E38)=0),"",$E38*MAX(0,MIN($D38+1,EDATE(AO$4,1))-MAX($C38,AO$4))/MAX(1,$D38+1-$C38))</f>
        <v/>
      </c>
      <c r="AP38" s="64" t="str">
        <f aca="false">IF(OR(AP$4="",$C38="",$D38="",N($E38)=0),"",$E38*MAX(0,MIN($D38+1,EDATE(AP$4,1))-MAX($C38,AP$4))/MAX(1,$D38+1-$C38))</f>
        <v/>
      </c>
      <c r="AQ38" s="64" t="str">
        <f aca="false">IF(OR(AQ$4="",$C38="",$D38="",N($E38)=0),"",$E38*MAX(0,MIN($D38+1,EDATE(AQ$4,1))-MAX($C38,AQ$4))/MAX(1,$D38+1-$C38))</f>
        <v/>
      </c>
      <c r="AR38" s="64" t="str">
        <f aca="false">IF(OR(AR$4="",$C38="",$D38="",N($E38)=0),"",$E38*MAX(0,MIN($D38+1,EDATE(AR$4,1))-MAX($C38,AR$4))/MAX(1,$D38+1-$C38))</f>
        <v/>
      </c>
      <c r="AS38" s="64" t="str">
        <f aca="false">IF(OR(AS$4="",$C38="",$D38="",N($E38)=0),"",$E38*MAX(0,MIN($D38+1,EDATE(AS$4,1))-MAX($C38,AS$4))/MAX(1,$D38+1-$C38))</f>
        <v/>
      </c>
      <c r="AT38" s="64" t="str">
        <f aca="false">IF(OR(AT$4="",$C38="",$D38="",N($E38)=0),"",$E38*MAX(0,MIN($D38+1,EDATE(AT$4,1))-MAX($C38,AT$4))/MAX(1,$D38+1-$C38))</f>
        <v/>
      </c>
      <c r="AU38" s="64" t="str">
        <f aca="false">IF(OR(AU$4="",$C38="",$D38="",N($E38)=0),"",$E38*MAX(0,MIN($D38+1,EDATE(AU$4,1))-MAX($C38,AU$4))/MAX(1,$D38+1-$C38))</f>
        <v/>
      </c>
      <c r="AV38" s="64" t="str">
        <f aca="false">IF(OR(AV$4="",$C38="",$D38="",N($E38)=0),"",$E38*MAX(0,MIN($D38+1,EDATE(AV$4,1))-MAX($C38,AV$4))/MAX(1,$D38+1-$C38))</f>
        <v/>
      </c>
      <c r="AW38" s="64" t="str">
        <f aca="false">IF(OR(AW$4="",$C38="",$D38="",N($E38)=0),"",$E38*MAX(0,MIN($D38+1,EDATE(AW$4,1))-MAX($C38,AW$4))/MAX(1,$D38+1-$C38))</f>
        <v/>
      </c>
      <c r="AX38" s="64" t="str">
        <f aca="false">IF(OR(AX$4="",$C38="",$D38="",N($E38)=0),"",$E38*MAX(0,MIN($D38+1,EDATE(AX$4,1))-MAX($C38,AX$4))/MAX(1,$D38+1-$C38))</f>
        <v/>
      </c>
      <c r="AY38" s="64" t="str">
        <f aca="false">IF(OR(AY$4="",$C38="",$D38="",N($E38)=0),"",$E38*MAX(0,MIN($D38+1,EDATE(AY$4,1))-MAX($C38,AY$4))/MAX(1,$D38+1-$C38))</f>
        <v/>
      </c>
      <c r="AZ38" s="64" t="str">
        <f aca="false">IF(OR(AZ$4="",$C38="",$D38="",N($E38)=0),"",$E38*MAX(0,MIN($D38+1,EDATE(AZ$4,1))-MAX($C38,AZ$4))/MAX(1,$D38+1-$C38))</f>
        <v/>
      </c>
      <c r="BA38" s="64" t="str">
        <f aca="false">IF(OR(BA$4="",$C38="",$D38="",N($E38)=0),"",$E38*MAX(0,MIN($D38+1,EDATE(BA$4,1))-MAX($C38,BA$4))/MAX(1,$D38+1-$C38))</f>
        <v/>
      </c>
      <c r="BB38" s="64" t="str">
        <f aca="false">IF(OR(BB$4="",$C38="",$D38="",N($E38)=0),"",$E38*MAX(0,MIN($D38+1,EDATE(BB$4,1))-MAX($C38,BB$4))/MAX(1,$D38+1-$C38))</f>
        <v/>
      </c>
      <c r="BC38" s="64" t="str">
        <f aca="false">IF(OR(BC$4="",$C38="",$D38="",N($E38)=0),"",$E38*MAX(0,MIN($D38+1,EDATE(BC$4,1))-MAX($C38,BC$4))/MAX(1,$D38+1-$C38))</f>
        <v/>
      </c>
      <c r="BD38" s="64" t="str">
        <f aca="false">IF(OR(BD$4="",$C38="",$D38="",N($E38)=0),"",$E38*MAX(0,MIN($D38+1,EDATE(BD$4,1))-MAX($C38,BD$4))/MAX(1,$D38+1-$C38))</f>
        <v/>
      </c>
      <c r="BE38" s="64" t="str">
        <f aca="false">IF(OR(BE$4="",$C38="",$D38="",N($E38)=0),"",$E38*MAX(0,MIN($D38+1,EDATE(BE$4,1))-MAX($C38,BE$4))/MAX(1,$D38+1-$C38))</f>
        <v/>
      </c>
      <c r="BF38" s="64" t="str">
        <f aca="false">IF(OR(BF$4="",$C38="",$D38="",N($E38)=0),"",$E38*MAX(0,MIN($D38+1,EDATE(BF$4,1))-MAX($C38,BF$4))/MAX(1,$D38+1-$C38))</f>
        <v/>
      </c>
      <c r="BG38" s="64" t="str">
        <f aca="false">IF(OR(BG$4="",$C38="",$D38="",N($E38)=0),"",$E38*MAX(0,MIN($D38+1,EDATE(BG$4,1))-MAX($C38,BG$4))/MAX(1,$D38+1-$C38))</f>
        <v/>
      </c>
      <c r="BH38" s="64" t="str">
        <f aca="false">IF(OR(BH$4="",$C38="",$D38="",N($E38)=0),"",$E38*MAX(0,MIN($D38+1,EDATE(BH$4,1))-MAX($C38,BH$4))/MAX(1,$D38+1-$C38))</f>
        <v/>
      </c>
      <c r="BI38" s="64" t="str">
        <f aca="false">IF(OR(BI$4="",$C38="",$D38="",N($E38)=0),"",$E38*MAX(0,MIN($D38+1,EDATE(BI$4,1))-MAX($C38,BI$4))/MAX(1,$D38+1-$C38))</f>
        <v/>
      </c>
      <c r="BJ38" s="64" t="str">
        <f aca="false">IF(OR(BJ$4="",$C38="",$D38="",N($E38)=0),"",$E38*MAX(0,MIN($D38+1,EDATE(BJ$4,1))-MAX($C38,BJ$4))/MAX(1,$D38+1-$C38))</f>
        <v/>
      </c>
      <c r="BK38" s="64" t="str">
        <f aca="false">IF(OR(BK$4="",$C38="",$D38="",N($E38)=0),"",$E38*MAX(0,MIN($D38+1,EDATE(BK$4,1))-MAX($C38,BK$4))/MAX(1,$D38+1-$C38))</f>
        <v/>
      </c>
      <c r="BL38" s="64" t="str">
        <f aca="false">IF(OR(BL$4="",$C38="",$D38="",N($E38)=0),"",$E38*MAX(0,MIN($D38+1,EDATE(BL$4,1))-MAX($C38,BL$4))/MAX(1,$D38+1-$C38))</f>
        <v/>
      </c>
      <c r="BM38" s="64" t="str">
        <f aca="false">IF(OR(BM$4="",$C38="",$D38="",N($E38)=0),"",$E38*MAX(0,MIN($D38+1,EDATE(BM$4,1))-MAX($C38,BM$4))/MAX(1,$D38+1-$C38))</f>
        <v/>
      </c>
      <c r="BN38" s="64" t="str">
        <f aca="false">IF(OR(BN$4="",$C38="",$D38="",N($E38)=0),"",$E38*MAX(0,MIN($D38+1,EDATE(BN$4,1))-MAX($C38,BN$4))/MAX(1,$D38+1-$C38))</f>
        <v/>
      </c>
      <c r="BO38" s="64" t="str">
        <f aca="false">IF(OR(BO$4="",$C38="",$D38="",N($E38)=0),"",$E38*MAX(0,MIN($D38+1,EDATE(BO$4,1))-MAX($C38,BO$4))/MAX(1,$D38+1-$C38))</f>
        <v/>
      </c>
      <c r="BP38" s="64" t="str">
        <f aca="false">IF(OR(BP$4="",$C38="",$D38="",N($E38)=0),"",$E38*MAX(0,MIN($D38+1,EDATE(BP$4,1))-MAX($C38,BP$4))/MAX(1,$D38+1-$C38))</f>
        <v/>
      </c>
      <c r="BQ38" s="64" t="str">
        <f aca="false">IF(OR(BQ$4="",$C38="",$D38="",N($E38)=0),"",$E38*MAX(0,MIN($D38+1,EDATE(BQ$4,1))-MAX($C38,BQ$4))/MAX(1,$D38+1-$C38))</f>
        <v/>
      </c>
      <c r="BR38" s="64" t="str">
        <f aca="false">IF(OR(BR$4="",$C38="",$D38="",N($E38)=0),"",$E38*MAX(0,MIN($D38+1,EDATE(BR$4,1))-MAX($C38,BR$4))/MAX(1,$D38+1-$C38))</f>
        <v/>
      </c>
      <c r="BS38" s="64" t="str">
        <f aca="false">IF(OR(BS$4="",$C38="",$D38="",N($E38)=0),"",$E38*MAX(0,MIN($D38+1,EDATE(BS$4,1))-MAX($C38,BS$4))/MAX(1,$D38+1-$C38))</f>
        <v/>
      </c>
      <c r="BT38" s="64" t="str">
        <f aca="false">IF(OR(BT$4="",$C38="",$D38="",N($E38)=0),"",$E38*MAX(0,MIN($D38+1,EDATE(BT$4,1))-MAX($C38,BT$4))/MAX(1,$D38+1-$C38))</f>
        <v/>
      </c>
      <c r="BU38" s="64" t="str">
        <f aca="false">IF(OR(BU$4="",$C38="",$D38="",N($E38)=0),"",$E38*MAX(0,MIN($D38+1,EDATE(BU$4,1))-MAX($C38,BU$4))/MAX(1,$D38+1-$C38))</f>
        <v/>
      </c>
      <c r="BV38" s="64" t="str">
        <f aca="false">IF(OR(BV$4="",$C38="",$D38="",N($E38)=0),"",$E38*MAX(0,MIN($D38+1,EDATE(BV$4,1))-MAX($C38,BV$4))/MAX(1,$D38+1-$C38))</f>
        <v/>
      </c>
      <c r="BW38" s="64" t="str">
        <f aca="false">IF(OR(BW$4="",$C38="",$D38="",N($E38)=0),"",$E38*MAX(0,MIN($D38+1,EDATE(BW$4,1))-MAX($C38,BW$4))/MAX(1,$D38+1-$C38))</f>
        <v/>
      </c>
      <c r="BX38" s="64" t="str">
        <f aca="false">IF(OR(BX$4="",$C38="",$D38="",N($E38)=0),"",$E38*MAX(0,MIN($D38+1,EDATE(BX$4,1))-MAX($C38,BX$4))/MAX(1,$D38+1-$C38))</f>
        <v/>
      </c>
      <c r="BY38" s="64" t="str">
        <f aca="false">IF(OR(BY$4="",$C38="",$D38="",N($E38)=0),"",$E38*MAX(0,MIN($D38+1,EDATE(BY$4,1))-MAX($C38,BY$4))/MAX(1,$D38+1-$C38))</f>
        <v/>
      </c>
    </row>
    <row r="39" customFormat="false" ht="15" hidden="false" customHeight="false" outlineLevel="0" collapsed="false">
      <c r="A39" s="61" t="str">
        <f aca="false">IF(BOE!$A40="","",BOE!$A40)</f>
        <v/>
      </c>
      <c r="B39" s="61" t="str">
        <f aca="false">IF(BOE!$A40="","",BOE!$C40)</f>
        <v/>
      </c>
      <c r="C39" s="62" t="str">
        <f aca="false">IF(BOE!$O40="","",BOE!$O40)</f>
        <v/>
      </c>
      <c r="D39" s="62" t="str">
        <f aca="false">IF(BOE!$P40="","",BOE!$P40)</f>
        <v/>
      </c>
      <c r="E39" s="63" t="n">
        <f aca="false">IF(Inputs!$B$7="P90",BOE!$T40,BOE!$R40)</f>
        <v>0</v>
      </c>
      <c r="F39" s="64" t="str">
        <f aca="false">IF(OR(F$4="",$C39="",$D39="",N($E39)=0),"",$E39*MAX(0,MIN($D39+1,EDATE(F$4,1))-MAX($C39,F$4))/MAX(1,$D39+1-$C39))</f>
        <v/>
      </c>
      <c r="G39" s="64" t="str">
        <f aca="false">IF(OR(G$4="",$C39="",$D39="",N($E39)=0),"",$E39*MAX(0,MIN($D39+1,EDATE(G$4,1))-MAX($C39,G$4))/MAX(1,$D39+1-$C39))</f>
        <v/>
      </c>
      <c r="H39" s="64" t="str">
        <f aca="false">IF(OR(H$4="",$C39="",$D39="",N($E39)=0),"",$E39*MAX(0,MIN($D39+1,EDATE(H$4,1))-MAX($C39,H$4))/MAX(1,$D39+1-$C39))</f>
        <v/>
      </c>
      <c r="I39" s="64" t="str">
        <f aca="false">IF(OR(I$4="",$C39="",$D39="",N($E39)=0),"",$E39*MAX(0,MIN($D39+1,EDATE(I$4,1))-MAX($C39,I$4))/MAX(1,$D39+1-$C39))</f>
        <v/>
      </c>
      <c r="J39" s="64" t="str">
        <f aca="false">IF(OR(J$4="",$C39="",$D39="",N($E39)=0),"",$E39*MAX(0,MIN($D39+1,EDATE(J$4,1))-MAX($C39,J$4))/MAX(1,$D39+1-$C39))</f>
        <v/>
      </c>
      <c r="K39" s="64" t="str">
        <f aca="false">IF(OR(K$4="",$C39="",$D39="",N($E39)=0),"",$E39*MAX(0,MIN($D39+1,EDATE(K$4,1))-MAX($C39,K$4))/MAX(1,$D39+1-$C39))</f>
        <v/>
      </c>
      <c r="L39" s="64" t="str">
        <f aca="false">IF(OR(L$4="",$C39="",$D39="",N($E39)=0),"",$E39*MAX(0,MIN($D39+1,EDATE(L$4,1))-MAX($C39,L$4))/MAX(1,$D39+1-$C39))</f>
        <v/>
      </c>
      <c r="M39" s="64" t="str">
        <f aca="false">IF(OR(M$4="",$C39="",$D39="",N($E39)=0),"",$E39*MAX(0,MIN($D39+1,EDATE(M$4,1))-MAX($C39,M$4))/MAX(1,$D39+1-$C39))</f>
        <v/>
      </c>
      <c r="N39" s="64" t="str">
        <f aca="false">IF(OR(N$4="",$C39="",$D39="",N($E39)=0),"",$E39*MAX(0,MIN($D39+1,EDATE(N$4,1))-MAX($C39,N$4))/MAX(1,$D39+1-$C39))</f>
        <v/>
      </c>
      <c r="O39" s="64" t="str">
        <f aca="false">IF(OR(O$4="",$C39="",$D39="",N($E39)=0),"",$E39*MAX(0,MIN($D39+1,EDATE(O$4,1))-MAX($C39,O$4))/MAX(1,$D39+1-$C39))</f>
        <v/>
      </c>
      <c r="P39" s="64" t="str">
        <f aca="false">IF(OR(P$4="",$C39="",$D39="",N($E39)=0),"",$E39*MAX(0,MIN($D39+1,EDATE(P$4,1))-MAX($C39,P$4))/MAX(1,$D39+1-$C39))</f>
        <v/>
      </c>
      <c r="Q39" s="64" t="str">
        <f aca="false">IF(OR(Q$4="",$C39="",$D39="",N($E39)=0),"",$E39*MAX(0,MIN($D39+1,EDATE(Q$4,1))-MAX($C39,Q$4))/MAX(1,$D39+1-$C39))</f>
        <v/>
      </c>
      <c r="R39" s="64" t="str">
        <f aca="false">IF(OR(R$4="",$C39="",$D39="",N($E39)=0),"",$E39*MAX(0,MIN($D39+1,EDATE(R$4,1))-MAX($C39,R$4))/MAX(1,$D39+1-$C39))</f>
        <v/>
      </c>
      <c r="S39" s="64" t="str">
        <f aca="false">IF(OR(S$4="",$C39="",$D39="",N($E39)=0),"",$E39*MAX(0,MIN($D39+1,EDATE(S$4,1))-MAX($C39,S$4))/MAX(1,$D39+1-$C39))</f>
        <v/>
      </c>
      <c r="T39" s="64" t="str">
        <f aca="false">IF(OR(T$4="",$C39="",$D39="",N($E39)=0),"",$E39*MAX(0,MIN($D39+1,EDATE(T$4,1))-MAX($C39,T$4))/MAX(1,$D39+1-$C39))</f>
        <v/>
      </c>
      <c r="U39" s="64" t="str">
        <f aca="false">IF(OR(U$4="",$C39="",$D39="",N($E39)=0),"",$E39*MAX(0,MIN($D39+1,EDATE(U$4,1))-MAX($C39,U$4))/MAX(1,$D39+1-$C39))</f>
        <v/>
      </c>
      <c r="V39" s="64" t="str">
        <f aca="false">IF(OR(V$4="",$C39="",$D39="",N($E39)=0),"",$E39*MAX(0,MIN($D39+1,EDATE(V$4,1))-MAX($C39,V$4))/MAX(1,$D39+1-$C39))</f>
        <v/>
      </c>
      <c r="W39" s="64" t="str">
        <f aca="false">IF(OR(W$4="",$C39="",$D39="",N($E39)=0),"",$E39*MAX(0,MIN($D39+1,EDATE(W$4,1))-MAX($C39,W$4))/MAX(1,$D39+1-$C39))</f>
        <v/>
      </c>
      <c r="X39" s="64" t="str">
        <f aca="false">IF(OR(X$4="",$C39="",$D39="",N($E39)=0),"",$E39*MAX(0,MIN($D39+1,EDATE(X$4,1))-MAX($C39,X$4))/MAX(1,$D39+1-$C39))</f>
        <v/>
      </c>
      <c r="Y39" s="64" t="str">
        <f aca="false">IF(OR(Y$4="",$C39="",$D39="",N($E39)=0),"",$E39*MAX(0,MIN($D39+1,EDATE(Y$4,1))-MAX($C39,Y$4))/MAX(1,$D39+1-$C39))</f>
        <v/>
      </c>
      <c r="Z39" s="64" t="str">
        <f aca="false">IF(OR(Z$4="",$C39="",$D39="",N($E39)=0),"",$E39*MAX(0,MIN($D39+1,EDATE(Z$4,1))-MAX($C39,Z$4))/MAX(1,$D39+1-$C39))</f>
        <v/>
      </c>
      <c r="AA39" s="64" t="str">
        <f aca="false">IF(OR(AA$4="",$C39="",$D39="",N($E39)=0),"",$E39*MAX(0,MIN($D39+1,EDATE(AA$4,1))-MAX($C39,AA$4))/MAX(1,$D39+1-$C39))</f>
        <v/>
      </c>
      <c r="AB39" s="64" t="str">
        <f aca="false">IF(OR(AB$4="",$C39="",$D39="",N($E39)=0),"",$E39*MAX(0,MIN($D39+1,EDATE(AB$4,1))-MAX($C39,AB$4))/MAX(1,$D39+1-$C39))</f>
        <v/>
      </c>
      <c r="AC39" s="64" t="str">
        <f aca="false">IF(OR(AC$4="",$C39="",$D39="",N($E39)=0),"",$E39*MAX(0,MIN($D39+1,EDATE(AC$4,1))-MAX($C39,AC$4))/MAX(1,$D39+1-$C39))</f>
        <v/>
      </c>
      <c r="AD39" s="64" t="str">
        <f aca="false">IF(OR(AD$4="",$C39="",$D39="",N($E39)=0),"",$E39*MAX(0,MIN($D39+1,EDATE(AD$4,1))-MAX($C39,AD$4))/MAX(1,$D39+1-$C39))</f>
        <v/>
      </c>
      <c r="AE39" s="64" t="str">
        <f aca="false">IF(OR(AE$4="",$C39="",$D39="",N($E39)=0),"",$E39*MAX(0,MIN($D39+1,EDATE(AE$4,1))-MAX($C39,AE$4))/MAX(1,$D39+1-$C39))</f>
        <v/>
      </c>
      <c r="AF39" s="64" t="str">
        <f aca="false">IF(OR(AF$4="",$C39="",$D39="",N($E39)=0),"",$E39*MAX(0,MIN($D39+1,EDATE(AF$4,1))-MAX($C39,AF$4))/MAX(1,$D39+1-$C39))</f>
        <v/>
      </c>
      <c r="AG39" s="64" t="str">
        <f aca="false">IF(OR(AG$4="",$C39="",$D39="",N($E39)=0),"",$E39*MAX(0,MIN($D39+1,EDATE(AG$4,1))-MAX($C39,AG$4))/MAX(1,$D39+1-$C39))</f>
        <v/>
      </c>
      <c r="AH39" s="64" t="str">
        <f aca="false">IF(OR(AH$4="",$C39="",$D39="",N($E39)=0),"",$E39*MAX(0,MIN($D39+1,EDATE(AH$4,1))-MAX($C39,AH$4))/MAX(1,$D39+1-$C39))</f>
        <v/>
      </c>
      <c r="AI39" s="64" t="str">
        <f aca="false">IF(OR(AI$4="",$C39="",$D39="",N($E39)=0),"",$E39*MAX(0,MIN($D39+1,EDATE(AI$4,1))-MAX($C39,AI$4))/MAX(1,$D39+1-$C39))</f>
        <v/>
      </c>
      <c r="AJ39" s="64" t="str">
        <f aca="false">IF(OR(AJ$4="",$C39="",$D39="",N($E39)=0),"",$E39*MAX(0,MIN($D39+1,EDATE(AJ$4,1))-MAX($C39,AJ$4))/MAX(1,$D39+1-$C39))</f>
        <v/>
      </c>
      <c r="AK39" s="64" t="str">
        <f aca="false">IF(OR(AK$4="",$C39="",$D39="",N($E39)=0),"",$E39*MAX(0,MIN($D39+1,EDATE(AK$4,1))-MAX($C39,AK$4))/MAX(1,$D39+1-$C39))</f>
        <v/>
      </c>
      <c r="AL39" s="64" t="str">
        <f aca="false">IF(OR(AL$4="",$C39="",$D39="",N($E39)=0),"",$E39*MAX(0,MIN($D39+1,EDATE(AL$4,1))-MAX($C39,AL$4))/MAX(1,$D39+1-$C39))</f>
        <v/>
      </c>
      <c r="AM39" s="64" t="str">
        <f aca="false">IF(OR(AM$4="",$C39="",$D39="",N($E39)=0),"",$E39*MAX(0,MIN($D39+1,EDATE(AM$4,1))-MAX($C39,AM$4))/MAX(1,$D39+1-$C39))</f>
        <v/>
      </c>
      <c r="AN39" s="64" t="str">
        <f aca="false">IF(OR(AN$4="",$C39="",$D39="",N($E39)=0),"",$E39*MAX(0,MIN($D39+1,EDATE(AN$4,1))-MAX($C39,AN$4))/MAX(1,$D39+1-$C39))</f>
        <v/>
      </c>
      <c r="AO39" s="64" t="str">
        <f aca="false">IF(OR(AO$4="",$C39="",$D39="",N($E39)=0),"",$E39*MAX(0,MIN($D39+1,EDATE(AO$4,1))-MAX($C39,AO$4))/MAX(1,$D39+1-$C39))</f>
        <v/>
      </c>
      <c r="AP39" s="64" t="str">
        <f aca="false">IF(OR(AP$4="",$C39="",$D39="",N($E39)=0),"",$E39*MAX(0,MIN($D39+1,EDATE(AP$4,1))-MAX($C39,AP$4))/MAX(1,$D39+1-$C39))</f>
        <v/>
      </c>
      <c r="AQ39" s="64" t="str">
        <f aca="false">IF(OR(AQ$4="",$C39="",$D39="",N($E39)=0),"",$E39*MAX(0,MIN($D39+1,EDATE(AQ$4,1))-MAX($C39,AQ$4))/MAX(1,$D39+1-$C39))</f>
        <v/>
      </c>
      <c r="AR39" s="64" t="str">
        <f aca="false">IF(OR(AR$4="",$C39="",$D39="",N($E39)=0),"",$E39*MAX(0,MIN($D39+1,EDATE(AR$4,1))-MAX($C39,AR$4))/MAX(1,$D39+1-$C39))</f>
        <v/>
      </c>
      <c r="AS39" s="64" t="str">
        <f aca="false">IF(OR(AS$4="",$C39="",$D39="",N($E39)=0),"",$E39*MAX(0,MIN($D39+1,EDATE(AS$4,1))-MAX($C39,AS$4))/MAX(1,$D39+1-$C39))</f>
        <v/>
      </c>
      <c r="AT39" s="64" t="str">
        <f aca="false">IF(OR(AT$4="",$C39="",$D39="",N($E39)=0),"",$E39*MAX(0,MIN($D39+1,EDATE(AT$4,1))-MAX($C39,AT$4))/MAX(1,$D39+1-$C39))</f>
        <v/>
      </c>
      <c r="AU39" s="64" t="str">
        <f aca="false">IF(OR(AU$4="",$C39="",$D39="",N($E39)=0),"",$E39*MAX(0,MIN($D39+1,EDATE(AU$4,1))-MAX($C39,AU$4))/MAX(1,$D39+1-$C39))</f>
        <v/>
      </c>
      <c r="AV39" s="64" t="str">
        <f aca="false">IF(OR(AV$4="",$C39="",$D39="",N($E39)=0),"",$E39*MAX(0,MIN($D39+1,EDATE(AV$4,1))-MAX($C39,AV$4))/MAX(1,$D39+1-$C39))</f>
        <v/>
      </c>
      <c r="AW39" s="64" t="str">
        <f aca="false">IF(OR(AW$4="",$C39="",$D39="",N($E39)=0),"",$E39*MAX(0,MIN($D39+1,EDATE(AW$4,1))-MAX($C39,AW$4))/MAX(1,$D39+1-$C39))</f>
        <v/>
      </c>
      <c r="AX39" s="64" t="str">
        <f aca="false">IF(OR(AX$4="",$C39="",$D39="",N($E39)=0),"",$E39*MAX(0,MIN($D39+1,EDATE(AX$4,1))-MAX($C39,AX$4))/MAX(1,$D39+1-$C39))</f>
        <v/>
      </c>
      <c r="AY39" s="64" t="str">
        <f aca="false">IF(OR(AY$4="",$C39="",$D39="",N($E39)=0),"",$E39*MAX(0,MIN($D39+1,EDATE(AY$4,1))-MAX($C39,AY$4))/MAX(1,$D39+1-$C39))</f>
        <v/>
      </c>
      <c r="AZ39" s="64" t="str">
        <f aca="false">IF(OR(AZ$4="",$C39="",$D39="",N($E39)=0),"",$E39*MAX(0,MIN($D39+1,EDATE(AZ$4,1))-MAX($C39,AZ$4))/MAX(1,$D39+1-$C39))</f>
        <v/>
      </c>
      <c r="BA39" s="64" t="str">
        <f aca="false">IF(OR(BA$4="",$C39="",$D39="",N($E39)=0),"",$E39*MAX(0,MIN($D39+1,EDATE(BA$4,1))-MAX($C39,BA$4))/MAX(1,$D39+1-$C39))</f>
        <v/>
      </c>
      <c r="BB39" s="64" t="str">
        <f aca="false">IF(OR(BB$4="",$C39="",$D39="",N($E39)=0),"",$E39*MAX(0,MIN($D39+1,EDATE(BB$4,1))-MAX($C39,BB$4))/MAX(1,$D39+1-$C39))</f>
        <v/>
      </c>
      <c r="BC39" s="64" t="str">
        <f aca="false">IF(OR(BC$4="",$C39="",$D39="",N($E39)=0),"",$E39*MAX(0,MIN($D39+1,EDATE(BC$4,1))-MAX($C39,BC$4))/MAX(1,$D39+1-$C39))</f>
        <v/>
      </c>
      <c r="BD39" s="64" t="str">
        <f aca="false">IF(OR(BD$4="",$C39="",$D39="",N($E39)=0),"",$E39*MAX(0,MIN($D39+1,EDATE(BD$4,1))-MAX($C39,BD$4))/MAX(1,$D39+1-$C39))</f>
        <v/>
      </c>
      <c r="BE39" s="64" t="str">
        <f aca="false">IF(OR(BE$4="",$C39="",$D39="",N($E39)=0),"",$E39*MAX(0,MIN($D39+1,EDATE(BE$4,1))-MAX($C39,BE$4))/MAX(1,$D39+1-$C39))</f>
        <v/>
      </c>
      <c r="BF39" s="64" t="str">
        <f aca="false">IF(OR(BF$4="",$C39="",$D39="",N($E39)=0),"",$E39*MAX(0,MIN($D39+1,EDATE(BF$4,1))-MAX($C39,BF$4))/MAX(1,$D39+1-$C39))</f>
        <v/>
      </c>
      <c r="BG39" s="64" t="str">
        <f aca="false">IF(OR(BG$4="",$C39="",$D39="",N($E39)=0),"",$E39*MAX(0,MIN($D39+1,EDATE(BG$4,1))-MAX($C39,BG$4))/MAX(1,$D39+1-$C39))</f>
        <v/>
      </c>
      <c r="BH39" s="64" t="str">
        <f aca="false">IF(OR(BH$4="",$C39="",$D39="",N($E39)=0),"",$E39*MAX(0,MIN($D39+1,EDATE(BH$4,1))-MAX($C39,BH$4))/MAX(1,$D39+1-$C39))</f>
        <v/>
      </c>
      <c r="BI39" s="64" t="str">
        <f aca="false">IF(OR(BI$4="",$C39="",$D39="",N($E39)=0),"",$E39*MAX(0,MIN($D39+1,EDATE(BI$4,1))-MAX($C39,BI$4))/MAX(1,$D39+1-$C39))</f>
        <v/>
      </c>
      <c r="BJ39" s="64" t="str">
        <f aca="false">IF(OR(BJ$4="",$C39="",$D39="",N($E39)=0),"",$E39*MAX(0,MIN($D39+1,EDATE(BJ$4,1))-MAX($C39,BJ$4))/MAX(1,$D39+1-$C39))</f>
        <v/>
      </c>
      <c r="BK39" s="64" t="str">
        <f aca="false">IF(OR(BK$4="",$C39="",$D39="",N($E39)=0),"",$E39*MAX(0,MIN($D39+1,EDATE(BK$4,1))-MAX($C39,BK$4))/MAX(1,$D39+1-$C39))</f>
        <v/>
      </c>
      <c r="BL39" s="64" t="str">
        <f aca="false">IF(OR(BL$4="",$C39="",$D39="",N($E39)=0),"",$E39*MAX(0,MIN($D39+1,EDATE(BL$4,1))-MAX($C39,BL$4))/MAX(1,$D39+1-$C39))</f>
        <v/>
      </c>
      <c r="BM39" s="64" t="str">
        <f aca="false">IF(OR(BM$4="",$C39="",$D39="",N($E39)=0),"",$E39*MAX(0,MIN($D39+1,EDATE(BM$4,1))-MAX($C39,BM$4))/MAX(1,$D39+1-$C39))</f>
        <v/>
      </c>
      <c r="BN39" s="64" t="str">
        <f aca="false">IF(OR(BN$4="",$C39="",$D39="",N($E39)=0),"",$E39*MAX(0,MIN($D39+1,EDATE(BN$4,1))-MAX($C39,BN$4))/MAX(1,$D39+1-$C39))</f>
        <v/>
      </c>
      <c r="BO39" s="64" t="str">
        <f aca="false">IF(OR(BO$4="",$C39="",$D39="",N($E39)=0),"",$E39*MAX(0,MIN($D39+1,EDATE(BO$4,1))-MAX($C39,BO$4))/MAX(1,$D39+1-$C39))</f>
        <v/>
      </c>
      <c r="BP39" s="64" t="str">
        <f aca="false">IF(OR(BP$4="",$C39="",$D39="",N($E39)=0),"",$E39*MAX(0,MIN($D39+1,EDATE(BP$4,1))-MAX($C39,BP$4))/MAX(1,$D39+1-$C39))</f>
        <v/>
      </c>
      <c r="BQ39" s="64" t="str">
        <f aca="false">IF(OR(BQ$4="",$C39="",$D39="",N($E39)=0),"",$E39*MAX(0,MIN($D39+1,EDATE(BQ$4,1))-MAX($C39,BQ$4))/MAX(1,$D39+1-$C39))</f>
        <v/>
      </c>
      <c r="BR39" s="64" t="str">
        <f aca="false">IF(OR(BR$4="",$C39="",$D39="",N($E39)=0),"",$E39*MAX(0,MIN($D39+1,EDATE(BR$4,1))-MAX($C39,BR$4))/MAX(1,$D39+1-$C39))</f>
        <v/>
      </c>
      <c r="BS39" s="64" t="str">
        <f aca="false">IF(OR(BS$4="",$C39="",$D39="",N($E39)=0),"",$E39*MAX(0,MIN($D39+1,EDATE(BS$4,1))-MAX($C39,BS$4))/MAX(1,$D39+1-$C39))</f>
        <v/>
      </c>
      <c r="BT39" s="64" t="str">
        <f aca="false">IF(OR(BT$4="",$C39="",$D39="",N($E39)=0),"",$E39*MAX(0,MIN($D39+1,EDATE(BT$4,1))-MAX($C39,BT$4))/MAX(1,$D39+1-$C39))</f>
        <v/>
      </c>
      <c r="BU39" s="64" t="str">
        <f aca="false">IF(OR(BU$4="",$C39="",$D39="",N($E39)=0),"",$E39*MAX(0,MIN($D39+1,EDATE(BU$4,1))-MAX($C39,BU$4))/MAX(1,$D39+1-$C39))</f>
        <v/>
      </c>
      <c r="BV39" s="64" t="str">
        <f aca="false">IF(OR(BV$4="",$C39="",$D39="",N($E39)=0),"",$E39*MAX(0,MIN($D39+1,EDATE(BV$4,1))-MAX($C39,BV$4))/MAX(1,$D39+1-$C39))</f>
        <v/>
      </c>
      <c r="BW39" s="64" t="str">
        <f aca="false">IF(OR(BW$4="",$C39="",$D39="",N($E39)=0),"",$E39*MAX(0,MIN($D39+1,EDATE(BW$4,1))-MAX($C39,BW$4))/MAX(1,$D39+1-$C39))</f>
        <v/>
      </c>
      <c r="BX39" s="64" t="str">
        <f aca="false">IF(OR(BX$4="",$C39="",$D39="",N($E39)=0),"",$E39*MAX(0,MIN($D39+1,EDATE(BX$4,1))-MAX($C39,BX$4))/MAX(1,$D39+1-$C39))</f>
        <v/>
      </c>
      <c r="BY39" s="64" t="str">
        <f aca="false">IF(OR(BY$4="",$C39="",$D39="",N($E39)=0),"",$E39*MAX(0,MIN($D39+1,EDATE(BY$4,1))-MAX($C39,BY$4))/MAX(1,$D39+1-$C39))</f>
        <v/>
      </c>
    </row>
    <row r="40" customFormat="false" ht="15" hidden="false" customHeight="false" outlineLevel="0" collapsed="false">
      <c r="A40" s="61" t="str">
        <f aca="false">IF(BOE!$A41="","",BOE!$A41)</f>
        <v/>
      </c>
      <c r="B40" s="61" t="str">
        <f aca="false">IF(BOE!$A41="","",BOE!$C41)</f>
        <v/>
      </c>
      <c r="C40" s="62" t="str">
        <f aca="false">IF(BOE!$O41="","",BOE!$O41)</f>
        <v/>
      </c>
      <c r="D40" s="62" t="str">
        <f aca="false">IF(BOE!$P41="","",BOE!$P41)</f>
        <v/>
      </c>
      <c r="E40" s="63" t="n">
        <f aca="false">IF(Inputs!$B$7="P90",BOE!$T41,BOE!$R41)</f>
        <v>0</v>
      </c>
      <c r="F40" s="64" t="str">
        <f aca="false">IF(OR(F$4="",$C40="",$D40="",N($E40)=0),"",$E40*MAX(0,MIN($D40+1,EDATE(F$4,1))-MAX($C40,F$4))/MAX(1,$D40+1-$C40))</f>
        <v/>
      </c>
      <c r="G40" s="64" t="str">
        <f aca="false">IF(OR(G$4="",$C40="",$D40="",N($E40)=0),"",$E40*MAX(0,MIN($D40+1,EDATE(G$4,1))-MAX($C40,G$4))/MAX(1,$D40+1-$C40))</f>
        <v/>
      </c>
      <c r="H40" s="64" t="str">
        <f aca="false">IF(OR(H$4="",$C40="",$D40="",N($E40)=0),"",$E40*MAX(0,MIN($D40+1,EDATE(H$4,1))-MAX($C40,H$4))/MAX(1,$D40+1-$C40))</f>
        <v/>
      </c>
      <c r="I40" s="64" t="str">
        <f aca="false">IF(OR(I$4="",$C40="",$D40="",N($E40)=0),"",$E40*MAX(0,MIN($D40+1,EDATE(I$4,1))-MAX($C40,I$4))/MAX(1,$D40+1-$C40))</f>
        <v/>
      </c>
      <c r="J40" s="64" t="str">
        <f aca="false">IF(OR(J$4="",$C40="",$D40="",N($E40)=0),"",$E40*MAX(0,MIN($D40+1,EDATE(J$4,1))-MAX($C40,J$4))/MAX(1,$D40+1-$C40))</f>
        <v/>
      </c>
      <c r="K40" s="64" t="str">
        <f aca="false">IF(OR(K$4="",$C40="",$D40="",N($E40)=0),"",$E40*MAX(0,MIN($D40+1,EDATE(K$4,1))-MAX($C40,K$4))/MAX(1,$D40+1-$C40))</f>
        <v/>
      </c>
      <c r="L40" s="64" t="str">
        <f aca="false">IF(OR(L$4="",$C40="",$D40="",N($E40)=0),"",$E40*MAX(0,MIN($D40+1,EDATE(L$4,1))-MAX($C40,L$4))/MAX(1,$D40+1-$C40))</f>
        <v/>
      </c>
      <c r="M40" s="64" t="str">
        <f aca="false">IF(OR(M$4="",$C40="",$D40="",N($E40)=0),"",$E40*MAX(0,MIN($D40+1,EDATE(M$4,1))-MAX($C40,M$4))/MAX(1,$D40+1-$C40))</f>
        <v/>
      </c>
      <c r="N40" s="64" t="str">
        <f aca="false">IF(OR(N$4="",$C40="",$D40="",N($E40)=0),"",$E40*MAX(0,MIN($D40+1,EDATE(N$4,1))-MAX($C40,N$4))/MAX(1,$D40+1-$C40))</f>
        <v/>
      </c>
      <c r="O40" s="64" t="str">
        <f aca="false">IF(OR(O$4="",$C40="",$D40="",N($E40)=0),"",$E40*MAX(0,MIN($D40+1,EDATE(O$4,1))-MAX($C40,O$4))/MAX(1,$D40+1-$C40))</f>
        <v/>
      </c>
      <c r="P40" s="64" t="str">
        <f aca="false">IF(OR(P$4="",$C40="",$D40="",N($E40)=0),"",$E40*MAX(0,MIN($D40+1,EDATE(P$4,1))-MAX($C40,P$4))/MAX(1,$D40+1-$C40))</f>
        <v/>
      </c>
      <c r="Q40" s="64" t="str">
        <f aca="false">IF(OR(Q$4="",$C40="",$D40="",N($E40)=0),"",$E40*MAX(0,MIN($D40+1,EDATE(Q$4,1))-MAX($C40,Q$4))/MAX(1,$D40+1-$C40))</f>
        <v/>
      </c>
      <c r="R40" s="64" t="str">
        <f aca="false">IF(OR(R$4="",$C40="",$D40="",N($E40)=0),"",$E40*MAX(0,MIN($D40+1,EDATE(R$4,1))-MAX($C40,R$4))/MAX(1,$D40+1-$C40))</f>
        <v/>
      </c>
      <c r="S40" s="64" t="str">
        <f aca="false">IF(OR(S$4="",$C40="",$D40="",N($E40)=0),"",$E40*MAX(0,MIN($D40+1,EDATE(S$4,1))-MAX($C40,S$4))/MAX(1,$D40+1-$C40))</f>
        <v/>
      </c>
      <c r="T40" s="64" t="str">
        <f aca="false">IF(OR(T$4="",$C40="",$D40="",N($E40)=0),"",$E40*MAX(0,MIN($D40+1,EDATE(T$4,1))-MAX($C40,T$4))/MAX(1,$D40+1-$C40))</f>
        <v/>
      </c>
      <c r="U40" s="64" t="str">
        <f aca="false">IF(OR(U$4="",$C40="",$D40="",N($E40)=0),"",$E40*MAX(0,MIN($D40+1,EDATE(U$4,1))-MAX($C40,U$4))/MAX(1,$D40+1-$C40))</f>
        <v/>
      </c>
      <c r="V40" s="64" t="str">
        <f aca="false">IF(OR(V$4="",$C40="",$D40="",N($E40)=0),"",$E40*MAX(0,MIN($D40+1,EDATE(V$4,1))-MAX($C40,V$4))/MAX(1,$D40+1-$C40))</f>
        <v/>
      </c>
      <c r="W40" s="64" t="str">
        <f aca="false">IF(OR(W$4="",$C40="",$D40="",N($E40)=0),"",$E40*MAX(0,MIN($D40+1,EDATE(W$4,1))-MAX($C40,W$4))/MAX(1,$D40+1-$C40))</f>
        <v/>
      </c>
      <c r="X40" s="64" t="str">
        <f aca="false">IF(OR(X$4="",$C40="",$D40="",N($E40)=0),"",$E40*MAX(0,MIN($D40+1,EDATE(X$4,1))-MAX($C40,X$4))/MAX(1,$D40+1-$C40))</f>
        <v/>
      </c>
      <c r="Y40" s="64" t="str">
        <f aca="false">IF(OR(Y$4="",$C40="",$D40="",N($E40)=0),"",$E40*MAX(0,MIN($D40+1,EDATE(Y$4,1))-MAX($C40,Y$4))/MAX(1,$D40+1-$C40))</f>
        <v/>
      </c>
      <c r="Z40" s="64" t="str">
        <f aca="false">IF(OR(Z$4="",$C40="",$D40="",N($E40)=0),"",$E40*MAX(0,MIN($D40+1,EDATE(Z$4,1))-MAX($C40,Z$4))/MAX(1,$D40+1-$C40))</f>
        <v/>
      </c>
      <c r="AA40" s="64" t="str">
        <f aca="false">IF(OR(AA$4="",$C40="",$D40="",N($E40)=0),"",$E40*MAX(0,MIN($D40+1,EDATE(AA$4,1))-MAX($C40,AA$4))/MAX(1,$D40+1-$C40))</f>
        <v/>
      </c>
      <c r="AB40" s="64" t="str">
        <f aca="false">IF(OR(AB$4="",$C40="",$D40="",N($E40)=0),"",$E40*MAX(0,MIN($D40+1,EDATE(AB$4,1))-MAX($C40,AB$4))/MAX(1,$D40+1-$C40))</f>
        <v/>
      </c>
      <c r="AC40" s="64" t="str">
        <f aca="false">IF(OR(AC$4="",$C40="",$D40="",N($E40)=0),"",$E40*MAX(0,MIN($D40+1,EDATE(AC$4,1))-MAX($C40,AC$4))/MAX(1,$D40+1-$C40))</f>
        <v/>
      </c>
      <c r="AD40" s="64" t="str">
        <f aca="false">IF(OR(AD$4="",$C40="",$D40="",N($E40)=0),"",$E40*MAX(0,MIN($D40+1,EDATE(AD$4,1))-MAX($C40,AD$4))/MAX(1,$D40+1-$C40))</f>
        <v/>
      </c>
      <c r="AE40" s="64" t="str">
        <f aca="false">IF(OR(AE$4="",$C40="",$D40="",N($E40)=0),"",$E40*MAX(0,MIN($D40+1,EDATE(AE$4,1))-MAX($C40,AE$4))/MAX(1,$D40+1-$C40))</f>
        <v/>
      </c>
      <c r="AF40" s="64" t="str">
        <f aca="false">IF(OR(AF$4="",$C40="",$D40="",N($E40)=0),"",$E40*MAX(0,MIN($D40+1,EDATE(AF$4,1))-MAX($C40,AF$4))/MAX(1,$D40+1-$C40))</f>
        <v/>
      </c>
      <c r="AG40" s="64" t="str">
        <f aca="false">IF(OR(AG$4="",$C40="",$D40="",N($E40)=0),"",$E40*MAX(0,MIN($D40+1,EDATE(AG$4,1))-MAX($C40,AG$4))/MAX(1,$D40+1-$C40))</f>
        <v/>
      </c>
      <c r="AH40" s="64" t="str">
        <f aca="false">IF(OR(AH$4="",$C40="",$D40="",N($E40)=0),"",$E40*MAX(0,MIN($D40+1,EDATE(AH$4,1))-MAX($C40,AH$4))/MAX(1,$D40+1-$C40))</f>
        <v/>
      </c>
      <c r="AI40" s="64" t="str">
        <f aca="false">IF(OR(AI$4="",$C40="",$D40="",N($E40)=0),"",$E40*MAX(0,MIN($D40+1,EDATE(AI$4,1))-MAX($C40,AI$4))/MAX(1,$D40+1-$C40))</f>
        <v/>
      </c>
      <c r="AJ40" s="64" t="str">
        <f aca="false">IF(OR(AJ$4="",$C40="",$D40="",N($E40)=0),"",$E40*MAX(0,MIN($D40+1,EDATE(AJ$4,1))-MAX($C40,AJ$4))/MAX(1,$D40+1-$C40))</f>
        <v/>
      </c>
      <c r="AK40" s="64" t="str">
        <f aca="false">IF(OR(AK$4="",$C40="",$D40="",N($E40)=0),"",$E40*MAX(0,MIN($D40+1,EDATE(AK$4,1))-MAX($C40,AK$4))/MAX(1,$D40+1-$C40))</f>
        <v/>
      </c>
      <c r="AL40" s="64" t="str">
        <f aca="false">IF(OR(AL$4="",$C40="",$D40="",N($E40)=0),"",$E40*MAX(0,MIN($D40+1,EDATE(AL$4,1))-MAX($C40,AL$4))/MAX(1,$D40+1-$C40))</f>
        <v/>
      </c>
      <c r="AM40" s="64" t="str">
        <f aca="false">IF(OR(AM$4="",$C40="",$D40="",N($E40)=0),"",$E40*MAX(0,MIN($D40+1,EDATE(AM$4,1))-MAX($C40,AM$4))/MAX(1,$D40+1-$C40))</f>
        <v/>
      </c>
      <c r="AN40" s="64" t="str">
        <f aca="false">IF(OR(AN$4="",$C40="",$D40="",N($E40)=0),"",$E40*MAX(0,MIN($D40+1,EDATE(AN$4,1))-MAX($C40,AN$4))/MAX(1,$D40+1-$C40))</f>
        <v/>
      </c>
      <c r="AO40" s="64" t="str">
        <f aca="false">IF(OR(AO$4="",$C40="",$D40="",N($E40)=0),"",$E40*MAX(0,MIN($D40+1,EDATE(AO$4,1))-MAX($C40,AO$4))/MAX(1,$D40+1-$C40))</f>
        <v/>
      </c>
      <c r="AP40" s="64" t="str">
        <f aca="false">IF(OR(AP$4="",$C40="",$D40="",N($E40)=0),"",$E40*MAX(0,MIN($D40+1,EDATE(AP$4,1))-MAX($C40,AP$4))/MAX(1,$D40+1-$C40))</f>
        <v/>
      </c>
      <c r="AQ40" s="64" t="str">
        <f aca="false">IF(OR(AQ$4="",$C40="",$D40="",N($E40)=0),"",$E40*MAX(0,MIN($D40+1,EDATE(AQ$4,1))-MAX($C40,AQ$4))/MAX(1,$D40+1-$C40))</f>
        <v/>
      </c>
      <c r="AR40" s="64" t="str">
        <f aca="false">IF(OR(AR$4="",$C40="",$D40="",N($E40)=0),"",$E40*MAX(0,MIN($D40+1,EDATE(AR$4,1))-MAX($C40,AR$4))/MAX(1,$D40+1-$C40))</f>
        <v/>
      </c>
      <c r="AS40" s="64" t="str">
        <f aca="false">IF(OR(AS$4="",$C40="",$D40="",N($E40)=0),"",$E40*MAX(0,MIN($D40+1,EDATE(AS$4,1))-MAX($C40,AS$4))/MAX(1,$D40+1-$C40))</f>
        <v/>
      </c>
      <c r="AT40" s="64" t="str">
        <f aca="false">IF(OR(AT$4="",$C40="",$D40="",N($E40)=0),"",$E40*MAX(0,MIN($D40+1,EDATE(AT$4,1))-MAX($C40,AT$4))/MAX(1,$D40+1-$C40))</f>
        <v/>
      </c>
      <c r="AU40" s="64" t="str">
        <f aca="false">IF(OR(AU$4="",$C40="",$D40="",N($E40)=0),"",$E40*MAX(0,MIN($D40+1,EDATE(AU$4,1))-MAX($C40,AU$4))/MAX(1,$D40+1-$C40))</f>
        <v/>
      </c>
      <c r="AV40" s="64" t="str">
        <f aca="false">IF(OR(AV$4="",$C40="",$D40="",N($E40)=0),"",$E40*MAX(0,MIN($D40+1,EDATE(AV$4,1))-MAX($C40,AV$4))/MAX(1,$D40+1-$C40))</f>
        <v/>
      </c>
      <c r="AW40" s="64" t="str">
        <f aca="false">IF(OR(AW$4="",$C40="",$D40="",N($E40)=0),"",$E40*MAX(0,MIN($D40+1,EDATE(AW$4,1))-MAX($C40,AW$4))/MAX(1,$D40+1-$C40))</f>
        <v/>
      </c>
      <c r="AX40" s="64" t="str">
        <f aca="false">IF(OR(AX$4="",$C40="",$D40="",N($E40)=0),"",$E40*MAX(0,MIN($D40+1,EDATE(AX$4,1))-MAX($C40,AX$4))/MAX(1,$D40+1-$C40))</f>
        <v/>
      </c>
      <c r="AY40" s="64" t="str">
        <f aca="false">IF(OR(AY$4="",$C40="",$D40="",N($E40)=0),"",$E40*MAX(0,MIN($D40+1,EDATE(AY$4,1))-MAX($C40,AY$4))/MAX(1,$D40+1-$C40))</f>
        <v/>
      </c>
      <c r="AZ40" s="64" t="str">
        <f aca="false">IF(OR(AZ$4="",$C40="",$D40="",N($E40)=0),"",$E40*MAX(0,MIN($D40+1,EDATE(AZ$4,1))-MAX($C40,AZ$4))/MAX(1,$D40+1-$C40))</f>
        <v/>
      </c>
      <c r="BA40" s="64" t="str">
        <f aca="false">IF(OR(BA$4="",$C40="",$D40="",N($E40)=0),"",$E40*MAX(0,MIN($D40+1,EDATE(BA$4,1))-MAX($C40,BA$4))/MAX(1,$D40+1-$C40))</f>
        <v/>
      </c>
      <c r="BB40" s="64" t="str">
        <f aca="false">IF(OR(BB$4="",$C40="",$D40="",N($E40)=0),"",$E40*MAX(0,MIN($D40+1,EDATE(BB$4,1))-MAX($C40,BB$4))/MAX(1,$D40+1-$C40))</f>
        <v/>
      </c>
      <c r="BC40" s="64" t="str">
        <f aca="false">IF(OR(BC$4="",$C40="",$D40="",N($E40)=0),"",$E40*MAX(0,MIN($D40+1,EDATE(BC$4,1))-MAX($C40,BC$4))/MAX(1,$D40+1-$C40))</f>
        <v/>
      </c>
      <c r="BD40" s="64" t="str">
        <f aca="false">IF(OR(BD$4="",$C40="",$D40="",N($E40)=0),"",$E40*MAX(0,MIN($D40+1,EDATE(BD$4,1))-MAX($C40,BD$4))/MAX(1,$D40+1-$C40))</f>
        <v/>
      </c>
      <c r="BE40" s="64" t="str">
        <f aca="false">IF(OR(BE$4="",$C40="",$D40="",N($E40)=0),"",$E40*MAX(0,MIN($D40+1,EDATE(BE$4,1))-MAX($C40,BE$4))/MAX(1,$D40+1-$C40))</f>
        <v/>
      </c>
      <c r="BF40" s="64" t="str">
        <f aca="false">IF(OR(BF$4="",$C40="",$D40="",N($E40)=0),"",$E40*MAX(0,MIN($D40+1,EDATE(BF$4,1))-MAX($C40,BF$4))/MAX(1,$D40+1-$C40))</f>
        <v/>
      </c>
      <c r="BG40" s="64" t="str">
        <f aca="false">IF(OR(BG$4="",$C40="",$D40="",N($E40)=0),"",$E40*MAX(0,MIN($D40+1,EDATE(BG$4,1))-MAX($C40,BG$4))/MAX(1,$D40+1-$C40))</f>
        <v/>
      </c>
      <c r="BH40" s="64" t="str">
        <f aca="false">IF(OR(BH$4="",$C40="",$D40="",N($E40)=0),"",$E40*MAX(0,MIN($D40+1,EDATE(BH$4,1))-MAX($C40,BH$4))/MAX(1,$D40+1-$C40))</f>
        <v/>
      </c>
      <c r="BI40" s="64" t="str">
        <f aca="false">IF(OR(BI$4="",$C40="",$D40="",N($E40)=0),"",$E40*MAX(0,MIN($D40+1,EDATE(BI$4,1))-MAX($C40,BI$4))/MAX(1,$D40+1-$C40))</f>
        <v/>
      </c>
      <c r="BJ40" s="64" t="str">
        <f aca="false">IF(OR(BJ$4="",$C40="",$D40="",N($E40)=0),"",$E40*MAX(0,MIN($D40+1,EDATE(BJ$4,1))-MAX($C40,BJ$4))/MAX(1,$D40+1-$C40))</f>
        <v/>
      </c>
      <c r="BK40" s="64" t="str">
        <f aca="false">IF(OR(BK$4="",$C40="",$D40="",N($E40)=0),"",$E40*MAX(0,MIN($D40+1,EDATE(BK$4,1))-MAX($C40,BK$4))/MAX(1,$D40+1-$C40))</f>
        <v/>
      </c>
      <c r="BL40" s="64" t="str">
        <f aca="false">IF(OR(BL$4="",$C40="",$D40="",N($E40)=0),"",$E40*MAX(0,MIN($D40+1,EDATE(BL$4,1))-MAX($C40,BL$4))/MAX(1,$D40+1-$C40))</f>
        <v/>
      </c>
      <c r="BM40" s="64" t="str">
        <f aca="false">IF(OR(BM$4="",$C40="",$D40="",N($E40)=0),"",$E40*MAX(0,MIN($D40+1,EDATE(BM$4,1))-MAX($C40,BM$4))/MAX(1,$D40+1-$C40))</f>
        <v/>
      </c>
      <c r="BN40" s="64" t="str">
        <f aca="false">IF(OR(BN$4="",$C40="",$D40="",N($E40)=0),"",$E40*MAX(0,MIN($D40+1,EDATE(BN$4,1))-MAX($C40,BN$4))/MAX(1,$D40+1-$C40))</f>
        <v/>
      </c>
      <c r="BO40" s="64" t="str">
        <f aca="false">IF(OR(BO$4="",$C40="",$D40="",N($E40)=0),"",$E40*MAX(0,MIN($D40+1,EDATE(BO$4,1))-MAX($C40,BO$4))/MAX(1,$D40+1-$C40))</f>
        <v/>
      </c>
      <c r="BP40" s="64" t="str">
        <f aca="false">IF(OR(BP$4="",$C40="",$D40="",N($E40)=0),"",$E40*MAX(0,MIN($D40+1,EDATE(BP$4,1))-MAX($C40,BP$4))/MAX(1,$D40+1-$C40))</f>
        <v/>
      </c>
      <c r="BQ40" s="64" t="str">
        <f aca="false">IF(OR(BQ$4="",$C40="",$D40="",N($E40)=0),"",$E40*MAX(0,MIN($D40+1,EDATE(BQ$4,1))-MAX($C40,BQ$4))/MAX(1,$D40+1-$C40))</f>
        <v/>
      </c>
      <c r="BR40" s="64" t="str">
        <f aca="false">IF(OR(BR$4="",$C40="",$D40="",N($E40)=0),"",$E40*MAX(0,MIN($D40+1,EDATE(BR$4,1))-MAX($C40,BR$4))/MAX(1,$D40+1-$C40))</f>
        <v/>
      </c>
      <c r="BS40" s="64" t="str">
        <f aca="false">IF(OR(BS$4="",$C40="",$D40="",N($E40)=0),"",$E40*MAX(0,MIN($D40+1,EDATE(BS$4,1))-MAX($C40,BS$4))/MAX(1,$D40+1-$C40))</f>
        <v/>
      </c>
      <c r="BT40" s="64" t="str">
        <f aca="false">IF(OR(BT$4="",$C40="",$D40="",N($E40)=0),"",$E40*MAX(0,MIN($D40+1,EDATE(BT$4,1))-MAX($C40,BT$4))/MAX(1,$D40+1-$C40))</f>
        <v/>
      </c>
      <c r="BU40" s="64" t="str">
        <f aca="false">IF(OR(BU$4="",$C40="",$D40="",N($E40)=0),"",$E40*MAX(0,MIN($D40+1,EDATE(BU$4,1))-MAX($C40,BU$4))/MAX(1,$D40+1-$C40))</f>
        <v/>
      </c>
      <c r="BV40" s="64" t="str">
        <f aca="false">IF(OR(BV$4="",$C40="",$D40="",N($E40)=0),"",$E40*MAX(0,MIN($D40+1,EDATE(BV$4,1))-MAX($C40,BV$4))/MAX(1,$D40+1-$C40))</f>
        <v/>
      </c>
      <c r="BW40" s="64" t="str">
        <f aca="false">IF(OR(BW$4="",$C40="",$D40="",N($E40)=0),"",$E40*MAX(0,MIN($D40+1,EDATE(BW$4,1))-MAX($C40,BW$4))/MAX(1,$D40+1-$C40))</f>
        <v/>
      </c>
      <c r="BX40" s="64" t="str">
        <f aca="false">IF(OR(BX$4="",$C40="",$D40="",N($E40)=0),"",$E40*MAX(0,MIN($D40+1,EDATE(BX$4,1))-MAX($C40,BX$4))/MAX(1,$D40+1-$C40))</f>
        <v/>
      </c>
      <c r="BY40" s="64" t="str">
        <f aca="false">IF(OR(BY$4="",$C40="",$D40="",N($E40)=0),"",$E40*MAX(0,MIN($D40+1,EDATE(BY$4,1))-MAX($C40,BY$4))/MAX(1,$D40+1-$C40))</f>
        <v/>
      </c>
    </row>
    <row r="41" customFormat="false" ht="15" hidden="false" customHeight="false" outlineLevel="0" collapsed="false">
      <c r="A41" s="61" t="str">
        <f aca="false">IF(BOE!$A42="","",BOE!$A42)</f>
        <v/>
      </c>
      <c r="B41" s="61" t="str">
        <f aca="false">IF(BOE!$A42="","",BOE!$C42)</f>
        <v/>
      </c>
      <c r="C41" s="62" t="str">
        <f aca="false">IF(BOE!$O42="","",BOE!$O42)</f>
        <v/>
      </c>
      <c r="D41" s="62" t="str">
        <f aca="false">IF(BOE!$P42="","",BOE!$P42)</f>
        <v/>
      </c>
      <c r="E41" s="63" t="n">
        <f aca="false">IF(Inputs!$B$7="P90",BOE!$T42,BOE!$R42)</f>
        <v>0</v>
      </c>
      <c r="F41" s="64" t="str">
        <f aca="false">IF(OR(F$4="",$C41="",$D41="",N($E41)=0),"",$E41*MAX(0,MIN($D41+1,EDATE(F$4,1))-MAX($C41,F$4))/MAX(1,$D41+1-$C41))</f>
        <v/>
      </c>
      <c r="G41" s="64" t="str">
        <f aca="false">IF(OR(G$4="",$C41="",$D41="",N($E41)=0),"",$E41*MAX(0,MIN($D41+1,EDATE(G$4,1))-MAX($C41,G$4))/MAX(1,$D41+1-$C41))</f>
        <v/>
      </c>
      <c r="H41" s="64" t="str">
        <f aca="false">IF(OR(H$4="",$C41="",$D41="",N($E41)=0),"",$E41*MAX(0,MIN($D41+1,EDATE(H$4,1))-MAX($C41,H$4))/MAX(1,$D41+1-$C41))</f>
        <v/>
      </c>
      <c r="I41" s="64" t="str">
        <f aca="false">IF(OR(I$4="",$C41="",$D41="",N($E41)=0),"",$E41*MAX(0,MIN($D41+1,EDATE(I$4,1))-MAX($C41,I$4))/MAX(1,$D41+1-$C41))</f>
        <v/>
      </c>
      <c r="J41" s="64" t="str">
        <f aca="false">IF(OR(J$4="",$C41="",$D41="",N($E41)=0),"",$E41*MAX(0,MIN($D41+1,EDATE(J$4,1))-MAX($C41,J$4))/MAX(1,$D41+1-$C41))</f>
        <v/>
      </c>
      <c r="K41" s="64" t="str">
        <f aca="false">IF(OR(K$4="",$C41="",$D41="",N($E41)=0),"",$E41*MAX(0,MIN($D41+1,EDATE(K$4,1))-MAX($C41,K$4))/MAX(1,$D41+1-$C41))</f>
        <v/>
      </c>
      <c r="L41" s="64" t="str">
        <f aca="false">IF(OR(L$4="",$C41="",$D41="",N($E41)=0),"",$E41*MAX(0,MIN($D41+1,EDATE(L$4,1))-MAX($C41,L$4))/MAX(1,$D41+1-$C41))</f>
        <v/>
      </c>
      <c r="M41" s="64" t="str">
        <f aca="false">IF(OR(M$4="",$C41="",$D41="",N($E41)=0),"",$E41*MAX(0,MIN($D41+1,EDATE(M$4,1))-MAX($C41,M$4))/MAX(1,$D41+1-$C41))</f>
        <v/>
      </c>
      <c r="N41" s="64" t="str">
        <f aca="false">IF(OR(N$4="",$C41="",$D41="",N($E41)=0),"",$E41*MAX(0,MIN($D41+1,EDATE(N$4,1))-MAX($C41,N$4))/MAX(1,$D41+1-$C41))</f>
        <v/>
      </c>
      <c r="O41" s="64" t="str">
        <f aca="false">IF(OR(O$4="",$C41="",$D41="",N($E41)=0),"",$E41*MAX(0,MIN($D41+1,EDATE(O$4,1))-MAX($C41,O$4))/MAX(1,$D41+1-$C41))</f>
        <v/>
      </c>
      <c r="P41" s="64" t="str">
        <f aca="false">IF(OR(P$4="",$C41="",$D41="",N($E41)=0),"",$E41*MAX(0,MIN($D41+1,EDATE(P$4,1))-MAX($C41,P$4))/MAX(1,$D41+1-$C41))</f>
        <v/>
      </c>
      <c r="Q41" s="64" t="str">
        <f aca="false">IF(OR(Q$4="",$C41="",$D41="",N($E41)=0),"",$E41*MAX(0,MIN($D41+1,EDATE(Q$4,1))-MAX($C41,Q$4))/MAX(1,$D41+1-$C41))</f>
        <v/>
      </c>
      <c r="R41" s="64" t="str">
        <f aca="false">IF(OR(R$4="",$C41="",$D41="",N($E41)=0),"",$E41*MAX(0,MIN($D41+1,EDATE(R$4,1))-MAX($C41,R$4))/MAX(1,$D41+1-$C41))</f>
        <v/>
      </c>
      <c r="S41" s="64" t="str">
        <f aca="false">IF(OR(S$4="",$C41="",$D41="",N($E41)=0),"",$E41*MAX(0,MIN($D41+1,EDATE(S$4,1))-MAX($C41,S$4))/MAX(1,$D41+1-$C41))</f>
        <v/>
      </c>
      <c r="T41" s="64" t="str">
        <f aca="false">IF(OR(T$4="",$C41="",$D41="",N($E41)=0),"",$E41*MAX(0,MIN($D41+1,EDATE(T$4,1))-MAX($C41,T$4))/MAX(1,$D41+1-$C41))</f>
        <v/>
      </c>
      <c r="U41" s="64" t="str">
        <f aca="false">IF(OR(U$4="",$C41="",$D41="",N($E41)=0),"",$E41*MAX(0,MIN($D41+1,EDATE(U$4,1))-MAX($C41,U$4))/MAX(1,$D41+1-$C41))</f>
        <v/>
      </c>
      <c r="V41" s="64" t="str">
        <f aca="false">IF(OR(V$4="",$C41="",$D41="",N($E41)=0),"",$E41*MAX(0,MIN($D41+1,EDATE(V$4,1))-MAX($C41,V$4))/MAX(1,$D41+1-$C41))</f>
        <v/>
      </c>
      <c r="W41" s="64" t="str">
        <f aca="false">IF(OR(W$4="",$C41="",$D41="",N($E41)=0),"",$E41*MAX(0,MIN($D41+1,EDATE(W$4,1))-MAX($C41,W$4))/MAX(1,$D41+1-$C41))</f>
        <v/>
      </c>
      <c r="X41" s="64" t="str">
        <f aca="false">IF(OR(X$4="",$C41="",$D41="",N($E41)=0),"",$E41*MAX(0,MIN($D41+1,EDATE(X$4,1))-MAX($C41,X$4))/MAX(1,$D41+1-$C41))</f>
        <v/>
      </c>
      <c r="Y41" s="64" t="str">
        <f aca="false">IF(OR(Y$4="",$C41="",$D41="",N($E41)=0),"",$E41*MAX(0,MIN($D41+1,EDATE(Y$4,1))-MAX($C41,Y$4))/MAX(1,$D41+1-$C41))</f>
        <v/>
      </c>
      <c r="Z41" s="64" t="str">
        <f aca="false">IF(OR(Z$4="",$C41="",$D41="",N($E41)=0),"",$E41*MAX(0,MIN($D41+1,EDATE(Z$4,1))-MAX($C41,Z$4))/MAX(1,$D41+1-$C41))</f>
        <v/>
      </c>
      <c r="AA41" s="64" t="str">
        <f aca="false">IF(OR(AA$4="",$C41="",$D41="",N($E41)=0),"",$E41*MAX(0,MIN($D41+1,EDATE(AA$4,1))-MAX($C41,AA$4))/MAX(1,$D41+1-$C41))</f>
        <v/>
      </c>
      <c r="AB41" s="64" t="str">
        <f aca="false">IF(OR(AB$4="",$C41="",$D41="",N($E41)=0),"",$E41*MAX(0,MIN($D41+1,EDATE(AB$4,1))-MAX($C41,AB$4))/MAX(1,$D41+1-$C41))</f>
        <v/>
      </c>
      <c r="AC41" s="64" t="str">
        <f aca="false">IF(OR(AC$4="",$C41="",$D41="",N($E41)=0),"",$E41*MAX(0,MIN($D41+1,EDATE(AC$4,1))-MAX($C41,AC$4))/MAX(1,$D41+1-$C41))</f>
        <v/>
      </c>
      <c r="AD41" s="64" t="str">
        <f aca="false">IF(OR(AD$4="",$C41="",$D41="",N($E41)=0),"",$E41*MAX(0,MIN($D41+1,EDATE(AD$4,1))-MAX($C41,AD$4))/MAX(1,$D41+1-$C41))</f>
        <v/>
      </c>
      <c r="AE41" s="64" t="str">
        <f aca="false">IF(OR(AE$4="",$C41="",$D41="",N($E41)=0),"",$E41*MAX(0,MIN($D41+1,EDATE(AE$4,1))-MAX($C41,AE$4))/MAX(1,$D41+1-$C41))</f>
        <v/>
      </c>
      <c r="AF41" s="64" t="str">
        <f aca="false">IF(OR(AF$4="",$C41="",$D41="",N($E41)=0),"",$E41*MAX(0,MIN($D41+1,EDATE(AF$4,1))-MAX($C41,AF$4))/MAX(1,$D41+1-$C41))</f>
        <v/>
      </c>
      <c r="AG41" s="64" t="str">
        <f aca="false">IF(OR(AG$4="",$C41="",$D41="",N($E41)=0),"",$E41*MAX(0,MIN($D41+1,EDATE(AG$4,1))-MAX($C41,AG$4))/MAX(1,$D41+1-$C41))</f>
        <v/>
      </c>
      <c r="AH41" s="64" t="str">
        <f aca="false">IF(OR(AH$4="",$C41="",$D41="",N($E41)=0),"",$E41*MAX(0,MIN($D41+1,EDATE(AH$4,1))-MAX($C41,AH$4))/MAX(1,$D41+1-$C41))</f>
        <v/>
      </c>
      <c r="AI41" s="64" t="str">
        <f aca="false">IF(OR(AI$4="",$C41="",$D41="",N($E41)=0),"",$E41*MAX(0,MIN($D41+1,EDATE(AI$4,1))-MAX($C41,AI$4))/MAX(1,$D41+1-$C41))</f>
        <v/>
      </c>
      <c r="AJ41" s="64" t="str">
        <f aca="false">IF(OR(AJ$4="",$C41="",$D41="",N($E41)=0),"",$E41*MAX(0,MIN($D41+1,EDATE(AJ$4,1))-MAX($C41,AJ$4))/MAX(1,$D41+1-$C41))</f>
        <v/>
      </c>
      <c r="AK41" s="64" t="str">
        <f aca="false">IF(OR(AK$4="",$C41="",$D41="",N($E41)=0),"",$E41*MAX(0,MIN($D41+1,EDATE(AK$4,1))-MAX($C41,AK$4))/MAX(1,$D41+1-$C41))</f>
        <v/>
      </c>
      <c r="AL41" s="64" t="str">
        <f aca="false">IF(OR(AL$4="",$C41="",$D41="",N($E41)=0),"",$E41*MAX(0,MIN($D41+1,EDATE(AL$4,1))-MAX($C41,AL$4))/MAX(1,$D41+1-$C41))</f>
        <v/>
      </c>
      <c r="AM41" s="64" t="str">
        <f aca="false">IF(OR(AM$4="",$C41="",$D41="",N($E41)=0),"",$E41*MAX(0,MIN($D41+1,EDATE(AM$4,1))-MAX($C41,AM$4))/MAX(1,$D41+1-$C41))</f>
        <v/>
      </c>
      <c r="AN41" s="64" t="str">
        <f aca="false">IF(OR(AN$4="",$C41="",$D41="",N($E41)=0),"",$E41*MAX(0,MIN($D41+1,EDATE(AN$4,1))-MAX($C41,AN$4))/MAX(1,$D41+1-$C41))</f>
        <v/>
      </c>
      <c r="AO41" s="64" t="str">
        <f aca="false">IF(OR(AO$4="",$C41="",$D41="",N($E41)=0),"",$E41*MAX(0,MIN($D41+1,EDATE(AO$4,1))-MAX($C41,AO$4))/MAX(1,$D41+1-$C41))</f>
        <v/>
      </c>
      <c r="AP41" s="64" t="str">
        <f aca="false">IF(OR(AP$4="",$C41="",$D41="",N($E41)=0),"",$E41*MAX(0,MIN($D41+1,EDATE(AP$4,1))-MAX($C41,AP$4))/MAX(1,$D41+1-$C41))</f>
        <v/>
      </c>
      <c r="AQ41" s="64" t="str">
        <f aca="false">IF(OR(AQ$4="",$C41="",$D41="",N($E41)=0),"",$E41*MAX(0,MIN($D41+1,EDATE(AQ$4,1))-MAX($C41,AQ$4))/MAX(1,$D41+1-$C41))</f>
        <v/>
      </c>
      <c r="AR41" s="64" t="str">
        <f aca="false">IF(OR(AR$4="",$C41="",$D41="",N($E41)=0),"",$E41*MAX(0,MIN($D41+1,EDATE(AR$4,1))-MAX($C41,AR$4))/MAX(1,$D41+1-$C41))</f>
        <v/>
      </c>
      <c r="AS41" s="64" t="str">
        <f aca="false">IF(OR(AS$4="",$C41="",$D41="",N($E41)=0),"",$E41*MAX(0,MIN($D41+1,EDATE(AS$4,1))-MAX($C41,AS$4))/MAX(1,$D41+1-$C41))</f>
        <v/>
      </c>
      <c r="AT41" s="64" t="str">
        <f aca="false">IF(OR(AT$4="",$C41="",$D41="",N($E41)=0),"",$E41*MAX(0,MIN($D41+1,EDATE(AT$4,1))-MAX($C41,AT$4))/MAX(1,$D41+1-$C41))</f>
        <v/>
      </c>
      <c r="AU41" s="64" t="str">
        <f aca="false">IF(OR(AU$4="",$C41="",$D41="",N($E41)=0),"",$E41*MAX(0,MIN($D41+1,EDATE(AU$4,1))-MAX($C41,AU$4))/MAX(1,$D41+1-$C41))</f>
        <v/>
      </c>
      <c r="AV41" s="64" t="str">
        <f aca="false">IF(OR(AV$4="",$C41="",$D41="",N($E41)=0),"",$E41*MAX(0,MIN($D41+1,EDATE(AV$4,1))-MAX($C41,AV$4))/MAX(1,$D41+1-$C41))</f>
        <v/>
      </c>
      <c r="AW41" s="64" t="str">
        <f aca="false">IF(OR(AW$4="",$C41="",$D41="",N($E41)=0),"",$E41*MAX(0,MIN($D41+1,EDATE(AW$4,1))-MAX($C41,AW$4))/MAX(1,$D41+1-$C41))</f>
        <v/>
      </c>
      <c r="AX41" s="64" t="str">
        <f aca="false">IF(OR(AX$4="",$C41="",$D41="",N($E41)=0),"",$E41*MAX(0,MIN($D41+1,EDATE(AX$4,1))-MAX($C41,AX$4))/MAX(1,$D41+1-$C41))</f>
        <v/>
      </c>
      <c r="AY41" s="64" t="str">
        <f aca="false">IF(OR(AY$4="",$C41="",$D41="",N($E41)=0),"",$E41*MAX(0,MIN($D41+1,EDATE(AY$4,1))-MAX($C41,AY$4))/MAX(1,$D41+1-$C41))</f>
        <v/>
      </c>
      <c r="AZ41" s="64" t="str">
        <f aca="false">IF(OR(AZ$4="",$C41="",$D41="",N($E41)=0),"",$E41*MAX(0,MIN($D41+1,EDATE(AZ$4,1))-MAX($C41,AZ$4))/MAX(1,$D41+1-$C41))</f>
        <v/>
      </c>
      <c r="BA41" s="64" t="str">
        <f aca="false">IF(OR(BA$4="",$C41="",$D41="",N($E41)=0),"",$E41*MAX(0,MIN($D41+1,EDATE(BA$4,1))-MAX($C41,BA$4))/MAX(1,$D41+1-$C41))</f>
        <v/>
      </c>
      <c r="BB41" s="64" t="str">
        <f aca="false">IF(OR(BB$4="",$C41="",$D41="",N($E41)=0),"",$E41*MAX(0,MIN($D41+1,EDATE(BB$4,1))-MAX($C41,BB$4))/MAX(1,$D41+1-$C41))</f>
        <v/>
      </c>
      <c r="BC41" s="64" t="str">
        <f aca="false">IF(OR(BC$4="",$C41="",$D41="",N($E41)=0),"",$E41*MAX(0,MIN($D41+1,EDATE(BC$4,1))-MAX($C41,BC$4))/MAX(1,$D41+1-$C41))</f>
        <v/>
      </c>
      <c r="BD41" s="64" t="str">
        <f aca="false">IF(OR(BD$4="",$C41="",$D41="",N($E41)=0),"",$E41*MAX(0,MIN($D41+1,EDATE(BD$4,1))-MAX($C41,BD$4))/MAX(1,$D41+1-$C41))</f>
        <v/>
      </c>
      <c r="BE41" s="64" t="str">
        <f aca="false">IF(OR(BE$4="",$C41="",$D41="",N($E41)=0),"",$E41*MAX(0,MIN($D41+1,EDATE(BE$4,1))-MAX($C41,BE$4))/MAX(1,$D41+1-$C41))</f>
        <v/>
      </c>
      <c r="BF41" s="64" t="str">
        <f aca="false">IF(OR(BF$4="",$C41="",$D41="",N($E41)=0),"",$E41*MAX(0,MIN($D41+1,EDATE(BF$4,1))-MAX($C41,BF$4))/MAX(1,$D41+1-$C41))</f>
        <v/>
      </c>
      <c r="BG41" s="64" t="str">
        <f aca="false">IF(OR(BG$4="",$C41="",$D41="",N($E41)=0),"",$E41*MAX(0,MIN($D41+1,EDATE(BG$4,1))-MAX($C41,BG$4))/MAX(1,$D41+1-$C41))</f>
        <v/>
      </c>
      <c r="BH41" s="64" t="str">
        <f aca="false">IF(OR(BH$4="",$C41="",$D41="",N($E41)=0),"",$E41*MAX(0,MIN($D41+1,EDATE(BH$4,1))-MAX($C41,BH$4))/MAX(1,$D41+1-$C41))</f>
        <v/>
      </c>
      <c r="BI41" s="64" t="str">
        <f aca="false">IF(OR(BI$4="",$C41="",$D41="",N($E41)=0),"",$E41*MAX(0,MIN($D41+1,EDATE(BI$4,1))-MAX($C41,BI$4))/MAX(1,$D41+1-$C41))</f>
        <v/>
      </c>
      <c r="BJ41" s="64" t="str">
        <f aca="false">IF(OR(BJ$4="",$C41="",$D41="",N($E41)=0),"",$E41*MAX(0,MIN($D41+1,EDATE(BJ$4,1))-MAX($C41,BJ$4))/MAX(1,$D41+1-$C41))</f>
        <v/>
      </c>
      <c r="BK41" s="64" t="str">
        <f aca="false">IF(OR(BK$4="",$C41="",$D41="",N($E41)=0),"",$E41*MAX(0,MIN($D41+1,EDATE(BK$4,1))-MAX($C41,BK$4))/MAX(1,$D41+1-$C41))</f>
        <v/>
      </c>
      <c r="BL41" s="64" t="str">
        <f aca="false">IF(OR(BL$4="",$C41="",$D41="",N($E41)=0),"",$E41*MAX(0,MIN($D41+1,EDATE(BL$4,1))-MAX($C41,BL$4))/MAX(1,$D41+1-$C41))</f>
        <v/>
      </c>
      <c r="BM41" s="64" t="str">
        <f aca="false">IF(OR(BM$4="",$C41="",$D41="",N($E41)=0),"",$E41*MAX(0,MIN($D41+1,EDATE(BM$4,1))-MAX($C41,BM$4))/MAX(1,$D41+1-$C41))</f>
        <v/>
      </c>
      <c r="BN41" s="64" t="str">
        <f aca="false">IF(OR(BN$4="",$C41="",$D41="",N($E41)=0),"",$E41*MAX(0,MIN($D41+1,EDATE(BN$4,1))-MAX($C41,BN$4))/MAX(1,$D41+1-$C41))</f>
        <v/>
      </c>
      <c r="BO41" s="64" t="str">
        <f aca="false">IF(OR(BO$4="",$C41="",$D41="",N($E41)=0),"",$E41*MAX(0,MIN($D41+1,EDATE(BO$4,1))-MAX($C41,BO$4))/MAX(1,$D41+1-$C41))</f>
        <v/>
      </c>
      <c r="BP41" s="64" t="str">
        <f aca="false">IF(OR(BP$4="",$C41="",$D41="",N($E41)=0),"",$E41*MAX(0,MIN($D41+1,EDATE(BP$4,1))-MAX($C41,BP$4))/MAX(1,$D41+1-$C41))</f>
        <v/>
      </c>
      <c r="BQ41" s="64" t="str">
        <f aca="false">IF(OR(BQ$4="",$C41="",$D41="",N($E41)=0),"",$E41*MAX(0,MIN($D41+1,EDATE(BQ$4,1))-MAX($C41,BQ$4))/MAX(1,$D41+1-$C41))</f>
        <v/>
      </c>
      <c r="BR41" s="64" t="str">
        <f aca="false">IF(OR(BR$4="",$C41="",$D41="",N($E41)=0),"",$E41*MAX(0,MIN($D41+1,EDATE(BR$4,1))-MAX($C41,BR$4))/MAX(1,$D41+1-$C41))</f>
        <v/>
      </c>
      <c r="BS41" s="64" t="str">
        <f aca="false">IF(OR(BS$4="",$C41="",$D41="",N($E41)=0),"",$E41*MAX(0,MIN($D41+1,EDATE(BS$4,1))-MAX($C41,BS$4))/MAX(1,$D41+1-$C41))</f>
        <v/>
      </c>
      <c r="BT41" s="64" t="str">
        <f aca="false">IF(OR(BT$4="",$C41="",$D41="",N($E41)=0),"",$E41*MAX(0,MIN($D41+1,EDATE(BT$4,1))-MAX($C41,BT$4))/MAX(1,$D41+1-$C41))</f>
        <v/>
      </c>
      <c r="BU41" s="64" t="str">
        <f aca="false">IF(OR(BU$4="",$C41="",$D41="",N($E41)=0),"",$E41*MAX(0,MIN($D41+1,EDATE(BU$4,1))-MAX($C41,BU$4))/MAX(1,$D41+1-$C41))</f>
        <v/>
      </c>
      <c r="BV41" s="64" t="str">
        <f aca="false">IF(OR(BV$4="",$C41="",$D41="",N($E41)=0),"",$E41*MAX(0,MIN($D41+1,EDATE(BV$4,1))-MAX($C41,BV$4))/MAX(1,$D41+1-$C41))</f>
        <v/>
      </c>
      <c r="BW41" s="64" t="str">
        <f aca="false">IF(OR(BW$4="",$C41="",$D41="",N($E41)=0),"",$E41*MAX(0,MIN($D41+1,EDATE(BW$4,1))-MAX($C41,BW$4))/MAX(1,$D41+1-$C41))</f>
        <v/>
      </c>
      <c r="BX41" s="64" t="str">
        <f aca="false">IF(OR(BX$4="",$C41="",$D41="",N($E41)=0),"",$E41*MAX(0,MIN($D41+1,EDATE(BX$4,1))-MAX($C41,BX$4))/MAX(1,$D41+1-$C41))</f>
        <v/>
      </c>
      <c r="BY41" s="64" t="str">
        <f aca="false">IF(OR(BY$4="",$C41="",$D41="",N($E41)=0),"",$E41*MAX(0,MIN($D41+1,EDATE(BY$4,1))-MAX($C41,BY$4))/MAX(1,$D41+1-$C41))</f>
        <v/>
      </c>
    </row>
    <row r="42" customFormat="false" ht="15" hidden="false" customHeight="false" outlineLevel="0" collapsed="false">
      <c r="A42" s="61" t="str">
        <f aca="false">IF(BOE!$A43="","",BOE!$A43)</f>
        <v/>
      </c>
      <c r="B42" s="61" t="str">
        <f aca="false">IF(BOE!$A43="","",BOE!$C43)</f>
        <v/>
      </c>
      <c r="C42" s="62" t="str">
        <f aca="false">IF(BOE!$O43="","",BOE!$O43)</f>
        <v/>
      </c>
      <c r="D42" s="62" t="str">
        <f aca="false">IF(BOE!$P43="","",BOE!$P43)</f>
        <v/>
      </c>
      <c r="E42" s="63" t="n">
        <f aca="false">IF(Inputs!$B$7="P90",BOE!$T43,BOE!$R43)</f>
        <v>0</v>
      </c>
      <c r="F42" s="64" t="str">
        <f aca="false">IF(OR(F$4="",$C42="",$D42="",N($E42)=0),"",$E42*MAX(0,MIN($D42+1,EDATE(F$4,1))-MAX($C42,F$4))/MAX(1,$D42+1-$C42))</f>
        <v/>
      </c>
      <c r="G42" s="64" t="str">
        <f aca="false">IF(OR(G$4="",$C42="",$D42="",N($E42)=0),"",$E42*MAX(0,MIN($D42+1,EDATE(G$4,1))-MAX($C42,G$4))/MAX(1,$D42+1-$C42))</f>
        <v/>
      </c>
      <c r="H42" s="64" t="str">
        <f aca="false">IF(OR(H$4="",$C42="",$D42="",N($E42)=0),"",$E42*MAX(0,MIN($D42+1,EDATE(H$4,1))-MAX($C42,H$4))/MAX(1,$D42+1-$C42))</f>
        <v/>
      </c>
      <c r="I42" s="64" t="str">
        <f aca="false">IF(OR(I$4="",$C42="",$D42="",N($E42)=0),"",$E42*MAX(0,MIN($D42+1,EDATE(I$4,1))-MAX($C42,I$4))/MAX(1,$D42+1-$C42))</f>
        <v/>
      </c>
      <c r="J42" s="64" t="str">
        <f aca="false">IF(OR(J$4="",$C42="",$D42="",N($E42)=0),"",$E42*MAX(0,MIN($D42+1,EDATE(J$4,1))-MAX($C42,J$4))/MAX(1,$D42+1-$C42))</f>
        <v/>
      </c>
      <c r="K42" s="64" t="str">
        <f aca="false">IF(OR(K$4="",$C42="",$D42="",N($E42)=0),"",$E42*MAX(0,MIN($D42+1,EDATE(K$4,1))-MAX($C42,K$4))/MAX(1,$D42+1-$C42))</f>
        <v/>
      </c>
      <c r="L42" s="64" t="str">
        <f aca="false">IF(OR(L$4="",$C42="",$D42="",N($E42)=0),"",$E42*MAX(0,MIN($D42+1,EDATE(L$4,1))-MAX($C42,L$4))/MAX(1,$D42+1-$C42))</f>
        <v/>
      </c>
      <c r="M42" s="64" t="str">
        <f aca="false">IF(OR(M$4="",$C42="",$D42="",N($E42)=0),"",$E42*MAX(0,MIN($D42+1,EDATE(M$4,1))-MAX($C42,M$4))/MAX(1,$D42+1-$C42))</f>
        <v/>
      </c>
      <c r="N42" s="64" t="str">
        <f aca="false">IF(OR(N$4="",$C42="",$D42="",N($E42)=0),"",$E42*MAX(0,MIN($D42+1,EDATE(N$4,1))-MAX($C42,N$4))/MAX(1,$D42+1-$C42))</f>
        <v/>
      </c>
      <c r="O42" s="64" t="str">
        <f aca="false">IF(OR(O$4="",$C42="",$D42="",N($E42)=0),"",$E42*MAX(0,MIN($D42+1,EDATE(O$4,1))-MAX($C42,O$4))/MAX(1,$D42+1-$C42))</f>
        <v/>
      </c>
      <c r="P42" s="64" t="str">
        <f aca="false">IF(OR(P$4="",$C42="",$D42="",N($E42)=0),"",$E42*MAX(0,MIN($D42+1,EDATE(P$4,1))-MAX($C42,P$4))/MAX(1,$D42+1-$C42))</f>
        <v/>
      </c>
      <c r="Q42" s="64" t="str">
        <f aca="false">IF(OR(Q$4="",$C42="",$D42="",N($E42)=0),"",$E42*MAX(0,MIN($D42+1,EDATE(Q$4,1))-MAX($C42,Q$4))/MAX(1,$D42+1-$C42))</f>
        <v/>
      </c>
      <c r="R42" s="64" t="str">
        <f aca="false">IF(OR(R$4="",$C42="",$D42="",N($E42)=0),"",$E42*MAX(0,MIN($D42+1,EDATE(R$4,1))-MAX($C42,R$4))/MAX(1,$D42+1-$C42))</f>
        <v/>
      </c>
      <c r="S42" s="64" t="str">
        <f aca="false">IF(OR(S$4="",$C42="",$D42="",N($E42)=0),"",$E42*MAX(0,MIN($D42+1,EDATE(S$4,1))-MAX($C42,S$4))/MAX(1,$D42+1-$C42))</f>
        <v/>
      </c>
      <c r="T42" s="64" t="str">
        <f aca="false">IF(OR(T$4="",$C42="",$D42="",N($E42)=0),"",$E42*MAX(0,MIN($D42+1,EDATE(T$4,1))-MAX($C42,T$4))/MAX(1,$D42+1-$C42))</f>
        <v/>
      </c>
      <c r="U42" s="64" t="str">
        <f aca="false">IF(OR(U$4="",$C42="",$D42="",N($E42)=0),"",$E42*MAX(0,MIN($D42+1,EDATE(U$4,1))-MAX($C42,U$4))/MAX(1,$D42+1-$C42))</f>
        <v/>
      </c>
      <c r="V42" s="64" t="str">
        <f aca="false">IF(OR(V$4="",$C42="",$D42="",N($E42)=0),"",$E42*MAX(0,MIN($D42+1,EDATE(V$4,1))-MAX($C42,V$4))/MAX(1,$D42+1-$C42))</f>
        <v/>
      </c>
      <c r="W42" s="64" t="str">
        <f aca="false">IF(OR(W$4="",$C42="",$D42="",N($E42)=0),"",$E42*MAX(0,MIN($D42+1,EDATE(W$4,1))-MAX($C42,W$4))/MAX(1,$D42+1-$C42))</f>
        <v/>
      </c>
      <c r="X42" s="64" t="str">
        <f aca="false">IF(OR(X$4="",$C42="",$D42="",N($E42)=0),"",$E42*MAX(0,MIN($D42+1,EDATE(X$4,1))-MAX($C42,X$4))/MAX(1,$D42+1-$C42))</f>
        <v/>
      </c>
      <c r="Y42" s="64" t="str">
        <f aca="false">IF(OR(Y$4="",$C42="",$D42="",N($E42)=0),"",$E42*MAX(0,MIN($D42+1,EDATE(Y$4,1))-MAX($C42,Y$4))/MAX(1,$D42+1-$C42))</f>
        <v/>
      </c>
      <c r="Z42" s="64" t="str">
        <f aca="false">IF(OR(Z$4="",$C42="",$D42="",N($E42)=0),"",$E42*MAX(0,MIN($D42+1,EDATE(Z$4,1))-MAX($C42,Z$4))/MAX(1,$D42+1-$C42))</f>
        <v/>
      </c>
      <c r="AA42" s="64" t="str">
        <f aca="false">IF(OR(AA$4="",$C42="",$D42="",N($E42)=0),"",$E42*MAX(0,MIN($D42+1,EDATE(AA$4,1))-MAX($C42,AA$4))/MAX(1,$D42+1-$C42))</f>
        <v/>
      </c>
      <c r="AB42" s="64" t="str">
        <f aca="false">IF(OR(AB$4="",$C42="",$D42="",N($E42)=0),"",$E42*MAX(0,MIN($D42+1,EDATE(AB$4,1))-MAX($C42,AB$4))/MAX(1,$D42+1-$C42))</f>
        <v/>
      </c>
      <c r="AC42" s="64" t="str">
        <f aca="false">IF(OR(AC$4="",$C42="",$D42="",N($E42)=0),"",$E42*MAX(0,MIN($D42+1,EDATE(AC$4,1))-MAX($C42,AC$4))/MAX(1,$D42+1-$C42))</f>
        <v/>
      </c>
      <c r="AD42" s="64" t="str">
        <f aca="false">IF(OR(AD$4="",$C42="",$D42="",N($E42)=0),"",$E42*MAX(0,MIN($D42+1,EDATE(AD$4,1))-MAX($C42,AD$4))/MAX(1,$D42+1-$C42))</f>
        <v/>
      </c>
      <c r="AE42" s="64" t="str">
        <f aca="false">IF(OR(AE$4="",$C42="",$D42="",N($E42)=0),"",$E42*MAX(0,MIN($D42+1,EDATE(AE$4,1))-MAX($C42,AE$4))/MAX(1,$D42+1-$C42))</f>
        <v/>
      </c>
      <c r="AF42" s="64" t="str">
        <f aca="false">IF(OR(AF$4="",$C42="",$D42="",N($E42)=0),"",$E42*MAX(0,MIN($D42+1,EDATE(AF$4,1))-MAX($C42,AF$4))/MAX(1,$D42+1-$C42))</f>
        <v/>
      </c>
      <c r="AG42" s="64" t="str">
        <f aca="false">IF(OR(AG$4="",$C42="",$D42="",N($E42)=0),"",$E42*MAX(0,MIN($D42+1,EDATE(AG$4,1))-MAX($C42,AG$4))/MAX(1,$D42+1-$C42))</f>
        <v/>
      </c>
      <c r="AH42" s="64" t="str">
        <f aca="false">IF(OR(AH$4="",$C42="",$D42="",N($E42)=0),"",$E42*MAX(0,MIN($D42+1,EDATE(AH$4,1))-MAX($C42,AH$4))/MAX(1,$D42+1-$C42))</f>
        <v/>
      </c>
      <c r="AI42" s="64" t="str">
        <f aca="false">IF(OR(AI$4="",$C42="",$D42="",N($E42)=0),"",$E42*MAX(0,MIN($D42+1,EDATE(AI$4,1))-MAX($C42,AI$4))/MAX(1,$D42+1-$C42))</f>
        <v/>
      </c>
      <c r="AJ42" s="64" t="str">
        <f aca="false">IF(OR(AJ$4="",$C42="",$D42="",N($E42)=0),"",$E42*MAX(0,MIN($D42+1,EDATE(AJ$4,1))-MAX($C42,AJ$4))/MAX(1,$D42+1-$C42))</f>
        <v/>
      </c>
      <c r="AK42" s="64" t="str">
        <f aca="false">IF(OR(AK$4="",$C42="",$D42="",N($E42)=0),"",$E42*MAX(0,MIN($D42+1,EDATE(AK$4,1))-MAX($C42,AK$4))/MAX(1,$D42+1-$C42))</f>
        <v/>
      </c>
      <c r="AL42" s="64" t="str">
        <f aca="false">IF(OR(AL$4="",$C42="",$D42="",N($E42)=0),"",$E42*MAX(0,MIN($D42+1,EDATE(AL$4,1))-MAX($C42,AL$4))/MAX(1,$D42+1-$C42))</f>
        <v/>
      </c>
      <c r="AM42" s="64" t="str">
        <f aca="false">IF(OR(AM$4="",$C42="",$D42="",N($E42)=0),"",$E42*MAX(0,MIN($D42+1,EDATE(AM$4,1))-MAX($C42,AM$4))/MAX(1,$D42+1-$C42))</f>
        <v/>
      </c>
      <c r="AN42" s="64" t="str">
        <f aca="false">IF(OR(AN$4="",$C42="",$D42="",N($E42)=0),"",$E42*MAX(0,MIN($D42+1,EDATE(AN$4,1))-MAX($C42,AN$4))/MAX(1,$D42+1-$C42))</f>
        <v/>
      </c>
      <c r="AO42" s="64" t="str">
        <f aca="false">IF(OR(AO$4="",$C42="",$D42="",N($E42)=0),"",$E42*MAX(0,MIN($D42+1,EDATE(AO$4,1))-MAX($C42,AO$4))/MAX(1,$D42+1-$C42))</f>
        <v/>
      </c>
      <c r="AP42" s="64" t="str">
        <f aca="false">IF(OR(AP$4="",$C42="",$D42="",N($E42)=0),"",$E42*MAX(0,MIN($D42+1,EDATE(AP$4,1))-MAX($C42,AP$4))/MAX(1,$D42+1-$C42))</f>
        <v/>
      </c>
      <c r="AQ42" s="64" t="str">
        <f aca="false">IF(OR(AQ$4="",$C42="",$D42="",N($E42)=0),"",$E42*MAX(0,MIN($D42+1,EDATE(AQ$4,1))-MAX($C42,AQ$4))/MAX(1,$D42+1-$C42))</f>
        <v/>
      </c>
      <c r="AR42" s="64" t="str">
        <f aca="false">IF(OR(AR$4="",$C42="",$D42="",N($E42)=0),"",$E42*MAX(0,MIN($D42+1,EDATE(AR$4,1))-MAX($C42,AR$4))/MAX(1,$D42+1-$C42))</f>
        <v/>
      </c>
      <c r="AS42" s="64" t="str">
        <f aca="false">IF(OR(AS$4="",$C42="",$D42="",N($E42)=0),"",$E42*MAX(0,MIN($D42+1,EDATE(AS$4,1))-MAX($C42,AS$4))/MAX(1,$D42+1-$C42))</f>
        <v/>
      </c>
      <c r="AT42" s="64" t="str">
        <f aca="false">IF(OR(AT$4="",$C42="",$D42="",N($E42)=0),"",$E42*MAX(0,MIN($D42+1,EDATE(AT$4,1))-MAX($C42,AT$4))/MAX(1,$D42+1-$C42))</f>
        <v/>
      </c>
      <c r="AU42" s="64" t="str">
        <f aca="false">IF(OR(AU$4="",$C42="",$D42="",N($E42)=0),"",$E42*MAX(0,MIN($D42+1,EDATE(AU$4,1))-MAX($C42,AU$4))/MAX(1,$D42+1-$C42))</f>
        <v/>
      </c>
      <c r="AV42" s="64" t="str">
        <f aca="false">IF(OR(AV$4="",$C42="",$D42="",N($E42)=0),"",$E42*MAX(0,MIN($D42+1,EDATE(AV$4,1))-MAX($C42,AV$4))/MAX(1,$D42+1-$C42))</f>
        <v/>
      </c>
      <c r="AW42" s="64" t="str">
        <f aca="false">IF(OR(AW$4="",$C42="",$D42="",N($E42)=0),"",$E42*MAX(0,MIN($D42+1,EDATE(AW$4,1))-MAX($C42,AW$4))/MAX(1,$D42+1-$C42))</f>
        <v/>
      </c>
      <c r="AX42" s="64" t="str">
        <f aca="false">IF(OR(AX$4="",$C42="",$D42="",N($E42)=0),"",$E42*MAX(0,MIN($D42+1,EDATE(AX$4,1))-MAX($C42,AX$4))/MAX(1,$D42+1-$C42))</f>
        <v/>
      </c>
      <c r="AY42" s="64" t="str">
        <f aca="false">IF(OR(AY$4="",$C42="",$D42="",N($E42)=0),"",$E42*MAX(0,MIN($D42+1,EDATE(AY$4,1))-MAX($C42,AY$4))/MAX(1,$D42+1-$C42))</f>
        <v/>
      </c>
      <c r="AZ42" s="64" t="str">
        <f aca="false">IF(OR(AZ$4="",$C42="",$D42="",N($E42)=0),"",$E42*MAX(0,MIN($D42+1,EDATE(AZ$4,1))-MAX($C42,AZ$4))/MAX(1,$D42+1-$C42))</f>
        <v/>
      </c>
      <c r="BA42" s="64" t="str">
        <f aca="false">IF(OR(BA$4="",$C42="",$D42="",N($E42)=0),"",$E42*MAX(0,MIN($D42+1,EDATE(BA$4,1))-MAX($C42,BA$4))/MAX(1,$D42+1-$C42))</f>
        <v/>
      </c>
      <c r="BB42" s="64" t="str">
        <f aca="false">IF(OR(BB$4="",$C42="",$D42="",N($E42)=0),"",$E42*MAX(0,MIN($D42+1,EDATE(BB$4,1))-MAX($C42,BB$4))/MAX(1,$D42+1-$C42))</f>
        <v/>
      </c>
      <c r="BC42" s="64" t="str">
        <f aca="false">IF(OR(BC$4="",$C42="",$D42="",N($E42)=0),"",$E42*MAX(0,MIN($D42+1,EDATE(BC$4,1))-MAX($C42,BC$4))/MAX(1,$D42+1-$C42))</f>
        <v/>
      </c>
      <c r="BD42" s="64" t="str">
        <f aca="false">IF(OR(BD$4="",$C42="",$D42="",N($E42)=0),"",$E42*MAX(0,MIN($D42+1,EDATE(BD$4,1))-MAX($C42,BD$4))/MAX(1,$D42+1-$C42))</f>
        <v/>
      </c>
      <c r="BE42" s="64" t="str">
        <f aca="false">IF(OR(BE$4="",$C42="",$D42="",N($E42)=0),"",$E42*MAX(0,MIN($D42+1,EDATE(BE$4,1))-MAX($C42,BE$4))/MAX(1,$D42+1-$C42))</f>
        <v/>
      </c>
      <c r="BF42" s="64" t="str">
        <f aca="false">IF(OR(BF$4="",$C42="",$D42="",N($E42)=0),"",$E42*MAX(0,MIN($D42+1,EDATE(BF$4,1))-MAX($C42,BF$4))/MAX(1,$D42+1-$C42))</f>
        <v/>
      </c>
      <c r="BG42" s="64" t="str">
        <f aca="false">IF(OR(BG$4="",$C42="",$D42="",N($E42)=0),"",$E42*MAX(0,MIN($D42+1,EDATE(BG$4,1))-MAX($C42,BG$4))/MAX(1,$D42+1-$C42))</f>
        <v/>
      </c>
      <c r="BH42" s="64" t="str">
        <f aca="false">IF(OR(BH$4="",$C42="",$D42="",N($E42)=0),"",$E42*MAX(0,MIN($D42+1,EDATE(BH$4,1))-MAX($C42,BH$4))/MAX(1,$D42+1-$C42))</f>
        <v/>
      </c>
      <c r="BI42" s="64" t="str">
        <f aca="false">IF(OR(BI$4="",$C42="",$D42="",N($E42)=0),"",$E42*MAX(0,MIN($D42+1,EDATE(BI$4,1))-MAX($C42,BI$4))/MAX(1,$D42+1-$C42))</f>
        <v/>
      </c>
      <c r="BJ42" s="64" t="str">
        <f aca="false">IF(OR(BJ$4="",$C42="",$D42="",N($E42)=0),"",$E42*MAX(0,MIN($D42+1,EDATE(BJ$4,1))-MAX($C42,BJ$4))/MAX(1,$D42+1-$C42))</f>
        <v/>
      </c>
      <c r="BK42" s="64" t="str">
        <f aca="false">IF(OR(BK$4="",$C42="",$D42="",N($E42)=0),"",$E42*MAX(0,MIN($D42+1,EDATE(BK$4,1))-MAX($C42,BK$4))/MAX(1,$D42+1-$C42))</f>
        <v/>
      </c>
      <c r="BL42" s="64" t="str">
        <f aca="false">IF(OR(BL$4="",$C42="",$D42="",N($E42)=0),"",$E42*MAX(0,MIN($D42+1,EDATE(BL$4,1))-MAX($C42,BL$4))/MAX(1,$D42+1-$C42))</f>
        <v/>
      </c>
      <c r="BM42" s="64" t="str">
        <f aca="false">IF(OR(BM$4="",$C42="",$D42="",N($E42)=0),"",$E42*MAX(0,MIN($D42+1,EDATE(BM$4,1))-MAX($C42,BM$4))/MAX(1,$D42+1-$C42))</f>
        <v/>
      </c>
      <c r="BN42" s="64" t="str">
        <f aca="false">IF(OR(BN$4="",$C42="",$D42="",N($E42)=0),"",$E42*MAX(0,MIN($D42+1,EDATE(BN$4,1))-MAX($C42,BN$4))/MAX(1,$D42+1-$C42))</f>
        <v/>
      </c>
      <c r="BO42" s="64" t="str">
        <f aca="false">IF(OR(BO$4="",$C42="",$D42="",N($E42)=0),"",$E42*MAX(0,MIN($D42+1,EDATE(BO$4,1))-MAX($C42,BO$4))/MAX(1,$D42+1-$C42))</f>
        <v/>
      </c>
      <c r="BP42" s="64" t="str">
        <f aca="false">IF(OR(BP$4="",$C42="",$D42="",N($E42)=0),"",$E42*MAX(0,MIN($D42+1,EDATE(BP$4,1))-MAX($C42,BP$4))/MAX(1,$D42+1-$C42))</f>
        <v/>
      </c>
      <c r="BQ42" s="64" t="str">
        <f aca="false">IF(OR(BQ$4="",$C42="",$D42="",N($E42)=0),"",$E42*MAX(0,MIN($D42+1,EDATE(BQ$4,1))-MAX($C42,BQ$4))/MAX(1,$D42+1-$C42))</f>
        <v/>
      </c>
      <c r="BR42" s="64" t="str">
        <f aca="false">IF(OR(BR$4="",$C42="",$D42="",N($E42)=0),"",$E42*MAX(0,MIN($D42+1,EDATE(BR$4,1))-MAX($C42,BR$4))/MAX(1,$D42+1-$C42))</f>
        <v/>
      </c>
      <c r="BS42" s="64" t="str">
        <f aca="false">IF(OR(BS$4="",$C42="",$D42="",N($E42)=0),"",$E42*MAX(0,MIN($D42+1,EDATE(BS$4,1))-MAX($C42,BS$4))/MAX(1,$D42+1-$C42))</f>
        <v/>
      </c>
      <c r="BT42" s="64" t="str">
        <f aca="false">IF(OR(BT$4="",$C42="",$D42="",N($E42)=0),"",$E42*MAX(0,MIN($D42+1,EDATE(BT$4,1))-MAX($C42,BT$4))/MAX(1,$D42+1-$C42))</f>
        <v/>
      </c>
      <c r="BU42" s="64" t="str">
        <f aca="false">IF(OR(BU$4="",$C42="",$D42="",N($E42)=0),"",$E42*MAX(0,MIN($D42+1,EDATE(BU$4,1))-MAX($C42,BU$4))/MAX(1,$D42+1-$C42))</f>
        <v/>
      </c>
      <c r="BV42" s="64" t="str">
        <f aca="false">IF(OR(BV$4="",$C42="",$D42="",N($E42)=0),"",$E42*MAX(0,MIN($D42+1,EDATE(BV$4,1))-MAX($C42,BV$4))/MAX(1,$D42+1-$C42))</f>
        <v/>
      </c>
      <c r="BW42" s="64" t="str">
        <f aca="false">IF(OR(BW$4="",$C42="",$D42="",N($E42)=0),"",$E42*MAX(0,MIN($D42+1,EDATE(BW$4,1))-MAX($C42,BW$4))/MAX(1,$D42+1-$C42))</f>
        <v/>
      </c>
      <c r="BX42" s="64" t="str">
        <f aca="false">IF(OR(BX$4="",$C42="",$D42="",N($E42)=0),"",$E42*MAX(0,MIN($D42+1,EDATE(BX$4,1))-MAX($C42,BX$4))/MAX(1,$D42+1-$C42))</f>
        <v/>
      </c>
      <c r="BY42" s="64" t="str">
        <f aca="false">IF(OR(BY$4="",$C42="",$D42="",N($E42)=0),"",$E42*MAX(0,MIN($D42+1,EDATE(BY$4,1))-MAX($C42,BY$4))/MAX(1,$D42+1-$C42))</f>
        <v/>
      </c>
    </row>
    <row r="43" customFormat="false" ht="15" hidden="false" customHeight="false" outlineLevel="0" collapsed="false">
      <c r="A43" s="61" t="str">
        <f aca="false">IF(BOE!$A44="","",BOE!$A44)</f>
        <v/>
      </c>
      <c r="B43" s="61" t="str">
        <f aca="false">IF(BOE!$A44="","",BOE!$C44)</f>
        <v/>
      </c>
      <c r="C43" s="62" t="str">
        <f aca="false">IF(BOE!$O44="","",BOE!$O44)</f>
        <v/>
      </c>
      <c r="D43" s="62" t="str">
        <f aca="false">IF(BOE!$P44="","",BOE!$P44)</f>
        <v/>
      </c>
      <c r="E43" s="63" t="n">
        <f aca="false">IF(Inputs!$B$7="P90",BOE!$T44,BOE!$R44)</f>
        <v>0</v>
      </c>
      <c r="F43" s="64" t="str">
        <f aca="false">IF(OR(F$4="",$C43="",$D43="",N($E43)=0),"",$E43*MAX(0,MIN($D43+1,EDATE(F$4,1))-MAX($C43,F$4))/MAX(1,$D43+1-$C43))</f>
        <v/>
      </c>
      <c r="G43" s="64" t="str">
        <f aca="false">IF(OR(G$4="",$C43="",$D43="",N($E43)=0),"",$E43*MAX(0,MIN($D43+1,EDATE(G$4,1))-MAX($C43,G$4))/MAX(1,$D43+1-$C43))</f>
        <v/>
      </c>
      <c r="H43" s="64" t="str">
        <f aca="false">IF(OR(H$4="",$C43="",$D43="",N($E43)=0),"",$E43*MAX(0,MIN($D43+1,EDATE(H$4,1))-MAX($C43,H$4))/MAX(1,$D43+1-$C43))</f>
        <v/>
      </c>
      <c r="I43" s="64" t="str">
        <f aca="false">IF(OR(I$4="",$C43="",$D43="",N($E43)=0),"",$E43*MAX(0,MIN($D43+1,EDATE(I$4,1))-MAX($C43,I$4))/MAX(1,$D43+1-$C43))</f>
        <v/>
      </c>
      <c r="J43" s="64" t="str">
        <f aca="false">IF(OR(J$4="",$C43="",$D43="",N($E43)=0),"",$E43*MAX(0,MIN($D43+1,EDATE(J$4,1))-MAX($C43,J$4))/MAX(1,$D43+1-$C43))</f>
        <v/>
      </c>
      <c r="K43" s="64" t="str">
        <f aca="false">IF(OR(K$4="",$C43="",$D43="",N($E43)=0),"",$E43*MAX(0,MIN($D43+1,EDATE(K$4,1))-MAX($C43,K$4))/MAX(1,$D43+1-$C43))</f>
        <v/>
      </c>
      <c r="L43" s="64" t="str">
        <f aca="false">IF(OR(L$4="",$C43="",$D43="",N($E43)=0),"",$E43*MAX(0,MIN($D43+1,EDATE(L$4,1))-MAX($C43,L$4))/MAX(1,$D43+1-$C43))</f>
        <v/>
      </c>
      <c r="M43" s="64" t="str">
        <f aca="false">IF(OR(M$4="",$C43="",$D43="",N($E43)=0),"",$E43*MAX(0,MIN($D43+1,EDATE(M$4,1))-MAX($C43,M$4))/MAX(1,$D43+1-$C43))</f>
        <v/>
      </c>
      <c r="N43" s="64" t="str">
        <f aca="false">IF(OR(N$4="",$C43="",$D43="",N($E43)=0),"",$E43*MAX(0,MIN($D43+1,EDATE(N$4,1))-MAX($C43,N$4))/MAX(1,$D43+1-$C43))</f>
        <v/>
      </c>
      <c r="O43" s="64" t="str">
        <f aca="false">IF(OR(O$4="",$C43="",$D43="",N($E43)=0),"",$E43*MAX(0,MIN($D43+1,EDATE(O$4,1))-MAX($C43,O$4))/MAX(1,$D43+1-$C43))</f>
        <v/>
      </c>
      <c r="P43" s="64" t="str">
        <f aca="false">IF(OR(P$4="",$C43="",$D43="",N($E43)=0),"",$E43*MAX(0,MIN($D43+1,EDATE(P$4,1))-MAX($C43,P$4))/MAX(1,$D43+1-$C43))</f>
        <v/>
      </c>
      <c r="Q43" s="64" t="str">
        <f aca="false">IF(OR(Q$4="",$C43="",$D43="",N($E43)=0),"",$E43*MAX(0,MIN($D43+1,EDATE(Q$4,1))-MAX($C43,Q$4))/MAX(1,$D43+1-$C43))</f>
        <v/>
      </c>
      <c r="R43" s="64" t="str">
        <f aca="false">IF(OR(R$4="",$C43="",$D43="",N($E43)=0),"",$E43*MAX(0,MIN($D43+1,EDATE(R$4,1))-MAX($C43,R$4))/MAX(1,$D43+1-$C43))</f>
        <v/>
      </c>
      <c r="S43" s="64" t="str">
        <f aca="false">IF(OR(S$4="",$C43="",$D43="",N($E43)=0),"",$E43*MAX(0,MIN($D43+1,EDATE(S$4,1))-MAX($C43,S$4))/MAX(1,$D43+1-$C43))</f>
        <v/>
      </c>
      <c r="T43" s="64" t="str">
        <f aca="false">IF(OR(T$4="",$C43="",$D43="",N($E43)=0),"",$E43*MAX(0,MIN($D43+1,EDATE(T$4,1))-MAX($C43,T$4))/MAX(1,$D43+1-$C43))</f>
        <v/>
      </c>
      <c r="U43" s="64" t="str">
        <f aca="false">IF(OR(U$4="",$C43="",$D43="",N($E43)=0),"",$E43*MAX(0,MIN($D43+1,EDATE(U$4,1))-MAX($C43,U$4))/MAX(1,$D43+1-$C43))</f>
        <v/>
      </c>
      <c r="V43" s="64" t="str">
        <f aca="false">IF(OR(V$4="",$C43="",$D43="",N($E43)=0),"",$E43*MAX(0,MIN($D43+1,EDATE(V$4,1))-MAX($C43,V$4))/MAX(1,$D43+1-$C43))</f>
        <v/>
      </c>
      <c r="W43" s="64" t="str">
        <f aca="false">IF(OR(W$4="",$C43="",$D43="",N($E43)=0),"",$E43*MAX(0,MIN($D43+1,EDATE(W$4,1))-MAX($C43,W$4))/MAX(1,$D43+1-$C43))</f>
        <v/>
      </c>
      <c r="X43" s="64" t="str">
        <f aca="false">IF(OR(X$4="",$C43="",$D43="",N($E43)=0),"",$E43*MAX(0,MIN($D43+1,EDATE(X$4,1))-MAX($C43,X$4))/MAX(1,$D43+1-$C43))</f>
        <v/>
      </c>
      <c r="Y43" s="64" t="str">
        <f aca="false">IF(OR(Y$4="",$C43="",$D43="",N($E43)=0),"",$E43*MAX(0,MIN($D43+1,EDATE(Y$4,1))-MAX($C43,Y$4))/MAX(1,$D43+1-$C43))</f>
        <v/>
      </c>
      <c r="Z43" s="64" t="str">
        <f aca="false">IF(OR(Z$4="",$C43="",$D43="",N($E43)=0),"",$E43*MAX(0,MIN($D43+1,EDATE(Z$4,1))-MAX($C43,Z$4))/MAX(1,$D43+1-$C43))</f>
        <v/>
      </c>
      <c r="AA43" s="64" t="str">
        <f aca="false">IF(OR(AA$4="",$C43="",$D43="",N($E43)=0),"",$E43*MAX(0,MIN($D43+1,EDATE(AA$4,1))-MAX($C43,AA$4))/MAX(1,$D43+1-$C43))</f>
        <v/>
      </c>
      <c r="AB43" s="64" t="str">
        <f aca="false">IF(OR(AB$4="",$C43="",$D43="",N($E43)=0),"",$E43*MAX(0,MIN($D43+1,EDATE(AB$4,1))-MAX($C43,AB$4))/MAX(1,$D43+1-$C43))</f>
        <v/>
      </c>
      <c r="AC43" s="64" t="str">
        <f aca="false">IF(OR(AC$4="",$C43="",$D43="",N($E43)=0),"",$E43*MAX(0,MIN($D43+1,EDATE(AC$4,1))-MAX($C43,AC$4))/MAX(1,$D43+1-$C43))</f>
        <v/>
      </c>
      <c r="AD43" s="64" t="str">
        <f aca="false">IF(OR(AD$4="",$C43="",$D43="",N($E43)=0),"",$E43*MAX(0,MIN($D43+1,EDATE(AD$4,1))-MAX($C43,AD$4))/MAX(1,$D43+1-$C43))</f>
        <v/>
      </c>
      <c r="AE43" s="64" t="str">
        <f aca="false">IF(OR(AE$4="",$C43="",$D43="",N($E43)=0),"",$E43*MAX(0,MIN($D43+1,EDATE(AE$4,1))-MAX($C43,AE$4))/MAX(1,$D43+1-$C43))</f>
        <v/>
      </c>
      <c r="AF43" s="64" t="str">
        <f aca="false">IF(OR(AF$4="",$C43="",$D43="",N($E43)=0),"",$E43*MAX(0,MIN($D43+1,EDATE(AF$4,1))-MAX($C43,AF$4))/MAX(1,$D43+1-$C43))</f>
        <v/>
      </c>
      <c r="AG43" s="64" t="str">
        <f aca="false">IF(OR(AG$4="",$C43="",$D43="",N($E43)=0),"",$E43*MAX(0,MIN($D43+1,EDATE(AG$4,1))-MAX($C43,AG$4))/MAX(1,$D43+1-$C43))</f>
        <v/>
      </c>
      <c r="AH43" s="64" t="str">
        <f aca="false">IF(OR(AH$4="",$C43="",$D43="",N($E43)=0),"",$E43*MAX(0,MIN($D43+1,EDATE(AH$4,1))-MAX($C43,AH$4))/MAX(1,$D43+1-$C43))</f>
        <v/>
      </c>
      <c r="AI43" s="64" t="str">
        <f aca="false">IF(OR(AI$4="",$C43="",$D43="",N($E43)=0),"",$E43*MAX(0,MIN($D43+1,EDATE(AI$4,1))-MAX($C43,AI$4))/MAX(1,$D43+1-$C43))</f>
        <v/>
      </c>
      <c r="AJ43" s="64" t="str">
        <f aca="false">IF(OR(AJ$4="",$C43="",$D43="",N($E43)=0),"",$E43*MAX(0,MIN($D43+1,EDATE(AJ$4,1))-MAX($C43,AJ$4))/MAX(1,$D43+1-$C43))</f>
        <v/>
      </c>
      <c r="AK43" s="64" t="str">
        <f aca="false">IF(OR(AK$4="",$C43="",$D43="",N($E43)=0),"",$E43*MAX(0,MIN($D43+1,EDATE(AK$4,1))-MAX($C43,AK$4))/MAX(1,$D43+1-$C43))</f>
        <v/>
      </c>
      <c r="AL43" s="64" t="str">
        <f aca="false">IF(OR(AL$4="",$C43="",$D43="",N($E43)=0),"",$E43*MAX(0,MIN($D43+1,EDATE(AL$4,1))-MAX($C43,AL$4))/MAX(1,$D43+1-$C43))</f>
        <v/>
      </c>
      <c r="AM43" s="64" t="str">
        <f aca="false">IF(OR(AM$4="",$C43="",$D43="",N($E43)=0),"",$E43*MAX(0,MIN($D43+1,EDATE(AM$4,1))-MAX($C43,AM$4))/MAX(1,$D43+1-$C43))</f>
        <v/>
      </c>
      <c r="AN43" s="64" t="str">
        <f aca="false">IF(OR(AN$4="",$C43="",$D43="",N($E43)=0),"",$E43*MAX(0,MIN($D43+1,EDATE(AN$4,1))-MAX($C43,AN$4))/MAX(1,$D43+1-$C43))</f>
        <v/>
      </c>
      <c r="AO43" s="64" t="str">
        <f aca="false">IF(OR(AO$4="",$C43="",$D43="",N($E43)=0),"",$E43*MAX(0,MIN($D43+1,EDATE(AO$4,1))-MAX($C43,AO$4))/MAX(1,$D43+1-$C43))</f>
        <v/>
      </c>
      <c r="AP43" s="64" t="str">
        <f aca="false">IF(OR(AP$4="",$C43="",$D43="",N($E43)=0),"",$E43*MAX(0,MIN($D43+1,EDATE(AP$4,1))-MAX($C43,AP$4))/MAX(1,$D43+1-$C43))</f>
        <v/>
      </c>
      <c r="AQ43" s="64" t="str">
        <f aca="false">IF(OR(AQ$4="",$C43="",$D43="",N($E43)=0),"",$E43*MAX(0,MIN($D43+1,EDATE(AQ$4,1))-MAX($C43,AQ$4))/MAX(1,$D43+1-$C43))</f>
        <v/>
      </c>
      <c r="AR43" s="64" t="str">
        <f aca="false">IF(OR(AR$4="",$C43="",$D43="",N($E43)=0),"",$E43*MAX(0,MIN($D43+1,EDATE(AR$4,1))-MAX($C43,AR$4))/MAX(1,$D43+1-$C43))</f>
        <v/>
      </c>
      <c r="AS43" s="64" t="str">
        <f aca="false">IF(OR(AS$4="",$C43="",$D43="",N($E43)=0),"",$E43*MAX(0,MIN($D43+1,EDATE(AS$4,1))-MAX($C43,AS$4))/MAX(1,$D43+1-$C43))</f>
        <v/>
      </c>
      <c r="AT43" s="64" t="str">
        <f aca="false">IF(OR(AT$4="",$C43="",$D43="",N($E43)=0),"",$E43*MAX(0,MIN($D43+1,EDATE(AT$4,1))-MAX($C43,AT$4))/MAX(1,$D43+1-$C43))</f>
        <v/>
      </c>
      <c r="AU43" s="64" t="str">
        <f aca="false">IF(OR(AU$4="",$C43="",$D43="",N($E43)=0),"",$E43*MAX(0,MIN($D43+1,EDATE(AU$4,1))-MAX($C43,AU$4))/MAX(1,$D43+1-$C43))</f>
        <v/>
      </c>
      <c r="AV43" s="64" t="str">
        <f aca="false">IF(OR(AV$4="",$C43="",$D43="",N($E43)=0),"",$E43*MAX(0,MIN($D43+1,EDATE(AV$4,1))-MAX($C43,AV$4))/MAX(1,$D43+1-$C43))</f>
        <v/>
      </c>
      <c r="AW43" s="64" t="str">
        <f aca="false">IF(OR(AW$4="",$C43="",$D43="",N($E43)=0),"",$E43*MAX(0,MIN($D43+1,EDATE(AW$4,1))-MAX($C43,AW$4))/MAX(1,$D43+1-$C43))</f>
        <v/>
      </c>
      <c r="AX43" s="64" t="str">
        <f aca="false">IF(OR(AX$4="",$C43="",$D43="",N($E43)=0),"",$E43*MAX(0,MIN($D43+1,EDATE(AX$4,1))-MAX($C43,AX$4))/MAX(1,$D43+1-$C43))</f>
        <v/>
      </c>
      <c r="AY43" s="64" t="str">
        <f aca="false">IF(OR(AY$4="",$C43="",$D43="",N($E43)=0),"",$E43*MAX(0,MIN($D43+1,EDATE(AY$4,1))-MAX($C43,AY$4))/MAX(1,$D43+1-$C43))</f>
        <v/>
      </c>
      <c r="AZ43" s="64" t="str">
        <f aca="false">IF(OR(AZ$4="",$C43="",$D43="",N($E43)=0),"",$E43*MAX(0,MIN($D43+1,EDATE(AZ$4,1))-MAX($C43,AZ$4))/MAX(1,$D43+1-$C43))</f>
        <v/>
      </c>
      <c r="BA43" s="64" t="str">
        <f aca="false">IF(OR(BA$4="",$C43="",$D43="",N($E43)=0),"",$E43*MAX(0,MIN($D43+1,EDATE(BA$4,1))-MAX($C43,BA$4))/MAX(1,$D43+1-$C43))</f>
        <v/>
      </c>
      <c r="BB43" s="64" t="str">
        <f aca="false">IF(OR(BB$4="",$C43="",$D43="",N($E43)=0),"",$E43*MAX(0,MIN($D43+1,EDATE(BB$4,1))-MAX($C43,BB$4))/MAX(1,$D43+1-$C43))</f>
        <v/>
      </c>
      <c r="BC43" s="64" t="str">
        <f aca="false">IF(OR(BC$4="",$C43="",$D43="",N($E43)=0),"",$E43*MAX(0,MIN($D43+1,EDATE(BC$4,1))-MAX($C43,BC$4))/MAX(1,$D43+1-$C43))</f>
        <v/>
      </c>
      <c r="BD43" s="64" t="str">
        <f aca="false">IF(OR(BD$4="",$C43="",$D43="",N($E43)=0),"",$E43*MAX(0,MIN($D43+1,EDATE(BD$4,1))-MAX($C43,BD$4))/MAX(1,$D43+1-$C43))</f>
        <v/>
      </c>
      <c r="BE43" s="64" t="str">
        <f aca="false">IF(OR(BE$4="",$C43="",$D43="",N($E43)=0),"",$E43*MAX(0,MIN($D43+1,EDATE(BE$4,1))-MAX($C43,BE$4))/MAX(1,$D43+1-$C43))</f>
        <v/>
      </c>
      <c r="BF43" s="64" t="str">
        <f aca="false">IF(OR(BF$4="",$C43="",$D43="",N($E43)=0),"",$E43*MAX(0,MIN($D43+1,EDATE(BF$4,1))-MAX($C43,BF$4))/MAX(1,$D43+1-$C43))</f>
        <v/>
      </c>
      <c r="BG43" s="64" t="str">
        <f aca="false">IF(OR(BG$4="",$C43="",$D43="",N($E43)=0),"",$E43*MAX(0,MIN($D43+1,EDATE(BG$4,1))-MAX($C43,BG$4))/MAX(1,$D43+1-$C43))</f>
        <v/>
      </c>
      <c r="BH43" s="64" t="str">
        <f aca="false">IF(OR(BH$4="",$C43="",$D43="",N($E43)=0),"",$E43*MAX(0,MIN($D43+1,EDATE(BH$4,1))-MAX($C43,BH$4))/MAX(1,$D43+1-$C43))</f>
        <v/>
      </c>
      <c r="BI43" s="64" t="str">
        <f aca="false">IF(OR(BI$4="",$C43="",$D43="",N($E43)=0),"",$E43*MAX(0,MIN($D43+1,EDATE(BI$4,1))-MAX($C43,BI$4))/MAX(1,$D43+1-$C43))</f>
        <v/>
      </c>
      <c r="BJ43" s="64" t="str">
        <f aca="false">IF(OR(BJ$4="",$C43="",$D43="",N($E43)=0),"",$E43*MAX(0,MIN($D43+1,EDATE(BJ$4,1))-MAX($C43,BJ$4))/MAX(1,$D43+1-$C43))</f>
        <v/>
      </c>
      <c r="BK43" s="64" t="str">
        <f aca="false">IF(OR(BK$4="",$C43="",$D43="",N($E43)=0),"",$E43*MAX(0,MIN($D43+1,EDATE(BK$4,1))-MAX($C43,BK$4))/MAX(1,$D43+1-$C43))</f>
        <v/>
      </c>
      <c r="BL43" s="64" t="str">
        <f aca="false">IF(OR(BL$4="",$C43="",$D43="",N($E43)=0),"",$E43*MAX(0,MIN($D43+1,EDATE(BL$4,1))-MAX($C43,BL$4))/MAX(1,$D43+1-$C43))</f>
        <v/>
      </c>
      <c r="BM43" s="64" t="str">
        <f aca="false">IF(OR(BM$4="",$C43="",$D43="",N($E43)=0),"",$E43*MAX(0,MIN($D43+1,EDATE(BM$4,1))-MAX($C43,BM$4))/MAX(1,$D43+1-$C43))</f>
        <v/>
      </c>
      <c r="BN43" s="64" t="str">
        <f aca="false">IF(OR(BN$4="",$C43="",$D43="",N($E43)=0),"",$E43*MAX(0,MIN($D43+1,EDATE(BN$4,1))-MAX($C43,BN$4))/MAX(1,$D43+1-$C43))</f>
        <v/>
      </c>
      <c r="BO43" s="64" t="str">
        <f aca="false">IF(OR(BO$4="",$C43="",$D43="",N($E43)=0),"",$E43*MAX(0,MIN($D43+1,EDATE(BO$4,1))-MAX($C43,BO$4))/MAX(1,$D43+1-$C43))</f>
        <v/>
      </c>
      <c r="BP43" s="64" t="str">
        <f aca="false">IF(OR(BP$4="",$C43="",$D43="",N($E43)=0),"",$E43*MAX(0,MIN($D43+1,EDATE(BP$4,1))-MAX($C43,BP$4))/MAX(1,$D43+1-$C43))</f>
        <v/>
      </c>
      <c r="BQ43" s="64" t="str">
        <f aca="false">IF(OR(BQ$4="",$C43="",$D43="",N($E43)=0),"",$E43*MAX(0,MIN($D43+1,EDATE(BQ$4,1))-MAX($C43,BQ$4))/MAX(1,$D43+1-$C43))</f>
        <v/>
      </c>
      <c r="BR43" s="64" t="str">
        <f aca="false">IF(OR(BR$4="",$C43="",$D43="",N($E43)=0),"",$E43*MAX(0,MIN($D43+1,EDATE(BR$4,1))-MAX($C43,BR$4))/MAX(1,$D43+1-$C43))</f>
        <v/>
      </c>
      <c r="BS43" s="64" t="str">
        <f aca="false">IF(OR(BS$4="",$C43="",$D43="",N($E43)=0),"",$E43*MAX(0,MIN($D43+1,EDATE(BS$4,1))-MAX($C43,BS$4))/MAX(1,$D43+1-$C43))</f>
        <v/>
      </c>
      <c r="BT43" s="64" t="str">
        <f aca="false">IF(OR(BT$4="",$C43="",$D43="",N($E43)=0),"",$E43*MAX(0,MIN($D43+1,EDATE(BT$4,1))-MAX($C43,BT$4))/MAX(1,$D43+1-$C43))</f>
        <v/>
      </c>
      <c r="BU43" s="64" t="str">
        <f aca="false">IF(OR(BU$4="",$C43="",$D43="",N($E43)=0),"",$E43*MAX(0,MIN($D43+1,EDATE(BU$4,1))-MAX($C43,BU$4))/MAX(1,$D43+1-$C43))</f>
        <v/>
      </c>
      <c r="BV43" s="64" t="str">
        <f aca="false">IF(OR(BV$4="",$C43="",$D43="",N($E43)=0),"",$E43*MAX(0,MIN($D43+1,EDATE(BV$4,1))-MAX($C43,BV$4))/MAX(1,$D43+1-$C43))</f>
        <v/>
      </c>
      <c r="BW43" s="64" t="str">
        <f aca="false">IF(OR(BW$4="",$C43="",$D43="",N($E43)=0),"",$E43*MAX(0,MIN($D43+1,EDATE(BW$4,1))-MAX($C43,BW$4))/MAX(1,$D43+1-$C43))</f>
        <v/>
      </c>
      <c r="BX43" s="64" t="str">
        <f aca="false">IF(OR(BX$4="",$C43="",$D43="",N($E43)=0),"",$E43*MAX(0,MIN($D43+1,EDATE(BX$4,1))-MAX($C43,BX$4))/MAX(1,$D43+1-$C43))</f>
        <v/>
      </c>
      <c r="BY43" s="64" t="str">
        <f aca="false">IF(OR(BY$4="",$C43="",$D43="",N($E43)=0),"",$E43*MAX(0,MIN($D43+1,EDATE(BY$4,1))-MAX($C43,BY$4))/MAX(1,$D43+1-$C43))</f>
        <v/>
      </c>
    </row>
    <row r="44" customFormat="false" ht="15" hidden="false" customHeight="false" outlineLevel="0" collapsed="false">
      <c r="A44" s="61" t="str">
        <f aca="false">IF(BOE!$A45="","",BOE!$A45)</f>
        <v/>
      </c>
      <c r="B44" s="61" t="str">
        <f aca="false">IF(BOE!$A45="","",BOE!$C45)</f>
        <v/>
      </c>
      <c r="C44" s="62" t="str">
        <f aca="false">IF(BOE!$O45="","",BOE!$O45)</f>
        <v/>
      </c>
      <c r="D44" s="62" t="str">
        <f aca="false">IF(BOE!$P45="","",BOE!$P45)</f>
        <v/>
      </c>
      <c r="E44" s="63" t="n">
        <f aca="false">IF(Inputs!$B$7="P90",BOE!$T45,BOE!$R45)</f>
        <v>0</v>
      </c>
      <c r="F44" s="64" t="str">
        <f aca="false">IF(OR(F$4="",$C44="",$D44="",N($E44)=0),"",$E44*MAX(0,MIN($D44+1,EDATE(F$4,1))-MAX($C44,F$4))/MAX(1,$D44+1-$C44))</f>
        <v/>
      </c>
      <c r="G44" s="64" t="str">
        <f aca="false">IF(OR(G$4="",$C44="",$D44="",N($E44)=0),"",$E44*MAX(0,MIN($D44+1,EDATE(G$4,1))-MAX($C44,G$4))/MAX(1,$D44+1-$C44))</f>
        <v/>
      </c>
      <c r="H44" s="64" t="str">
        <f aca="false">IF(OR(H$4="",$C44="",$D44="",N($E44)=0),"",$E44*MAX(0,MIN($D44+1,EDATE(H$4,1))-MAX($C44,H$4))/MAX(1,$D44+1-$C44))</f>
        <v/>
      </c>
      <c r="I44" s="64" t="str">
        <f aca="false">IF(OR(I$4="",$C44="",$D44="",N($E44)=0),"",$E44*MAX(0,MIN($D44+1,EDATE(I$4,1))-MAX($C44,I$4))/MAX(1,$D44+1-$C44))</f>
        <v/>
      </c>
      <c r="J44" s="64" t="str">
        <f aca="false">IF(OR(J$4="",$C44="",$D44="",N($E44)=0),"",$E44*MAX(0,MIN($D44+1,EDATE(J$4,1))-MAX($C44,J$4))/MAX(1,$D44+1-$C44))</f>
        <v/>
      </c>
      <c r="K44" s="64" t="str">
        <f aca="false">IF(OR(K$4="",$C44="",$D44="",N($E44)=0),"",$E44*MAX(0,MIN($D44+1,EDATE(K$4,1))-MAX($C44,K$4))/MAX(1,$D44+1-$C44))</f>
        <v/>
      </c>
      <c r="L44" s="64" t="str">
        <f aca="false">IF(OR(L$4="",$C44="",$D44="",N($E44)=0),"",$E44*MAX(0,MIN($D44+1,EDATE(L$4,1))-MAX($C44,L$4))/MAX(1,$D44+1-$C44))</f>
        <v/>
      </c>
      <c r="M44" s="64" t="str">
        <f aca="false">IF(OR(M$4="",$C44="",$D44="",N($E44)=0),"",$E44*MAX(0,MIN($D44+1,EDATE(M$4,1))-MAX($C44,M$4))/MAX(1,$D44+1-$C44))</f>
        <v/>
      </c>
      <c r="N44" s="64" t="str">
        <f aca="false">IF(OR(N$4="",$C44="",$D44="",N($E44)=0),"",$E44*MAX(0,MIN($D44+1,EDATE(N$4,1))-MAX($C44,N$4))/MAX(1,$D44+1-$C44))</f>
        <v/>
      </c>
      <c r="O44" s="64" t="str">
        <f aca="false">IF(OR(O$4="",$C44="",$D44="",N($E44)=0),"",$E44*MAX(0,MIN($D44+1,EDATE(O$4,1))-MAX($C44,O$4))/MAX(1,$D44+1-$C44))</f>
        <v/>
      </c>
      <c r="P44" s="64" t="str">
        <f aca="false">IF(OR(P$4="",$C44="",$D44="",N($E44)=0),"",$E44*MAX(0,MIN($D44+1,EDATE(P$4,1))-MAX($C44,P$4))/MAX(1,$D44+1-$C44))</f>
        <v/>
      </c>
      <c r="Q44" s="64" t="str">
        <f aca="false">IF(OR(Q$4="",$C44="",$D44="",N($E44)=0),"",$E44*MAX(0,MIN($D44+1,EDATE(Q$4,1))-MAX($C44,Q$4))/MAX(1,$D44+1-$C44))</f>
        <v/>
      </c>
      <c r="R44" s="64" t="str">
        <f aca="false">IF(OR(R$4="",$C44="",$D44="",N($E44)=0),"",$E44*MAX(0,MIN($D44+1,EDATE(R$4,1))-MAX($C44,R$4))/MAX(1,$D44+1-$C44))</f>
        <v/>
      </c>
      <c r="S44" s="64" t="str">
        <f aca="false">IF(OR(S$4="",$C44="",$D44="",N($E44)=0),"",$E44*MAX(0,MIN($D44+1,EDATE(S$4,1))-MAX($C44,S$4))/MAX(1,$D44+1-$C44))</f>
        <v/>
      </c>
      <c r="T44" s="64" t="str">
        <f aca="false">IF(OR(T$4="",$C44="",$D44="",N($E44)=0),"",$E44*MAX(0,MIN($D44+1,EDATE(T$4,1))-MAX($C44,T$4))/MAX(1,$D44+1-$C44))</f>
        <v/>
      </c>
      <c r="U44" s="64" t="str">
        <f aca="false">IF(OR(U$4="",$C44="",$D44="",N($E44)=0),"",$E44*MAX(0,MIN($D44+1,EDATE(U$4,1))-MAX($C44,U$4))/MAX(1,$D44+1-$C44))</f>
        <v/>
      </c>
      <c r="V44" s="64" t="str">
        <f aca="false">IF(OR(V$4="",$C44="",$D44="",N($E44)=0),"",$E44*MAX(0,MIN($D44+1,EDATE(V$4,1))-MAX($C44,V$4))/MAX(1,$D44+1-$C44))</f>
        <v/>
      </c>
      <c r="W44" s="64" t="str">
        <f aca="false">IF(OR(W$4="",$C44="",$D44="",N($E44)=0),"",$E44*MAX(0,MIN($D44+1,EDATE(W$4,1))-MAX($C44,W$4))/MAX(1,$D44+1-$C44))</f>
        <v/>
      </c>
      <c r="X44" s="64" t="str">
        <f aca="false">IF(OR(X$4="",$C44="",$D44="",N($E44)=0),"",$E44*MAX(0,MIN($D44+1,EDATE(X$4,1))-MAX($C44,X$4))/MAX(1,$D44+1-$C44))</f>
        <v/>
      </c>
      <c r="Y44" s="64" t="str">
        <f aca="false">IF(OR(Y$4="",$C44="",$D44="",N($E44)=0),"",$E44*MAX(0,MIN($D44+1,EDATE(Y$4,1))-MAX($C44,Y$4))/MAX(1,$D44+1-$C44))</f>
        <v/>
      </c>
      <c r="Z44" s="64" t="str">
        <f aca="false">IF(OR(Z$4="",$C44="",$D44="",N($E44)=0),"",$E44*MAX(0,MIN($D44+1,EDATE(Z$4,1))-MAX($C44,Z$4))/MAX(1,$D44+1-$C44))</f>
        <v/>
      </c>
      <c r="AA44" s="64" t="str">
        <f aca="false">IF(OR(AA$4="",$C44="",$D44="",N($E44)=0),"",$E44*MAX(0,MIN($D44+1,EDATE(AA$4,1))-MAX($C44,AA$4))/MAX(1,$D44+1-$C44))</f>
        <v/>
      </c>
      <c r="AB44" s="64" t="str">
        <f aca="false">IF(OR(AB$4="",$C44="",$D44="",N($E44)=0),"",$E44*MAX(0,MIN($D44+1,EDATE(AB$4,1))-MAX($C44,AB$4))/MAX(1,$D44+1-$C44))</f>
        <v/>
      </c>
      <c r="AC44" s="64" t="str">
        <f aca="false">IF(OR(AC$4="",$C44="",$D44="",N($E44)=0),"",$E44*MAX(0,MIN($D44+1,EDATE(AC$4,1))-MAX($C44,AC$4))/MAX(1,$D44+1-$C44))</f>
        <v/>
      </c>
      <c r="AD44" s="64" t="str">
        <f aca="false">IF(OR(AD$4="",$C44="",$D44="",N($E44)=0),"",$E44*MAX(0,MIN($D44+1,EDATE(AD$4,1))-MAX($C44,AD$4))/MAX(1,$D44+1-$C44))</f>
        <v/>
      </c>
      <c r="AE44" s="64" t="str">
        <f aca="false">IF(OR(AE$4="",$C44="",$D44="",N($E44)=0),"",$E44*MAX(0,MIN($D44+1,EDATE(AE$4,1))-MAX($C44,AE$4))/MAX(1,$D44+1-$C44))</f>
        <v/>
      </c>
      <c r="AF44" s="64" t="str">
        <f aca="false">IF(OR(AF$4="",$C44="",$D44="",N($E44)=0),"",$E44*MAX(0,MIN($D44+1,EDATE(AF$4,1))-MAX($C44,AF$4))/MAX(1,$D44+1-$C44))</f>
        <v/>
      </c>
      <c r="AG44" s="64" t="str">
        <f aca="false">IF(OR(AG$4="",$C44="",$D44="",N($E44)=0),"",$E44*MAX(0,MIN($D44+1,EDATE(AG$4,1))-MAX($C44,AG$4))/MAX(1,$D44+1-$C44))</f>
        <v/>
      </c>
      <c r="AH44" s="64" t="str">
        <f aca="false">IF(OR(AH$4="",$C44="",$D44="",N($E44)=0),"",$E44*MAX(0,MIN($D44+1,EDATE(AH$4,1))-MAX($C44,AH$4))/MAX(1,$D44+1-$C44))</f>
        <v/>
      </c>
      <c r="AI44" s="64" t="str">
        <f aca="false">IF(OR(AI$4="",$C44="",$D44="",N($E44)=0),"",$E44*MAX(0,MIN($D44+1,EDATE(AI$4,1))-MAX($C44,AI$4))/MAX(1,$D44+1-$C44))</f>
        <v/>
      </c>
      <c r="AJ44" s="64" t="str">
        <f aca="false">IF(OR(AJ$4="",$C44="",$D44="",N($E44)=0),"",$E44*MAX(0,MIN($D44+1,EDATE(AJ$4,1))-MAX($C44,AJ$4))/MAX(1,$D44+1-$C44))</f>
        <v/>
      </c>
      <c r="AK44" s="64" t="str">
        <f aca="false">IF(OR(AK$4="",$C44="",$D44="",N($E44)=0),"",$E44*MAX(0,MIN($D44+1,EDATE(AK$4,1))-MAX($C44,AK$4))/MAX(1,$D44+1-$C44))</f>
        <v/>
      </c>
      <c r="AL44" s="64" t="str">
        <f aca="false">IF(OR(AL$4="",$C44="",$D44="",N($E44)=0),"",$E44*MAX(0,MIN($D44+1,EDATE(AL$4,1))-MAX($C44,AL$4))/MAX(1,$D44+1-$C44))</f>
        <v/>
      </c>
      <c r="AM44" s="64" t="str">
        <f aca="false">IF(OR(AM$4="",$C44="",$D44="",N($E44)=0),"",$E44*MAX(0,MIN($D44+1,EDATE(AM$4,1))-MAX($C44,AM$4))/MAX(1,$D44+1-$C44))</f>
        <v/>
      </c>
      <c r="AN44" s="64" t="str">
        <f aca="false">IF(OR(AN$4="",$C44="",$D44="",N($E44)=0),"",$E44*MAX(0,MIN($D44+1,EDATE(AN$4,1))-MAX($C44,AN$4))/MAX(1,$D44+1-$C44))</f>
        <v/>
      </c>
      <c r="AO44" s="64" t="str">
        <f aca="false">IF(OR(AO$4="",$C44="",$D44="",N($E44)=0),"",$E44*MAX(0,MIN($D44+1,EDATE(AO$4,1))-MAX($C44,AO$4))/MAX(1,$D44+1-$C44))</f>
        <v/>
      </c>
      <c r="AP44" s="64" t="str">
        <f aca="false">IF(OR(AP$4="",$C44="",$D44="",N($E44)=0),"",$E44*MAX(0,MIN($D44+1,EDATE(AP$4,1))-MAX($C44,AP$4))/MAX(1,$D44+1-$C44))</f>
        <v/>
      </c>
      <c r="AQ44" s="64" t="str">
        <f aca="false">IF(OR(AQ$4="",$C44="",$D44="",N($E44)=0),"",$E44*MAX(0,MIN($D44+1,EDATE(AQ$4,1))-MAX($C44,AQ$4))/MAX(1,$D44+1-$C44))</f>
        <v/>
      </c>
      <c r="AR44" s="64" t="str">
        <f aca="false">IF(OR(AR$4="",$C44="",$D44="",N($E44)=0),"",$E44*MAX(0,MIN($D44+1,EDATE(AR$4,1))-MAX($C44,AR$4))/MAX(1,$D44+1-$C44))</f>
        <v/>
      </c>
      <c r="AS44" s="64" t="str">
        <f aca="false">IF(OR(AS$4="",$C44="",$D44="",N($E44)=0),"",$E44*MAX(0,MIN($D44+1,EDATE(AS$4,1))-MAX($C44,AS$4))/MAX(1,$D44+1-$C44))</f>
        <v/>
      </c>
      <c r="AT44" s="64" t="str">
        <f aca="false">IF(OR(AT$4="",$C44="",$D44="",N($E44)=0),"",$E44*MAX(0,MIN($D44+1,EDATE(AT$4,1))-MAX($C44,AT$4))/MAX(1,$D44+1-$C44))</f>
        <v/>
      </c>
      <c r="AU44" s="64" t="str">
        <f aca="false">IF(OR(AU$4="",$C44="",$D44="",N($E44)=0),"",$E44*MAX(0,MIN($D44+1,EDATE(AU$4,1))-MAX($C44,AU$4))/MAX(1,$D44+1-$C44))</f>
        <v/>
      </c>
      <c r="AV44" s="64" t="str">
        <f aca="false">IF(OR(AV$4="",$C44="",$D44="",N($E44)=0),"",$E44*MAX(0,MIN($D44+1,EDATE(AV$4,1))-MAX($C44,AV$4))/MAX(1,$D44+1-$C44))</f>
        <v/>
      </c>
      <c r="AW44" s="64" t="str">
        <f aca="false">IF(OR(AW$4="",$C44="",$D44="",N($E44)=0),"",$E44*MAX(0,MIN($D44+1,EDATE(AW$4,1))-MAX($C44,AW$4))/MAX(1,$D44+1-$C44))</f>
        <v/>
      </c>
      <c r="AX44" s="64" t="str">
        <f aca="false">IF(OR(AX$4="",$C44="",$D44="",N($E44)=0),"",$E44*MAX(0,MIN($D44+1,EDATE(AX$4,1))-MAX($C44,AX$4))/MAX(1,$D44+1-$C44))</f>
        <v/>
      </c>
      <c r="AY44" s="64" t="str">
        <f aca="false">IF(OR(AY$4="",$C44="",$D44="",N($E44)=0),"",$E44*MAX(0,MIN($D44+1,EDATE(AY$4,1))-MAX($C44,AY$4))/MAX(1,$D44+1-$C44))</f>
        <v/>
      </c>
      <c r="AZ44" s="64" t="str">
        <f aca="false">IF(OR(AZ$4="",$C44="",$D44="",N($E44)=0),"",$E44*MAX(0,MIN($D44+1,EDATE(AZ$4,1))-MAX($C44,AZ$4))/MAX(1,$D44+1-$C44))</f>
        <v/>
      </c>
      <c r="BA44" s="64" t="str">
        <f aca="false">IF(OR(BA$4="",$C44="",$D44="",N($E44)=0),"",$E44*MAX(0,MIN($D44+1,EDATE(BA$4,1))-MAX($C44,BA$4))/MAX(1,$D44+1-$C44))</f>
        <v/>
      </c>
      <c r="BB44" s="64" t="str">
        <f aca="false">IF(OR(BB$4="",$C44="",$D44="",N($E44)=0),"",$E44*MAX(0,MIN($D44+1,EDATE(BB$4,1))-MAX($C44,BB$4))/MAX(1,$D44+1-$C44))</f>
        <v/>
      </c>
      <c r="BC44" s="64" t="str">
        <f aca="false">IF(OR(BC$4="",$C44="",$D44="",N($E44)=0),"",$E44*MAX(0,MIN($D44+1,EDATE(BC$4,1))-MAX($C44,BC$4))/MAX(1,$D44+1-$C44))</f>
        <v/>
      </c>
      <c r="BD44" s="64" t="str">
        <f aca="false">IF(OR(BD$4="",$C44="",$D44="",N($E44)=0),"",$E44*MAX(0,MIN($D44+1,EDATE(BD$4,1))-MAX($C44,BD$4))/MAX(1,$D44+1-$C44))</f>
        <v/>
      </c>
      <c r="BE44" s="64" t="str">
        <f aca="false">IF(OR(BE$4="",$C44="",$D44="",N($E44)=0),"",$E44*MAX(0,MIN($D44+1,EDATE(BE$4,1))-MAX($C44,BE$4))/MAX(1,$D44+1-$C44))</f>
        <v/>
      </c>
      <c r="BF44" s="64" t="str">
        <f aca="false">IF(OR(BF$4="",$C44="",$D44="",N($E44)=0),"",$E44*MAX(0,MIN($D44+1,EDATE(BF$4,1))-MAX($C44,BF$4))/MAX(1,$D44+1-$C44))</f>
        <v/>
      </c>
      <c r="BG44" s="64" t="str">
        <f aca="false">IF(OR(BG$4="",$C44="",$D44="",N($E44)=0),"",$E44*MAX(0,MIN($D44+1,EDATE(BG$4,1))-MAX($C44,BG$4))/MAX(1,$D44+1-$C44))</f>
        <v/>
      </c>
      <c r="BH44" s="64" t="str">
        <f aca="false">IF(OR(BH$4="",$C44="",$D44="",N($E44)=0),"",$E44*MAX(0,MIN($D44+1,EDATE(BH$4,1))-MAX($C44,BH$4))/MAX(1,$D44+1-$C44))</f>
        <v/>
      </c>
      <c r="BI44" s="64" t="str">
        <f aca="false">IF(OR(BI$4="",$C44="",$D44="",N($E44)=0),"",$E44*MAX(0,MIN($D44+1,EDATE(BI$4,1))-MAX($C44,BI$4))/MAX(1,$D44+1-$C44))</f>
        <v/>
      </c>
      <c r="BJ44" s="64" t="str">
        <f aca="false">IF(OR(BJ$4="",$C44="",$D44="",N($E44)=0),"",$E44*MAX(0,MIN($D44+1,EDATE(BJ$4,1))-MAX($C44,BJ$4))/MAX(1,$D44+1-$C44))</f>
        <v/>
      </c>
      <c r="BK44" s="64" t="str">
        <f aca="false">IF(OR(BK$4="",$C44="",$D44="",N($E44)=0),"",$E44*MAX(0,MIN($D44+1,EDATE(BK$4,1))-MAX($C44,BK$4))/MAX(1,$D44+1-$C44))</f>
        <v/>
      </c>
      <c r="BL44" s="64" t="str">
        <f aca="false">IF(OR(BL$4="",$C44="",$D44="",N($E44)=0),"",$E44*MAX(0,MIN($D44+1,EDATE(BL$4,1))-MAX($C44,BL$4))/MAX(1,$D44+1-$C44))</f>
        <v/>
      </c>
      <c r="BM44" s="64" t="str">
        <f aca="false">IF(OR(BM$4="",$C44="",$D44="",N($E44)=0),"",$E44*MAX(0,MIN($D44+1,EDATE(BM$4,1))-MAX($C44,BM$4))/MAX(1,$D44+1-$C44))</f>
        <v/>
      </c>
      <c r="BN44" s="64" t="str">
        <f aca="false">IF(OR(BN$4="",$C44="",$D44="",N($E44)=0),"",$E44*MAX(0,MIN($D44+1,EDATE(BN$4,1))-MAX($C44,BN$4))/MAX(1,$D44+1-$C44))</f>
        <v/>
      </c>
      <c r="BO44" s="64" t="str">
        <f aca="false">IF(OR(BO$4="",$C44="",$D44="",N($E44)=0),"",$E44*MAX(0,MIN($D44+1,EDATE(BO$4,1))-MAX($C44,BO$4))/MAX(1,$D44+1-$C44))</f>
        <v/>
      </c>
      <c r="BP44" s="64" t="str">
        <f aca="false">IF(OR(BP$4="",$C44="",$D44="",N($E44)=0),"",$E44*MAX(0,MIN($D44+1,EDATE(BP$4,1))-MAX($C44,BP$4))/MAX(1,$D44+1-$C44))</f>
        <v/>
      </c>
      <c r="BQ44" s="64" t="str">
        <f aca="false">IF(OR(BQ$4="",$C44="",$D44="",N($E44)=0),"",$E44*MAX(0,MIN($D44+1,EDATE(BQ$4,1))-MAX($C44,BQ$4))/MAX(1,$D44+1-$C44))</f>
        <v/>
      </c>
      <c r="BR44" s="64" t="str">
        <f aca="false">IF(OR(BR$4="",$C44="",$D44="",N($E44)=0),"",$E44*MAX(0,MIN($D44+1,EDATE(BR$4,1))-MAX($C44,BR$4))/MAX(1,$D44+1-$C44))</f>
        <v/>
      </c>
      <c r="BS44" s="64" t="str">
        <f aca="false">IF(OR(BS$4="",$C44="",$D44="",N($E44)=0),"",$E44*MAX(0,MIN($D44+1,EDATE(BS$4,1))-MAX($C44,BS$4))/MAX(1,$D44+1-$C44))</f>
        <v/>
      </c>
      <c r="BT44" s="64" t="str">
        <f aca="false">IF(OR(BT$4="",$C44="",$D44="",N($E44)=0),"",$E44*MAX(0,MIN($D44+1,EDATE(BT$4,1))-MAX($C44,BT$4))/MAX(1,$D44+1-$C44))</f>
        <v/>
      </c>
      <c r="BU44" s="64" t="str">
        <f aca="false">IF(OR(BU$4="",$C44="",$D44="",N($E44)=0),"",$E44*MAX(0,MIN($D44+1,EDATE(BU$4,1))-MAX($C44,BU$4))/MAX(1,$D44+1-$C44))</f>
        <v/>
      </c>
      <c r="BV44" s="64" t="str">
        <f aca="false">IF(OR(BV$4="",$C44="",$D44="",N($E44)=0),"",$E44*MAX(0,MIN($D44+1,EDATE(BV$4,1))-MAX($C44,BV$4))/MAX(1,$D44+1-$C44))</f>
        <v/>
      </c>
      <c r="BW44" s="64" t="str">
        <f aca="false">IF(OR(BW$4="",$C44="",$D44="",N($E44)=0),"",$E44*MAX(0,MIN($D44+1,EDATE(BW$4,1))-MAX($C44,BW$4))/MAX(1,$D44+1-$C44))</f>
        <v/>
      </c>
      <c r="BX44" s="64" t="str">
        <f aca="false">IF(OR(BX$4="",$C44="",$D44="",N($E44)=0),"",$E44*MAX(0,MIN($D44+1,EDATE(BX$4,1))-MAX($C44,BX$4))/MAX(1,$D44+1-$C44))</f>
        <v/>
      </c>
      <c r="BY44" s="64" t="str">
        <f aca="false">IF(OR(BY$4="",$C44="",$D44="",N($E44)=0),"",$E44*MAX(0,MIN($D44+1,EDATE(BY$4,1))-MAX($C44,BY$4))/MAX(1,$D44+1-$C44))</f>
        <v/>
      </c>
    </row>
    <row r="45" customFormat="false" ht="15" hidden="false" customHeight="false" outlineLevel="0" collapsed="false">
      <c r="A45" s="61" t="str">
        <f aca="false">IF(BOE!$A46="","",BOE!$A46)</f>
        <v/>
      </c>
      <c r="B45" s="61" t="str">
        <f aca="false">IF(BOE!$A46="","",BOE!$C46)</f>
        <v/>
      </c>
      <c r="C45" s="62" t="str">
        <f aca="false">IF(BOE!$O46="","",BOE!$O46)</f>
        <v/>
      </c>
      <c r="D45" s="62" t="str">
        <f aca="false">IF(BOE!$P46="","",BOE!$P46)</f>
        <v/>
      </c>
      <c r="E45" s="63" t="n">
        <f aca="false">IF(Inputs!$B$7="P90",BOE!$T46,BOE!$R46)</f>
        <v>0</v>
      </c>
      <c r="F45" s="64" t="str">
        <f aca="false">IF(OR(F$4="",$C45="",$D45="",N($E45)=0),"",$E45*MAX(0,MIN($D45+1,EDATE(F$4,1))-MAX($C45,F$4))/MAX(1,$D45+1-$C45))</f>
        <v/>
      </c>
      <c r="G45" s="64" t="str">
        <f aca="false">IF(OR(G$4="",$C45="",$D45="",N($E45)=0),"",$E45*MAX(0,MIN($D45+1,EDATE(G$4,1))-MAX($C45,G$4))/MAX(1,$D45+1-$C45))</f>
        <v/>
      </c>
      <c r="H45" s="64" t="str">
        <f aca="false">IF(OR(H$4="",$C45="",$D45="",N($E45)=0),"",$E45*MAX(0,MIN($D45+1,EDATE(H$4,1))-MAX($C45,H$4))/MAX(1,$D45+1-$C45))</f>
        <v/>
      </c>
      <c r="I45" s="64" t="str">
        <f aca="false">IF(OR(I$4="",$C45="",$D45="",N($E45)=0),"",$E45*MAX(0,MIN($D45+1,EDATE(I$4,1))-MAX($C45,I$4))/MAX(1,$D45+1-$C45))</f>
        <v/>
      </c>
      <c r="J45" s="64" t="str">
        <f aca="false">IF(OR(J$4="",$C45="",$D45="",N($E45)=0),"",$E45*MAX(0,MIN($D45+1,EDATE(J$4,1))-MAX($C45,J$4))/MAX(1,$D45+1-$C45))</f>
        <v/>
      </c>
      <c r="K45" s="64" t="str">
        <f aca="false">IF(OR(K$4="",$C45="",$D45="",N($E45)=0),"",$E45*MAX(0,MIN($D45+1,EDATE(K$4,1))-MAX($C45,K$4))/MAX(1,$D45+1-$C45))</f>
        <v/>
      </c>
      <c r="L45" s="64" t="str">
        <f aca="false">IF(OR(L$4="",$C45="",$D45="",N($E45)=0),"",$E45*MAX(0,MIN($D45+1,EDATE(L$4,1))-MAX($C45,L$4))/MAX(1,$D45+1-$C45))</f>
        <v/>
      </c>
      <c r="M45" s="64" t="str">
        <f aca="false">IF(OR(M$4="",$C45="",$D45="",N($E45)=0),"",$E45*MAX(0,MIN($D45+1,EDATE(M$4,1))-MAX($C45,M$4))/MAX(1,$D45+1-$C45))</f>
        <v/>
      </c>
      <c r="N45" s="64" t="str">
        <f aca="false">IF(OR(N$4="",$C45="",$D45="",N($E45)=0),"",$E45*MAX(0,MIN($D45+1,EDATE(N$4,1))-MAX($C45,N$4))/MAX(1,$D45+1-$C45))</f>
        <v/>
      </c>
      <c r="O45" s="64" t="str">
        <f aca="false">IF(OR(O$4="",$C45="",$D45="",N($E45)=0),"",$E45*MAX(0,MIN($D45+1,EDATE(O$4,1))-MAX($C45,O$4))/MAX(1,$D45+1-$C45))</f>
        <v/>
      </c>
      <c r="P45" s="64" t="str">
        <f aca="false">IF(OR(P$4="",$C45="",$D45="",N($E45)=0),"",$E45*MAX(0,MIN($D45+1,EDATE(P$4,1))-MAX($C45,P$4))/MAX(1,$D45+1-$C45))</f>
        <v/>
      </c>
      <c r="Q45" s="64" t="str">
        <f aca="false">IF(OR(Q$4="",$C45="",$D45="",N($E45)=0),"",$E45*MAX(0,MIN($D45+1,EDATE(Q$4,1))-MAX($C45,Q$4))/MAX(1,$D45+1-$C45))</f>
        <v/>
      </c>
      <c r="R45" s="64" t="str">
        <f aca="false">IF(OR(R$4="",$C45="",$D45="",N($E45)=0),"",$E45*MAX(0,MIN($D45+1,EDATE(R$4,1))-MAX($C45,R$4))/MAX(1,$D45+1-$C45))</f>
        <v/>
      </c>
      <c r="S45" s="64" t="str">
        <f aca="false">IF(OR(S$4="",$C45="",$D45="",N($E45)=0),"",$E45*MAX(0,MIN($D45+1,EDATE(S$4,1))-MAX($C45,S$4))/MAX(1,$D45+1-$C45))</f>
        <v/>
      </c>
      <c r="T45" s="64" t="str">
        <f aca="false">IF(OR(T$4="",$C45="",$D45="",N($E45)=0),"",$E45*MAX(0,MIN($D45+1,EDATE(T$4,1))-MAX($C45,T$4))/MAX(1,$D45+1-$C45))</f>
        <v/>
      </c>
      <c r="U45" s="64" t="str">
        <f aca="false">IF(OR(U$4="",$C45="",$D45="",N($E45)=0),"",$E45*MAX(0,MIN($D45+1,EDATE(U$4,1))-MAX($C45,U$4))/MAX(1,$D45+1-$C45))</f>
        <v/>
      </c>
      <c r="V45" s="64" t="str">
        <f aca="false">IF(OR(V$4="",$C45="",$D45="",N($E45)=0),"",$E45*MAX(0,MIN($D45+1,EDATE(V$4,1))-MAX($C45,V$4))/MAX(1,$D45+1-$C45))</f>
        <v/>
      </c>
      <c r="W45" s="64" t="str">
        <f aca="false">IF(OR(W$4="",$C45="",$D45="",N($E45)=0),"",$E45*MAX(0,MIN($D45+1,EDATE(W$4,1))-MAX($C45,W$4))/MAX(1,$D45+1-$C45))</f>
        <v/>
      </c>
      <c r="X45" s="64" t="str">
        <f aca="false">IF(OR(X$4="",$C45="",$D45="",N($E45)=0),"",$E45*MAX(0,MIN($D45+1,EDATE(X$4,1))-MAX($C45,X$4))/MAX(1,$D45+1-$C45))</f>
        <v/>
      </c>
      <c r="Y45" s="64" t="str">
        <f aca="false">IF(OR(Y$4="",$C45="",$D45="",N($E45)=0),"",$E45*MAX(0,MIN($D45+1,EDATE(Y$4,1))-MAX($C45,Y$4))/MAX(1,$D45+1-$C45))</f>
        <v/>
      </c>
      <c r="Z45" s="64" t="str">
        <f aca="false">IF(OR(Z$4="",$C45="",$D45="",N($E45)=0),"",$E45*MAX(0,MIN($D45+1,EDATE(Z$4,1))-MAX($C45,Z$4))/MAX(1,$D45+1-$C45))</f>
        <v/>
      </c>
      <c r="AA45" s="64" t="str">
        <f aca="false">IF(OR(AA$4="",$C45="",$D45="",N($E45)=0),"",$E45*MAX(0,MIN($D45+1,EDATE(AA$4,1))-MAX($C45,AA$4))/MAX(1,$D45+1-$C45))</f>
        <v/>
      </c>
      <c r="AB45" s="64" t="str">
        <f aca="false">IF(OR(AB$4="",$C45="",$D45="",N($E45)=0),"",$E45*MAX(0,MIN($D45+1,EDATE(AB$4,1))-MAX($C45,AB$4))/MAX(1,$D45+1-$C45))</f>
        <v/>
      </c>
      <c r="AC45" s="64" t="str">
        <f aca="false">IF(OR(AC$4="",$C45="",$D45="",N($E45)=0),"",$E45*MAX(0,MIN($D45+1,EDATE(AC$4,1))-MAX($C45,AC$4))/MAX(1,$D45+1-$C45))</f>
        <v/>
      </c>
      <c r="AD45" s="64" t="str">
        <f aca="false">IF(OR(AD$4="",$C45="",$D45="",N($E45)=0),"",$E45*MAX(0,MIN($D45+1,EDATE(AD$4,1))-MAX($C45,AD$4))/MAX(1,$D45+1-$C45))</f>
        <v/>
      </c>
      <c r="AE45" s="64" t="str">
        <f aca="false">IF(OR(AE$4="",$C45="",$D45="",N($E45)=0),"",$E45*MAX(0,MIN($D45+1,EDATE(AE$4,1))-MAX($C45,AE$4))/MAX(1,$D45+1-$C45))</f>
        <v/>
      </c>
      <c r="AF45" s="64" t="str">
        <f aca="false">IF(OR(AF$4="",$C45="",$D45="",N($E45)=0),"",$E45*MAX(0,MIN($D45+1,EDATE(AF$4,1))-MAX($C45,AF$4))/MAX(1,$D45+1-$C45))</f>
        <v/>
      </c>
      <c r="AG45" s="64" t="str">
        <f aca="false">IF(OR(AG$4="",$C45="",$D45="",N($E45)=0),"",$E45*MAX(0,MIN($D45+1,EDATE(AG$4,1))-MAX($C45,AG$4))/MAX(1,$D45+1-$C45))</f>
        <v/>
      </c>
      <c r="AH45" s="64" t="str">
        <f aca="false">IF(OR(AH$4="",$C45="",$D45="",N($E45)=0),"",$E45*MAX(0,MIN($D45+1,EDATE(AH$4,1))-MAX($C45,AH$4))/MAX(1,$D45+1-$C45))</f>
        <v/>
      </c>
      <c r="AI45" s="64" t="str">
        <f aca="false">IF(OR(AI$4="",$C45="",$D45="",N($E45)=0),"",$E45*MAX(0,MIN($D45+1,EDATE(AI$4,1))-MAX($C45,AI$4))/MAX(1,$D45+1-$C45))</f>
        <v/>
      </c>
      <c r="AJ45" s="64" t="str">
        <f aca="false">IF(OR(AJ$4="",$C45="",$D45="",N($E45)=0),"",$E45*MAX(0,MIN($D45+1,EDATE(AJ$4,1))-MAX($C45,AJ$4))/MAX(1,$D45+1-$C45))</f>
        <v/>
      </c>
      <c r="AK45" s="64" t="str">
        <f aca="false">IF(OR(AK$4="",$C45="",$D45="",N($E45)=0),"",$E45*MAX(0,MIN($D45+1,EDATE(AK$4,1))-MAX($C45,AK$4))/MAX(1,$D45+1-$C45))</f>
        <v/>
      </c>
      <c r="AL45" s="64" t="str">
        <f aca="false">IF(OR(AL$4="",$C45="",$D45="",N($E45)=0),"",$E45*MAX(0,MIN($D45+1,EDATE(AL$4,1))-MAX($C45,AL$4))/MAX(1,$D45+1-$C45))</f>
        <v/>
      </c>
      <c r="AM45" s="64" t="str">
        <f aca="false">IF(OR(AM$4="",$C45="",$D45="",N($E45)=0),"",$E45*MAX(0,MIN($D45+1,EDATE(AM$4,1))-MAX($C45,AM$4))/MAX(1,$D45+1-$C45))</f>
        <v/>
      </c>
      <c r="AN45" s="64" t="str">
        <f aca="false">IF(OR(AN$4="",$C45="",$D45="",N($E45)=0),"",$E45*MAX(0,MIN($D45+1,EDATE(AN$4,1))-MAX($C45,AN$4))/MAX(1,$D45+1-$C45))</f>
        <v/>
      </c>
      <c r="AO45" s="64" t="str">
        <f aca="false">IF(OR(AO$4="",$C45="",$D45="",N($E45)=0),"",$E45*MAX(0,MIN($D45+1,EDATE(AO$4,1))-MAX($C45,AO$4))/MAX(1,$D45+1-$C45))</f>
        <v/>
      </c>
      <c r="AP45" s="64" t="str">
        <f aca="false">IF(OR(AP$4="",$C45="",$D45="",N($E45)=0),"",$E45*MAX(0,MIN($D45+1,EDATE(AP$4,1))-MAX($C45,AP$4))/MAX(1,$D45+1-$C45))</f>
        <v/>
      </c>
      <c r="AQ45" s="64" t="str">
        <f aca="false">IF(OR(AQ$4="",$C45="",$D45="",N($E45)=0),"",$E45*MAX(0,MIN($D45+1,EDATE(AQ$4,1))-MAX($C45,AQ$4))/MAX(1,$D45+1-$C45))</f>
        <v/>
      </c>
      <c r="AR45" s="64" t="str">
        <f aca="false">IF(OR(AR$4="",$C45="",$D45="",N($E45)=0),"",$E45*MAX(0,MIN($D45+1,EDATE(AR$4,1))-MAX($C45,AR$4))/MAX(1,$D45+1-$C45))</f>
        <v/>
      </c>
      <c r="AS45" s="64" t="str">
        <f aca="false">IF(OR(AS$4="",$C45="",$D45="",N($E45)=0),"",$E45*MAX(0,MIN($D45+1,EDATE(AS$4,1))-MAX($C45,AS$4))/MAX(1,$D45+1-$C45))</f>
        <v/>
      </c>
      <c r="AT45" s="64" t="str">
        <f aca="false">IF(OR(AT$4="",$C45="",$D45="",N($E45)=0),"",$E45*MAX(0,MIN($D45+1,EDATE(AT$4,1))-MAX($C45,AT$4))/MAX(1,$D45+1-$C45))</f>
        <v/>
      </c>
      <c r="AU45" s="64" t="str">
        <f aca="false">IF(OR(AU$4="",$C45="",$D45="",N($E45)=0),"",$E45*MAX(0,MIN($D45+1,EDATE(AU$4,1))-MAX($C45,AU$4))/MAX(1,$D45+1-$C45))</f>
        <v/>
      </c>
      <c r="AV45" s="64" t="str">
        <f aca="false">IF(OR(AV$4="",$C45="",$D45="",N($E45)=0),"",$E45*MAX(0,MIN($D45+1,EDATE(AV$4,1))-MAX($C45,AV$4))/MAX(1,$D45+1-$C45))</f>
        <v/>
      </c>
      <c r="AW45" s="64" t="str">
        <f aca="false">IF(OR(AW$4="",$C45="",$D45="",N($E45)=0),"",$E45*MAX(0,MIN($D45+1,EDATE(AW$4,1))-MAX($C45,AW$4))/MAX(1,$D45+1-$C45))</f>
        <v/>
      </c>
      <c r="AX45" s="64" t="str">
        <f aca="false">IF(OR(AX$4="",$C45="",$D45="",N($E45)=0),"",$E45*MAX(0,MIN($D45+1,EDATE(AX$4,1))-MAX($C45,AX$4))/MAX(1,$D45+1-$C45))</f>
        <v/>
      </c>
      <c r="AY45" s="64" t="str">
        <f aca="false">IF(OR(AY$4="",$C45="",$D45="",N($E45)=0),"",$E45*MAX(0,MIN($D45+1,EDATE(AY$4,1))-MAX($C45,AY$4))/MAX(1,$D45+1-$C45))</f>
        <v/>
      </c>
      <c r="AZ45" s="64" t="str">
        <f aca="false">IF(OR(AZ$4="",$C45="",$D45="",N($E45)=0),"",$E45*MAX(0,MIN($D45+1,EDATE(AZ$4,1))-MAX($C45,AZ$4))/MAX(1,$D45+1-$C45))</f>
        <v/>
      </c>
      <c r="BA45" s="64" t="str">
        <f aca="false">IF(OR(BA$4="",$C45="",$D45="",N($E45)=0),"",$E45*MAX(0,MIN($D45+1,EDATE(BA$4,1))-MAX($C45,BA$4))/MAX(1,$D45+1-$C45))</f>
        <v/>
      </c>
      <c r="BB45" s="64" t="str">
        <f aca="false">IF(OR(BB$4="",$C45="",$D45="",N($E45)=0),"",$E45*MAX(0,MIN($D45+1,EDATE(BB$4,1))-MAX($C45,BB$4))/MAX(1,$D45+1-$C45))</f>
        <v/>
      </c>
      <c r="BC45" s="64" t="str">
        <f aca="false">IF(OR(BC$4="",$C45="",$D45="",N($E45)=0),"",$E45*MAX(0,MIN($D45+1,EDATE(BC$4,1))-MAX($C45,BC$4))/MAX(1,$D45+1-$C45))</f>
        <v/>
      </c>
      <c r="BD45" s="64" t="str">
        <f aca="false">IF(OR(BD$4="",$C45="",$D45="",N($E45)=0),"",$E45*MAX(0,MIN($D45+1,EDATE(BD$4,1))-MAX($C45,BD$4))/MAX(1,$D45+1-$C45))</f>
        <v/>
      </c>
      <c r="BE45" s="64" t="str">
        <f aca="false">IF(OR(BE$4="",$C45="",$D45="",N($E45)=0),"",$E45*MAX(0,MIN($D45+1,EDATE(BE$4,1))-MAX($C45,BE$4))/MAX(1,$D45+1-$C45))</f>
        <v/>
      </c>
      <c r="BF45" s="64" t="str">
        <f aca="false">IF(OR(BF$4="",$C45="",$D45="",N($E45)=0),"",$E45*MAX(0,MIN($D45+1,EDATE(BF$4,1))-MAX($C45,BF$4))/MAX(1,$D45+1-$C45))</f>
        <v/>
      </c>
      <c r="BG45" s="64" t="str">
        <f aca="false">IF(OR(BG$4="",$C45="",$D45="",N($E45)=0),"",$E45*MAX(0,MIN($D45+1,EDATE(BG$4,1))-MAX($C45,BG$4))/MAX(1,$D45+1-$C45))</f>
        <v/>
      </c>
      <c r="BH45" s="64" t="str">
        <f aca="false">IF(OR(BH$4="",$C45="",$D45="",N($E45)=0),"",$E45*MAX(0,MIN($D45+1,EDATE(BH$4,1))-MAX($C45,BH$4))/MAX(1,$D45+1-$C45))</f>
        <v/>
      </c>
      <c r="BI45" s="64" t="str">
        <f aca="false">IF(OR(BI$4="",$C45="",$D45="",N($E45)=0),"",$E45*MAX(0,MIN($D45+1,EDATE(BI$4,1))-MAX($C45,BI$4))/MAX(1,$D45+1-$C45))</f>
        <v/>
      </c>
      <c r="BJ45" s="64" t="str">
        <f aca="false">IF(OR(BJ$4="",$C45="",$D45="",N($E45)=0),"",$E45*MAX(0,MIN($D45+1,EDATE(BJ$4,1))-MAX($C45,BJ$4))/MAX(1,$D45+1-$C45))</f>
        <v/>
      </c>
      <c r="BK45" s="64" t="str">
        <f aca="false">IF(OR(BK$4="",$C45="",$D45="",N($E45)=0),"",$E45*MAX(0,MIN($D45+1,EDATE(BK$4,1))-MAX($C45,BK$4))/MAX(1,$D45+1-$C45))</f>
        <v/>
      </c>
      <c r="BL45" s="64" t="str">
        <f aca="false">IF(OR(BL$4="",$C45="",$D45="",N($E45)=0),"",$E45*MAX(0,MIN($D45+1,EDATE(BL$4,1))-MAX($C45,BL$4))/MAX(1,$D45+1-$C45))</f>
        <v/>
      </c>
      <c r="BM45" s="64" t="str">
        <f aca="false">IF(OR(BM$4="",$C45="",$D45="",N($E45)=0),"",$E45*MAX(0,MIN($D45+1,EDATE(BM$4,1))-MAX($C45,BM$4))/MAX(1,$D45+1-$C45))</f>
        <v/>
      </c>
      <c r="BN45" s="64" t="str">
        <f aca="false">IF(OR(BN$4="",$C45="",$D45="",N($E45)=0),"",$E45*MAX(0,MIN($D45+1,EDATE(BN$4,1))-MAX($C45,BN$4))/MAX(1,$D45+1-$C45))</f>
        <v/>
      </c>
      <c r="BO45" s="64" t="str">
        <f aca="false">IF(OR(BO$4="",$C45="",$D45="",N($E45)=0),"",$E45*MAX(0,MIN($D45+1,EDATE(BO$4,1))-MAX($C45,BO$4))/MAX(1,$D45+1-$C45))</f>
        <v/>
      </c>
      <c r="BP45" s="64" t="str">
        <f aca="false">IF(OR(BP$4="",$C45="",$D45="",N($E45)=0),"",$E45*MAX(0,MIN($D45+1,EDATE(BP$4,1))-MAX($C45,BP$4))/MAX(1,$D45+1-$C45))</f>
        <v/>
      </c>
      <c r="BQ45" s="64" t="str">
        <f aca="false">IF(OR(BQ$4="",$C45="",$D45="",N($E45)=0),"",$E45*MAX(0,MIN($D45+1,EDATE(BQ$4,1))-MAX($C45,BQ$4))/MAX(1,$D45+1-$C45))</f>
        <v/>
      </c>
      <c r="BR45" s="64" t="str">
        <f aca="false">IF(OR(BR$4="",$C45="",$D45="",N($E45)=0),"",$E45*MAX(0,MIN($D45+1,EDATE(BR$4,1))-MAX($C45,BR$4))/MAX(1,$D45+1-$C45))</f>
        <v/>
      </c>
      <c r="BS45" s="64" t="str">
        <f aca="false">IF(OR(BS$4="",$C45="",$D45="",N($E45)=0),"",$E45*MAX(0,MIN($D45+1,EDATE(BS$4,1))-MAX($C45,BS$4))/MAX(1,$D45+1-$C45))</f>
        <v/>
      </c>
      <c r="BT45" s="64" t="str">
        <f aca="false">IF(OR(BT$4="",$C45="",$D45="",N($E45)=0),"",$E45*MAX(0,MIN($D45+1,EDATE(BT$4,1))-MAX($C45,BT$4))/MAX(1,$D45+1-$C45))</f>
        <v/>
      </c>
      <c r="BU45" s="64" t="str">
        <f aca="false">IF(OR(BU$4="",$C45="",$D45="",N($E45)=0),"",$E45*MAX(0,MIN($D45+1,EDATE(BU$4,1))-MAX($C45,BU$4))/MAX(1,$D45+1-$C45))</f>
        <v/>
      </c>
      <c r="BV45" s="64" t="str">
        <f aca="false">IF(OR(BV$4="",$C45="",$D45="",N($E45)=0),"",$E45*MAX(0,MIN($D45+1,EDATE(BV$4,1))-MAX($C45,BV$4))/MAX(1,$D45+1-$C45))</f>
        <v/>
      </c>
      <c r="BW45" s="64" t="str">
        <f aca="false">IF(OR(BW$4="",$C45="",$D45="",N($E45)=0),"",$E45*MAX(0,MIN($D45+1,EDATE(BW$4,1))-MAX($C45,BW$4))/MAX(1,$D45+1-$C45))</f>
        <v/>
      </c>
      <c r="BX45" s="64" t="str">
        <f aca="false">IF(OR(BX$4="",$C45="",$D45="",N($E45)=0),"",$E45*MAX(0,MIN($D45+1,EDATE(BX$4,1))-MAX($C45,BX$4))/MAX(1,$D45+1-$C45))</f>
        <v/>
      </c>
      <c r="BY45" s="64" t="str">
        <f aca="false">IF(OR(BY$4="",$C45="",$D45="",N($E45)=0),"",$E45*MAX(0,MIN($D45+1,EDATE(BY$4,1))-MAX($C45,BY$4))/MAX(1,$D45+1-$C45))</f>
        <v/>
      </c>
    </row>
    <row r="46" customFormat="false" ht="15" hidden="false" customHeight="false" outlineLevel="0" collapsed="false">
      <c r="A46" s="61" t="str">
        <f aca="false">IF(BOE!$A47="","",BOE!$A47)</f>
        <v/>
      </c>
      <c r="B46" s="61" t="str">
        <f aca="false">IF(BOE!$A47="","",BOE!$C47)</f>
        <v/>
      </c>
      <c r="C46" s="62" t="str">
        <f aca="false">IF(BOE!$O47="","",BOE!$O47)</f>
        <v/>
      </c>
      <c r="D46" s="62" t="str">
        <f aca="false">IF(BOE!$P47="","",BOE!$P47)</f>
        <v/>
      </c>
      <c r="E46" s="63" t="n">
        <f aca="false">IF(Inputs!$B$7="P90",BOE!$T47,BOE!$R47)</f>
        <v>0</v>
      </c>
      <c r="F46" s="64" t="str">
        <f aca="false">IF(OR(F$4="",$C46="",$D46="",N($E46)=0),"",$E46*MAX(0,MIN($D46+1,EDATE(F$4,1))-MAX($C46,F$4))/MAX(1,$D46+1-$C46))</f>
        <v/>
      </c>
      <c r="G46" s="64" t="str">
        <f aca="false">IF(OR(G$4="",$C46="",$D46="",N($E46)=0),"",$E46*MAX(0,MIN($D46+1,EDATE(G$4,1))-MAX($C46,G$4))/MAX(1,$D46+1-$C46))</f>
        <v/>
      </c>
      <c r="H46" s="64" t="str">
        <f aca="false">IF(OR(H$4="",$C46="",$D46="",N($E46)=0),"",$E46*MAX(0,MIN($D46+1,EDATE(H$4,1))-MAX($C46,H$4))/MAX(1,$D46+1-$C46))</f>
        <v/>
      </c>
      <c r="I46" s="64" t="str">
        <f aca="false">IF(OR(I$4="",$C46="",$D46="",N($E46)=0),"",$E46*MAX(0,MIN($D46+1,EDATE(I$4,1))-MAX($C46,I$4))/MAX(1,$D46+1-$C46))</f>
        <v/>
      </c>
      <c r="J46" s="64" t="str">
        <f aca="false">IF(OR(J$4="",$C46="",$D46="",N($E46)=0),"",$E46*MAX(0,MIN($D46+1,EDATE(J$4,1))-MAX($C46,J$4))/MAX(1,$D46+1-$C46))</f>
        <v/>
      </c>
      <c r="K46" s="64" t="str">
        <f aca="false">IF(OR(K$4="",$C46="",$D46="",N($E46)=0),"",$E46*MAX(0,MIN($D46+1,EDATE(K$4,1))-MAX($C46,K$4))/MAX(1,$D46+1-$C46))</f>
        <v/>
      </c>
      <c r="L46" s="64" t="str">
        <f aca="false">IF(OR(L$4="",$C46="",$D46="",N($E46)=0),"",$E46*MAX(0,MIN($D46+1,EDATE(L$4,1))-MAX($C46,L$4))/MAX(1,$D46+1-$C46))</f>
        <v/>
      </c>
      <c r="M46" s="64" t="str">
        <f aca="false">IF(OR(M$4="",$C46="",$D46="",N($E46)=0),"",$E46*MAX(0,MIN($D46+1,EDATE(M$4,1))-MAX($C46,M$4))/MAX(1,$D46+1-$C46))</f>
        <v/>
      </c>
      <c r="N46" s="64" t="str">
        <f aca="false">IF(OR(N$4="",$C46="",$D46="",N($E46)=0),"",$E46*MAX(0,MIN($D46+1,EDATE(N$4,1))-MAX($C46,N$4))/MAX(1,$D46+1-$C46))</f>
        <v/>
      </c>
      <c r="O46" s="64" t="str">
        <f aca="false">IF(OR(O$4="",$C46="",$D46="",N($E46)=0),"",$E46*MAX(0,MIN($D46+1,EDATE(O$4,1))-MAX($C46,O$4))/MAX(1,$D46+1-$C46))</f>
        <v/>
      </c>
      <c r="P46" s="64" t="str">
        <f aca="false">IF(OR(P$4="",$C46="",$D46="",N($E46)=0),"",$E46*MAX(0,MIN($D46+1,EDATE(P$4,1))-MAX($C46,P$4))/MAX(1,$D46+1-$C46))</f>
        <v/>
      </c>
      <c r="Q46" s="64" t="str">
        <f aca="false">IF(OR(Q$4="",$C46="",$D46="",N($E46)=0),"",$E46*MAX(0,MIN($D46+1,EDATE(Q$4,1))-MAX($C46,Q$4))/MAX(1,$D46+1-$C46))</f>
        <v/>
      </c>
      <c r="R46" s="64" t="str">
        <f aca="false">IF(OR(R$4="",$C46="",$D46="",N($E46)=0),"",$E46*MAX(0,MIN($D46+1,EDATE(R$4,1))-MAX($C46,R$4))/MAX(1,$D46+1-$C46))</f>
        <v/>
      </c>
      <c r="S46" s="64" t="str">
        <f aca="false">IF(OR(S$4="",$C46="",$D46="",N($E46)=0),"",$E46*MAX(0,MIN($D46+1,EDATE(S$4,1))-MAX($C46,S$4))/MAX(1,$D46+1-$C46))</f>
        <v/>
      </c>
      <c r="T46" s="64" t="str">
        <f aca="false">IF(OR(T$4="",$C46="",$D46="",N($E46)=0),"",$E46*MAX(0,MIN($D46+1,EDATE(T$4,1))-MAX($C46,T$4))/MAX(1,$D46+1-$C46))</f>
        <v/>
      </c>
      <c r="U46" s="64" t="str">
        <f aca="false">IF(OR(U$4="",$C46="",$D46="",N($E46)=0),"",$E46*MAX(0,MIN($D46+1,EDATE(U$4,1))-MAX($C46,U$4))/MAX(1,$D46+1-$C46))</f>
        <v/>
      </c>
      <c r="V46" s="64" t="str">
        <f aca="false">IF(OR(V$4="",$C46="",$D46="",N($E46)=0),"",$E46*MAX(0,MIN($D46+1,EDATE(V$4,1))-MAX($C46,V$4))/MAX(1,$D46+1-$C46))</f>
        <v/>
      </c>
      <c r="W46" s="64" t="str">
        <f aca="false">IF(OR(W$4="",$C46="",$D46="",N($E46)=0),"",$E46*MAX(0,MIN($D46+1,EDATE(W$4,1))-MAX($C46,W$4))/MAX(1,$D46+1-$C46))</f>
        <v/>
      </c>
      <c r="X46" s="64" t="str">
        <f aca="false">IF(OR(X$4="",$C46="",$D46="",N($E46)=0),"",$E46*MAX(0,MIN($D46+1,EDATE(X$4,1))-MAX($C46,X$4))/MAX(1,$D46+1-$C46))</f>
        <v/>
      </c>
      <c r="Y46" s="64" t="str">
        <f aca="false">IF(OR(Y$4="",$C46="",$D46="",N($E46)=0),"",$E46*MAX(0,MIN($D46+1,EDATE(Y$4,1))-MAX($C46,Y$4))/MAX(1,$D46+1-$C46))</f>
        <v/>
      </c>
      <c r="Z46" s="64" t="str">
        <f aca="false">IF(OR(Z$4="",$C46="",$D46="",N($E46)=0),"",$E46*MAX(0,MIN($D46+1,EDATE(Z$4,1))-MAX($C46,Z$4))/MAX(1,$D46+1-$C46))</f>
        <v/>
      </c>
      <c r="AA46" s="64" t="str">
        <f aca="false">IF(OR(AA$4="",$C46="",$D46="",N($E46)=0),"",$E46*MAX(0,MIN($D46+1,EDATE(AA$4,1))-MAX($C46,AA$4))/MAX(1,$D46+1-$C46))</f>
        <v/>
      </c>
      <c r="AB46" s="64" t="str">
        <f aca="false">IF(OR(AB$4="",$C46="",$D46="",N($E46)=0),"",$E46*MAX(0,MIN($D46+1,EDATE(AB$4,1))-MAX($C46,AB$4))/MAX(1,$D46+1-$C46))</f>
        <v/>
      </c>
      <c r="AC46" s="64" t="str">
        <f aca="false">IF(OR(AC$4="",$C46="",$D46="",N($E46)=0),"",$E46*MAX(0,MIN($D46+1,EDATE(AC$4,1))-MAX($C46,AC$4))/MAX(1,$D46+1-$C46))</f>
        <v/>
      </c>
      <c r="AD46" s="64" t="str">
        <f aca="false">IF(OR(AD$4="",$C46="",$D46="",N($E46)=0),"",$E46*MAX(0,MIN($D46+1,EDATE(AD$4,1))-MAX($C46,AD$4))/MAX(1,$D46+1-$C46))</f>
        <v/>
      </c>
      <c r="AE46" s="64" t="str">
        <f aca="false">IF(OR(AE$4="",$C46="",$D46="",N($E46)=0),"",$E46*MAX(0,MIN($D46+1,EDATE(AE$4,1))-MAX($C46,AE$4))/MAX(1,$D46+1-$C46))</f>
        <v/>
      </c>
      <c r="AF46" s="64" t="str">
        <f aca="false">IF(OR(AF$4="",$C46="",$D46="",N($E46)=0),"",$E46*MAX(0,MIN($D46+1,EDATE(AF$4,1))-MAX($C46,AF$4))/MAX(1,$D46+1-$C46))</f>
        <v/>
      </c>
      <c r="AG46" s="64" t="str">
        <f aca="false">IF(OR(AG$4="",$C46="",$D46="",N($E46)=0),"",$E46*MAX(0,MIN($D46+1,EDATE(AG$4,1))-MAX($C46,AG$4))/MAX(1,$D46+1-$C46))</f>
        <v/>
      </c>
      <c r="AH46" s="64" t="str">
        <f aca="false">IF(OR(AH$4="",$C46="",$D46="",N($E46)=0),"",$E46*MAX(0,MIN($D46+1,EDATE(AH$4,1))-MAX($C46,AH$4))/MAX(1,$D46+1-$C46))</f>
        <v/>
      </c>
      <c r="AI46" s="64" t="str">
        <f aca="false">IF(OR(AI$4="",$C46="",$D46="",N($E46)=0),"",$E46*MAX(0,MIN($D46+1,EDATE(AI$4,1))-MAX($C46,AI$4))/MAX(1,$D46+1-$C46))</f>
        <v/>
      </c>
      <c r="AJ46" s="64" t="str">
        <f aca="false">IF(OR(AJ$4="",$C46="",$D46="",N($E46)=0),"",$E46*MAX(0,MIN($D46+1,EDATE(AJ$4,1))-MAX($C46,AJ$4))/MAX(1,$D46+1-$C46))</f>
        <v/>
      </c>
      <c r="AK46" s="64" t="str">
        <f aca="false">IF(OR(AK$4="",$C46="",$D46="",N($E46)=0),"",$E46*MAX(0,MIN($D46+1,EDATE(AK$4,1))-MAX($C46,AK$4))/MAX(1,$D46+1-$C46))</f>
        <v/>
      </c>
      <c r="AL46" s="64" t="str">
        <f aca="false">IF(OR(AL$4="",$C46="",$D46="",N($E46)=0),"",$E46*MAX(0,MIN($D46+1,EDATE(AL$4,1))-MAX($C46,AL$4))/MAX(1,$D46+1-$C46))</f>
        <v/>
      </c>
      <c r="AM46" s="64" t="str">
        <f aca="false">IF(OR(AM$4="",$C46="",$D46="",N($E46)=0),"",$E46*MAX(0,MIN($D46+1,EDATE(AM$4,1))-MAX($C46,AM$4))/MAX(1,$D46+1-$C46))</f>
        <v/>
      </c>
      <c r="AN46" s="64" t="str">
        <f aca="false">IF(OR(AN$4="",$C46="",$D46="",N($E46)=0),"",$E46*MAX(0,MIN($D46+1,EDATE(AN$4,1))-MAX($C46,AN$4))/MAX(1,$D46+1-$C46))</f>
        <v/>
      </c>
      <c r="AO46" s="64" t="str">
        <f aca="false">IF(OR(AO$4="",$C46="",$D46="",N($E46)=0),"",$E46*MAX(0,MIN($D46+1,EDATE(AO$4,1))-MAX($C46,AO$4))/MAX(1,$D46+1-$C46))</f>
        <v/>
      </c>
      <c r="AP46" s="64" t="str">
        <f aca="false">IF(OR(AP$4="",$C46="",$D46="",N($E46)=0),"",$E46*MAX(0,MIN($D46+1,EDATE(AP$4,1))-MAX($C46,AP$4))/MAX(1,$D46+1-$C46))</f>
        <v/>
      </c>
      <c r="AQ46" s="64" t="str">
        <f aca="false">IF(OR(AQ$4="",$C46="",$D46="",N($E46)=0),"",$E46*MAX(0,MIN($D46+1,EDATE(AQ$4,1))-MAX($C46,AQ$4))/MAX(1,$D46+1-$C46))</f>
        <v/>
      </c>
      <c r="AR46" s="64" t="str">
        <f aca="false">IF(OR(AR$4="",$C46="",$D46="",N($E46)=0),"",$E46*MAX(0,MIN($D46+1,EDATE(AR$4,1))-MAX($C46,AR$4))/MAX(1,$D46+1-$C46))</f>
        <v/>
      </c>
      <c r="AS46" s="64" t="str">
        <f aca="false">IF(OR(AS$4="",$C46="",$D46="",N($E46)=0),"",$E46*MAX(0,MIN($D46+1,EDATE(AS$4,1))-MAX($C46,AS$4))/MAX(1,$D46+1-$C46))</f>
        <v/>
      </c>
      <c r="AT46" s="64" t="str">
        <f aca="false">IF(OR(AT$4="",$C46="",$D46="",N($E46)=0),"",$E46*MAX(0,MIN($D46+1,EDATE(AT$4,1))-MAX($C46,AT$4))/MAX(1,$D46+1-$C46))</f>
        <v/>
      </c>
      <c r="AU46" s="64" t="str">
        <f aca="false">IF(OR(AU$4="",$C46="",$D46="",N($E46)=0),"",$E46*MAX(0,MIN($D46+1,EDATE(AU$4,1))-MAX($C46,AU$4))/MAX(1,$D46+1-$C46))</f>
        <v/>
      </c>
      <c r="AV46" s="64" t="str">
        <f aca="false">IF(OR(AV$4="",$C46="",$D46="",N($E46)=0),"",$E46*MAX(0,MIN($D46+1,EDATE(AV$4,1))-MAX($C46,AV$4))/MAX(1,$D46+1-$C46))</f>
        <v/>
      </c>
      <c r="AW46" s="64" t="str">
        <f aca="false">IF(OR(AW$4="",$C46="",$D46="",N($E46)=0),"",$E46*MAX(0,MIN($D46+1,EDATE(AW$4,1))-MAX($C46,AW$4))/MAX(1,$D46+1-$C46))</f>
        <v/>
      </c>
      <c r="AX46" s="64" t="str">
        <f aca="false">IF(OR(AX$4="",$C46="",$D46="",N($E46)=0),"",$E46*MAX(0,MIN($D46+1,EDATE(AX$4,1))-MAX($C46,AX$4))/MAX(1,$D46+1-$C46))</f>
        <v/>
      </c>
      <c r="AY46" s="64" t="str">
        <f aca="false">IF(OR(AY$4="",$C46="",$D46="",N($E46)=0),"",$E46*MAX(0,MIN($D46+1,EDATE(AY$4,1))-MAX($C46,AY$4))/MAX(1,$D46+1-$C46))</f>
        <v/>
      </c>
      <c r="AZ46" s="64" t="str">
        <f aca="false">IF(OR(AZ$4="",$C46="",$D46="",N($E46)=0),"",$E46*MAX(0,MIN($D46+1,EDATE(AZ$4,1))-MAX($C46,AZ$4))/MAX(1,$D46+1-$C46))</f>
        <v/>
      </c>
      <c r="BA46" s="64" t="str">
        <f aca="false">IF(OR(BA$4="",$C46="",$D46="",N($E46)=0),"",$E46*MAX(0,MIN($D46+1,EDATE(BA$4,1))-MAX($C46,BA$4))/MAX(1,$D46+1-$C46))</f>
        <v/>
      </c>
      <c r="BB46" s="64" t="str">
        <f aca="false">IF(OR(BB$4="",$C46="",$D46="",N($E46)=0),"",$E46*MAX(0,MIN($D46+1,EDATE(BB$4,1))-MAX($C46,BB$4))/MAX(1,$D46+1-$C46))</f>
        <v/>
      </c>
      <c r="BC46" s="64" t="str">
        <f aca="false">IF(OR(BC$4="",$C46="",$D46="",N($E46)=0),"",$E46*MAX(0,MIN($D46+1,EDATE(BC$4,1))-MAX($C46,BC$4))/MAX(1,$D46+1-$C46))</f>
        <v/>
      </c>
      <c r="BD46" s="64" t="str">
        <f aca="false">IF(OR(BD$4="",$C46="",$D46="",N($E46)=0),"",$E46*MAX(0,MIN($D46+1,EDATE(BD$4,1))-MAX($C46,BD$4))/MAX(1,$D46+1-$C46))</f>
        <v/>
      </c>
      <c r="BE46" s="64" t="str">
        <f aca="false">IF(OR(BE$4="",$C46="",$D46="",N($E46)=0),"",$E46*MAX(0,MIN($D46+1,EDATE(BE$4,1))-MAX($C46,BE$4))/MAX(1,$D46+1-$C46))</f>
        <v/>
      </c>
      <c r="BF46" s="64" t="str">
        <f aca="false">IF(OR(BF$4="",$C46="",$D46="",N($E46)=0),"",$E46*MAX(0,MIN($D46+1,EDATE(BF$4,1))-MAX($C46,BF$4))/MAX(1,$D46+1-$C46))</f>
        <v/>
      </c>
      <c r="BG46" s="64" t="str">
        <f aca="false">IF(OR(BG$4="",$C46="",$D46="",N($E46)=0),"",$E46*MAX(0,MIN($D46+1,EDATE(BG$4,1))-MAX($C46,BG$4))/MAX(1,$D46+1-$C46))</f>
        <v/>
      </c>
      <c r="BH46" s="64" t="str">
        <f aca="false">IF(OR(BH$4="",$C46="",$D46="",N($E46)=0),"",$E46*MAX(0,MIN($D46+1,EDATE(BH$4,1))-MAX($C46,BH$4))/MAX(1,$D46+1-$C46))</f>
        <v/>
      </c>
      <c r="BI46" s="64" t="str">
        <f aca="false">IF(OR(BI$4="",$C46="",$D46="",N($E46)=0),"",$E46*MAX(0,MIN($D46+1,EDATE(BI$4,1))-MAX($C46,BI$4))/MAX(1,$D46+1-$C46))</f>
        <v/>
      </c>
      <c r="BJ46" s="64" t="str">
        <f aca="false">IF(OR(BJ$4="",$C46="",$D46="",N($E46)=0),"",$E46*MAX(0,MIN($D46+1,EDATE(BJ$4,1))-MAX($C46,BJ$4))/MAX(1,$D46+1-$C46))</f>
        <v/>
      </c>
      <c r="BK46" s="64" t="str">
        <f aca="false">IF(OR(BK$4="",$C46="",$D46="",N($E46)=0),"",$E46*MAX(0,MIN($D46+1,EDATE(BK$4,1))-MAX($C46,BK$4))/MAX(1,$D46+1-$C46))</f>
        <v/>
      </c>
      <c r="BL46" s="64" t="str">
        <f aca="false">IF(OR(BL$4="",$C46="",$D46="",N($E46)=0),"",$E46*MAX(0,MIN($D46+1,EDATE(BL$4,1))-MAX($C46,BL$4))/MAX(1,$D46+1-$C46))</f>
        <v/>
      </c>
      <c r="BM46" s="64" t="str">
        <f aca="false">IF(OR(BM$4="",$C46="",$D46="",N($E46)=0),"",$E46*MAX(0,MIN($D46+1,EDATE(BM$4,1))-MAX($C46,BM$4))/MAX(1,$D46+1-$C46))</f>
        <v/>
      </c>
      <c r="BN46" s="64" t="str">
        <f aca="false">IF(OR(BN$4="",$C46="",$D46="",N($E46)=0),"",$E46*MAX(0,MIN($D46+1,EDATE(BN$4,1))-MAX($C46,BN$4))/MAX(1,$D46+1-$C46))</f>
        <v/>
      </c>
      <c r="BO46" s="64" t="str">
        <f aca="false">IF(OR(BO$4="",$C46="",$D46="",N($E46)=0),"",$E46*MAX(0,MIN($D46+1,EDATE(BO$4,1))-MAX($C46,BO$4))/MAX(1,$D46+1-$C46))</f>
        <v/>
      </c>
      <c r="BP46" s="64" t="str">
        <f aca="false">IF(OR(BP$4="",$C46="",$D46="",N($E46)=0),"",$E46*MAX(0,MIN($D46+1,EDATE(BP$4,1))-MAX($C46,BP$4))/MAX(1,$D46+1-$C46))</f>
        <v/>
      </c>
      <c r="BQ46" s="64" t="str">
        <f aca="false">IF(OR(BQ$4="",$C46="",$D46="",N($E46)=0),"",$E46*MAX(0,MIN($D46+1,EDATE(BQ$4,1))-MAX($C46,BQ$4))/MAX(1,$D46+1-$C46))</f>
        <v/>
      </c>
      <c r="BR46" s="64" t="str">
        <f aca="false">IF(OR(BR$4="",$C46="",$D46="",N($E46)=0),"",$E46*MAX(0,MIN($D46+1,EDATE(BR$4,1))-MAX($C46,BR$4))/MAX(1,$D46+1-$C46))</f>
        <v/>
      </c>
      <c r="BS46" s="64" t="str">
        <f aca="false">IF(OR(BS$4="",$C46="",$D46="",N($E46)=0),"",$E46*MAX(0,MIN($D46+1,EDATE(BS$4,1))-MAX($C46,BS$4))/MAX(1,$D46+1-$C46))</f>
        <v/>
      </c>
      <c r="BT46" s="64" t="str">
        <f aca="false">IF(OR(BT$4="",$C46="",$D46="",N($E46)=0),"",$E46*MAX(0,MIN($D46+1,EDATE(BT$4,1))-MAX($C46,BT$4))/MAX(1,$D46+1-$C46))</f>
        <v/>
      </c>
      <c r="BU46" s="64" t="str">
        <f aca="false">IF(OR(BU$4="",$C46="",$D46="",N($E46)=0),"",$E46*MAX(0,MIN($D46+1,EDATE(BU$4,1))-MAX($C46,BU$4))/MAX(1,$D46+1-$C46))</f>
        <v/>
      </c>
      <c r="BV46" s="64" t="str">
        <f aca="false">IF(OR(BV$4="",$C46="",$D46="",N($E46)=0),"",$E46*MAX(0,MIN($D46+1,EDATE(BV$4,1))-MAX($C46,BV$4))/MAX(1,$D46+1-$C46))</f>
        <v/>
      </c>
      <c r="BW46" s="64" t="str">
        <f aca="false">IF(OR(BW$4="",$C46="",$D46="",N($E46)=0),"",$E46*MAX(0,MIN($D46+1,EDATE(BW$4,1))-MAX($C46,BW$4))/MAX(1,$D46+1-$C46))</f>
        <v/>
      </c>
      <c r="BX46" s="64" t="str">
        <f aca="false">IF(OR(BX$4="",$C46="",$D46="",N($E46)=0),"",$E46*MAX(0,MIN($D46+1,EDATE(BX$4,1))-MAX($C46,BX$4))/MAX(1,$D46+1-$C46))</f>
        <v/>
      </c>
      <c r="BY46" s="64" t="str">
        <f aca="false">IF(OR(BY$4="",$C46="",$D46="",N($E46)=0),"",$E46*MAX(0,MIN($D46+1,EDATE(BY$4,1))-MAX($C46,BY$4))/MAX(1,$D46+1-$C46))</f>
        <v/>
      </c>
    </row>
    <row r="47" customFormat="false" ht="15" hidden="false" customHeight="false" outlineLevel="0" collapsed="false">
      <c r="A47" s="61" t="str">
        <f aca="false">IF(BOE!$A48="","",BOE!$A48)</f>
        <v/>
      </c>
      <c r="B47" s="61" t="str">
        <f aca="false">IF(BOE!$A48="","",BOE!$C48)</f>
        <v/>
      </c>
      <c r="C47" s="62" t="str">
        <f aca="false">IF(BOE!$O48="","",BOE!$O48)</f>
        <v/>
      </c>
      <c r="D47" s="62" t="str">
        <f aca="false">IF(BOE!$P48="","",BOE!$P48)</f>
        <v/>
      </c>
      <c r="E47" s="63" t="n">
        <f aca="false">IF(Inputs!$B$7="P90",BOE!$T48,BOE!$R48)</f>
        <v>0</v>
      </c>
      <c r="F47" s="64" t="str">
        <f aca="false">IF(OR(F$4="",$C47="",$D47="",N($E47)=0),"",$E47*MAX(0,MIN($D47+1,EDATE(F$4,1))-MAX($C47,F$4))/MAX(1,$D47+1-$C47))</f>
        <v/>
      </c>
      <c r="G47" s="64" t="str">
        <f aca="false">IF(OR(G$4="",$C47="",$D47="",N($E47)=0),"",$E47*MAX(0,MIN($D47+1,EDATE(G$4,1))-MAX($C47,G$4))/MAX(1,$D47+1-$C47))</f>
        <v/>
      </c>
      <c r="H47" s="64" t="str">
        <f aca="false">IF(OR(H$4="",$C47="",$D47="",N($E47)=0),"",$E47*MAX(0,MIN($D47+1,EDATE(H$4,1))-MAX($C47,H$4))/MAX(1,$D47+1-$C47))</f>
        <v/>
      </c>
      <c r="I47" s="64" t="str">
        <f aca="false">IF(OR(I$4="",$C47="",$D47="",N($E47)=0),"",$E47*MAX(0,MIN($D47+1,EDATE(I$4,1))-MAX($C47,I$4))/MAX(1,$D47+1-$C47))</f>
        <v/>
      </c>
      <c r="J47" s="64" t="str">
        <f aca="false">IF(OR(J$4="",$C47="",$D47="",N($E47)=0),"",$E47*MAX(0,MIN($D47+1,EDATE(J$4,1))-MAX($C47,J$4))/MAX(1,$D47+1-$C47))</f>
        <v/>
      </c>
      <c r="K47" s="64" t="str">
        <f aca="false">IF(OR(K$4="",$C47="",$D47="",N($E47)=0),"",$E47*MAX(0,MIN($D47+1,EDATE(K$4,1))-MAX($C47,K$4))/MAX(1,$D47+1-$C47))</f>
        <v/>
      </c>
      <c r="L47" s="64" t="str">
        <f aca="false">IF(OR(L$4="",$C47="",$D47="",N($E47)=0),"",$E47*MAX(0,MIN($D47+1,EDATE(L$4,1))-MAX($C47,L$4))/MAX(1,$D47+1-$C47))</f>
        <v/>
      </c>
      <c r="M47" s="64" t="str">
        <f aca="false">IF(OR(M$4="",$C47="",$D47="",N($E47)=0),"",$E47*MAX(0,MIN($D47+1,EDATE(M$4,1))-MAX($C47,M$4))/MAX(1,$D47+1-$C47))</f>
        <v/>
      </c>
      <c r="N47" s="64" t="str">
        <f aca="false">IF(OR(N$4="",$C47="",$D47="",N($E47)=0),"",$E47*MAX(0,MIN($D47+1,EDATE(N$4,1))-MAX($C47,N$4))/MAX(1,$D47+1-$C47))</f>
        <v/>
      </c>
      <c r="O47" s="64" t="str">
        <f aca="false">IF(OR(O$4="",$C47="",$D47="",N($E47)=0),"",$E47*MAX(0,MIN($D47+1,EDATE(O$4,1))-MAX($C47,O$4))/MAX(1,$D47+1-$C47))</f>
        <v/>
      </c>
      <c r="P47" s="64" t="str">
        <f aca="false">IF(OR(P$4="",$C47="",$D47="",N($E47)=0),"",$E47*MAX(0,MIN($D47+1,EDATE(P$4,1))-MAX($C47,P$4))/MAX(1,$D47+1-$C47))</f>
        <v/>
      </c>
      <c r="Q47" s="64" t="str">
        <f aca="false">IF(OR(Q$4="",$C47="",$D47="",N($E47)=0),"",$E47*MAX(0,MIN($D47+1,EDATE(Q$4,1))-MAX($C47,Q$4))/MAX(1,$D47+1-$C47))</f>
        <v/>
      </c>
      <c r="R47" s="64" t="str">
        <f aca="false">IF(OR(R$4="",$C47="",$D47="",N($E47)=0),"",$E47*MAX(0,MIN($D47+1,EDATE(R$4,1))-MAX($C47,R$4))/MAX(1,$D47+1-$C47))</f>
        <v/>
      </c>
      <c r="S47" s="64" t="str">
        <f aca="false">IF(OR(S$4="",$C47="",$D47="",N($E47)=0),"",$E47*MAX(0,MIN($D47+1,EDATE(S$4,1))-MAX($C47,S$4))/MAX(1,$D47+1-$C47))</f>
        <v/>
      </c>
      <c r="T47" s="64" t="str">
        <f aca="false">IF(OR(T$4="",$C47="",$D47="",N($E47)=0),"",$E47*MAX(0,MIN($D47+1,EDATE(T$4,1))-MAX($C47,T$4))/MAX(1,$D47+1-$C47))</f>
        <v/>
      </c>
      <c r="U47" s="64" t="str">
        <f aca="false">IF(OR(U$4="",$C47="",$D47="",N($E47)=0),"",$E47*MAX(0,MIN($D47+1,EDATE(U$4,1))-MAX($C47,U$4))/MAX(1,$D47+1-$C47))</f>
        <v/>
      </c>
      <c r="V47" s="64" t="str">
        <f aca="false">IF(OR(V$4="",$C47="",$D47="",N($E47)=0),"",$E47*MAX(0,MIN($D47+1,EDATE(V$4,1))-MAX($C47,V$4))/MAX(1,$D47+1-$C47))</f>
        <v/>
      </c>
      <c r="W47" s="64" t="str">
        <f aca="false">IF(OR(W$4="",$C47="",$D47="",N($E47)=0),"",$E47*MAX(0,MIN($D47+1,EDATE(W$4,1))-MAX($C47,W$4))/MAX(1,$D47+1-$C47))</f>
        <v/>
      </c>
      <c r="X47" s="64" t="str">
        <f aca="false">IF(OR(X$4="",$C47="",$D47="",N($E47)=0),"",$E47*MAX(0,MIN($D47+1,EDATE(X$4,1))-MAX($C47,X$4))/MAX(1,$D47+1-$C47))</f>
        <v/>
      </c>
      <c r="Y47" s="64" t="str">
        <f aca="false">IF(OR(Y$4="",$C47="",$D47="",N($E47)=0),"",$E47*MAX(0,MIN($D47+1,EDATE(Y$4,1))-MAX($C47,Y$4))/MAX(1,$D47+1-$C47))</f>
        <v/>
      </c>
      <c r="Z47" s="64" t="str">
        <f aca="false">IF(OR(Z$4="",$C47="",$D47="",N($E47)=0),"",$E47*MAX(0,MIN($D47+1,EDATE(Z$4,1))-MAX($C47,Z$4))/MAX(1,$D47+1-$C47))</f>
        <v/>
      </c>
      <c r="AA47" s="64" t="str">
        <f aca="false">IF(OR(AA$4="",$C47="",$D47="",N($E47)=0),"",$E47*MAX(0,MIN($D47+1,EDATE(AA$4,1))-MAX($C47,AA$4))/MAX(1,$D47+1-$C47))</f>
        <v/>
      </c>
      <c r="AB47" s="64" t="str">
        <f aca="false">IF(OR(AB$4="",$C47="",$D47="",N($E47)=0),"",$E47*MAX(0,MIN($D47+1,EDATE(AB$4,1))-MAX($C47,AB$4))/MAX(1,$D47+1-$C47))</f>
        <v/>
      </c>
      <c r="AC47" s="64" t="str">
        <f aca="false">IF(OR(AC$4="",$C47="",$D47="",N($E47)=0),"",$E47*MAX(0,MIN($D47+1,EDATE(AC$4,1))-MAX($C47,AC$4))/MAX(1,$D47+1-$C47))</f>
        <v/>
      </c>
      <c r="AD47" s="64" t="str">
        <f aca="false">IF(OR(AD$4="",$C47="",$D47="",N($E47)=0),"",$E47*MAX(0,MIN($D47+1,EDATE(AD$4,1))-MAX($C47,AD$4))/MAX(1,$D47+1-$C47))</f>
        <v/>
      </c>
      <c r="AE47" s="64" t="str">
        <f aca="false">IF(OR(AE$4="",$C47="",$D47="",N($E47)=0),"",$E47*MAX(0,MIN($D47+1,EDATE(AE$4,1))-MAX($C47,AE$4))/MAX(1,$D47+1-$C47))</f>
        <v/>
      </c>
      <c r="AF47" s="64" t="str">
        <f aca="false">IF(OR(AF$4="",$C47="",$D47="",N($E47)=0),"",$E47*MAX(0,MIN($D47+1,EDATE(AF$4,1))-MAX($C47,AF$4))/MAX(1,$D47+1-$C47))</f>
        <v/>
      </c>
      <c r="AG47" s="64" t="str">
        <f aca="false">IF(OR(AG$4="",$C47="",$D47="",N($E47)=0),"",$E47*MAX(0,MIN($D47+1,EDATE(AG$4,1))-MAX($C47,AG$4))/MAX(1,$D47+1-$C47))</f>
        <v/>
      </c>
      <c r="AH47" s="64" t="str">
        <f aca="false">IF(OR(AH$4="",$C47="",$D47="",N($E47)=0),"",$E47*MAX(0,MIN($D47+1,EDATE(AH$4,1))-MAX($C47,AH$4))/MAX(1,$D47+1-$C47))</f>
        <v/>
      </c>
      <c r="AI47" s="64" t="str">
        <f aca="false">IF(OR(AI$4="",$C47="",$D47="",N($E47)=0),"",$E47*MAX(0,MIN($D47+1,EDATE(AI$4,1))-MAX($C47,AI$4))/MAX(1,$D47+1-$C47))</f>
        <v/>
      </c>
      <c r="AJ47" s="64" t="str">
        <f aca="false">IF(OR(AJ$4="",$C47="",$D47="",N($E47)=0),"",$E47*MAX(0,MIN($D47+1,EDATE(AJ$4,1))-MAX($C47,AJ$4))/MAX(1,$D47+1-$C47))</f>
        <v/>
      </c>
      <c r="AK47" s="64" t="str">
        <f aca="false">IF(OR(AK$4="",$C47="",$D47="",N($E47)=0),"",$E47*MAX(0,MIN($D47+1,EDATE(AK$4,1))-MAX($C47,AK$4))/MAX(1,$D47+1-$C47))</f>
        <v/>
      </c>
      <c r="AL47" s="64" t="str">
        <f aca="false">IF(OR(AL$4="",$C47="",$D47="",N($E47)=0),"",$E47*MAX(0,MIN($D47+1,EDATE(AL$4,1))-MAX($C47,AL$4))/MAX(1,$D47+1-$C47))</f>
        <v/>
      </c>
      <c r="AM47" s="64" t="str">
        <f aca="false">IF(OR(AM$4="",$C47="",$D47="",N($E47)=0),"",$E47*MAX(0,MIN($D47+1,EDATE(AM$4,1))-MAX($C47,AM$4))/MAX(1,$D47+1-$C47))</f>
        <v/>
      </c>
      <c r="AN47" s="64" t="str">
        <f aca="false">IF(OR(AN$4="",$C47="",$D47="",N($E47)=0),"",$E47*MAX(0,MIN($D47+1,EDATE(AN$4,1))-MAX($C47,AN$4))/MAX(1,$D47+1-$C47))</f>
        <v/>
      </c>
      <c r="AO47" s="64" t="str">
        <f aca="false">IF(OR(AO$4="",$C47="",$D47="",N($E47)=0),"",$E47*MAX(0,MIN($D47+1,EDATE(AO$4,1))-MAX($C47,AO$4))/MAX(1,$D47+1-$C47))</f>
        <v/>
      </c>
      <c r="AP47" s="64" t="str">
        <f aca="false">IF(OR(AP$4="",$C47="",$D47="",N($E47)=0),"",$E47*MAX(0,MIN($D47+1,EDATE(AP$4,1))-MAX($C47,AP$4))/MAX(1,$D47+1-$C47))</f>
        <v/>
      </c>
      <c r="AQ47" s="64" t="str">
        <f aca="false">IF(OR(AQ$4="",$C47="",$D47="",N($E47)=0),"",$E47*MAX(0,MIN($D47+1,EDATE(AQ$4,1))-MAX($C47,AQ$4))/MAX(1,$D47+1-$C47))</f>
        <v/>
      </c>
      <c r="AR47" s="64" t="str">
        <f aca="false">IF(OR(AR$4="",$C47="",$D47="",N($E47)=0),"",$E47*MAX(0,MIN($D47+1,EDATE(AR$4,1))-MAX($C47,AR$4))/MAX(1,$D47+1-$C47))</f>
        <v/>
      </c>
      <c r="AS47" s="64" t="str">
        <f aca="false">IF(OR(AS$4="",$C47="",$D47="",N($E47)=0),"",$E47*MAX(0,MIN($D47+1,EDATE(AS$4,1))-MAX($C47,AS$4))/MAX(1,$D47+1-$C47))</f>
        <v/>
      </c>
      <c r="AT47" s="64" t="str">
        <f aca="false">IF(OR(AT$4="",$C47="",$D47="",N($E47)=0),"",$E47*MAX(0,MIN($D47+1,EDATE(AT$4,1))-MAX($C47,AT$4))/MAX(1,$D47+1-$C47))</f>
        <v/>
      </c>
      <c r="AU47" s="64" t="str">
        <f aca="false">IF(OR(AU$4="",$C47="",$D47="",N($E47)=0),"",$E47*MAX(0,MIN($D47+1,EDATE(AU$4,1))-MAX($C47,AU$4))/MAX(1,$D47+1-$C47))</f>
        <v/>
      </c>
      <c r="AV47" s="64" t="str">
        <f aca="false">IF(OR(AV$4="",$C47="",$D47="",N($E47)=0),"",$E47*MAX(0,MIN($D47+1,EDATE(AV$4,1))-MAX($C47,AV$4))/MAX(1,$D47+1-$C47))</f>
        <v/>
      </c>
      <c r="AW47" s="64" t="str">
        <f aca="false">IF(OR(AW$4="",$C47="",$D47="",N($E47)=0),"",$E47*MAX(0,MIN($D47+1,EDATE(AW$4,1))-MAX($C47,AW$4))/MAX(1,$D47+1-$C47))</f>
        <v/>
      </c>
      <c r="AX47" s="64" t="str">
        <f aca="false">IF(OR(AX$4="",$C47="",$D47="",N($E47)=0),"",$E47*MAX(0,MIN($D47+1,EDATE(AX$4,1))-MAX($C47,AX$4))/MAX(1,$D47+1-$C47))</f>
        <v/>
      </c>
      <c r="AY47" s="64" t="str">
        <f aca="false">IF(OR(AY$4="",$C47="",$D47="",N($E47)=0),"",$E47*MAX(0,MIN($D47+1,EDATE(AY$4,1))-MAX($C47,AY$4))/MAX(1,$D47+1-$C47))</f>
        <v/>
      </c>
      <c r="AZ47" s="64" t="str">
        <f aca="false">IF(OR(AZ$4="",$C47="",$D47="",N($E47)=0),"",$E47*MAX(0,MIN($D47+1,EDATE(AZ$4,1))-MAX($C47,AZ$4))/MAX(1,$D47+1-$C47))</f>
        <v/>
      </c>
      <c r="BA47" s="64" t="str">
        <f aca="false">IF(OR(BA$4="",$C47="",$D47="",N($E47)=0),"",$E47*MAX(0,MIN($D47+1,EDATE(BA$4,1))-MAX($C47,BA$4))/MAX(1,$D47+1-$C47))</f>
        <v/>
      </c>
      <c r="BB47" s="64" t="str">
        <f aca="false">IF(OR(BB$4="",$C47="",$D47="",N($E47)=0),"",$E47*MAX(0,MIN($D47+1,EDATE(BB$4,1))-MAX($C47,BB$4))/MAX(1,$D47+1-$C47))</f>
        <v/>
      </c>
      <c r="BC47" s="64" t="str">
        <f aca="false">IF(OR(BC$4="",$C47="",$D47="",N($E47)=0),"",$E47*MAX(0,MIN($D47+1,EDATE(BC$4,1))-MAX($C47,BC$4))/MAX(1,$D47+1-$C47))</f>
        <v/>
      </c>
      <c r="BD47" s="64" t="str">
        <f aca="false">IF(OR(BD$4="",$C47="",$D47="",N($E47)=0),"",$E47*MAX(0,MIN($D47+1,EDATE(BD$4,1))-MAX($C47,BD$4))/MAX(1,$D47+1-$C47))</f>
        <v/>
      </c>
      <c r="BE47" s="64" t="str">
        <f aca="false">IF(OR(BE$4="",$C47="",$D47="",N($E47)=0),"",$E47*MAX(0,MIN($D47+1,EDATE(BE$4,1))-MAX($C47,BE$4))/MAX(1,$D47+1-$C47))</f>
        <v/>
      </c>
      <c r="BF47" s="64" t="str">
        <f aca="false">IF(OR(BF$4="",$C47="",$D47="",N($E47)=0),"",$E47*MAX(0,MIN($D47+1,EDATE(BF$4,1))-MAX($C47,BF$4))/MAX(1,$D47+1-$C47))</f>
        <v/>
      </c>
      <c r="BG47" s="64" t="str">
        <f aca="false">IF(OR(BG$4="",$C47="",$D47="",N($E47)=0),"",$E47*MAX(0,MIN($D47+1,EDATE(BG$4,1))-MAX($C47,BG$4))/MAX(1,$D47+1-$C47))</f>
        <v/>
      </c>
      <c r="BH47" s="64" t="str">
        <f aca="false">IF(OR(BH$4="",$C47="",$D47="",N($E47)=0),"",$E47*MAX(0,MIN($D47+1,EDATE(BH$4,1))-MAX($C47,BH$4))/MAX(1,$D47+1-$C47))</f>
        <v/>
      </c>
      <c r="BI47" s="64" t="str">
        <f aca="false">IF(OR(BI$4="",$C47="",$D47="",N($E47)=0),"",$E47*MAX(0,MIN($D47+1,EDATE(BI$4,1))-MAX($C47,BI$4))/MAX(1,$D47+1-$C47))</f>
        <v/>
      </c>
      <c r="BJ47" s="64" t="str">
        <f aca="false">IF(OR(BJ$4="",$C47="",$D47="",N($E47)=0),"",$E47*MAX(0,MIN($D47+1,EDATE(BJ$4,1))-MAX($C47,BJ$4))/MAX(1,$D47+1-$C47))</f>
        <v/>
      </c>
      <c r="BK47" s="64" t="str">
        <f aca="false">IF(OR(BK$4="",$C47="",$D47="",N($E47)=0),"",$E47*MAX(0,MIN($D47+1,EDATE(BK$4,1))-MAX($C47,BK$4))/MAX(1,$D47+1-$C47))</f>
        <v/>
      </c>
      <c r="BL47" s="64" t="str">
        <f aca="false">IF(OR(BL$4="",$C47="",$D47="",N($E47)=0),"",$E47*MAX(0,MIN($D47+1,EDATE(BL$4,1))-MAX($C47,BL$4))/MAX(1,$D47+1-$C47))</f>
        <v/>
      </c>
      <c r="BM47" s="64" t="str">
        <f aca="false">IF(OR(BM$4="",$C47="",$D47="",N($E47)=0),"",$E47*MAX(0,MIN($D47+1,EDATE(BM$4,1))-MAX($C47,BM$4))/MAX(1,$D47+1-$C47))</f>
        <v/>
      </c>
      <c r="BN47" s="64" t="str">
        <f aca="false">IF(OR(BN$4="",$C47="",$D47="",N($E47)=0),"",$E47*MAX(0,MIN($D47+1,EDATE(BN$4,1))-MAX($C47,BN$4))/MAX(1,$D47+1-$C47))</f>
        <v/>
      </c>
      <c r="BO47" s="64" t="str">
        <f aca="false">IF(OR(BO$4="",$C47="",$D47="",N($E47)=0),"",$E47*MAX(0,MIN($D47+1,EDATE(BO$4,1))-MAX($C47,BO$4))/MAX(1,$D47+1-$C47))</f>
        <v/>
      </c>
      <c r="BP47" s="64" t="str">
        <f aca="false">IF(OR(BP$4="",$C47="",$D47="",N($E47)=0),"",$E47*MAX(0,MIN($D47+1,EDATE(BP$4,1))-MAX($C47,BP$4))/MAX(1,$D47+1-$C47))</f>
        <v/>
      </c>
      <c r="BQ47" s="64" t="str">
        <f aca="false">IF(OR(BQ$4="",$C47="",$D47="",N($E47)=0),"",$E47*MAX(0,MIN($D47+1,EDATE(BQ$4,1))-MAX($C47,BQ$4))/MAX(1,$D47+1-$C47))</f>
        <v/>
      </c>
      <c r="BR47" s="64" t="str">
        <f aca="false">IF(OR(BR$4="",$C47="",$D47="",N($E47)=0),"",$E47*MAX(0,MIN($D47+1,EDATE(BR$4,1))-MAX($C47,BR$4))/MAX(1,$D47+1-$C47))</f>
        <v/>
      </c>
      <c r="BS47" s="64" t="str">
        <f aca="false">IF(OR(BS$4="",$C47="",$D47="",N($E47)=0),"",$E47*MAX(0,MIN($D47+1,EDATE(BS$4,1))-MAX($C47,BS$4))/MAX(1,$D47+1-$C47))</f>
        <v/>
      </c>
      <c r="BT47" s="64" t="str">
        <f aca="false">IF(OR(BT$4="",$C47="",$D47="",N($E47)=0),"",$E47*MAX(0,MIN($D47+1,EDATE(BT$4,1))-MAX($C47,BT$4))/MAX(1,$D47+1-$C47))</f>
        <v/>
      </c>
      <c r="BU47" s="64" t="str">
        <f aca="false">IF(OR(BU$4="",$C47="",$D47="",N($E47)=0),"",$E47*MAX(0,MIN($D47+1,EDATE(BU$4,1))-MAX($C47,BU$4))/MAX(1,$D47+1-$C47))</f>
        <v/>
      </c>
      <c r="BV47" s="64" t="str">
        <f aca="false">IF(OR(BV$4="",$C47="",$D47="",N($E47)=0),"",$E47*MAX(0,MIN($D47+1,EDATE(BV$4,1))-MAX($C47,BV$4))/MAX(1,$D47+1-$C47))</f>
        <v/>
      </c>
      <c r="BW47" s="64" t="str">
        <f aca="false">IF(OR(BW$4="",$C47="",$D47="",N($E47)=0),"",$E47*MAX(0,MIN($D47+1,EDATE(BW$4,1))-MAX($C47,BW$4))/MAX(1,$D47+1-$C47))</f>
        <v/>
      </c>
      <c r="BX47" s="64" t="str">
        <f aca="false">IF(OR(BX$4="",$C47="",$D47="",N($E47)=0),"",$E47*MAX(0,MIN($D47+1,EDATE(BX$4,1))-MAX($C47,BX$4))/MAX(1,$D47+1-$C47))</f>
        <v/>
      </c>
      <c r="BY47" s="64" t="str">
        <f aca="false">IF(OR(BY$4="",$C47="",$D47="",N($E47)=0),"",$E47*MAX(0,MIN($D47+1,EDATE(BY$4,1))-MAX($C47,BY$4))/MAX(1,$D47+1-$C47))</f>
        <v/>
      </c>
    </row>
    <row r="48" customFormat="false" ht="15" hidden="false" customHeight="false" outlineLevel="0" collapsed="false">
      <c r="A48" s="61" t="str">
        <f aca="false">IF(BOE!$A49="","",BOE!$A49)</f>
        <v/>
      </c>
      <c r="B48" s="61" t="str">
        <f aca="false">IF(BOE!$A49="","",BOE!$C49)</f>
        <v/>
      </c>
      <c r="C48" s="62" t="str">
        <f aca="false">IF(BOE!$O49="","",BOE!$O49)</f>
        <v/>
      </c>
      <c r="D48" s="62" t="str">
        <f aca="false">IF(BOE!$P49="","",BOE!$P49)</f>
        <v/>
      </c>
      <c r="E48" s="63" t="n">
        <f aca="false">IF(Inputs!$B$7="P90",BOE!$T49,BOE!$R49)</f>
        <v>0</v>
      </c>
      <c r="F48" s="64" t="str">
        <f aca="false">IF(OR(F$4="",$C48="",$D48="",N($E48)=0),"",$E48*MAX(0,MIN($D48+1,EDATE(F$4,1))-MAX($C48,F$4))/MAX(1,$D48+1-$C48))</f>
        <v/>
      </c>
      <c r="G48" s="64" t="str">
        <f aca="false">IF(OR(G$4="",$C48="",$D48="",N($E48)=0),"",$E48*MAX(0,MIN($D48+1,EDATE(G$4,1))-MAX($C48,G$4))/MAX(1,$D48+1-$C48))</f>
        <v/>
      </c>
      <c r="H48" s="64" t="str">
        <f aca="false">IF(OR(H$4="",$C48="",$D48="",N($E48)=0),"",$E48*MAX(0,MIN($D48+1,EDATE(H$4,1))-MAX($C48,H$4))/MAX(1,$D48+1-$C48))</f>
        <v/>
      </c>
      <c r="I48" s="64" t="str">
        <f aca="false">IF(OR(I$4="",$C48="",$D48="",N($E48)=0),"",$E48*MAX(0,MIN($D48+1,EDATE(I$4,1))-MAX($C48,I$4))/MAX(1,$D48+1-$C48))</f>
        <v/>
      </c>
      <c r="J48" s="64" t="str">
        <f aca="false">IF(OR(J$4="",$C48="",$D48="",N($E48)=0),"",$E48*MAX(0,MIN($D48+1,EDATE(J$4,1))-MAX($C48,J$4))/MAX(1,$D48+1-$C48))</f>
        <v/>
      </c>
      <c r="K48" s="64" t="str">
        <f aca="false">IF(OR(K$4="",$C48="",$D48="",N($E48)=0),"",$E48*MAX(0,MIN($D48+1,EDATE(K$4,1))-MAX($C48,K$4))/MAX(1,$D48+1-$C48))</f>
        <v/>
      </c>
      <c r="L48" s="64" t="str">
        <f aca="false">IF(OR(L$4="",$C48="",$D48="",N($E48)=0),"",$E48*MAX(0,MIN($D48+1,EDATE(L$4,1))-MAX($C48,L$4))/MAX(1,$D48+1-$C48))</f>
        <v/>
      </c>
      <c r="M48" s="64" t="str">
        <f aca="false">IF(OR(M$4="",$C48="",$D48="",N($E48)=0),"",$E48*MAX(0,MIN($D48+1,EDATE(M$4,1))-MAX($C48,M$4))/MAX(1,$D48+1-$C48))</f>
        <v/>
      </c>
      <c r="N48" s="64" t="str">
        <f aca="false">IF(OR(N$4="",$C48="",$D48="",N($E48)=0),"",$E48*MAX(0,MIN($D48+1,EDATE(N$4,1))-MAX($C48,N$4))/MAX(1,$D48+1-$C48))</f>
        <v/>
      </c>
      <c r="O48" s="64" t="str">
        <f aca="false">IF(OR(O$4="",$C48="",$D48="",N($E48)=0),"",$E48*MAX(0,MIN($D48+1,EDATE(O$4,1))-MAX($C48,O$4))/MAX(1,$D48+1-$C48))</f>
        <v/>
      </c>
      <c r="P48" s="64" t="str">
        <f aca="false">IF(OR(P$4="",$C48="",$D48="",N($E48)=0),"",$E48*MAX(0,MIN($D48+1,EDATE(P$4,1))-MAX($C48,P$4))/MAX(1,$D48+1-$C48))</f>
        <v/>
      </c>
      <c r="Q48" s="64" t="str">
        <f aca="false">IF(OR(Q$4="",$C48="",$D48="",N($E48)=0),"",$E48*MAX(0,MIN($D48+1,EDATE(Q$4,1))-MAX($C48,Q$4))/MAX(1,$D48+1-$C48))</f>
        <v/>
      </c>
      <c r="R48" s="64" t="str">
        <f aca="false">IF(OR(R$4="",$C48="",$D48="",N($E48)=0),"",$E48*MAX(0,MIN($D48+1,EDATE(R$4,1))-MAX($C48,R$4))/MAX(1,$D48+1-$C48))</f>
        <v/>
      </c>
      <c r="S48" s="64" t="str">
        <f aca="false">IF(OR(S$4="",$C48="",$D48="",N($E48)=0),"",$E48*MAX(0,MIN($D48+1,EDATE(S$4,1))-MAX($C48,S$4))/MAX(1,$D48+1-$C48))</f>
        <v/>
      </c>
      <c r="T48" s="64" t="str">
        <f aca="false">IF(OR(T$4="",$C48="",$D48="",N($E48)=0),"",$E48*MAX(0,MIN($D48+1,EDATE(T$4,1))-MAX($C48,T$4))/MAX(1,$D48+1-$C48))</f>
        <v/>
      </c>
      <c r="U48" s="64" t="str">
        <f aca="false">IF(OR(U$4="",$C48="",$D48="",N($E48)=0),"",$E48*MAX(0,MIN($D48+1,EDATE(U$4,1))-MAX($C48,U$4))/MAX(1,$D48+1-$C48))</f>
        <v/>
      </c>
      <c r="V48" s="64" t="str">
        <f aca="false">IF(OR(V$4="",$C48="",$D48="",N($E48)=0),"",$E48*MAX(0,MIN($D48+1,EDATE(V$4,1))-MAX($C48,V$4))/MAX(1,$D48+1-$C48))</f>
        <v/>
      </c>
      <c r="W48" s="64" t="str">
        <f aca="false">IF(OR(W$4="",$C48="",$D48="",N($E48)=0),"",$E48*MAX(0,MIN($D48+1,EDATE(W$4,1))-MAX($C48,W$4))/MAX(1,$D48+1-$C48))</f>
        <v/>
      </c>
      <c r="X48" s="64" t="str">
        <f aca="false">IF(OR(X$4="",$C48="",$D48="",N($E48)=0),"",$E48*MAX(0,MIN($D48+1,EDATE(X$4,1))-MAX($C48,X$4))/MAX(1,$D48+1-$C48))</f>
        <v/>
      </c>
      <c r="Y48" s="64" t="str">
        <f aca="false">IF(OR(Y$4="",$C48="",$D48="",N($E48)=0),"",$E48*MAX(0,MIN($D48+1,EDATE(Y$4,1))-MAX($C48,Y$4))/MAX(1,$D48+1-$C48))</f>
        <v/>
      </c>
      <c r="Z48" s="64" t="str">
        <f aca="false">IF(OR(Z$4="",$C48="",$D48="",N($E48)=0),"",$E48*MAX(0,MIN($D48+1,EDATE(Z$4,1))-MAX($C48,Z$4))/MAX(1,$D48+1-$C48))</f>
        <v/>
      </c>
      <c r="AA48" s="64" t="str">
        <f aca="false">IF(OR(AA$4="",$C48="",$D48="",N($E48)=0),"",$E48*MAX(0,MIN($D48+1,EDATE(AA$4,1))-MAX($C48,AA$4))/MAX(1,$D48+1-$C48))</f>
        <v/>
      </c>
      <c r="AB48" s="64" t="str">
        <f aca="false">IF(OR(AB$4="",$C48="",$D48="",N($E48)=0),"",$E48*MAX(0,MIN($D48+1,EDATE(AB$4,1))-MAX($C48,AB$4))/MAX(1,$D48+1-$C48))</f>
        <v/>
      </c>
      <c r="AC48" s="64" t="str">
        <f aca="false">IF(OR(AC$4="",$C48="",$D48="",N($E48)=0),"",$E48*MAX(0,MIN($D48+1,EDATE(AC$4,1))-MAX($C48,AC$4))/MAX(1,$D48+1-$C48))</f>
        <v/>
      </c>
      <c r="AD48" s="64" t="str">
        <f aca="false">IF(OR(AD$4="",$C48="",$D48="",N($E48)=0),"",$E48*MAX(0,MIN($D48+1,EDATE(AD$4,1))-MAX($C48,AD$4))/MAX(1,$D48+1-$C48))</f>
        <v/>
      </c>
      <c r="AE48" s="64" t="str">
        <f aca="false">IF(OR(AE$4="",$C48="",$D48="",N($E48)=0),"",$E48*MAX(0,MIN($D48+1,EDATE(AE$4,1))-MAX($C48,AE$4))/MAX(1,$D48+1-$C48))</f>
        <v/>
      </c>
      <c r="AF48" s="64" t="str">
        <f aca="false">IF(OR(AF$4="",$C48="",$D48="",N($E48)=0),"",$E48*MAX(0,MIN($D48+1,EDATE(AF$4,1))-MAX($C48,AF$4))/MAX(1,$D48+1-$C48))</f>
        <v/>
      </c>
      <c r="AG48" s="64" t="str">
        <f aca="false">IF(OR(AG$4="",$C48="",$D48="",N($E48)=0),"",$E48*MAX(0,MIN($D48+1,EDATE(AG$4,1))-MAX($C48,AG$4))/MAX(1,$D48+1-$C48))</f>
        <v/>
      </c>
      <c r="AH48" s="64" t="str">
        <f aca="false">IF(OR(AH$4="",$C48="",$D48="",N($E48)=0),"",$E48*MAX(0,MIN($D48+1,EDATE(AH$4,1))-MAX($C48,AH$4))/MAX(1,$D48+1-$C48))</f>
        <v/>
      </c>
      <c r="AI48" s="64" t="str">
        <f aca="false">IF(OR(AI$4="",$C48="",$D48="",N($E48)=0),"",$E48*MAX(0,MIN($D48+1,EDATE(AI$4,1))-MAX($C48,AI$4))/MAX(1,$D48+1-$C48))</f>
        <v/>
      </c>
      <c r="AJ48" s="64" t="str">
        <f aca="false">IF(OR(AJ$4="",$C48="",$D48="",N($E48)=0),"",$E48*MAX(0,MIN($D48+1,EDATE(AJ$4,1))-MAX($C48,AJ$4))/MAX(1,$D48+1-$C48))</f>
        <v/>
      </c>
      <c r="AK48" s="64" t="str">
        <f aca="false">IF(OR(AK$4="",$C48="",$D48="",N($E48)=0),"",$E48*MAX(0,MIN($D48+1,EDATE(AK$4,1))-MAX($C48,AK$4))/MAX(1,$D48+1-$C48))</f>
        <v/>
      </c>
      <c r="AL48" s="64" t="str">
        <f aca="false">IF(OR(AL$4="",$C48="",$D48="",N($E48)=0),"",$E48*MAX(0,MIN($D48+1,EDATE(AL$4,1))-MAX($C48,AL$4))/MAX(1,$D48+1-$C48))</f>
        <v/>
      </c>
      <c r="AM48" s="64" t="str">
        <f aca="false">IF(OR(AM$4="",$C48="",$D48="",N($E48)=0),"",$E48*MAX(0,MIN($D48+1,EDATE(AM$4,1))-MAX($C48,AM$4))/MAX(1,$D48+1-$C48))</f>
        <v/>
      </c>
      <c r="AN48" s="64" t="str">
        <f aca="false">IF(OR(AN$4="",$C48="",$D48="",N($E48)=0),"",$E48*MAX(0,MIN($D48+1,EDATE(AN$4,1))-MAX($C48,AN$4))/MAX(1,$D48+1-$C48))</f>
        <v/>
      </c>
      <c r="AO48" s="64" t="str">
        <f aca="false">IF(OR(AO$4="",$C48="",$D48="",N($E48)=0),"",$E48*MAX(0,MIN($D48+1,EDATE(AO$4,1))-MAX($C48,AO$4))/MAX(1,$D48+1-$C48))</f>
        <v/>
      </c>
      <c r="AP48" s="64" t="str">
        <f aca="false">IF(OR(AP$4="",$C48="",$D48="",N($E48)=0),"",$E48*MAX(0,MIN($D48+1,EDATE(AP$4,1))-MAX($C48,AP$4))/MAX(1,$D48+1-$C48))</f>
        <v/>
      </c>
      <c r="AQ48" s="64" t="str">
        <f aca="false">IF(OR(AQ$4="",$C48="",$D48="",N($E48)=0),"",$E48*MAX(0,MIN($D48+1,EDATE(AQ$4,1))-MAX($C48,AQ$4))/MAX(1,$D48+1-$C48))</f>
        <v/>
      </c>
      <c r="AR48" s="64" t="str">
        <f aca="false">IF(OR(AR$4="",$C48="",$D48="",N($E48)=0),"",$E48*MAX(0,MIN($D48+1,EDATE(AR$4,1))-MAX($C48,AR$4))/MAX(1,$D48+1-$C48))</f>
        <v/>
      </c>
      <c r="AS48" s="64" t="str">
        <f aca="false">IF(OR(AS$4="",$C48="",$D48="",N($E48)=0),"",$E48*MAX(0,MIN($D48+1,EDATE(AS$4,1))-MAX($C48,AS$4))/MAX(1,$D48+1-$C48))</f>
        <v/>
      </c>
      <c r="AT48" s="64" t="str">
        <f aca="false">IF(OR(AT$4="",$C48="",$D48="",N($E48)=0),"",$E48*MAX(0,MIN($D48+1,EDATE(AT$4,1))-MAX($C48,AT$4))/MAX(1,$D48+1-$C48))</f>
        <v/>
      </c>
      <c r="AU48" s="64" t="str">
        <f aca="false">IF(OR(AU$4="",$C48="",$D48="",N($E48)=0),"",$E48*MAX(0,MIN($D48+1,EDATE(AU$4,1))-MAX($C48,AU$4))/MAX(1,$D48+1-$C48))</f>
        <v/>
      </c>
      <c r="AV48" s="64" t="str">
        <f aca="false">IF(OR(AV$4="",$C48="",$D48="",N($E48)=0),"",$E48*MAX(0,MIN($D48+1,EDATE(AV$4,1))-MAX($C48,AV$4))/MAX(1,$D48+1-$C48))</f>
        <v/>
      </c>
      <c r="AW48" s="64" t="str">
        <f aca="false">IF(OR(AW$4="",$C48="",$D48="",N($E48)=0),"",$E48*MAX(0,MIN($D48+1,EDATE(AW$4,1))-MAX($C48,AW$4))/MAX(1,$D48+1-$C48))</f>
        <v/>
      </c>
      <c r="AX48" s="64" t="str">
        <f aca="false">IF(OR(AX$4="",$C48="",$D48="",N($E48)=0),"",$E48*MAX(0,MIN($D48+1,EDATE(AX$4,1))-MAX($C48,AX$4))/MAX(1,$D48+1-$C48))</f>
        <v/>
      </c>
      <c r="AY48" s="64" t="str">
        <f aca="false">IF(OR(AY$4="",$C48="",$D48="",N($E48)=0),"",$E48*MAX(0,MIN($D48+1,EDATE(AY$4,1))-MAX($C48,AY$4))/MAX(1,$D48+1-$C48))</f>
        <v/>
      </c>
      <c r="AZ48" s="64" t="str">
        <f aca="false">IF(OR(AZ$4="",$C48="",$D48="",N($E48)=0),"",$E48*MAX(0,MIN($D48+1,EDATE(AZ$4,1))-MAX($C48,AZ$4))/MAX(1,$D48+1-$C48))</f>
        <v/>
      </c>
      <c r="BA48" s="64" t="str">
        <f aca="false">IF(OR(BA$4="",$C48="",$D48="",N($E48)=0),"",$E48*MAX(0,MIN($D48+1,EDATE(BA$4,1))-MAX($C48,BA$4))/MAX(1,$D48+1-$C48))</f>
        <v/>
      </c>
      <c r="BB48" s="64" t="str">
        <f aca="false">IF(OR(BB$4="",$C48="",$D48="",N($E48)=0),"",$E48*MAX(0,MIN($D48+1,EDATE(BB$4,1))-MAX($C48,BB$4))/MAX(1,$D48+1-$C48))</f>
        <v/>
      </c>
      <c r="BC48" s="64" t="str">
        <f aca="false">IF(OR(BC$4="",$C48="",$D48="",N($E48)=0),"",$E48*MAX(0,MIN($D48+1,EDATE(BC$4,1))-MAX($C48,BC$4))/MAX(1,$D48+1-$C48))</f>
        <v/>
      </c>
      <c r="BD48" s="64" t="str">
        <f aca="false">IF(OR(BD$4="",$C48="",$D48="",N($E48)=0),"",$E48*MAX(0,MIN($D48+1,EDATE(BD$4,1))-MAX($C48,BD$4))/MAX(1,$D48+1-$C48))</f>
        <v/>
      </c>
      <c r="BE48" s="64" t="str">
        <f aca="false">IF(OR(BE$4="",$C48="",$D48="",N($E48)=0),"",$E48*MAX(0,MIN($D48+1,EDATE(BE$4,1))-MAX($C48,BE$4))/MAX(1,$D48+1-$C48))</f>
        <v/>
      </c>
      <c r="BF48" s="64" t="str">
        <f aca="false">IF(OR(BF$4="",$C48="",$D48="",N($E48)=0),"",$E48*MAX(0,MIN($D48+1,EDATE(BF$4,1))-MAX($C48,BF$4))/MAX(1,$D48+1-$C48))</f>
        <v/>
      </c>
      <c r="BG48" s="64" t="str">
        <f aca="false">IF(OR(BG$4="",$C48="",$D48="",N($E48)=0),"",$E48*MAX(0,MIN($D48+1,EDATE(BG$4,1))-MAX($C48,BG$4))/MAX(1,$D48+1-$C48))</f>
        <v/>
      </c>
      <c r="BH48" s="64" t="str">
        <f aca="false">IF(OR(BH$4="",$C48="",$D48="",N($E48)=0),"",$E48*MAX(0,MIN($D48+1,EDATE(BH$4,1))-MAX($C48,BH$4))/MAX(1,$D48+1-$C48))</f>
        <v/>
      </c>
      <c r="BI48" s="64" t="str">
        <f aca="false">IF(OR(BI$4="",$C48="",$D48="",N($E48)=0),"",$E48*MAX(0,MIN($D48+1,EDATE(BI$4,1))-MAX($C48,BI$4))/MAX(1,$D48+1-$C48))</f>
        <v/>
      </c>
      <c r="BJ48" s="64" t="str">
        <f aca="false">IF(OR(BJ$4="",$C48="",$D48="",N($E48)=0),"",$E48*MAX(0,MIN($D48+1,EDATE(BJ$4,1))-MAX($C48,BJ$4))/MAX(1,$D48+1-$C48))</f>
        <v/>
      </c>
      <c r="BK48" s="64" t="str">
        <f aca="false">IF(OR(BK$4="",$C48="",$D48="",N($E48)=0),"",$E48*MAX(0,MIN($D48+1,EDATE(BK$4,1))-MAX($C48,BK$4))/MAX(1,$D48+1-$C48))</f>
        <v/>
      </c>
      <c r="BL48" s="64" t="str">
        <f aca="false">IF(OR(BL$4="",$C48="",$D48="",N($E48)=0),"",$E48*MAX(0,MIN($D48+1,EDATE(BL$4,1))-MAX($C48,BL$4))/MAX(1,$D48+1-$C48))</f>
        <v/>
      </c>
      <c r="BM48" s="64" t="str">
        <f aca="false">IF(OR(BM$4="",$C48="",$D48="",N($E48)=0),"",$E48*MAX(0,MIN($D48+1,EDATE(BM$4,1))-MAX($C48,BM$4))/MAX(1,$D48+1-$C48))</f>
        <v/>
      </c>
      <c r="BN48" s="64" t="str">
        <f aca="false">IF(OR(BN$4="",$C48="",$D48="",N($E48)=0),"",$E48*MAX(0,MIN($D48+1,EDATE(BN$4,1))-MAX($C48,BN$4))/MAX(1,$D48+1-$C48))</f>
        <v/>
      </c>
      <c r="BO48" s="64" t="str">
        <f aca="false">IF(OR(BO$4="",$C48="",$D48="",N($E48)=0),"",$E48*MAX(0,MIN($D48+1,EDATE(BO$4,1))-MAX($C48,BO$4))/MAX(1,$D48+1-$C48))</f>
        <v/>
      </c>
      <c r="BP48" s="64" t="str">
        <f aca="false">IF(OR(BP$4="",$C48="",$D48="",N($E48)=0),"",$E48*MAX(0,MIN($D48+1,EDATE(BP$4,1))-MAX($C48,BP$4))/MAX(1,$D48+1-$C48))</f>
        <v/>
      </c>
      <c r="BQ48" s="64" t="str">
        <f aca="false">IF(OR(BQ$4="",$C48="",$D48="",N($E48)=0),"",$E48*MAX(0,MIN($D48+1,EDATE(BQ$4,1))-MAX($C48,BQ$4))/MAX(1,$D48+1-$C48))</f>
        <v/>
      </c>
      <c r="BR48" s="64" t="str">
        <f aca="false">IF(OR(BR$4="",$C48="",$D48="",N($E48)=0),"",$E48*MAX(0,MIN($D48+1,EDATE(BR$4,1))-MAX($C48,BR$4))/MAX(1,$D48+1-$C48))</f>
        <v/>
      </c>
      <c r="BS48" s="64" t="str">
        <f aca="false">IF(OR(BS$4="",$C48="",$D48="",N($E48)=0),"",$E48*MAX(0,MIN($D48+1,EDATE(BS$4,1))-MAX($C48,BS$4))/MAX(1,$D48+1-$C48))</f>
        <v/>
      </c>
      <c r="BT48" s="64" t="str">
        <f aca="false">IF(OR(BT$4="",$C48="",$D48="",N($E48)=0),"",$E48*MAX(0,MIN($D48+1,EDATE(BT$4,1))-MAX($C48,BT$4))/MAX(1,$D48+1-$C48))</f>
        <v/>
      </c>
      <c r="BU48" s="64" t="str">
        <f aca="false">IF(OR(BU$4="",$C48="",$D48="",N($E48)=0),"",$E48*MAX(0,MIN($D48+1,EDATE(BU$4,1))-MAX($C48,BU$4))/MAX(1,$D48+1-$C48))</f>
        <v/>
      </c>
      <c r="BV48" s="64" t="str">
        <f aca="false">IF(OR(BV$4="",$C48="",$D48="",N($E48)=0),"",$E48*MAX(0,MIN($D48+1,EDATE(BV$4,1))-MAX($C48,BV$4))/MAX(1,$D48+1-$C48))</f>
        <v/>
      </c>
      <c r="BW48" s="64" t="str">
        <f aca="false">IF(OR(BW$4="",$C48="",$D48="",N($E48)=0),"",$E48*MAX(0,MIN($D48+1,EDATE(BW$4,1))-MAX($C48,BW$4))/MAX(1,$D48+1-$C48))</f>
        <v/>
      </c>
      <c r="BX48" s="64" t="str">
        <f aca="false">IF(OR(BX$4="",$C48="",$D48="",N($E48)=0),"",$E48*MAX(0,MIN($D48+1,EDATE(BX$4,1))-MAX($C48,BX$4))/MAX(1,$D48+1-$C48))</f>
        <v/>
      </c>
      <c r="BY48" s="64" t="str">
        <f aca="false">IF(OR(BY$4="",$C48="",$D48="",N($E48)=0),"",$E48*MAX(0,MIN($D48+1,EDATE(BY$4,1))-MAX($C48,BY$4))/MAX(1,$D48+1-$C48))</f>
        <v/>
      </c>
    </row>
    <row r="49" customFormat="false" ht="15" hidden="false" customHeight="false" outlineLevel="0" collapsed="false">
      <c r="A49" s="61" t="str">
        <f aca="false">IF(BOE!$A50="","",BOE!$A50)</f>
        <v/>
      </c>
      <c r="B49" s="61" t="str">
        <f aca="false">IF(BOE!$A50="","",BOE!$C50)</f>
        <v/>
      </c>
      <c r="C49" s="62" t="str">
        <f aca="false">IF(BOE!$O50="","",BOE!$O50)</f>
        <v/>
      </c>
      <c r="D49" s="62" t="str">
        <f aca="false">IF(BOE!$P50="","",BOE!$P50)</f>
        <v/>
      </c>
      <c r="E49" s="63" t="n">
        <f aca="false">IF(Inputs!$B$7="P90",BOE!$T50,BOE!$R50)</f>
        <v>0</v>
      </c>
      <c r="F49" s="64" t="str">
        <f aca="false">IF(OR(F$4="",$C49="",$D49="",N($E49)=0),"",$E49*MAX(0,MIN($D49+1,EDATE(F$4,1))-MAX($C49,F$4))/MAX(1,$D49+1-$C49))</f>
        <v/>
      </c>
      <c r="G49" s="64" t="str">
        <f aca="false">IF(OR(G$4="",$C49="",$D49="",N($E49)=0),"",$E49*MAX(0,MIN($D49+1,EDATE(G$4,1))-MAX($C49,G$4))/MAX(1,$D49+1-$C49))</f>
        <v/>
      </c>
      <c r="H49" s="64" t="str">
        <f aca="false">IF(OR(H$4="",$C49="",$D49="",N($E49)=0),"",$E49*MAX(0,MIN($D49+1,EDATE(H$4,1))-MAX($C49,H$4))/MAX(1,$D49+1-$C49))</f>
        <v/>
      </c>
      <c r="I49" s="64" t="str">
        <f aca="false">IF(OR(I$4="",$C49="",$D49="",N($E49)=0),"",$E49*MAX(0,MIN($D49+1,EDATE(I$4,1))-MAX($C49,I$4))/MAX(1,$D49+1-$C49))</f>
        <v/>
      </c>
      <c r="J49" s="64" t="str">
        <f aca="false">IF(OR(J$4="",$C49="",$D49="",N($E49)=0),"",$E49*MAX(0,MIN($D49+1,EDATE(J$4,1))-MAX($C49,J$4))/MAX(1,$D49+1-$C49))</f>
        <v/>
      </c>
      <c r="K49" s="64" t="str">
        <f aca="false">IF(OR(K$4="",$C49="",$D49="",N($E49)=0),"",$E49*MAX(0,MIN($D49+1,EDATE(K$4,1))-MAX($C49,K$4))/MAX(1,$D49+1-$C49))</f>
        <v/>
      </c>
      <c r="L49" s="64" t="str">
        <f aca="false">IF(OR(L$4="",$C49="",$D49="",N($E49)=0),"",$E49*MAX(0,MIN($D49+1,EDATE(L$4,1))-MAX($C49,L$4))/MAX(1,$D49+1-$C49))</f>
        <v/>
      </c>
      <c r="M49" s="64" t="str">
        <f aca="false">IF(OR(M$4="",$C49="",$D49="",N($E49)=0),"",$E49*MAX(0,MIN($D49+1,EDATE(M$4,1))-MAX($C49,M$4))/MAX(1,$D49+1-$C49))</f>
        <v/>
      </c>
      <c r="N49" s="64" t="str">
        <f aca="false">IF(OR(N$4="",$C49="",$D49="",N($E49)=0),"",$E49*MAX(0,MIN($D49+1,EDATE(N$4,1))-MAX($C49,N$4))/MAX(1,$D49+1-$C49))</f>
        <v/>
      </c>
      <c r="O49" s="64" t="str">
        <f aca="false">IF(OR(O$4="",$C49="",$D49="",N($E49)=0),"",$E49*MAX(0,MIN($D49+1,EDATE(O$4,1))-MAX($C49,O$4))/MAX(1,$D49+1-$C49))</f>
        <v/>
      </c>
      <c r="P49" s="64" t="str">
        <f aca="false">IF(OR(P$4="",$C49="",$D49="",N($E49)=0),"",$E49*MAX(0,MIN($D49+1,EDATE(P$4,1))-MAX($C49,P$4))/MAX(1,$D49+1-$C49))</f>
        <v/>
      </c>
      <c r="Q49" s="64" t="str">
        <f aca="false">IF(OR(Q$4="",$C49="",$D49="",N($E49)=0),"",$E49*MAX(0,MIN($D49+1,EDATE(Q$4,1))-MAX($C49,Q$4))/MAX(1,$D49+1-$C49))</f>
        <v/>
      </c>
      <c r="R49" s="64" t="str">
        <f aca="false">IF(OR(R$4="",$C49="",$D49="",N($E49)=0),"",$E49*MAX(0,MIN($D49+1,EDATE(R$4,1))-MAX($C49,R$4))/MAX(1,$D49+1-$C49))</f>
        <v/>
      </c>
      <c r="S49" s="64" t="str">
        <f aca="false">IF(OR(S$4="",$C49="",$D49="",N($E49)=0),"",$E49*MAX(0,MIN($D49+1,EDATE(S$4,1))-MAX($C49,S$4))/MAX(1,$D49+1-$C49))</f>
        <v/>
      </c>
      <c r="T49" s="64" t="str">
        <f aca="false">IF(OR(T$4="",$C49="",$D49="",N($E49)=0),"",$E49*MAX(0,MIN($D49+1,EDATE(T$4,1))-MAX($C49,T$4))/MAX(1,$D49+1-$C49))</f>
        <v/>
      </c>
      <c r="U49" s="64" t="str">
        <f aca="false">IF(OR(U$4="",$C49="",$D49="",N($E49)=0),"",$E49*MAX(0,MIN($D49+1,EDATE(U$4,1))-MAX($C49,U$4))/MAX(1,$D49+1-$C49))</f>
        <v/>
      </c>
      <c r="V49" s="64" t="str">
        <f aca="false">IF(OR(V$4="",$C49="",$D49="",N($E49)=0),"",$E49*MAX(0,MIN($D49+1,EDATE(V$4,1))-MAX($C49,V$4))/MAX(1,$D49+1-$C49))</f>
        <v/>
      </c>
      <c r="W49" s="64" t="str">
        <f aca="false">IF(OR(W$4="",$C49="",$D49="",N($E49)=0),"",$E49*MAX(0,MIN($D49+1,EDATE(W$4,1))-MAX($C49,W$4))/MAX(1,$D49+1-$C49))</f>
        <v/>
      </c>
      <c r="X49" s="64" t="str">
        <f aca="false">IF(OR(X$4="",$C49="",$D49="",N($E49)=0),"",$E49*MAX(0,MIN($D49+1,EDATE(X$4,1))-MAX($C49,X$4))/MAX(1,$D49+1-$C49))</f>
        <v/>
      </c>
      <c r="Y49" s="64" t="str">
        <f aca="false">IF(OR(Y$4="",$C49="",$D49="",N($E49)=0),"",$E49*MAX(0,MIN($D49+1,EDATE(Y$4,1))-MAX($C49,Y$4))/MAX(1,$D49+1-$C49))</f>
        <v/>
      </c>
      <c r="Z49" s="64" t="str">
        <f aca="false">IF(OR(Z$4="",$C49="",$D49="",N($E49)=0),"",$E49*MAX(0,MIN($D49+1,EDATE(Z$4,1))-MAX($C49,Z$4))/MAX(1,$D49+1-$C49))</f>
        <v/>
      </c>
      <c r="AA49" s="64" t="str">
        <f aca="false">IF(OR(AA$4="",$C49="",$D49="",N($E49)=0),"",$E49*MAX(0,MIN($D49+1,EDATE(AA$4,1))-MAX($C49,AA$4))/MAX(1,$D49+1-$C49))</f>
        <v/>
      </c>
      <c r="AB49" s="64" t="str">
        <f aca="false">IF(OR(AB$4="",$C49="",$D49="",N($E49)=0),"",$E49*MAX(0,MIN($D49+1,EDATE(AB$4,1))-MAX($C49,AB$4))/MAX(1,$D49+1-$C49))</f>
        <v/>
      </c>
      <c r="AC49" s="64" t="str">
        <f aca="false">IF(OR(AC$4="",$C49="",$D49="",N($E49)=0),"",$E49*MAX(0,MIN($D49+1,EDATE(AC$4,1))-MAX($C49,AC$4))/MAX(1,$D49+1-$C49))</f>
        <v/>
      </c>
      <c r="AD49" s="64" t="str">
        <f aca="false">IF(OR(AD$4="",$C49="",$D49="",N($E49)=0),"",$E49*MAX(0,MIN($D49+1,EDATE(AD$4,1))-MAX($C49,AD$4))/MAX(1,$D49+1-$C49))</f>
        <v/>
      </c>
      <c r="AE49" s="64" t="str">
        <f aca="false">IF(OR(AE$4="",$C49="",$D49="",N($E49)=0),"",$E49*MAX(0,MIN($D49+1,EDATE(AE$4,1))-MAX($C49,AE$4))/MAX(1,$D49+1-$C49))</f>
        <v/>
      </c>
      <c r="AF49" s="64" t="str">
        <f aca="false">IF(OR(AF$4="",$C49="",$D49="",N($E49)=0),"",$E49*MAX(0,MIN($D49+1,EDATE(AF$4,1))-MAX($C49,AF$4))/MAX(1,$D49+1-$C49))</f>
        <v/>
      </c>
      <c r="AG49" s="64" t="str">
        <f aca="false">IF(OR(AG$4="",$C49="",$D49="",N($E49)=0),"",$E49*MAX(0,MIN($D49+1,EDATE(AG$4,1))-MAX($C49,AG$4))/MAX(1,$D49+1-$C49))</f>
        <v/>
      </c>
      <c r="AH49" s="64" t="str">
        <f aca="false">IF(OR(AH$4="",$C49="",$D49="",N($E49)=0),"",$E49*MAX(0,MIN($D49+1,EDATE(AH$4,1))-MAX($C49,AH$4))/MAX(1,$D49+1-$C49))</f>
        <v/>
      </c>
      <c r="AI49" s="64" t="str">
        <f aca="false">IF(OR(AI$4="",$C49="",$D49="",N($E49)=0),"",$E49*MAX(0,MIN($D49+1,EDATE(AI$4,1))-MAX($C49,AI$4))/MAX(1,$D49+1-$C49))</f>
        <v/>
      </c>
      <c r="AJ49" s="64" t="str">
        <f aca="false">IF(OR(AJ$4="",$C49="",$D49="",N($E49)=0),"",$E49*MAX(0,MIN($D49+1,EDATE(AJ$4,1))-MAX($C49,AJ$4))/MAX(1,$D49+1-$C49))</f>
        <v/>
      </c>
      <c r="AK49" s="64" t="str">
        <f aca="false">IF(OR(AK$4="",$C49="",$D49="",N($E49)=0),"",$E49*MAX(0,MIN($D49+1,EDATE(AK$4,1))-MAX($C49,AK$4))/MAX(1,$D49+1-$C49))</f>
        <v/>
      </c>
      <c r="AL49" s="64" t="str">
        <f aca="false">IF(OR(AL$4="",$C49="",$D49="",N($E49)=0),"",$E49*MAX(0,MIN($D49+1,EDATE(AL$4,1))-MAX($C49,AL$4))/MAX(1,$D49+1-$C49))</f>
        <v/>
      </c>
      <c r="AM49" s="64" t="str">
        <f aca="false">IF(OR(AM$4="",$C49="",$D49="",N($E49)=0),"",$E49*MAX(0,MIN($D49+1,EDATE(AM$4,1))-MAX($C49,AM$4))/MAX(1,$D49+1-$C49))</f>
        <v/>
      </c>
      <c r="AN49" s="64" t="str">
        <f aca="false">IF(OR(AN$4="",$C49="",$D49="",N($E49)=0),"",$E49*MAX(0,MIN($D49+1,EDATE(AN$4,1))-MAX($C49,AN$4))/MAX(1,$D49+1-$C49))</f>
        <v/>
      </c>
      <c r="AO49" s="64" t="str">
        <f aca="false">IF(OR(AO$4="",$C49="",$D49="",N($E49)=0),"",$E49*MAX(0,MIN($D49+1,EDATE(AO$4,1))-MAX($C49,AO$4))/MAX(1,$D49+1-$C49))</f>
        <v/>
      </c>
      <c r="AP49" s="64" t="str">
        <f aca="false">IF(OR(AP$4="",$C49="",$D49="",N($E49)=0),"",$E49*MAX(0,MIN($D49+1,EDATE(AP$4,1))-MAX($C49,AP$4))/MAX(1,$D49+1-$C49))</f>
        <v/>
      </c>
      <c r="AQ49" s="64" t="str">
        <f aca="false">IF(OR(AQ$4="",$C49="",$D49="",N($E49)=0),"",$E49*MAX(0,MIN($D49+1,EDATE(AQ$4,1))-MAX($C49,AQ$4))/MAX(1,$D49+1-$C49))</f>
        <v/>
      </c>
      <c r="AR49" s="64" t="str">
        <f aca="false">IF(OR(AR$4="",$C49="",$D49="",N($E49)=0),"",$E49*MAX(0,MIN($D49+1,EDATE(AR$4,1))-MAX($C49,AR$4))/MAX(1,$D49+1-$C49))</f>
        <v/>
      </c>
      <c r="AS49" s="64" t="str">
        <f aca="false">IF(OR(AS$4="",$C49="",$D49="",N($E49)=0),"",$E49*MAX(0,MIN($D49+1,EDATE(AS$4,1))-MAX($C49,AS$4))/MAX(1,$D49+1-$C49))</f>
        <v/>
      </c>
      <c r="AT49" s="64" t="str">
        <f aca="false">IF(OR(AT$4="",$C49="",$D49="",N($E49)=0),"",$E49*MAX(0,MIN($D49+1,EDATE(AT$4,1))-MAX($C49,AT$4))/MAX(1,$D49+1-$C49))</f>
        <v/>
      </c>
      <c r="AU49" s="64" t="str">
        <f aca="false">IF(OR(AU$4="",$C49="",$D49="",N($E49)=0),"",$E49*MAX(0,MIN($D49+1,EDATE(AU$4,1))-MAX($C49,AU$4))/MAX(1,$D49+1-$C49))</f>
        <v/>
      </c>
      <c r="AV49" s="64" t="str">
        <f aca="false">IF(OR(AV$4="",$C49="",$D49="",N($E49)=0),"",$E49*MAX(0,MIN($D49+1,EDATE(AV$4,1))-MAX($C49,AV$4))/MAX(1,$D49+1-$C49))</f>
        <v/>
      </c>
      <c r="AW49" s="64" t="str">
        <f aca="false">IF(OR(AW$4="",$C49="",$D49="",N($E49)=0),"",$E49*MAX(0,MIN($D49+1,EDATE(AW$4,1))-MAX($C49,AW$4))/MAX(1,$D49+1-$C49))</f>
        <v/>
      </c>
      <c r="AX49" s="64" t="str">
        <f aca="false">IF(OR(AX$4="",$C49="",$D49="",N($E49)=0),"",$E49*MAX(0,MIN($D49+1,EDATE(AX$4,1))-MAX($C49,AX$4))/MAX(1,$D49+1-$C49))</f>
        <v/>
      </c>
      <c r="AY49" s="64" t="str">
        <f aca="false">IF(OR(AY$4="",$C49="",$D49="",N($E49)=0),"",$E49*MAX(0,MIN($D49+1,EDATE(AY$4,1))-MAX($C49,AY$4))/MAX(1,$D49+1-$C49))</f>
        <v/>
      </c>
      <c r="AZ49" s="64" t="str">
        <f aca="false">IF(OR(AZ$4="",$C49="",$D49="",N($E49)=0),"",$E49*MAX(0,MIN($D49+1,EDATE(AZ$4,1))-MAX($C49,AZ$4))/MAX(1,$D49+1-$C49))</f>
        <v/>
      </c>
      <c r="BA49" s="64" t="str">
        <f aca="false">IF(OR(BA$4="",$C49="",$D49="",N($E49)=0),"",$E49*MAX(0,MIN($D49+1,EDATE(BA$4,1))-MAX($C49,BA$4))/MAX(1,$D49+1-$C49))</f>
        <v/>
      </c>
      <c r="BB49" s="64" t="str">
        <f aca="false">IF(OR(BB$4="",$C49="",$D49="",N($E49)=0),"",$E49*MAX(0,MIN($D49+1,EDATE(BB$4,1))-MAX($C49,BB$4))/MAX(1,$D49+1-$C49))</f>
        <v/>
      </c>
      <c r="BC49" s="64" t="str">
        <f aca="false">IF(OR(BC$4="",$C49="",$D49="",N($E49)=0),"",$E49*MAX(0,MIN($D49+1,EDATE(BC$4,1))-MAX($C49,BC$4))/MAX(1,$D49+1-$C49))</f>
        <v/>
      </c>
      <c r="BD49" s="64" t="str">
        <f aca="false">IF(OR(BD$4="",$C49="",$D49="",N($E49)=0),"",$E49*MAX(0,MIN($D49+1,EDATE(BD$4,1))-MAX($C49,BD$4))/MAX(1,$D49+1-$C49))</f>
        <v/>
      </c>
      <c r="BE49" s="64" t="str">
        <f aca="false">IF(OR(BE$4="",$C49="",$D49="",N($E49)=0),"",$E49*MAX(0,MIN($D49+1,EDATE(BE$4,1))-MAX($C49,BE$4))/MAX(1,$D49+1-$C49))</f>
        <v/>
      </c>
      <c r="BF49" s="64" t="str">
        <f aca="false">IF(OR(BF$4="",$C49="",$D49="",N($E49)=0),"",$E49*MAX(0,MIN($D49+1,EDATE(BF$4,1))-MAX($C49,BF$4))/MAX(1,$D49+1-$C49))</f>
        <v/>
      </c>
      <c r="BG49" s="64" t="str">
        <f aca="false">IF(OR(BG$4="",$C49="",$D49="",N($E49)=0),"",$E49*MAX(0,MIN($D49+1,EDATE(BG$4,1))-MAX($C49,BG$4))/MAX(1,$D49+1-$C49))</f>
        <v/>
      </c>
      <c r="BH49" s="64" t="str">
        <f aca="false">IF(OR(BH$4="",$C49="",$D49="",N($E49)=0),"",$E49*MAX(0,MIN($D49+1,EDATE(BH$4,1))-MAX($C49,BH$4))/MAX(1,$D49+1-$C49))</f>
        <v/>
      </c>
      <c r="BI49" s="64" t="str">
        <f aca="false">IF(OR(BI$4="",$C49="",$D49="",N($E49)=0),"",$E49*MAX(0,MIN($D49+1,EDATE(BI$4,1))-MAX($C49,BI$4))/MAX(1,$D49+1-$C49))</f>
        <v/>
      </c>
      <c r="BJ49" s="64" t="str">
        <f aca="false">IF(OR(BJ$4="",$C49="",$D49="",N($E49)=0),"",$E49*MAX(0,MIN($D49+1,EDATE(BJ$4,1))-MAX($C49,BJ$4))/MAX(1,$D49+1-$C49))</f>
        <v/>
      </c>
      <c r="BK49" s="64" t="str">
        <f aca="false">IF(OR(BK$4="",$C49="",$D49="",N($E49)=0),"",$E49*MAX(0,MIN($D49+1,EDATE(BK$4,1))-MAX($C49,BK$4))/MAX(1,$D49+1-$C49))</f>
        <v/>
      </c>
      <c r="BL49" s="64" t="str">
        <f aca="false">IF(OR(BL$4="",$C49="",$D49="",N($E49)=0),"",$E49*MAX(0,MIN($D49+1,EDATE(BL$4,1))-MAX($C49,BL$4))/MAX(1,$D49+1-$C49))</f>
        <v/>
      </c>
      <c r="BM49" s="64" t="str">
        <f aca="false">IF(OR(BM$4="",$C49="",$D49="",N($E49)=0),"",$E49*MAX(0,MIN($D49+1,EDATE(BM$4,1))-MAX($C49,BM$4))/MAX(1,$D49+1-$C49))</f>
        <v/>
      </c>
      <c r="BN49" s="64" t="str">
        <f aca="false">IF(OR(BN$4="",$C49="",$D49="",N($E49)=0),"",$E49*MAX(0,MIN($D49+1,EDATE(BN$4,1))-MAX($C49,BN$4))/MAX(1,$D49+1-$C49))</f>
        <v/>
      </c>
      <c r="BO49" s="64" t="str">
        <f aca="false">IF(OR(BO$4="",$C49="",$D49="",N($E49)=0),"",$E49*MAX(0,MIN($D49+1,EDATE(BO$4,1))-MAX($C49,BO$4))/MAX(1,$D49+1-$C49))</f>
        <v/>
      </c>
      <c r="BP49" s="64" t="str">
        <f aca="false">IF(OR(BP$4="",$C49="",$D49="",N($E49)=0),"",$E49*MAX(0,MIN($D49+1,EDATE(BP$4,1))-MAX($C49,BP$4))/MAX(1,$D49+1-$C49))</f>
        <v/>
      </c>
      <c r="BQ49" s="64" t="str">
        <f aca="false">IF(OR(BQ$4="",$C49="",$D49="",N($E49)=0),"",$E49*MAX(0,MIN($D49+1,EDATE(BQ$4,1))-MAX($C49,BQ$4))/MAX(1,$D49+1-$C49))</f>
        <v/>
      </c>
      <c r="BR49" s="64" t="str">
        <f aca="false">IF(OR(BR$4="",$C49="",$D49="",N($E49)=0),"",$E49*MAX(0,MIN($D49+1,EDATE(BR$4,1))-MAX($C49,BR$4))/MAX(1,$D49+1-$C49))</f>
        <v/>
      </c>
      <c r="BS49" s="64" t="str">
        <f aca="false">IF(OR(BS$4="",$C49="",$D49="",N($E49)=0),"",$E49*MAX(0,MIN($D49+1,EDATE(BS$4,1))-MAX($C49,BS$4))/MAX(1,$D49+1-$C49))</f>
        <v/>
      </c>
      <c r="BT49" s="64" t="str">
        <f aca="false">IF(OR(BT$4="",$C49="",$D49="",N($E49)=0),"",$E49*MAX(0,MIN($D49+1,EDATE(BT$4,1))-MAX($C49,BT$4))/MAX(1,$D49+1-$C49))</f>
        <v/>
      </c>
      <c r="BU49" s="64" t="str">
        <f aca="false">IF(OR(BU$4="",$C49="",$D49="",N($E49)=0),"",$E49*MAX(0,MIN($D49+1,EDATE(BU$4,1))-MAX($C49,BU$4))/MAX(1,$D49+1-$C49))</f>
        <v/>
      </c>
      <c r="BV49" s="64" t="str">
        <f aca="false">IF(OR(BV$4="",$C49="",$D49="",N($E49)=0),"",$E49*MAX(0,MIN($D49+1,EDATE(BV$4,1))-MAX($C49,BV$4))/MAX(1,$D49+1-$C49))</f>
        <v/>
      </c>
      <c r="BW49" s="64" t="str">
        <f aca="false">IF(OR(BW$4="",$C49="",$D49="",N($E49)=0),"",$E49*MAX(0,MIN($D49+1,EDATE(BW$4,1))-MAX($C49,BW$4))/MAX(1,$D49+1-$C49))</f>
        <v/>
      </c>
      <c r="BX49" s="64" t="str">
        <f aca="false">IF(OR(BX$4="",$C49="",$D49="",N($E49)=0),"",$E49*MAX(0,MIN($D49+1,EDATE(BX$4,1))-MAX($C49,BX$4))/MAX(1,$D49+1-$C49))</f>
        <v/>
      </c>
      <c r="BY49" s="64" t="str">
        <f aca="false">IF(OR(BY$4="",$C49="",$D49="",N($E49)=0),"",$E49*MAX(0,MIN($D49+1,EDATE(BY$4,1))-MAX($C49,BY$4))/MAX(1,$D49+1-$C49))</f>
        <v/>
      </c>
    </row>
    <row r="50" customFormat="false" ht="15" hidden="false" customHeight="false" outlineLevel="0" collapsed="false">
      <c r="A50" s="61" t="str">
        <f aca="false">IF(BOE!$A51="","",BOE!$A51)</f>
        <v/>
      </c>
      <c r="B50" s="61" t="str">
        <f aca="false">IF(BOE!$A51="","",BOE!$C51)</f>
        <v/>
      </c>
      <c r="C50" s="62" t="str">
        <f aca="false">IF(BOE!$O51="","",BOE!$O51)</f>
        <v/>
      </c>
      <c r="D50" s="62" t="str">
        <f aca="false">IF(BOE!$P51="","",BOE!$P51)</f>
        <v/>
      </c>
      <c r="E50" s="63" t="n">
        <f aca="false">IF(Inputs!$B$7="P90",BOE!$T51,BOE!$R51)</f>
        <v>0</v>
      </c>
      <c r="F50" s="64" t="str">
        <f aca="false">IF(OR(F$4="",$C50="",$D50="",N($E50)=0),"",$E50*MAX(0,MIN($D50+1,EDATE(F$4,1))-MAX($C50,F$4))/MAX(1,$D50+1-$C50))</f>
        <v/>
      </c>
      <c r="G50" s="64" t="str">
        <f aca="false">IF(OR(G$4="",$C50="",$D50="",N($E50)=0),"",$E50*MAX(0,MIN($D50+1,EDATE(G$4,1))-MAX($C50,G$4))/MAX(1,$D50+1-$C50))</f>
        <v/>
      </c>
      <c r="H50" s="64" t="str">
        <f aca="false">IF(OR(H$4="",$C50="",$D50="",N($E50)=0),"",$E50*MAX(0,MIN($D50+1,EDATE(H$4,1))-MAX($C50,H$4))/MAX(1,$D50+1-$C50))</f>
        <v/>
      </c>
      <c r="I50" s="64" t="str">
        <f aca="false">IF(OR(I$4="",$C50="",$D50="",N($E50)=0),"",$E50*MAX(0,MIN($D50+1,EDATE(I$4,1))-MAX($C50,I$4))/MAX(1,$D50+1-$C50))</f>
        <v/>
      </c>
      <c r="J50" s="64" t="str">
        <f aca="false">IF(OR(J$4="",$C50="",$D50="",N($E50)=0),"",$E50*MAX(0,MIN($D50+1,EDATE(J$4,1))-MAX($C50,J$4))/MAX(1,$D50+1-$C50))</f>
        <v/>
      </c>
      <c r="K50" s="64" t="str">
        <f aca="false">IF(OR(K$4="",$C50="",$D50="",N($E50)=0),"",$E50*MAX(0,MIN($D50+1,EDATE(K$4,1))-MAX($C50,K$4))/MAX(1,$D50+1-$C50))</f>
        <v/>
      </c>
      <c r="L50" s="64" t="str">
        <f aca="false">IF(OR(L$4="",$C50="",$D50="",N($E50)=0),"",$E50*MAX(0,MIN($D50+1,EDATE(L$4,1))-MAX($C50,L$4))/MAX(1,$D50+1-$C50))</f>
        <v/>
      </c>
      <c r="M50" s="64" t="str">
        <f aca="false">IF(OR(M$4="",$C50="",$D50="",N($E50)=0),"",$E50*MAX(0,MIN($D50+1,EDATE(M$4,1))-MAX($C50,M$4))/MAX(1,$D50+1-$C50))</f>
        <v/>
      </c>
      <c r="N50" s="64" t="str">
        <f aca="false">IF(OR(N$4="",$C50="",$D50="",N($E50)=0),"",$E50*MAX(0,MIN($D50+1,EDATE(N$4,1))-MAX($C50,N$4))/MAX(1,$D50+1-$C50))</f>
        <v/>
      </c>
      <c r="O50" s="64" t="str">
        <f aca="false">IF(OR(O$4="",$C50="",$D50="",N($E50)=0),"",$E50*MAX(0,MIN($D50+1,EDATE(O$4,1))-MAX($C50,O$4))/MAX(1,$D50+1-$C50))</f>
        <v/>
      </c>
      <c r="P50" s="64" t="str">
        <f aca="false">IF(OR(P$4="",$C50="",$D50="",N($E50)=0),"",$E50*MAX(0,MIN($D50+1,EDATE(P$4,1))-MAX($C50,P$4))/MAX(1,$D50+1-$C50))</f>
        <v/>
      </c>
      <c r="Q50" s="64" t="str">
        <f aca="false">IF(OR(Q$4="",$C50="",$D50="",N($E50)=0),"",$E50*MAX(0,MIN($D50+1,EDATE(Q$4,1))-MAX($C50,Q$4))/MAX(1,$D50+1-$C50))</f>
        <v/>
      </c>
      <c r="R50" s="64" t="str">
        <f aca="false">IF(OR(R$4="",$C50="",$D50="",N($E50)=0),"",$E50*MAX(0,MIN($D50+1,EDATE(R$4,1))-MAX($C50,R$4))/MAX(1,$D50+1-$C50))</f>
        <v/>
      </c>
      <c r="S50" s="64" t="str">
        <f aca="false">IF(OR(S$4="",$C50="",$D50="",N($E50)=0),"",$E50*MAX(0,MIN($D50+1,EDATE(S$4,1))-MAX($C50,S$4))/MAX(1,$D50+1-$C50))</f>
        <v/>
      </c>
      <c r="T50" s="64" t="str">
        <f aca="false">IF(OR(T$4="",$C50="",$D50="",N($E50)=0),"",$E50*MAX(0,MIN($D50+1,EDATE(T$4,1))-MAX($C50,T$4))/MAX(1,$D50+1-$C50))</f>
        <v/>
      </c>
      <c r="U50" s="64" t="str">
        <f aca="false">IF(OR(U$4="",$C50="",$D50="",N($E50)=0),"",$E50*MAX(0,MIN($D50+1,EDATE(U$4,1))-MAX($C50,U$4))/MAX(1,$D50+1-$C50))</f>
        <v/>
      </c>
      <c r="V50" s="64" t="str">
        <f aca="false">IF(OR(V$4="",$C50="",$D50="",N($E50)=0),"",$E50*MAX(0,MIN($D50+1,EDATE(V$4,1))-MAX($C50,V$4))/MAX(1,$D50+1-$C50))</f>
        <v/>
      </c>
      <c r="W50" s="64" t="str">
        <f aca="false">IF(OR(W$4="",$C50="",$D50="",N($E50)=0),"",$E50*MAX(0,MIN($D50+1,EDATE(W$4,1))-MAX($C50,W$4))/MAX(1,$D50+1-$C50))</f>
        <v/>
      </c>
      <c r="X50" s="64" t="str">
        <f aca="false">IF(OR(X$4="",$C50="",$D50="",N($E50)=0),"",$E50*MAX(0,MIN($D50+1,EDATE(X$4,1))-MAX($C50,X$4))/MAX(1,$D50+1-$C50))</f>
        <v/>
      </c>
      <c r="Y50" s="64" t="str">
        <f aca="false">IF(OR(Y$4="",$C50="",$D50="",N($E50)=0),"",$E50*MAX(0,MIN($D50+1,EDATE(Y$4,1))-MAX($C50,Y$4))/MAX(1,$D50+1-$C50))</f>
        <v/>
      </c>
      <c r="Z50" s="64" t="str">
        <f aca="false">IF(OR(Z$4="",$C50="",$D50="",N($E50)=0),"",$E50*MAX(0,MIN($D50+1,EDATE(Z$4,1))-MAX($C50,Z$4))/MAX(1,$D50+1-$C50))</f>
        <v/>
      </c>
      <c r="AA50" s="64" t="str">
        <f aca="false">IF(OR(AA$4="",$C50="",$D50="",N($E50)=0),"",$E50*MAX(0,MIN($D50+1,EDATE(AA$4,1))-MAX($C50,AA$4))/MAX(1,$D50+1-$C50))</f>
        <v/>
      </c>
      <c r="AB50" s="64" t="str">
        <f aca="false">IF(OR(AB$4="",$C50="",$D50="",N($E50)=0),"",$E50*MAX(0,MIN($D50+1,EDATE(AB$4,1))-MAX($C50,AB$4))/MAX(1,$D50+1-$C50))</f>
        <v/>
      </c>
      <c r="AC50" s="64" t="str">
        <f aca="false">IF(OR(AC$4="",$C50="",$D50="",N($E50)=0),"",$E50*MAX(0,MIN($D50+1,EDATE(AC$4,1))-MAX($C50,AC$4))/MAX(1,$D50+1-$C50))</f>
        <v/>
      </c>
      <c r="AD50" s="64" t="str">
        <f aca="false">IF(OR(AD$4="",$C50="",$D50="",N($E50)=0),"",$E50*MAX(0,MIN($D50+1,EDATE(AD$4,1))-MAX($C50,AD$4))/MAX(1,$D50+1-$C50))</f>
        <v/>
      </c>
      <c r="AE50" s="64" t="str">
        <f aca="false">IF(OR(AE$4="",$C50="",$D50="",N($E50)=0),"",$E50*MAX(0,MIN($D50+1,EDATE(AE$4,1))-MAX($C50,AE$4))/MAX(1,$D50+1-$C50))</f>
        <v/>
      </c>
      <c r="AF50" s="64" t="str">
        <f aca="false">IF(OR(AF$4="",$C50="",$D50="",N($E50)=0),"",$E50*MAX(0,MIN($D50+1,EDATE(AF$4,1))-MAX($C50,AF$4))/MAX(1,$D50+1-$C50))</f>
        <v/>
      </c>
      <c r="AG50" s="64" t="str">
        <f aca="false">IF(OR(AG$4="",$C50="",$D50="",N($E50)=0),"",$E50*MAX(0,MIN($D50+1,EDATE(AG$4,1))-MAX($C50,AG$4))/MAX(1,$D50+1-$C50))</f>
        <v/>
      </c>
      <c r="AH50" s="64" t="str">
        <f aca="false">IF(OR(AH$4="",$C50="",$D50="",N($E50)=0),"",$E50*MAX(0,MIN($D50+1,EDATE(AH$4,1))-MAX($C50,AH$4))/MAX(1,$D50+1-$C50))</f>
        <v/>
      </c>
      <c r="AI50" s="64" t="str">
        <f aca="false">IF(OR(AI$4="",$C50="",$D50="",N($E50)=0),"",$E50*MAX(0,MIN($D50+1,EDATE(AI$4,1))-MAX($C50,AI$4))/MAX(1,$D50+1-$C50))</f>
        <v/>
      </c>
      <c r="AJ50" s="64" t="str">
        <f aca="false">IF(OR(AJ$4="",$C50="",$D50="",N($E50)=0),"",$E50*MAX(0,MIN($D50+1,EDATE(AJ$4,1))-MAX($C50,AJ$4))/MAX(1,$D50+1-$C50))</f>
        <v/>
      </c>
      <c r="AK50" s="64" t="str">
        <f aca="false">IF(OR(AK$4="",$C50="",$D50="",N($E50)=0),"",$E50*MAX(0,MIN($D50+1,EDATE(AK$4,1))-MAX($C50,AK$4))/MAX(1,$D50+1-$C50))</f>
        <v/>
      </c>
      <c r="AL50" s="64" t="str">
        <f aca="false">IF(OR(AL$4="",$C50="",$D50="",N($E50)=0),"",$E50*MAX(0,MIN($D50+1,EDATE(AL$4,1))-MAX($C50,AL$4))/MAX(1,$D50+1-$C50))</f>
        <v/>
      </c>
      <c r="AM50" s="64" t="str">
        <f aca="false">IF(OR(AM$4="",$C50="",$D50="",N($E50)=0),"",$E50*MAX(0,MIN($D50+1,EDATE(AM$4,1))-MAX($C50,AM$4))/MAX(1,$D50+1-$C50))</f>
        <v/>
      </c>
      <c r="AN50" s="64" t="str">
        <f aca="false">IF(OR(AN$4="",$C50="",$D50="",N($E50)=0),"",$E50*MAX(0,MIN($D50+1,EDATE(AN$4,1))-MAX($C50,AN$4))/MAX(1,$D50+1-$C50))</f>
        <v/>
      </c>
      <c r="AO50" s="64" t="str">
        <f aca="false">IF(OR(AO$4="",$C50="",$D50="",N($E50)=0),"",$E50*MAX(0,MIN($D50+1,EDATE(AO$4,1))-MAX($C50,AO$4))/MAX(1,$D50+1-$C50))</f>
        <v/>
      </c>
      <c r="AP50" s="64" t="str">
        <f aca="false">IF(OR(AP$4="",$C50="",$D50="",N($E50)=0),"",$E50*MAX(0,MIN($D50+1,EDATE(AP$4,1))-MAX($C50,AP$4))/MAX(1,$D50+1-$C50))</f>
        <v/>
      </c>
      <c r="AQ50" s="64" t="str">
        <f aca="false">IF(OR(AQ$4="",$C50="",$D50="",N($E50)=0),"",$E50*MAX(0,MIN($D50+1,EDATE(AQ$4,1))-MAX($C50,AQ$4))/MAX(1,$D50+1-$C50))</f>
        <v/>
      </c>
      <c r="AR50" s="64" t="str">
        <f aca="false">IF(OR(AR$4="",$C50="",$D50="",N($E50)=0),"",$E50*MAX(0,MIN($D50+1,EDATE(AR$4,1))-MAX($C50,AR$4))/MAX(1,$D50+1-$C50))</f>
        <v/>
      </c>
      <c r="AS50" s="64" t="str">
        <f aca="false">IF(OR(AS$4="",$C50="",$D50="",N($E50)=0),"",$E50*MAX(0,MIN($D50+1,EDATE(AS$4,1))-MAX($C50,AS$4))/MAX(1,$D50+1-$C50))</f>
        <v/>
      </c>
      <c r="AT50" s="64" t="str">
        <f aca="false">IF(OR(AT$4="",$C50="",$D50="",N($E50)=0),"",$E50*MAX(0,MIN($D50+1,EDATE(AT$4,1))-MAX($C50,AT$4))/MAX(1,$D50+1-$C50))</f>
        <v/>
      </c>
      <c r="AU50" s="64" t="str">
        <f aca="false">IF(OR(AU$4="",$C50="",$D50="",N($E50)=0),"",$E50*MAX(0,MIN($D50+1,EDATE(AU$4,1))-MAX($C50,AU$4))/MAX(1,$D50+1-$C50))</f>
        <v/>
      </c>
      <c r="AV50" s="64" t="str">
        <f aca="false">IF(OR(AV$4="",$C50="",$D50="",N($E50)=0),"",$E50*MAX(0,MIN($D50+1,EDATE(AV$4,1))-MAX($C50,AV$4))/MAX(1,$D50+1-$C50))</f>
        <v/>
      </c>
      <c r="AW50" s="64" t="str">
        <f aca="false">IF(OR(AW$4="",$C50="",$D50="",N($E50)=0),"",$E50*MAX(0,MIN($D50+1,EDATE(AW$4,1))-MAX($C50,AW$4))/MAX(1,$D50+1-$C50))</f>
        <v/>
      </c>
      <c r="AX50" s="64" t="str">
        <f aca="false">IF(OR(AX$4="",$C50="",$D50="",N($E50)=0),"",$E50*MAX(0,MIN($D50+1,EDATE(AX$4,1))-MAX($C50,AX$4))/MAX(1,$D50+1-$C50))</f>
        <v/>
      </c>
      <c r="AY50" s="64" t="str">
        <f aca="false">IF(OR(AY$4="",$C50="",$D50="",N($E50)=0),"",$E50*MAX(0,MIN($D50+1,EDATE(AY$4,1))-MAX($C50,AY$4))/MAX(1,$D50+1-$C50))</f>
        <v/>
      </c>
      <c r="AZ50" s="64" t="str">
        <f aca="false">IF(OR(AZ$4="",$C50="",$D50="",N($E50)=0),"",$E50*MAX(0,MIN($D50+1,EDATE(AZ$4,1))-MAX($C50,AZ$4))/MAX(1,$D50+1-$C50))</f>
        <v/>
      </c>
      <c r="BA50" s="64" t="str">
        <f aca="false">IF(OR(BA$4="",$C50="",$D50="",N($E50)=0),"",$E50*MAX(0,MIN($D50+1,EDATE(BA$4,1))-MAX($C50,BA$4))/MAX(1,$D50+1-$C50))</f>
        <v/>
      </c>
      <c r="BB50" s="64" t="str">
        <f aca="false">IF(OR(BB$4="",$C50="",$D50="",N($E50)=0),"",$E50*MAX(0,MIN($D50+1,EDATE(BB$4,1))-MAX($C50,BB$4))/MAX(1,$D50+1-$C50))</f>
        <v/>
      </c>
      <c r="BC50" s="64" t="str">
        <f aca="false">IF(OR(BC$4="",$C50="",$D50="",N($E50)=0),"",$E50*MAX(0,MIN($D50+1,EDATE(BC$4,1))-MAX($C50,BC$4))/MAX(1,$D50+1-$C50))</f>
        <v/>
      </c>
      <c r="BD50" s="64" t="str">
        <f aca="false">IF(OR(BD$4="",$C50="",$D50="",N($E50)=0),"",$E50*MAX(0,MIN($D50+1,EDATE(BD$4,1))-MAX($C50,BD$4))/MAX(1,$D50+1-$C50))</f>
        <v/>
      </c>
      <c r="BE50" s="64" t="str">
        <f aca="false">IF(OR(BE$4="",$C50="",$D50="",N($E50)=0),"",$E50*MAX(0,MIN($D50+1,EDATE(BE$4,1))-MAX($C50,BE$4))/MAX(1,$D50+1-$C50))</f>
        <v/>
      </c>
      <c r="BF50" s="64" t="str">
        <f aca="false">IF(OR(BF$4="",$C50="",$D50="",N($E50)=0),"",$E50*MAX(0,MIN($D50+1,EDATE(BF$4,1))-MAX($C50,BF$4))/MAX(1,$D50+1-$C50))</f>
        <v/>
      </c>
      <c r="BG50" s="64" t="str">
        <f aca="false">IF(OR(BG$4="",$C50="",$D50="",N($E50)=0),"",$E50*MAX(0,MIN($D50+1,EDATE(BG$4,1))-MAX($C50,BG$4))/MAX(1,$D50+1-$C50))</f>
        <v/>
      </c>
      <c r="BH50" s="64" t="str">
        <f aca="false">IF(OR(BH$4="",$C50="",$D50="",N($E50)=0),"",$E50*MAX(0,MIN($D50+1,EDATE(BH$4,1))-MAX($C50,BH$4))/MAX(1,$D50+1-$C50))</f>
        <v/>
      </c>
      <c r="BI50" s="64" t="str">
        <f aca="false">IF(OR(BI$4="",$C50="",$D50="",N($E50)=0),"",$E50*MAX(0,MIN($D50+1,EDATE(BI$4,1))-MAX($C50,BI$4))/MAX(1,$D50+1-$C50))</f>
        <v/>
      </c>
      <c r="BJ50" s="64" t="str">
        <f aca="false">IF(OR(BJ$4="",$C50="",$D50="",N($E50)=0),"",$E50*MAX(0,MIN($D50+1,EDATE(BJ$4,1))-MAX($C50,BJ$4))/MAX(1,$D50+1-$C50))</f>
        <v/>
      </c>
      <c r="BK50" s="64" t="str">
        <f aca="false">IF(OR(BK$4="",$C50="",$D50="",N($E50)=0),"",$E50*MAX(0,MIN($D50+1,EDATE(BK$4,1))-MAX($C50,BK$4))/MAX(1,$D50+1-$C50))</f>
        <v/>
      </c>
      <c r="BL50" s="64" t="str">
        <f aca="false">IF(OR(BL$4="",$C50="",$D50="",N($E50)=0),"",$E50*MAX(0,MIN($D50+1,EDATE(BL$4,1))-MAX($C50,BL$4))/MAX(1,$D50+1-$C50))</f>
        <v/>
      </c>
      <c r="BM50" s="64" t="str">
        <f aca="false">IF(OR(BM$4="",$C50="",$D50="",N($E50)=0),"",$E50*MAX(0,MIN($D50+1,EDATE(BM$4,1))-MAX($C50,BM$4))/MAX(1,$D50+1-$C50))</f>
        <v/>
      </c>
      <c r="BN50" s="64" t="str">
        <f aca="false">IF(OR(BN$4="",$C50="",$D50="",N($E50)=0),"",$E50*MAX(0,MIN($D50+1,EDATE(BN$4,1))-MAX($C50,BN$4))/MAX(1,$D50+1-$C50))</f>
        <v/>
      </c>
      <c r="BO50" s="64" t="str">
        <f aca="false">IF(OR(BO$4="",$C50="",$D50="",N($E50)=0),"",$E50*MAX(0,MIN($D50+1,EDATE(BO$4,1))-MAX($C50,BO$4))/MAX(1,$D50+1-$C50))</f>
        <v/>
      </c>
      <c r="BP50" s="64" t="str">
        <f aca="false">IF(OR(BP$4="",$C50="",$D50="",N($E50)=0),"",$E50*MAX(0,MIN($D50+1,EDATE(BP$4,1))-MAX($C50,BP$4))/MAX(1,$D50+1-$C50))</f>
        <v/>
      </c>
      <c r="BQ50" s="64" t="str">
        <f aca="false">IF(OR(BQ$4="",$C50="",$D50="",N($E50)=0),"",$E50*MAX(0,MIN($D50+1,EDATE(BQ$4,1))-MAX($C50,BQ$4))/MAX(1,$D50+1-$C50))</f>
        <v/>
      </c>
      <c r="BR50" s="64" t="str">
        <f aca="false">IF(OR(BR$4="",$C50="",$D50="",N($E50)=0),"",$E50*MAX(0,MIN($D50+1,EDATE(BR$4,1))-MAX($C50,BR$4))/MAX(1,$D50+1-$C50))</f>
        <v/>
      </c>
      <c r="BS50" s="64" t="str">
        <f aca="false">IF(OR(BS$4="",$C50="",$D50="",N($E50)=0),"",$E50*MAX(0,MIN($D50+1,EDATE(BS$4,1))-MAX($C50,BS$4))/MAX(1,$D50+1-$C50))</f>
        <v/>
      </c>
      <c r="BT50" s="64" t="str">
        <f aca="false">IF(OR(BT$4="",$C50="",$D50="",N($E50)=0),"",$E50*MAX(0,MIN($D50+1,EDATE(BT$4,1))-MAX($C50,BT$4))/MAX(1,$D50+1-$C50))</f>
        <v/>
      </c>
      <c r="BU50" s="64" t="str">
        <f aca="false">IF(OR(BU$4="",$C50="",$D50="",N($E50)=0),"",$E50*MAX(0,MIN($D50+1,EDATE(BU$4,1))-MAX($C50,BU$4))/MAX(1,$D50+1-$C50))</f>
        <v/>
      </c>
      <c r="BV50" s="64" t="str">
        <f aca="false">IF(OR(BV$4="",$C50="",$D50="",N($E50)=0),"",$E50*MAX(0,MIN($D50+1,EDATE(BV$4,1))-MAX($C50,BV$4))/MAX(1,$D50+1-$C50))</f>
        <v/>
      </c>
      <c r="BW50" s="64" t="str">
        <f aca="false">IF(OR(BW$4="",$C50="",$D50="",N($E50)=0),"",$E50*MAX(0,MIN($D50+1,EDATE(BW$4,1))-MAX($C50,BW$4))/MAX(1,$D50+1-$C50))</f>
        <v/>
      </c>
      <c r="BX50" s="64" t="str">
        <f aca="false">IF(OR(BX$4="",$C50="",$D50="",N($E50)=0),"",$E50*MAX(0,MIN($D50+1,EDATE(BX$4,1))-MAX($C50,BX$4))/MAX(1,$D50+1-$C50))</f>
        <v/>
      </c>
      <c r="BY50" s="64" t="str">
        <f aca="false">IF(OR(BY$4="",$C50="",$D50="",N($E50)=0),"",$E50*MAX(0,MIN($D50+1,EDATE(BY$4,1))-MAX($C50,BY$4))/MAX(1,$D50+1-$C50))</f>
        <v/>
      </c>
    </row>
    <row r="51" customFormat="false" ht="15" hidden="false" customHeight="false" outlineLevel="0" collapsed="false">
      <c r="A51" s="61" t="str">
        <f aca="false">IF(BOE!$A52="","",BOE!$A52)</f>
        <v/>
      </c>
      <c r="B51" s="61" t="str">
        <f aca="false">IF(BOE!$A52="","",BOE!$C52)</f>
        <v/>
      </c>
      <c r="C51" s="62" t="str">
        <f aca="false">IF(BOE!$O52="","",BOE!$O52)</f>
        <v/>
      </c>
      <c r="D51" s="62" t="str">
        <f aca="false">IF(BOE!$P52="","",BOE!$P52)</f>
        <v/>
      </c>
      <c r="E51" s="63" t="n">
        <f aca="false">IF(Inputs!$B$7="P90",BOE!$T52,BOE!$R52)</f>
        <v>0</v>
      </c>
      <c r="F51" s="64" t="str">
        <f aca="false">IF(OR(F$4="",$C51="",$D51="",N($E51)=0),"",$E51*MAX(0,MIN($D51+1,EDATE(F$4,1))-MAX($C51,F$4))/MAX(1,$D51+1-$C51))</f>
        <v/>
      </c>
      <c r="G51" s="64" t="str">
        <f aca="false">IF(OR(G$4="",$C51="",$D51="",N($E51)=0),"",$E51*MAX(0,MIN($D51+1,EDATE(G$4,1))-MAX($C51,G$4))/MAX(1,$D51+1-$C51))</f>
        <v/>
      </c>
      <c r="H51" s="64" t="str">
        <f aca="false">IF(OR(H$4="",$C51="",$D51="",N($E51)=0),"",$E51*MAX(0,MIN($D51+1,EDATE(H$4,1))-MAX($C51,H$4))/MAX(1,$D51+1-$C51))</f>
        <v/>
      </c>
      <c r="I51" s="64" t="str">
        <f aca="false">IF(OR(I$4="",$C51="",$D51="",N($E51)=0),"",$E51*MAX(0,MIN($D51+1,EDATE(I$4,1))-MAX($C51,I$4))/MAX(1,$D51+1-$C51))</f>
        <v/>
      </c>
      <c r="J51" s="64" t="str">
        <f aca="false">IF(OR(J$4="",$C51="",$D51="",N($E51)=0),"",$E51*MAX(0,MIN($D51+1,EDATE(J$4,1))-MAX($C51,J$4))/MAX(1,$D51+1-$C51))</f>
        <v/>
      </c>
      <c r="K51" s="64" t="str">
        <f aca="false">IF(OR(K$4="",$C51="",$D51="",N($E51)=0),"",$E51*MAX(0,MIN($D51+1,EDATE(K$4,1))-MAX($C51,K$4))/MAX(1,$D51+1-$C51))</f>
        <v/>
      </c>
      <c r="L51" s="64" t="str">
        <f aca="false">IF(OR(L$4="",$C51="",$D51="",N($E51)=0),"",$E51*MAX(0,MIN($D51+1,EDATE(L$4,1))-MAX($C51,L$4))/MAX(1,$D51+1-$C51))</f>
        <v/>
      </c>
      <c r="M51" s="64" t="str">
        <f aca="false">IF(OR(M$4="",$C51="",$D51="",N($E51)=0),"",$E51*MAX(0,MIN($D51+1,EDATE(M$4,1))-MAX($C51,M$4))/MAX(1,$D51+1-$C51))</f>
        <v/>
      </c>
      <c r="N51" s="64" t="str">
        <f aca="false">IF(OR(N$4="",$C51="",$D51="",N($E51)=0),"",$E51*MAX(0,MIN($D51+1,EDATE(N$4,1))-MAX($C51,N$4))/MAX(1,$D51+1-$C51))</f>
        <v/>
      </c>
      <c r="O51" s="64" t="str">
        <f aca="false">IF(OR(O$4="",$C51="",$D51="",N($E51)=0),"",$E51*MAX(0,MIN($D51+1,EDATE(O$4,1))-MAX($C51,O$4))/MAX(1,$D51+1-$C51))</f>
        <v/>
      </c>
      <c r="P51" s="64" t="str">
        <f aca="false">IF(OR(P$4="",$C51="",$D51="",N($E51)=0),"",$E51*MAX(0,MIN($D51+1,EDATE(P$4,1))-MAX($C51,P$4))/MAX(1,$D51+1-$C51))</f>
        <v/>
      </c>
      <c r="Q51" s="64" t="str">
        <f aca="false">IF(OR(Q$4="",$C51="",$D51="",N($E51)=0),"",$E51*MAX(0,MIN($D51+1,EDATE(Q$4,1))-MAX($C51,Q$4))/MAX(1,$D51+1-$C51))</f>
        <v/>
      </c>
      <c r="R51" s="64" t="str">
        <f aca="false">IF(OR(R$4="",$C51="",$D51="",N($E51)=0),"",$E51*MAX(0,MIN($D51+1,EDATE(R$4,1))-MAX($C51,R$4))/MAX(1,$D51+1-$C51))</f>
        <v/>
      </c>
      <c r="S51" s="64" t="str">
        <f aca="false">IF(OR(S$4="",$C51="",$D51="",N($E51)=0),"",$E51*MAX(0,MIN($D51+1,EDATE(S$4,1))-MAX($C51,S$4))/MAX(1,$D51+1-$C51))</f>
        <v/>
      </c>
      <c r="T51" s="64" t="str">
        <f aca="false">IF(OR(T$4="",$C51="",$D51="",N($E51)=0),"",$E51*MAX(0,MIN($D51+1,EDATE(T$4,1))-MAX($C51,T$4))/MAX(1,$D51+1-$C51))</f>
        <v/>
      </c>
      <c r="U51" s="64" t="str">
        <f aca="false">IF(OR(U$4="",$C51="",$D51="",N($E51)=0),"",$E51*MAX(0,MIN($D51+1,EDATE(U$4,1))-MAX($C51,U$4))/MAX(1,$D51+1-$C51))</f>
        <v/>
      </c>
      <c r="V51" s="64" t="str">
        <f aca="false">IF(OR(V$4="",$C51="",$D51="",N($E51)=0),"",$E51*MAX(0,MIN($D51+1,EDATE(V$4,1))-MAX($C51,V$4))/MAX(1,$D51+1-$C51))</f>
        <v/>
      </c>
      <c r="W51" s="64" t="str">
        <f aca="false">IF(OR(W$4="",$C51="",$D51="",N($E51)=0),"",$E51*MAX(0,MIN($D51+1,EDATE(W$4,1))-MAX($C51,W$4))/MAX(1,$D51+1-$C51))</f>
        <v/>
      </c>
      <c r="X51" s="64" t="str">
        <f aca="false">IF(OR(X$4="",$C51="",$D51="",N($E51)=0),"",$E51*MAX(0,MIN($D51+1,EDATE(X$4,1))-MAX($C51,X$4))/MAX(1,$D51+1-$C51))</f>
        <v/>
      </c>
      <c r="Y51" s="64" t="str">
        <f aca="false">IF(OR(Y$4="",$C51="",$D51="",N($E51)=0),"",$E51*MAX(0,MIN($D51+1,EDATE(Y$4,1))-MAX($C51,Y$4))/MAX(1,$D51+1-$C51))</f>
        <v/>
      </c>
      <c r="Z51" s="64" t="str">
        <f aca="false">IF(OR(Z$4="",$C51="",$D51="",N($E51)=0),"",$E51*MAX(0,MIN($D51+1,EDATE(Z$4,1))-MAX($C51,Z$4))/MAX(1,$D51+1-$C51))</f>
        <v/>
      </c>
      <c r="AA51" s="64" t="str">
        <f aca="false">IF(OR(AA$4="",$C51="",$D51="",N($E51)=0),"",$E51*MAX(0,MIN($D51+1,EDATE(AA$4,1))-MAX($C51,AA$4))/MAX(1,$D51+1-$C51))</f>
        <v/>
      </c>
      <c r="AB51" s="64" t="str">
        <f aca="false">IF(OR(AB$4="",$C51="",$D51="",N($E51)=0),"",$E51*MAX(0,MIN($D51+1,EDATE(AB$4,1))-MAX($C51,AB$4))/MAX(1,$D51+1-$C51))</f>
        <v/>
      </c>
      <c r="AC51" s="64" t="str">
        <f aca="false">IF(OR(AC$4="",$C51="",$D51="",N($E51)=0),"",$E51*MAX(0,MIN($D51+1,EDATE(AC$4,1))-MAX($C51,AC$4))/MAX(1,$D51+1-$C51))</f>
        <v/>
      </c>
      <c r="AD51" s="64" t="str">
        <f aca="false">IF(OR(AD$4="",$C51="",$D51="",N($E51)=0),"",$E51*MAX(0,MIN($D51+1,EDATE(AD$4,1))-MAX($C51,AD$4))/MAX(1,$D51+1-$C51))</f>
        <v/>
      </c>
      <c r="AE51" s="64" t="str">
        <f aca="false">IF(OR(AE$4="",$C51="",$D51="",N($E51)=0),"",$E51*MAX(0,MIN($D51+1,EDATE(AE$4,1))-MAX($C51,AE$4))/MAX(1,$D51+1-$C51))</f>
        <v/>
      </c>
      <c r="AF51" s="64" t="str">
        <f aca="false">IF(OR(AF$4="",$C51="",$D51="",N($E51)=0),"",$E51*MAX(0,MIN($D51+1,EDATE(AF$4,1))-MAX($C51,AF$4))/MAX(1,$D51+1-$C51))</f>
        <v/>
      </c>
      <c r="AG51" s="64" t="str">
        <f aca="false">IF(OR(AG$4="",$C51="",$D51="",N($E51)=0),"",$E51*MAX(0,MIN($D51+1,EDATE(AG$4,1))-MAX($C51,AG$4))/MAX(1,$D51+1-$C51))</f>
        <v/>
      </c>
      <c r="AH51" s="64" t="str">
        <f aca="false">IF(OR(AH$4="",$C51="",$D51="",N($E51)=0),"",$E51*MAX(0,MIN($D51+1,EDATE(AH$4,1))-MAX($C51,AH$4))/MAX(1,$D51+1-$C51))</f>
        <v/>
      </c>
      <c r="AI51" s="64" t="str">
        <f aca="false">IF(OR(AI$4="",$C51="",$D51="",N($E51)=0),"",$E51*MAX(0,MIN($D51+1,EDATE(AI$4,1))-MAX($C51,AI$4))/MAX(1,$D51+1-$C51))</f>
        <v/>
      </c>
      <c r="AJ51" s="64" t="str">
        <f aca="false">IF(OR(AJ$4="",$C51="",$D51="",N($E51)=0),"",$E51*MAX(0,MIN($D51+1,EDATE(AJ$4,1))-MAX($C51,AJ$4))/MAX(1,$D51+1-$C51))</f>
        <v/>
      </c>
      <c r="AK51" s="64" t="str">
        <f aca="false">IF(OR(AK$4="",$C51="",$D51="",N($E51)=0),"",$E51*MAX(0,MIN($D51+1,EDATE(AK$4,1))-MAX($C51,AK$4))/MAX(1,$D51+1-$C51))</f>
        <v/>
      </c>
      <c r="AL51" s="64" t="str">
        <f aca="false">IF(OR(AL$4="",$C51="",$D51="",N($E51)=0),"",$E51*MAX(0,MIN($D51+1,EDATE(AL$4,1))-MAX($C51,AL$4))/MAX(1,$D51+1-$C51))</f>
        <v/>
      </c>
      <c r="AM51" s="64" t="str">
        <f aca="false">IF(OR(AM$4="",$C51="",$D51="",N($E51)=0),"",$E51*MAX(0,MIN($D51+1,EDATE(AM$4,1))-MAX($C51,AM$4))/MAX(1,$D51+1-$C51))</f>
        <v/>
      </c>
      <c r="AN51" s="64" t="str">
        <f aca="false">IF(OR(AN$4="",$C51="",$D51="",N($E51)=0),"",$E51*MAX(0,MIN($D51+1,EDATE(AN$4,1))-MAX($C51,AN$4))/MAX(1,$D51+1-$C51))</f>
        <v/>
      </c>
      <c r="AO51" s="64" t="str">
        <f aca="false">IF(OR(AO$4="",$C51="",$D51="",N($E51)=0),"",$E51*MAX(0,MIN($D51+1,EDATE(AO$4,1))-MAX($C51,AO$4))/MAX(1,$D51+1-$C51))</f>
        <v/>
      </c>
      <c r="AP51" s="64" t="str">
        <f aca="false">IF(OR(AP$4="",$C51="",$D51="",N($E51)=0),"",$E51*MAX(0,MIN($D51+1,EDATE(AP$4,1))-MAX($C51,AP$4))/MAX(1,$D51+1-$C51))</f>
        <v/>
      </c>
      <c r="AQ51" s="64" t="str">
        <f aca="false">IF(OR(AQ$4="",$C51="",$D51="",N($E51)=0),"",$E51*MAX(0,MIN($D51+1,EDATE(AQ$4,1))-MAX($C51,AQ$4))/MAX(1,$D51+1-$C51))</f>
        <v/>
      </c>
      <c r="AR51" s="64" t="str">
        <f aca="false">IF(OR(AR$4="",$C51="",$D51="",N($E51)=0),"",$E51*MAX(0,MIN($D51+1,EDATE(AR$4,1))-MAX($C51,AR$4))/MAX(1,$D51+1-$C51))</f>
        <v/>
      </c>
      <c r="AS51" s="64" t="str">
        <f aca="false">IF(OR(AS$4="",$C51="",$D51="",N($E51)=0),"",$E51*MAX(0,MIN($D51+1,EDATE(AS$4,1))-MAX($C51,AS$4))/MAX(1,$D51+1-$C51))</f>
        <v/>
      </c>
      <c r="AT51" s="64" t="str">
        <f aca="false">IF(OR(AT$4="",$C51="",$D51="",N($E51)=0),"",$E51*MAX(0,MIN($D51+1,EDATE(AT$4,1))-MAX($C51,AT$4))/MAX(1,$D51+1-$C51))</f>
        <v/>
      </c>
      <c r="AU51" s="64" t="str">
        <f aca="false">IF(OR(AU$4="",$C51="",$D51="",N($E51)=0),"",$E51*MAX(0,MIN($D51+1,EDATE(AU$4,1))-MAX($C51,AU$4))/MAX(1,$D51+1-$C51))</f>
        <v/>
      </c>
      <c r="AV51" s="64" t="str">
        <f aca="false">IF(OR(AV$4="",$C51="",$D51="",N($E51)=0),"",$E51*MAX(0,MIN($D51+1,EDATE(AV$4,1))-MAX($C51,AV$4))/MAX(1,$D51+1-$C51))</f>
        <v/>
      </c>
      <c r="AW51" s="64" t="str">
        <f aca="false">IF(OR(AW$4="",$C51="",$D51="",N($E51)=0),"",$E51*MAX(0,MIN($D51+1,EDATE(AW$4,1))-MAX($C51,AW$4))/MAX(1,$D51+1-$C51))</f>
        <v/>
      </c>
      <c r="AX51" s="64" t="str">
        <f aca="false">IF(OR(AX$4="",$C51="",$D51="",N($E51)=0),"",$E51*MAX(0,MIN($D51+1,EDATE(AX$4,1))-MAX($C51,AX$4))/MAX(1,$D51+1-$C51))</f>
        <v/>
      </c>
      <c r="AY51" s="64" t="str">
        <f aca="false">IF(OR(AY$4="",$C51="",$D51="",N($E51)=0),"",$E51*MAX(0,MIN($D51+1,EDATE(AY$4,1))-MAX($C51,AY$4))/MAX(1,$D51+1-$C51))</f>
        <v/>
      </c>
      <c r="AZ51" s="64" t="str">
        <f aca="false">IF(OR(AZ$4="",$C51="",$D51="",N($E51)=0),"",$E51*MAX(0,MIN($D51+1,EDATE(AZ$4,1))-MAX($C51,AZ$4))/MAX(1,$D51+1-$C51))</f>
        <v/>
      </c>
      <c r="BA51" s="64" t="str">
        <f aca="false">IF(OR(BA$4="",$C51="",$D51="",N($E51)=0),"",$E51*MAX(0,MIN($D51+1,EDATE(BA$4,1))-MAX($C51,BA$4))/MAX(1,$D51+1-$C51))</f>
        <v/>
      </c>
      <c r="BB51" s="64" t="str">
        <f aca="false">IF(OR(BB$4="",$C51="",$D51="",N($E51)=0),"",$E51*MAX(0,MIN($D51+1,EDATE(BB$4,1))-MAX($C51,BB$4))/MAX(1,$D51+1-$C51))</f>
        <v/>
      </c>
      <c r="BC51" s="64" t="str">
        <f aca="false">IF(OR(BC$4="",$C51="",$D51="",N($E51)=0),"",$E51*MAX(0,MIN($D51+1,EDATE(BC$4,1))-MAX($C51,BC$4))/MAX(1,$D51+1-$C51))</f>
        <v/>
      </c>
      <c r="BD51" s="64" t="str">
        <f aca="false">IF(OR(BD$4="",$C51="",$D51="",N($E51)=0),"",$E51*MAX(0,MIN($D51+1,EDATE(BD$4,1))-MAX($C51,BD$4))/MAX(1,$D51+1-$C51))</f>
        <v/>
      </c>
      <c r="BE51" s="64" t="str">
        <f aca="false">IF(OR(BE$4="",$C51="",$D51="",N($E51)=0),"",$E51*MAX(0,MIN($D51+1,EDATE(BE$4,1))-MAX($C51,BE$4))/MAX(1,$D51+1-$C51))</f>
        <v/>
      </c>
      <c r="BF51" s="64" t="str">
        <f aca="false">IF(OR(BF$4="",$C51="",$D51="",N($E51)=0),"",$E51*MAX(0,MIN($D51+1,EDATE(BF$4,1))-MAX($C51,BF$4))/MAX(1,$D51+1-$C51))</f>
        <v/>
      </c>
      <c r="BG51" s="64" t="str">
        <f aca="false">IF(OR(BG$4="",$C51="",$D51="",N($E51)=0),"",$E51*MAX(0,MIN($D51+1,EDATE(BG$4,1))-MAX($C51,BG$4))/MAX(1,$D51+1-$C51))</f>
        <v/>
      </c>
      <c r="BH51" s="64" t="str">
        <f aca="false">IF(OR(BH$4="",$C51="",$D51="",N($E51)=0),"",$E51*MAX(0,MIN($D51+1,EDATE(BH$4,1))-MAX($C51,BH$4))/MAX(1,$D51+1-$C51))</f>
        <v/>
      </c>
      <c r="BI51" s="64" t="str">
        <f aca="false">IF(OR(BI$4="",$C51="",$D51="",N($E51)=0),"",$E51*MAX(0,MIN($D51+1,EDATE(BI$4,1))-MAX($C51,BI$4))/MAX(1,$D51+1-$C51))</f>
        <v/>
      </c>
      <c r="BJ51" s="64" t="str">
        <f aca="false">IF(OR(BJ$4="",$C51="",$D51="",N($E51)=0),"",$E51*MAX(0,MIN($D51+1,EDATE(BJ$4,1))-MAX($C51,BJ$4))/MAX(1,$D51+1-$C51))</f>
        <v/>
      </c>
      <c r="BK51" s="64" t="str">
        <f aca="false">IF(OR(BK$4="",$C51="",$D51="",N($E51)=0),"",$E51*MAX(0,MIN($D51+1,EDATE(BK$4,1))-MAX($C51,BK$4))/MAX(1,$D51+1-$C51))</f>
        <v/>
      </c>
      <c r="BL51" s="64" t="str">
        <f aca="false">IF(OR(BL$4="",$C51="",$D51="",N($E51)=0),"",$E51*MAX(0,MIN($D51+1,EDATE(BL$4,1))-MAX($C51,BL$4))/MAX(1,$D51+1-$C51))</f>
        <v/>
      </c>
      <c r="BM51" s="64" t="str">
        <f aca="false">IF(OR(BM$4="",$C51="",$D51="",N($E51)=0),"",$E51*MAX(0,MIN($D51+1,EDATE(BM$4,1))-MAX($C51,BM$4))/MAX(1,$D51+1-$C51))</f>
        <v/>
      </c>
      <c r="BN51" s="64" t="str">
        <f aca="false">IF(OR(BN$4="",$C51="",$D51="",N($E51)=0),"",$E51*MAX(0,MIN($D51+1,EDATE(BN$4,1))-MAX($C51,BN$4))/MAX(1,$D51+1-$C51))</f>
        <v/>
      </c>
      <c r="BO51" s="64" t="str">
        <f aca="false">IF(OR(BO$4="",$C51="",$D51="",N($E51)=0),"",$E51*MAX(0,MIN($D51+1,EDATE(BO$4,1))-MAX($C51,BO$4))/MAX(1,$D51+1-$C51))</f>
        <v/>
      </c>
      <c r="BP51" s="64" t="str">
        <f aca="false">IF(OR(BP$4="",$C51="",$D51="",N($E51)=0),"",$E51*MAX(0,MIN($D51+1,EDATE(BP$4,1))-MAX($C51,BP$4))/MAX(1,$D51+1-$C51))</f>
        <v/>
      </c>
      <c r="BQ51" s="64" t="str">
        <f aca="false">IF(OR(BQ$4="",$C51="",$D51="",N($E51)=0),"",$E51*MAX(0,MIN($D51+1,EDATE(BQ$4,1))-MAX($C51,BQ$4))/MAX(1,$D51+1-$C51))</f>
        <v/>
      </c>
      <c r="BR51" s="64" t="str">
        <f aca="false">IF(OR(BR$4="",$C51="",$D51="",N($E51)=0),"",$E51*MAX(0,MIN($D51+1,EDATE(BR$4,1))-MAX($C51,BR$4))/MAX(1,$D51+1-$C51))</f>
        <v/>
      </c>
      <c r="BS51" s="64" t="str">
        <f aca="false">IF(OR(BS$4="",$C51="",$D51="",N($E51)=0),"",$E51*MAX(0,MIN($D51+1,EDATE(BS$4,1))-MAX($C51,BS$4))/MAX(1,$D51+1-$C51))</f>
        <v/>
      </c>
      <c r="BT51" s="64" t="str">
        <f aca="false">IF(OR(BT$4="",$C51="",$D51="",N($E51)=0),"",$E51*MAX(0,MIN($D51+1,EDATE(BT$4,1))-MAX($C51,BT$4))/MAX(1,$D51+1-$C51))</f>
        <v/>
      </c>
      <c r="BU51" s="64" t="str">
        <f aca="false">IF(OR(BU$4="",$C51="",$D51="",N($E51)=0),"",$E51*MAX(0,MIN($D51+1,EDATE(BU$4,1))-MAX($C51,BU$4))/MAX(1,$D51+1-$C51))</f>
        <v/>
      </c>
      <c r="BV51" s="64" t="str">
        <f aca="false">IF(OR(BV$4="",$C51="",$D51="",N($E51)=0),"",$E51*MAX(0,MIN($D51+1,EDATE(BV$4,1))-MAX($C51,BV$4))/MAX(1,$D51+1-$C51))</f>
        <v/>
      </c>
      <c r="BW51" s="64" t="str">
        <f aca="false">IF(OR(BW$4="",$C51="",$D51="",N($E51)=0),"",$E51*MAX(0,MIN($D51+1,EDATE(BW$4,1))-MAX($C51,BW$4))/MAX(1,$D51+1-$C51))</f>
        <v/>
      </c>
      <c r="BX51" s="64" t="str">
        <f aca="false">IF(OR(BX$4="",$C51="",$D51="",N($E51)=0),"",$E51*MAX(0,MIN($D51+1,EDATE(BX$4,1))-MAX($C51,BX$4))/MAX(1,$D51+1-$C51))</f>
        <v/>
      </c>
      <c r="BY51" s="64" t="str">
        <f aca="false">IF(OR(BY$4="",$C51="",$D51="",N($E51)=0),"",$E51*MAX(0,MIN($D51+1,EDATE(BY$4,1))-MAX($C51,BY$4))/MAX(1,$D51+1-$C51))</f>
        <v/>
      </c>
    </row>
    <row r="52" customFormat="false" ht="15" hidden="false" customHeight="false" outlineLevel="0" collapsed="false">
      <c r="A52" s="61" t="str">
        <f aca="false">IF(BOE!$A53="","",BOE!$A53)</f>
        <v/>
      </c>
      <c r="B52" s="61" t="str">
        <f aca="false">IF(BOE!$A53="","",BOE!$C53)</f>
        <v/>
      </c>
      <c r="C52" s="62" t="str">
        <f aca="false">IF(BOE!$O53="","",BOE!$O53)</f>
        <v/>
      </c>
      <c r="D52" s="62" t="str">
        <f aca="false">IF(BOE!$P53="","",BOE!$P53)</f>
        <v/>
      </c>
      <c r="E52" s="63" t="n">
        <f aca="false">IF(Inputs!$B$7="P90",BOE!$T53,BOE!$R53)</f>
        <v>0</v>
      </c>
      <c r="F52" s="64" t="str">
        <f aca="false">IF(OR(F$4="",$C52="",$D52="",N($E52)=0),"",$E52*MAX(0,MIN($D52+1,EDATE(F$4,1))-MAX($C52,F$4))/MAX(1,$D52+1-$C52))</f>
        <v/>
      </c>
      <c r="G52" s="64" t="str">
        <f aca="false">IF(OR(G$4="",$C52="",$D52="",N($E52)=0),"",$E52*MAX(0,MIN($D52+1,EDATE(G$4,1))-MAX($C52,G$4))/MAX(1,$D52+1-$C52))</f>
        <v/>
      </c>
      <c r="H52" s="64" t="str">
        <f aca="false">IF(OR(H$4="",$C52="",$D52="",N($E52)=0),"",$E52*MAX(0,MIN($D52+1,EDATE(H$4,1))-MAX($C52,H$4))/MAX(1,$D52+1-$C52))</f>
        <v/>
      </c>
      <c r="I52" s="64" t="str">
        <f aca="false">IF(OR(I$4="",$C52="",$D52="",N($E52)=0),"",$E52*MAX(0,MIN($D52+1,EDATE(I$4,1))-MAX($C52,I$4))/MAX(1,$D52+1-$C52))</f>
        <v/>
      </c>
      <c r="J52" s="64" t="str">
        <f aca="false">IF(OR(J$4="",$C52="",$D52="",N($E52)=0),"",$E52*MAX(0,MIN($D52+1,EDATE(J$4,1))-MAX($C52,J$4))/MAX(1,$D52+1-$C52))</f>
        <v/>
      </c>
      <c r="K52" s="64" t="str">
        <f aca="false">IF(OR(K$4="",$C52="",$D52="",N($E52)=0),"",$E52*MAX(0,MIN($D52+1,EDATE(K$4,1))-MAX($C52,K$4))/MAX(1,$D52+1-$C52))</f>
        <v/>
      </c>
      <c r="L52" s="64" t="str">
        <f aca="false">IF(OR(L$4="",$C52="",$D52="",N($E52)=0),"",$E52*MAX(0,MIN($D52+1,EDATE(L$4,1))-MAX($C52,L$4))/MAX(1,$D52+1-$C52))</f>
        <v/>
      </c>
      <c r="M52" s="64" t="str">
        <f aca="false">IF(OR(M$4="",$C52="",$D52="",N($E52)=0),"",$E52*MAX(0,MIN($D52+1,EDATE(M$4,1))-MAX($C52,M$4))/MAX(1,$D52+1-$C52))</f>
        <v/>
      </c>
      <c r="N52" s="64" t="str">
        <f aca="false">IF(OR(N$4="",$C52="",$D52="",N($E52)=0),"",$E52*MAX(0,MIN($D52+1,EDATE(N$4,1))-MAX($C52,N$4))/MAX(1,$D52+1-$C52))</f>
        <v/>
      </c>
      <c r="O52" s="64" t="str">
        <f aca="false">IF(OR(O$4="",$C52="",$D52="",N($E52)=0),"",$E52*MAX(0,MIN($D52+1,EDATE(O$4,1))-MAX($C52,O$4))/MAX(1,$D52+1-$C52))</f>
        <v/>
      </c>
      <c r="P52" s="64" t="str">
        <f aca="false">IF(OR(P$4="",$C52="",$D52="",N($E52)=0),"",$E52*MAX(0,MIN($D52+1,EDATE(P$4,1))-MAX($C52,P$4))/MAX(1,$D52+1-$C52))</f>
        <v/>
      </c>
      <c r="Q52" s="64" t="str">
        <f aca="false">IF(OR(Q$4="",$C52="",$D52="",N($E52)=0),"",$E52*MAX(0,MIN($D52+1,EDATE(Q$4,1))-MAX($C52,Q$4))/MAX(1,$D52+1-$C52))</f>
        <v/>
      </c>
      <c r="R52" s="64" t="str">
        <f aca="false">IF(OR(R$4="",$C52="",$D52="",N($E52)=0),"",$E52*MAX(0,MIN($D52+1,EDATE(R$4,1))-MAX($C52,R$4))/MAX(1,$D52+1-$C52))</f>
        <v/>
      </c>
      <c r="S52" s="64" t="str">
        <f aca="false">IF(OR(S$4="",$C52="",$D52="",N($E52)=0),"",$E52*MAX(0,MIN($D52+1,EDATE(S$4,1))-MAX($C52,S$4))/MAX(1,$D52+1-$C52))</f>
        <v/>
      </c>
      <c r="T52" s="64" t="str">
        <f aca="false">IF(OR(T$4="",$C52="",$D52="",N($E52)=0),"",$E52*MAX(0,MIN($D52+1,EDATE(T$4,1))-MAX($C52,T$4))/MAX(1,$D52+1-$C52))</f>
        <v/>
      </c>
      <c r="U52" s="64" t="str">
        <f aca="false">IF(OR(U$4="",$C52="",$D52="",N($E52)=0),"",$E52*MAX(0,MIN($D52+1,EDATE(U$4,1))-MAX($C52,U$4))/MAX(1,$D52+1-$C52))</f>
        <v/>
      </c>
      <c r="V52" s="64" t="str">
        <f aca="false">IF(OR(V$4="",$C52="",$D52="",N($E52)=0),"",$E52*MAX(0,MIN($D52+1,EDATE(V$4,1))-MAX($C52,V$4))/MAX(1,$D52+1-$C52))</f>
        <v/>
      </c>
      <c r="W52" s="64" t="str">
        <f aca="false">IF(OR(W$4="",$C52="",$D52="",N($E52)=0),"",$E52*MAX(0,MIN($D52+1,EDATE(W$4,1))-MAX($C52,W$4))/MAX(1,$D52+1-$C52))</f>
        <v/>
      </c>
      <c r="X52" s="64" t="str">
        <f aca="false">IF(OR(X$4="",$C52="",$D52="",N($E52)=0),"",$E52*MAX(0,MIN($D52+1,EDATE(X$4,1))-MAX($C52,X$4))/MAX(1,$D52+1-$C52))</f>
        <v/>
      </c>
      <c r="Y52" s="64" t="str">
        <f aca="false">IF(OR(Y$4="",$C52="",$D52="",N($E52)=0),"",$E52*MAX(0,MIN($D52+1,EDATE(Y$4,1))-MAX($C52,Y$4))/MAX(1,$D52+1-$C52))</f>
        <v/>
      </c>
      <c r="Z52" s="64" t="str">
        <f aca="false">IF(OR(Z$4="",$C52="",$D52="",N($E52)=0),"",$E52*MAX(0,MIN($D52+1,EDATE(Z$4,1))-MAX($C52,Z$4))/MAX(1,$D52+1-$C52))</f>
        <v/>
      </c>
      <c r="AA52" s="64" t="str">
        <f aca="false">IF(OR(AA$4="",$C52="",$D52="",N($E52)=0),"",$E52*MAX(0,MIN($D52+1,EDATE(AA$4,1))-MAX($C52,AA$4))/MAX(1,$D52+1-$C52))</f>
        <v/>
      </c>
      <c r="AB52" s="64" t="str">
        <f aca="false">IF(OR(AB$4="",$C52="",$D52="",N($E52)=0),"",$E52*MAX(0,MIN($D52+1,EDATE(AB$4,1))-MAX($C52,AB$4))/MAX(1,$D52+1-$C52))</f>
        <v/>
      </c>
      <c r="AC52" s="64" t="str">
        <f aca="false">IF(OR(AC$4="",$C52="",$D52="",N($E52)=0),"",$E52*MAX(0,MIN($D52+1,EDATE(AC$4,1))-MAX($C52,AC$4))/MAX(1,$D52+1-$C52))</f>
        <v/>
      </c>
      <c r="AD52" s="64" t="str">
        <f aca="false">IF(OR(AD$4="",$C52="",$D52="",N($E52)=0),"",$E52*MAX(0,MIN($D52+1,EDATE(AD$4,1))-MAX($C52,AD$4))/MAX(1,$D52+1-$C52))</f>
        <v/>
      </c>
      <c r="AE52" s="64" t="str">
        <f aca="false">IF(OR(AE$4="",$C52="",$D52="",N($E52)=0),"",$E52*MAX(0,MIN($D52+1,EDATE(AE$4,1))-MAX($C52,AE$4))/MAX(1,$D52+1-$C52))</f>
        <v/>
      </c>
      <c r="AF52" s="64" t="str">
        <f aca="false">IF(OR(AF$4="",$C52="",$D52="",N($E52)=0),"",$E52*MAX(0,MIN($D52+1,EDATE(AF$4,1))-MAX($C52,AF$4))/MAX(1,$D52+1-$C52))</f>
        <v/>
      </c>
      <c r="AG52" s="64" t="str">
        <f aca="false">IF(OR(AG$4="",$C52="",$D52="",N($E52)=0),"",$E52*MAX(0,MIN($D52+1,EDATE(AG$4,1))-MAX($C52,AG$4))/MAX(1,$D52+1-$C52))</f>
        <v/>
      </c>
      <c r="AH52" s="64" t="str">
        <f aca="false">IF(OR(AH$4="",$C52="",$D52="",N($E52)=0),"",$E52*MAX(0,MIN($D52+1,EDATE(AH$4,1))-MAX($C52,AH$4))/MAX(1,$D52+1-$C52))</f>
        <v/>
      </c>
      <c r="AI52" s="64" t="str">
        <f aca="false">IF(OR(AI$4="",$C52="",$D52="",N($E52)=0),"",$E52*MAX(0,MIN($D52+1,EDATE(AI$4,1))-MAX($C52,AI$4))/MAX(1,$D52+1-$C52))</f>
        <v/>
      </c>
      <c r="AJ52" s="64" t="str">
        <f aca="false">IF(OR(AJ$4="",$C52="",$D52="",N($E52)=0),"",$E52*MAX(0,MIN($D52+1,EDATE(AJ$4,1))-MAX($C52,AJ$4))/MAX(1,$D52+1-$C52))</f>
        <v/>
      </c>
      <c r="AK52" s="64" t="str">
        <f aca="false">IF(OR(AK$4="",$C52="",$D52="",N($E52)=0),"",$E52*MAX(0,MIN($D52+1,EDATE(AK$4,1))-MAX($C52,AK$4))/MAX(1,$D52+1-$C52))</f>
        <v/>
      </c>
      <c r="AL52" s="64" t="str">
        <f aca="false">IF(OR(AL$4="",$C52="",$D52="",N($E52)=0),"",$E52*MAX(0,MIN($D52+1,EDATE(AL$4,1))-MAX($C52,AL$4))/MAX(1,$D52+1-$C52))</f>
        <v/>
      </c>
      <c r="AM52" s="64" t="str">
        <f aca="false">IF(OR(AM$4="",$C52="",$D52="",N($E52)=0),"",$E52*MAX(0,MIN($D52+1,EDATE(AM$4,1))-MAX($C52,AM$4))/MAX(1,$D52+1-$C52))</f>
        <v/>
      </c>
      <c r="AN52" s="64" t="str">
        <f aca="false">IF(OR(AN$4="",$C52="",$D52="",N($E52)=0),"",$E52*MAX(0,MIN($D52+1,EDATE(AN$4,1))-MAX($C52,AN$4))/MAX(1,$D52+1-$C52))</f>
        <v/>
      </c>
      <c r="AO52" s="64" t="str">
        <f aca="false">IF(OR(AO$4="",$C52="",$D52="",N($E52)=0),"",$E52*MAX(0,MIN($D52+1,EDATE(AO$4,1))-MAX($C52,AO$4))/MAX(1,$D52+1-$C52))</f>
        <v/>
      </c>
      <c r="AP52" s="64" t="str">
        <f aca="false">IF(OR(AP$4="",$C52="",$D52="",N($E52)=0),"",$E52*MAX(0,MIN($D52+1,EDATE(AP$4,1))-MAX($C52,AP$4))/MAX(1,$D52+1-$C52))</f>
        <v/>
      </c>
      <c r="AQ52" s="64" t="str">
        <f aca="false">IF(OR(AQ$4="",$C52="",$D52="",N($E52)=0),"",$E52*MAX(0,MIN($D52+1,EDATE(AQ$4,1))-MAX($C52,AQ$4))/MAX(1,$D52+1-$C52))</f>
        <v/>
      </c>
      <c r="AR52" s="64" t="str">
        <f aca="false">IF(OR(AR$4="",$C52="",$D52="",N($E52)=0),"",$E52*MAX(0,MIN($D52+1,EDATE(AR$4,1))-MAX($C52,AR$4))/MAX(1,$D52+1-$C52))</f>
        <v/>
      </c>
      <c r="AS52" s="64" t="str">
        <f aca="false">IF(OR(AS$4="",$C52="",$D52="",N($E52)=0),"",$E52*MAX(0,MIN($D52+1,EDATE(AS$4,1))-MAX($C52,AS$4))/MAX(1,$D52+1-$C52))</f>
        <v/>
      </c>
      <c r="AT52" s="64" t="str">
        <f aca="false">IF(OR(AT$4="",$C52="",$D52="",N($E52)=0),"",$E52*MAX(0,MIN($D52+1,EDATE(AT$4,1))-MAX($C52,AT$4))/MAX(1,$D52+1-$C52))</f>
        <v/>
      </c>
      <c r="AU52" s="64" t="str">
        <f aca="false">IF(OR(AU$4="",$C52="",$D52="",N($E52)=0),"",$E52*MAX(0,MIN($D52+1,EDATE(AU$4,1))-MAX($C52,AU$4))/MAX(1,$D52+1-$C52))</f>
        <v/>
      </c>
      <c r="AV52" s="64" t="str">
        <f aca="false">IF(OR(AV$4="",$C52="",$D52="",N($E52)=0),"",$E52*MAX(0,MIN($D52+1,EDATE(AV$4,1))-MAX($C52,AV$4))/MAX(1,$D52+1-$C52))</f>
        <v/>
      </c>
      <c r="AW52" s="64" t="str">
        <f aca="false">IF(OR(AW$4="",$C52="",$D52="",N($E52)=0),"",$E52*MAX(0,MIN($D52+1,EDATE(AW$4,1))-MAX($C52,AW$4))/MAX(1,$D52+1-$C52))</f>
        <v/>
      </c>
      <c r="AX52" s="64" t="str">
        <f aca="false">IF(OR(AX$4="",$C52="",$D52="",N($E52)=0),"",$E52*MAX(0,MIN($D52+1,EDATE(AX$4,1))-MAX($C52,AX$4))/MAX(1,$D52+1-$C52))</f>
        <v/>
      </c>
      <c r="AY52" s="64" t="str">
        <f aca="false">IF(OR(AY$4="",$C52="",$D52="",N($E52)=0),"",$E52*MAX(0,MIN($D52+1,EDATE(AY$4,1))-MAX($C52,AY$4))/MAX(1,$D52+1-$C52))</f>
        <v/>
      </c>
      <c r="AZ52" s="64" t="str">
        <f aca="false">IF(OR(AZ$4="",$C52="",$D52="",N($E52)=0),"",$E52*MAX(0,MIN($D52+1,EDATE(AZ$4,1))-MAX($C52,AZ$4))/MAX(1,$D52+1-$C52))</f>
        <v/>
      </c>
      <c r="BA52" s="64" t="str">
        <f aca="false">IF(OR(BA$4="",$C52="",$D52="",N($E52)=0),"",$E52*MAX(0,MIN($D52+1,EDATE(BA$4,1))-MAX($C52,BA$4))/MAX(1,$D52+1-$C52))</f>
        <v/>
      </c>
      <c r="BB52" s="64" t="str">
        <f aca="false">IF(OR(BB$4="",$C52="",$D52="",N($E52)=0),"",$E52*MAX(0,MIN($D52+1,EDATE(BB$4,1))-MAX($C52,BB$4))/MAX(1,$D52+1-$C52))</f>
        <v/>
      </c>
      <c r="BC52" s="64" t="str">
        <f aca="false">IF(OR(BC$4="",$C52="",$D52="",N($E52)=0),"",$E52*MAX(0,MIN($D52+1,EDATE(BC$4,1))-MAX($C52,BC$4))/MAX(1,$D52+1-$C52))</f>
        <v/>
      </c>
      <c r="BD52" s="64" t="str">
        <f aca="false">IF(OR(BD$4="",$C52="",$D52="",N($E52)=0),"",$E52*MAX(0,MIN($D52+1,EDATE(BD$4,1))-MAX($C52,BD$4))/MAX(1,$D52+1-$C52))</f>
        <v/>
      </c>
      <c r="BE52" s="64" t="str">
        <f aca="false">IF(OR(BE$4="",$C52="",$D52="",N($E52)=0),"",$E52*MAX(0,MIN($D52+1,EDATE(BE$4,1))-MAX($C52,BE$4))/MAX(1,$D52+1-$C52))</f>
        <v/>
      </c>
      <c r="BF52" s="64" t="str">
        <f aca="false">IF(OR(BF$4="",$C52="",$D52="",N($E52)=0),"",$E52*MAX(0,MIN($D52+1,EDATE(BF$4,1))-MAX($C52,BF$4))/MAX(1,$D52+1-$C52))</f>
        <v/>
      </c>
      <c r="BG52" s="64" t="str">
        <f aca="false">IF(OR(BG$4="",$C52="",$D52="",N($E52)=0),"",$E52*MAX(0,MIN($D52+1,EDATE(BG$4,1))-MAX($C52,BG$4))/MAX(1,$D52+1-$C52))</f>
        <v/>
      </c>
      <c r="BH52" s="64" t="str">
        <f aca="false">IF(OR(BH$4="",$C52="",$D52="",N($E52)=0),"",$E52*MAX(0,MIN($D52+1,EDATE(BH$4,1))-MAX($C52,BH$4))/MAX(1,$D52+1-$C52))</f>
        <v/>
      </c>
      <c r="BI52" s="64" t="str">
        <f aca="false">IF(OR(BI$4="",$C52="",$D52="",N($E52)=0),"",$E52*MAX(0,MIN($D52+1,EDATE(BI$4,1))-MAX($C52,BI$4))/MAX(1,$D52+1-$C52))</f>
        <v/>
      </c>
      <c r="BJ52" s="64" t="str">
        <f aca="false">IF(OR(BJ$4="",$C52="",$D52="",N($E52)=0),"",$E52*MAX(0,MIN($D52+1,EDATE(BJ$4,1))-MAX($C52,BJ$4))/MAX(1,$D52+1-$C52))</f>
        <v/>
      </c>
      <c r="BK52" s="64" t="str">
        <f aca="false">IF(OR(BK$4="",$C52="",$D52="",N($E52)=0),"",$E52*MAX(0,MIN($D52+1,EDATE(BK$4,1))-MAX($C52,BK$4))/MAX(1,$D52+1-$C52))</f>
        <v/>
      </c>
      <c r="BL52" s="64" t="str">
        <f aca="false">IF(OR(BL$4="",$C52="",$D52="",N($E52)=0),"",$E52*MAX(0,MIN($D52+1,EDATE(BL$4,1))-MAX($C52,BL$4))/MAX(1,$D52+1-$C52))</f>
        <v/>
      </c>
      <c r="BM52" s="64" t="str">
        <f aca="false">IF(OR(BM$4="",$C52="",$D52="",N($E52)=0),"",$E52*MAX(0,MIN($D52+1,EDATE(BM$4,1))-MAX($C52,BM$4))/MAX(1,$D52+1-$C52))</f>
        <v/>
      </c>
      <c r="BN52" s="64" t="str">
        <f aca="false">IF(OR(BN$4="",$C52="",$D52="",N($E52)=0),"",$E52*MAX(0,MIN($D52+1,EDATE(BN$4,1))-MAX($C52,BN$4))/MAX(1,$D52+1-$C52))</f>
        <v/>
      </c>
      <c r="BO52" s="64" t="str">
        <f aca="false">IF(OR(BO$4="",$C52="",$D52="",N($E52)=0),"",$E52*MAX(0,MIN($D52+1,EDATE(BO$4,1))-MAX($C52,BO$4))/MAX(1,$D52+1-$C52))</f>
        <v/>
      </c>
      <c r="BP52" s="64" t="str">
        <f aca="false">IF(OR(BP$4="",$C52="",$D52="",N($E52)=0),"",$E52*MAX(0,MIN($D52+1,EDATE(BP$4,1))-MAX($C52,BP$4))/MAX(1,$D52+1-$C52))</f>
        <v/>
      </c>
      <c r="BQ52" s="64" t="str">
        <f aca="false">IF(OR(BQ$4="",$C52="",$D52="",N($E52)=0),"",$E52*MAX(0,MIN($D52+1,EDATE(BQ$4,1))-MAX($C52,BQ$4))/MAX(1,$D52+1-$C52))</f>
        <v/>
      </c>
      <c r="BR52" s="64" t="str">
        <f aca="false">IF(OR(BR$4="",$C52="",$D52="",N($E52)=0),"",$E52*MAX(0,MIN($D52+1,EDATE(BR$4,1))-MAX($C52,BR$4))/MAX(1,$D52+1-$C52))</f>
        <v/>
      </c>
      <c r="BS52" s="64" t="str">
        <f aca="false">IF(OR(BS$4="",$C52="",$D52="",N($E52)=0),"",$E52*MAX(0,MIN($D52+1,EDATE(BS$4,1))-MAX($C52,BS$4))/MAX(1,$D52+1-$C52))</f>
        <v/>
      </c>
      <c r="BT52" s="64" t="str">
        <f aca="false">IF(OR(BT$4="",$C52="",$D52="",N($E52)=0),"",$E52*MAX(0,MIN($D52+1,EDATE(BT$4,1))-MAX($C52,BT$4))/MAX(1,$D52+1-$C52))</f>
        <v/>
      </c>
      <c r="BU52" s="64" t="str">
        <f aca="false">IF(OR(BU$4="",$C52="",$D52="",N($E52)=0),"",$E52*MAX(0,MIN($D52+1,EDATE(BU$4,1))-MAX($C52,BU$4))/MAX(1,$D52+1-$C52))</f>
        <v/>
      </c>
      <c r="BV52" s="64" t="str">
        <f aca="false">IF(OR(BV$4="",$C52="",$D52="",N($E52)=0),"",$E52*MAX(0,MIN($D52+1,EDATE(BV$4,1))-MAX($C52,BV$4))/MAX(1,$D52+1-$C52))</f>
        <v/>
      </c>
      <c r="BW52" s="64" t="str">
        <f aca="false">IF(OR(BW$4="",$C52="",$D52="",N($E52)=0),"",$E52*MAX(0,MIN($D52+1,EDATE(BW$4,1))-MAX($C52,BW$4))/MAX(1,$D52+1-$C52))</f>
        <v/>
      </c>
      <c r="BX52" s="64" t="str">
        <f aca="false">IF(OR(BX$4="",$C52="",$D52="",N($E52)=0),"",$E52*MAX(0,MIN($D52+1,EDATE(BX$4,1))-MAX($C52,BX$4))/MAX(1,$D52+1-$C52))</f>
        <v/>
      </c>
      <c r="BY52" s="64" t="str">
        <f aca="false">IF(OR(BY$4="",$C52="",$D52="",N($E52)=0),"",$E52*MAX(0,MIN($D52+1,EDATE(BY$4,1))-MAX($C52,BY$4))/MAX(1,$D52+1-$C52))</f>
        <v/>
      </c>
    </row>
    <row r="53" customFormat="false" ht="15" hidden="false" customHeight="false" outlineLevel="0" collapsed="false">
      <c r="A53" s="61" t="str">
        <f aca="false">IF(BOE!$A54="","",BOE!$A54)</f>
        <v/>
      </c>
      <c r="B53" s="61" t="str">
        <f aca="false">IF(BOE!$A54="","",BOE!$C54)</f>
        <v/>
      </c>
      <c r="C53" s="62" t="str">
        <f aca="false">IF(BOE!$O54="","",BOE!$O54)</f>
        <v/>
      </c>
      <c r="D53" s="62" t="str">
        <f aca="false">IF(BOE!$P54="","",BOE!$P54)</f>
        <v/>
      </c>
      <c r="E53" s="63" t="n">
        <f aca="false">IF(Inputs!$B$7="P90",BOE!$T54,BOE!$R54)</f>
        <v>0</v>
      </c>
      <c r="F53" s="64" t="str">
        <f aca="false">IF(OR(F$4="",$C53="",$D53="",N($E53)=0),"",$E53*MAX(0,MIN($D53+1,EDATE(F$4,1))-MAX($C53,F$4))/MAX(1,$D53+1-$C53))</f>
        <v/>
      </c>
      <c r="G53" s="64" t="str">
        <f aca="false">IF(OR(G$4="",$C53="",$D53="",N($E53)=0),"",$E53*MAX(0,MIN($D53+1,EDATE(G$4,1))-MAX($C53,G$4))/MAX(1,$D53+1-$C53))</f>
        <v/>
      </c>
      <c r="H53" s="64" t="str">
        <f aca="false">IF(OR(H$4="",$C53="",$D53="",N($E53)=0),"",$E53*MAX(0,MIN($D53+1,EDATE(H$4,1))-MAX($C53,H$4))/MAX(1,$D53+1-$C53))</f>
        <v/>
      </c>
      <c r="I53" s="64" t="str">
        <f aca="false">IF(OR(I$4="",$C53="",$D53="",N($E53)=0),"",$E53*MAX(0,MIN($D53+1,EDATE(I$4,1))-MAX($C53,I$4))/MAX(1,$D53+1-$C53))</f>
        <v/>
      </c>
      <c r="J53" s="64" t="str">
        <f aca="false">IF(OR(J$4="",$C53="",$D53="",N($E53)=0),"",$E53*MAX(0,MIN($D53+1,EDATE(J$4,1))-MAX($C53,J$4))/MAX(1,$D53+1-$C53))</f>
        <v/>
      </c>
      <c r="K53" s="64" t="str">
        <f aca="false">IF(OR(K$4="",$C53="",$D53="",N($E53)=0),"",$E53*MAX(0,MIN($D53+1,EDATE(K$4,1))-MAX($C53,K$4))/MAX(1,$D53+1-$C53))</f>
        <v/>
      </c>
      <c r="L53" s="64" t="str">
        <f aca="false">IF(OR(L$4="",$C53="",$D53="",N($E53)=0),"",$E53*MAX(0,MIN($D53+1,EDATE(L$4,1))-MAX($C53,L$4))/MAX(1,$D53+1-$C53))</f>
        <v/>
      </c>
      <c r="M53" s="64" t="str">
        <f aca="false">IF(OR(M$4="",$C53="",$D53="",N($E53)=0),"",$E53*MAX(0,MIN($D53+1,EDATE(M$4,1))-MAX($C53,M$4))/MAX(1,$D53+1-$C53))</f>
        <v/>
      </c>
      <c r="N53" s="64" t="str">
        <f aca="false">IF(OR(N$4="",$C53="",$D53="",N($E53)=0),"",$E53*MAX(0,MIN($D53+1,EDATE(N$4,1))-MAX($C53,N$4))/MAX(1,$D53+1-$C53))</f>
        <v/>
      </c>
      <c r="O53" s="64" t="str">
        <f aca="false">IF(OR(O$4="",$C53="",$D53="",N($E53)=0),"",$E53*MAX(0,MIN($D53+1,EDATE(O$4,1))-MAX($C53,O$4))/MAX(1,$D53+1-$C53))</f>
        <v/>
      </c>
      <c r="P53" s="64" t="str">
        <f aca="false">IF(OR(P$4="",$C53="",$D53="",N($E53)=0),"",$E53*MAX(0,MIN($D53+1,EDATE(P$4,1))-MAX($C53,P$4))/MAX(1,$D53+1-$C53))</f>
        <v/>
      </c>
      <c r="Q53" s="64" t="str">
        <f aca="false">IF(OR(Q$4="",$C53="",$D53="",N($E53)=0),"",$E53*MAX(0,MIN($D53+1,EDATE(Q$4,1))-MAX($C53,Q$4))/MAX(1,$D53+1-$C53))</f>
        <v/>
      </c>
      <c r="R53" s="64" t="str">
        <f aca="false">IF(OR(R$4="",$C53="",$D53="",N($E53)=0),"",$E53*MAX(0,MIN($D53+1,EDATE(R$4,1))-MAX($C53,R$4))/MAX(1,$D53+1-$C53))</f>
        <v/>
      </c>
      <c r="S53" s="64" t="str">
        <f aca="false">IF(OR(S$4="",$C53="",$D53="",N($E53)=0),"",$E53*MAX(0,MIN($D53+1,EDATE(S$4,1))-MAX($C53,S$4))/MAX(1,$D53+1-$C53))</f>
        <v/>
      </c>
      <c r="T53" s="64" t="str">
        <f aca="false">IF(OR(T$4="",$C53="",$D53="",N($E53)=0),"",$E53*MAX(0,MIN($D53+1,EDATE(T$4,1))-MAX($C53,T$4))/MAX(1,$D53+1-$C53))</f>
        <v/>
      </c>
      <c r="U53" s="64" t="str">
        <f aca="false">IF(OR(U$4="",$C53="",$D53="",N($E53)=0),"",$E53*MAX(0,MIN($D53+1,EDATE(U$4,1))-MAX($C53,U$4))/MAX(1,$D53+1-$C53))</f>
        <v/>
      </c>
      <c r="V53" s="64" t="str">
        <f aca="false">IF(OR(V$4="",$C53="",$D53="",N($E53)=0),"",$E53*MAX(0,MIN($D53+1,EDATE(V$4,1))-MAX($C53,V$4))/MAX(1,$D53+1-$C53))</f>
        <v/>
      </c>
      <c r="W53" s="64" t="str">
        <f aca="false">IF(OR(W$4="",$C53="",$D53="",N($E53)=0),"",$E53*MAX(0,MIN($D53+1,EDATE(W$4,1))-MAX($C53,W$4))/MAX(1,$D53+1-$C53))</f>
        <v/>
      </c>
      <c r="X53" s="64" t="str">
        <f aca="false">IF(OR(X$4="",$C53="",$D53="",N($E53)=0),"",$E53*MAX(0,MIN($D53+1,EDATE(X$4,1))-MAX($C53,X$4))/MAX(1,$D53+1-$C53))</f>
        <v/>
      </c>
      <c r="Y53" s="64" t="str">
        <f aca="false">IF(OR(Y$4="",$C53="",$D53="",N($E53)=0),"",$E53*MAX(0,MIN($D53+1,EDATE(Y$4,1))-MAX($C53,Y$4))/MAX(1,$D53+1-$C53))</f>
        <v/>
      </c>
      <c r="Z53" s="64" t="str">
        <f aca="false">IF(OR(Z$4="",$C53="",$D53="",N($E53)=0),"",$E53*MAX(0,MIN($D53+1,EDATE(Z$4,1))-MAX($C53,Z$4))/MAX(1,$D53+1-$C53))</f>
        <v/>
      </c>
      <c r="AA53" s="64" t="str">
        <f aca="false">IF(OR(AA$4="",$C53="",$D53="",N($E53)=0),"",$E53*MAX(0,MIN($D53+1,EDATE(AA$4,1))-MAX($C53,AA$4))/MAX(1,$D53+1-$C53))</f>
        <v/>
      </c>
      <c r="AB53" s="64" t="str">
        <f aca="false">IF(OR(AB$4="",$C53="",$D53="",N($E53)=0),"",$E53*MAX(0,MIN($D53+1,EDATE(AB$4,1))-MAX($C53,AB$4))/MAX(1,$D53+1-$C53))</f>
        <v/>
      </c>
      <c r="AC53" s="64" t="str">
        <f aca="false">IF(OR(AC$4="",$C53="",$D53="",N($E53)=0),"",$E53*MAX(0,MIN($D53+1,EDATE(AC$4,1))-MAX($C53,AC$4))/MAX(1,$D53+1-$C53))</f>
        <v/>
      </c>
      <c r="AD53" s="64" t="str">
        <f aca="false">IF(OR(AD$4="",$C53="",$D53="",N($E53)=0),"",$E53*MAX(0,MIN($D53+1,EDATE(AD$4,1))-MAX($C53,AD$4))/MAX(1,$D53+1-$C53))</f>
        <v/>
      </c>
      <c r="AE53" s="64" t="str">
        <f aca="false">IF(OR(AE$4="",$C53="",$D53="",N($E53)=0),"",$E53*MAX(0,MIN($D53+1,EDATE(AE$4,1))-MAX($C53,AE$4))/MAX(1,$D53+1-$C53))</f>
        <v/>
      </c>
      <c r="AF53" s="64" t="str">
        <f aca="false">IF(OR(AF$4="",$C53="",$D53="",N($E53)=0),"",$E53*MAX(0,MIN($D53+1,EDATE(AF$4,1))-MAX($C53,AF$4))/MAX(1,$D53+1-$C53))</f>
        <v/>
      </c>
      <c r="AG53" s="64" t="str">
        <f aca="false">IF(OR(AG$4="",$C53="",$D53="",N($E53)=0),"",$E53*MAX(0,MIN($D53+1,EDATE(AG$4,1))-MAX($C53,AG$4))/MAX(1,$D53+1-$C53))</f>
        <v/>
      </c>
      <c r="AH53" s="64" t="str">
        <f aca="false">IF(OR(AH$4="",$C53="",$D53="",N($E53)=0),"",$E53*MAX(0,MIN($D53+1,EDATE(AH$4,1))-MAX($C53,AH$4))/MAX(1,$D53+1-$C53))</f>
        <v/>
      </c>
      <c r="AI53" s="64" t="str">
        <f aca="false">IF(OR(AI$4="",$C53="",$D53="",N($E53)=0),"",$E53*MAX(0,MIN($D53+1,EDATE(AI$4,1))-MAX($C53,AI$4))/MAX(1,$D53+1-$C53))</f>
        <v/>
      </c>
      <c r="AJ53" s="64" t="str">
        <f aca="false">IF(OR(AJ$4="",$C53="",$D53="",N($E53)=0),"",$E53*MAX(0,MIN($D53+1,EDATE(AJ$4,1))-MAX($C53,AJ$4))/MAX(1,$D53+1-$C53))</f>
        <v/>
      </c>
      <c r="AK53" s="64" t="str">
        <f aca="false">IF(OR(AK$4="",$C53="",$D53="",N($E53)=0),"",$E53*MAX(0,MIN($D53+1,EDATE(AK$4,1))-MAX($C53,AK$4))/MAX(1,$D53+1-$C53))</f>
        <v/>
      </c>
      <c r="AL53" s="64" t="str">
        <f aca="false">IF(OR(AL$4="",$C53="",$D53="",N($E53)=0),"",$E53*MAX(0,MIN($D53+1,EDATE(AL$4,1))-MAX($C53,AL$4))/MAX(1,$D53+1-$C53))</f>
        <v/>
      </c>
      <c r="AM53" s="64" t="str">
        <f aca="false">IF(OR(AM$4="",$C53="",$D53="",N($E53)=0),"",$E53*MAX(0,MIN($D53+1,EDATE(AM$4,1))-MAX($C53,AM$4))/MAX(1,$D53+1-$C53))</f>
        <v/>
      </c>
      <c r="AN53" s="64" t="str">
        <f aca="false">IF(OR(AN$4="",$C53="",$D53="",N($E53)=0),"",$E53*MAX(0,MIN($D53+1,EDATE(AN$4,1))-MAX($C53,AN$4))/MAX(1,$D53+1-$C53))</f>
        <v/>
      </c>
      <c r="AO53" s="64" t="str">
        <f aca="false">IF(OR(AO$4="",$C53="",$D53="",N($E53)=0),"",$E53*MAX(0,MIN($D53+1,EDATE(AO$4,1))-MAX($C53,AO$4))/MAX(1,$D53+1-$C53))</f>
        <v/>
      </c>
      <c r="AP53" s="64" t="str">
        <f aca="false">IF(OR(AP$4="",$C53="",$D53="",N($E53)=0),"",$E53*MAX(0,MIN($D53+1,EDATE(AP$4,1))-MAX($C53,AP$4))/MAX(1,$D53+1-$C53))</f>
        <v/>
      </c>
      <c r="AQ53" s="64" t="str">
        <f aca="false">IF(OR(AQ$4="",$C53="",$D53="",N($E53)=0),"",$E53*MAX(0,MIN($D53+1,EDATE(AQ$4,1))-MAX($C53,AQ$4))/MAX(1,$D53+1-$C53))</f>
        <v/>
      </c>
      <c r="AR53" s="64" t="str">
        <f aca="false">IF(OR(AR$4="",$C53="",$D53="",N($E53)=0),"",$E53*MAX(0,MIN($D53+1,EDATE(AR$4,1))-MAX($C53,AR$4))/MAX(1,$D53+1-$C53))</f>
        <v/>
      </c>
      <c r="AS53" s="64" t="str">
        <f aca="false">IF(OR(AS$4="",$C53="",$D53="",N($E53)=0),"",$E53*MAX(0,MIN($D53+1,EDATE(AS$4,1))-MAX($C53,AS$4))/MAX(1,$D53+1-$C53))</f>
        <v/>
      </c>
      <c r="AT53" s="64" t="str">
        <f aca="false">IF(OR(AT$4="",$C53="",$D53="",N($E53)=0),"",$E53*MAX(0,MIN($D53+1,EDATE(AT$4,1))-MAX($C53,AT$4))/MAX(1,$D53+1-$C53))</f>
        <v/>
      </c>
      <c r="AU53" s="64" t="str">
        <f aca="false">IF(OR(AU$4="",$C53="",$D53="",N($E53)=0),"",$E53*MAX(0,MIN($D53+1,EDATE(AU$4,1))-MAX($C53,AU$4))/MAX(1,$D53+1-$C53))</f>
        <v/>
      </c>
      <c r="AV53" s="64" t="str">
        <f aca="false">IF(OR(AV$4="",$C53="",$D53="",N($E53)=0),"",$E53*MAX(0,MIN($D53+1,EDATE(AV$4,1))-MAX($C53,AV$4))/MAX(1,$D53+1-$C53))</f>
        <v/>
      </c>
      <c r="AW53" s="64" t="str">
        <f aca="false">IF(OR(AW$4="",$C53="",$D53="",N($E53)=0),"",$E53*MAX(0,MIN($D53+1,EDATE(AW$4,1))-MAX($C53,AW$4))/MAX(1,$D53+1-$C53))</f>
        <v/>
      </c>
      <c r="AX53" s="64" t="str">
        <f aca="false">IF(OR(AX$4="",$C53="",$D53="",N($E53)=0),"",$E53*MAX(0,MIN($D53+1,EDATE(AX$4,1))-MAX($C53,AX$4))/MAX(1,$D53+1-$C53))</f>
        <v/>
      </c>
      <c r="AY53" s="64" t="str">
        <f aca="false">IF(OR(AY$4="",$C53="",$D53="",N($E53)=0),"",$E53*MAX(0,MIN($D53+1,EDATE(AY$4,1))-MAX($C53,AY$4))/MAX(1,$D53+1-$C53))</f>
        <v/>
      </c>
      <c r="AZ53" s="64" t="str">
        <f aca="false">IF(OR(AZ$4="",$C53="",$D53="",N($E53)=0),"",$E53*MAX(0,MIN($D53+1,EDATE(AZ$4,1))-MAX($C53,AZ$4))/MAX(1,$D53+1-$C53))</f>
        <v/>
      </c>
      <c r="BA53" s="64" t="str">
        <f aca="false">IF(OR(BA$4="",$C53="",$D53="",N($E53)=0),"",$E53*MAX(0,MIN($D53+1,EDATE(BA$4,1))-MAX($C53,BA$4))/MAX(1,$D53+1-$C53))</f>
        <v/>
      </c>
      <c r="BB53" s="64" t="str">
        <f aca="false">IF(OR(BB$4="",$C53="",$D53="",N($E53)=0),"",$E53*MAX(0,MIN($D53+1,EDATE(BB$4,1))-MAX($C53,BB$4))/MAX(1,$D53+1-$C53))</f>
        <v/>
      </c>
      <c r="BC53" s="64" t="str">
        <f aca="false">IF(OR(BC$4="",$C53="",$D53="",N($E53)=0),"",$E53*MAX(0,MIN($D53+1,EDATE(BC$4,1))-MAX($C53,BC$4))/MAX(1,$D53+1-$C53))</f>
        <v/>
      </c>
      <c r="BD53" s="64" t="str">
        <f aca="false">IF(OR(BD$4="",$C53="",$D53="",N($E53)=0),"",$E53*MAX(0,MIN($D53+1,EDATE(BD$4,1))-MAX($C53,BD$4))/MAX(1,$D53+1-$C53))</f>
        <v/>
      </c>
      <c r="BE53" s="64" t="str">
        <f aca="false">IF(OR(BE$4="",$C53="",$D53="",N($E53)=0),"",$E53*MAX(0,MIN($D53+1,EDATE(BE$4,1))-MAX($C53,BE$4))/MAX(1,$D53+1-$C53))</f>
        <v/>
      </c>
      <c r="BF53" s="64" t="str">
        <f aca="false">IF(OR(BF$4="",$C53="",$D53="",N($E53)=0),"",$E53*MAX(0,MIN($D53+1,EDATE(BF$4,1))-MAX($C53,BF$4))/MAX(1,$D53+1-$C53))</f>
        <v/>
      </c>
      <c r="BG53" s="64" t="str">
        <f aca="false">IF(OR(BG$4="",$C53="",$D53="",N($E53)=0),"",$E53*MAX(0,MIN($D53+1,EDATE(BG$4,1))-MAX($C53,BG$4))/MAX(1,$D53+1-$C53))</f>
        <v/>
      </c>
      <c r="BH53" s="64" t="str">
        <f aca="false">IF(OR(BH$4="",$C53="",$D53="",N($E53)=0),"",$E53*MAX(0,MIN($D53+1,EDATE(BH$4,1))-MAX($C53,BH$4))/MAX(1,$D53+1-$C53))</f>
        <v/>
      </c>
      <c r="BI53" s="64" t="str">
        <f aca="false">IF(OR(BI$4="",$C53="",$D53="",N($E53)=0),"",$E53*MAX(0,MIN($D53+1,EDATE(BI$4,1))-MAX($C53,BI$4))/MAX(1,$D53+1-$C53))</f>
        <v/>
      </c>
      <c r="BJ53" s="64" t="str">
        <f aca="false">IF(OR(BJ$4="",$C53="",$D53="",N($E53)=0),"",$E53*MAX(0,MIN($D53+1,EDATE(BJ$4,1))-MAX($C53,BJ$4))/MAX(1,$D53+1-$C53))</f>
        <v/>
      </c>
      <c r="BK53" s="64" t="str">
        <f aca="false">IF(OR(BK$4="",$C53="",$D53="",N($E53)=0),"",$E53*MAX(0,MIN($D53+1,EDATE(BK$4,1))-MAX($C53,BK$4))/MAX(1,$D53+1-$C53))</f>
        <v/>
      </c>
      <c r="BL53" s="64" t="str">
        <f aca="false">IF(OR(BL$4="",$C53="",$D53="",N($E53)=0),"",$E53*MAX(0,MIN($D53+1,EDATE(BL$4,1))-MAX($C53,BL$4))/MAX(1,$D53+1-$C53))</f>
        <v/>
      </c>
      <c r="BM53" s="64" t="str">
        <f aca="false">IF(OR(BM$4="",$C53="",$D53="",N($E53)=0),"",$E53*MAX(0,MIN($D53+1,EDATE(BM$4,1))-MAX($C53,BM$4))/MAX(1,$D53+1-$C53))</f>
        <v/>
      </c>
      <c r="BN53" s="64" t="str">
        <f aca="false">IF(OR(BN$4="",$C53="",$D53="",N($E53)=0),"",$E53*MAX(0,MIN($D53+1,EDATE(BN$4,1))-MAX($C53,BN$4))/MAX(1,$D53+1-$C53))</f>
        <v/>
      </c>
      <c r="BO53" s="64" t="str">
        <f aca="false">IF(OR(BO$4="",$C53="",$D53="",N($E53)=0),"",$E53*MAX(0,MIN($D53+1,EDATE(BO$4,1))-MAX($C53,BO$4))/MAX(1,$D53+1-$C53))</f>
        <v/>
      </c>
      <c r="BP53" s="64" t="str">
        <f aca="false">IF(OR(BP$4="",$C53="",$D53="",N($E53)=0),"",$E53*MAX(0,MIN($D53+1,EDATE(BP$4,1))-MAX($C53,BP$4))/MAX(1,$D53+1-$C53))</f>
        <v/>
      </c>
      <c r="BQ53" s="64" t="str">
        <f aca="false">IF(OR(BQ$4="",$C53="",$D53="",N($E53)=0),"",$E53*MAX(0,MIN($D53+1,EDATE(BQ$4,1))-MAX($C53,BQ$4))/MAX(1,$D53+1-$C53))</f>
        <v/>
      </c>
      <c r="BR53" s="64" t="str">
        <f aca="false">IF(OR(BR$4="",$C53="",$D53="",N($E53)=0),"",$E53*MAX(0,MIN($D53+1,EDATE(BR$4,1))-MAX($C53,BR$4))/MAX(1,$D53+1-$C53))</f>
        <v/>
      </c>
      <c r="BS53" s="64" t="str">
        <f aca="false">IF(OR(BS$4="",$C53="",$D53="",N($E53)=0),"",$E53*MAX(0,MIN($D53+1,EDATE(BS$4,1))-MAX($C53,BS$4))/MAX(1,$D53+1-$C53))</f>
        <v/>
      </c>
      <c r="BT53" s="64" t="str">
        <f aca="false">IF(OR(BT$4="",$C53="",$D53="",N($E53)=0),"",$E53*MAX(0,MIN($D53+1,EDATE(BT$4,1))-MAX($C53,BT$4))/MAX(1,$D53+1-$C53))</f>
        <v/>
      </c>
      <c r="BU53" s="64" t="str">
        <f aca="false">IF(OR(BU$4="",$C53="",$D53="",N($E53)=0),"",$E53*MAX(0,MIN($D53+1,EDATE(BU$4,1))-MAX($C53,BU$4))/MAX(1,$D53+1-$C53))</f>
        <v/>
      </c>
      <c r="BV53" s="64" t="str">
        <f aca="false">IF(OR(BV$4="",$C53="",$D53="",N($E53)=0),"",$E53*MAX(0,MIN($D53+1,EDATE(BV$4,1))-MAX($C53,BV$4))/MAX(1,$D53+1-$C53))</f>
        <v/>
      </c>
      <c r="BW53" s="64" t="str">
        <f aca="false">IF(OR(BW$4="",$C53="",$D53="",N($E53)=0),"",$E53*MAX(0,MIN($D53+1,EDATE(BW$4,1))-MAX($C53,BW$4))/MAX(1,$D53+1-$C53))</f>
        <v/>
      </c>
      <c r="BX53" s="64" t="str">
        <f aca="false">IF(OR(BX$4="",$C53="",$D53="",N($E53)=0),"",$E53*MAX(0,MIN($D53+1,EDATE(BX$4,1))-MAX($C53,BX$4))/MAX(1,$D53+1-$C53))</f>
        <v/>
      </c>
      <c r="BY53" s="64" t="str">
        <f aca="false">IF(OR(BY$4="",$C53="",$D53="",N($E53)=0),"",$E53*MAX(0,MIN($D53+1,EDATE(BY$4,1))-MAX($C53,BY$4))/MAX(1,$D53+1-$C53))</f>
        <v/>
      </c>
    </row>
    <row r="54" customFormat="false" ht="15" hidden="false" customHeight="false" outlineLevel="0" collapsed="false">
      <c r="A54" s="61" t="str">
        <f aca="false">IF(BOE!$A55="","",BOE!$A55)</f>
        <v/>
      </c>
      <c r="B54" s="61" t="str">
        <f aca="false">IF(BOE!$A55="","",BOE!$C55)</f>
        <v/>
      </c>
      <c r="C54" s="62" t="str">
        <f aca="false">IF(BOE!$O55="","",BOE!$O55)</f>
        <v/>
      </c>
      <c r="D54" s="62" t="str">
        <f aca="false">IF(BOE!$P55="","",BOE!$P55)</f>
        <v/>
      </c>
      <c r="E54" s="63" t="n">
        <f aca="false">IF(Inputs!$B$7="P90",BOE!$T55,BOE!$R55)</f>
        <v>0</v>
      </c>
      <c r="F54" s="64" t="str">
        <f aca="false">IF(OR(F$4="",$C54="",$D54="",N($E54)=0),"",$E54*MAX(0,MIN($D54+1,EDATE(F$4,1))-MAX($C54,F$4))/MAX(1,$D54+1-$C54))</f>
        <v/>
      </c>
      <c r="G54" s="64" t="str">
        <f aca="false">IF(OR(G$4="",$C54="",$D54="",N($E54)=0),"",$E54*MAX(0,MIN($D54+1,EDATE(G$4,1))-MAX($C54,G$4))/MAX(1,$D54+1-$C54))</f>
        <v/>
      </c>
      <c r="H54" s="64" t="str">
        <f aca="false">IF(OR(H$4="",$C54="",$D54="",N($E54)=0),"",$E54*MAX(0,MIN($D54+1,EDATE(H$4,1))-MAX($C54,H$4))/MAX(1,$D54+1-$C54))</f>
        <v/>
      </c>
      <c r="I54" s="64" t="str">
        <f aca="false">IF(OR(I$4="",$C54="",$D54="",N($E54)=0),"",$E54*MAX(0,MIN($D54+1,EDATE(I$4,1))-MAX($C54,I$4))/MAX(1,$D54+1-$C54))</f>
        <v/>
      </c>
      <c r="J54" s="64" t="str">
        <f aca="false">IF(OR(J$4="",$C54="",$D54="",N($E54)=0),"",$E54*MAX(0,MIN($D54+1,EDATE(J$4,1))-MAX($C54,J$4))/MAX(1,$D54+1-$C54))</f>
        <v/>
      </c>
      <c r="K54" s="64" t="str">
        <f aca="false">IF(OR(K$4="",$C54="",$D54="",N($E54)=0),"",$E54*MAX(0,MIN($D54+1,EDATE(K$4,1))-MAX($C54,K$4))/MAX(1,$D54+1-$C54))</f>
        <v/>
      </c>
      <c r="L54" s="64" t="str">
        <f aca="false">IF(OR(L$4="",$C54="",$D54="",N($E54)=0),"",$E54*MAX(0,MIN($D54+1,EDATE(L$4,1))-MAX($C54,L$4))/MAX(1,$D54+1-$C54))</f>
        <v/>
      </c>
      <c r="M54" s="64" t="str">
        <f aca="false">IF(OR(M$4="",$C54="",$D54="",N($E54)=0),"",$E54*MAX(0,MIN($D54+1,EDATE(M$4,1))-MAX($C54,M$4))/MAX(1,$D54+1-$C54))</f>
        <v/>
      </c>
      <c r="N54" s="64" t="str">
        <f aca="false">IF(OR(N$4="",$C54="",$D54="",N($E54)=0),"",$E54*MAX(0,MIN($D54+1,EDATE(N$4,1))-MAX($C54,N$4))/MAX(1,$D54+1-$C54))</f>
        <v/>
      </c>
      <c r="O54" s="64" t="str">
        <f aca="false">IF(OR(O$4="",$C54="",$D54="",N($E54)=0),"",$E54*MAX(0,MIN($D54+1,EDATE(O$4,1))-MAX($C54,O$4))/MAX(1,$D54+1-$C54))</f>
        <v/>
      </c>
      <c r="P54" s="64" t="str">
        <f aca="false">IF(OR(P$4="",$C54="",$D54="",N($E54)=0),"",$E54*MAX(0,MIN($D54+1,EDATE(P$4,1))-MAX($C54,P$4))/MAX(1,$D54+1-$C54))</f>
        <v/>
      </c>
      <c r="Q54" s="64" t="str">
        <f aca="false">IF(OR(Q$4="",$C54="",$D54="",N($E54)=0),"",$E54*MAX(0,MIN($D54+1,EDATE(Q$4,1))-MAX($C54,Q$4))/MAX(1,$D54+1-$C54))</f>
        <v/>
      </c>
      <c r="R54" s="64" t="str">
        <f aca="false">IF(OR(R$4="",$C54="",$D54="",N($E54)=0),"",$E54*MAX(0,MIN($D54+1,EDATE(R$4,1))-MAX($C54,R$4))/MAX(1,$D54+1-$C54))</f>
        <v/>
      </c>
      <c r="S54" s="64" t="str">
        <f aca="false">IF(OR(S$4="",$C54="",$D54="",N($E54)=0),"",$E54*MAX(0,MIN($D54+1,EDATE(S$4,1))-MAX($C54,S$4))/MAX(1,$D54+1-$C54))</f>
        <v/>
      </c>
      <c r="T54" s="64" t="str">
        <f aca="false">IF(OR(T$4="",$C54="",$D54="",N($E54)=0),"",$E54*MAX(0,MIN($D54+1,EDATE(T$4,1))-MAX($C54,T$4))/MAX(1,$D54+1-$C54))</f>
        <v/>
      </c>
      <c r="U54" s="64" t="str">
        <f aca="false">IF(OR(U$4="",$C54="",$D54="",N($E54)=0),"",$E54*MAX(0,MIN($D54+1,EDATE(U$4,1))-MAX($C54,U$4))/MAX(1,$D54+1-$C54))</f>
        <v/>
      </c>
      <c r="V54" s="64" t="str">
        <f aca="false">IF(OR(V$4="",$C54="",$D54="",N($E54)=0),"",$E54*MAX(0,MIN($D54+1,EDATE(V$4,1))-MAX($C54,V$4))/MAX(1,$D54+1-$C54))</f>
        <v/>
      </c>
      <c r="W54" s="64" t="str">
        <f aca="false">IF(OR(W$4="",$C54="",$D54="",N($E54)=0),"",$E54*MAX(0,MIN($D54+1,EDATE(W$4,1))-MAX($C54,W$4))/MAX(1,$D54+1-$C54))</f>
        <v/>
      </c>
      <c r="X54" s="64" t="str">
        <f aca="false">IF(OR(X$4="",$C54="",$D54="",N($E54)=0),"",$E54*MAX(0,MIN($D54+1,EDATE(X$4,1))-MAX($C54,X$4))/MAX(1,$D54+1-$C54))</f>
        <v/>
      </c>
      <c r="Y54" s="64" t="str">
        <f aca="false">IF(OR(Y$4="",$C54="",$D54="",N($E54)=0),"",$E54*MAX(0,MIN($D54+1,EDATE(Y$4,1))-MAX($C54,Y$4))/MAX(1,$D54+1-$C54))</f>
        <v/>
      </c>
      <c r="Z54" s="64" t="str">
        <f aca="false">IF(OR(Z$4="",$C54="",$D54="",N($E54)=0),"",$E54*MAX(0,MIN($D54+1,EDATE(Z$4,1))-MAX($C54,Z$4))/MAX(1,$D54+1-$C54))</f>
        <v/>
      </c>
      <c r="AA54" s="64" t="str">
        <f aca="false">IF(OR(AA$4="",$C54="",$D54="",N($E54)=0),"",$E54*MAX(0,MIN($D54+1,EDATE(AA$4,1))-MAX($C54,AA$4))/MAX(1,$D54+1-$C54))</f>
        <v/>
      </c>
      <c r="AB54" s="64" t="str">
        <f aca="false">IF(OR(AB$4="",$C54="",$D54="",N($E54)=0),"",$E54*MAX(0,MIN($D54+1,EDATE(AB$4,1))-MAX($C54,AB$4))/MAX(1,$D54+1-$C54))</f>
        <v/>
      </c>
      <c r="AC54" s="64" t="str">
        <f aca="false">IF(OR(AC$4="",$C54="",$D54="",N($E54)=0),"",$E54*MAX(0,MIN($D54+1,EDATE(AC$4,1))-MAX($C54,AC$4))/MAX(1,$D54+1-$C54))</f>
        <v/>
      </c>
      <c r="AD54" s="64" t="str">
        <f aca="false">IF(OR(AD$4="",$C54="",$D54="",N($E54)=0),"",$E54*MAX(0,MIN($D54+1,EDATE(AD$4,1))-MAX($C54,AD$4))/MAX(1,$D54+1-$C54))</f>
        <v/>
      </c>
      <c r="AE54" s="64" t="str">
        <f aca="false">IF(OR(AE$4="",$C54="",$D54="",N($E54)=0),"",$E54*MAX(0,MIN($D54+1,EDATE(AE$4,1))-MAX($C54,AE$4))/MAX(1,$D54+1-$C54))</f>
        <v/>
      </c>
      <c r="AF54" s="64" t="str">
        <f aca="false">IF(OR(AF$4="",$C54="",$D54="",N($E54)=0),"",$E54*MAX(0,MIN($D54+1,EDATE(AF$4,1))-MAX($C54,AF$4))/MAX(1,$D54+1-$C54))</f>
        <v/>
      </c>
      <c r="AG54" s="64" t="str">
        <f aca="false">IF(OR(AG$4="",$C54="",$D54="",N($E54)=0),"",$E54*MAX(0,MIN($D54+1,EDATE(AG$4,1))-MAX($C54,AG$4))/MAX(1,$D54+1-$C54))</f>
        <v/>
      </c>
      <c r="AH54" s="64" t="str">
        <f aca="false">IF(OR(AH$4="",$C54="",$D54="",N($E54)=0),"",$E54*MAX(0,MIN($D54+1,EDATE(AH$4,1))-MAX($C54,AH$4))/MAX(1,$D54+1-$C54))</f>
        <v/>
      </c>
      <c r="AI54" s="64" t="str">
        <f aca="false">IF(OR(AI$4="",$C54="",$D54="",N($E54)=0),"",$E54*MAX(0,MIN($D54+1,EDATE(AI$4,1))-MAX($C54,AI$4))/MAX(1,$D54+1-$C54))</f>
        <v/>
      </c>
      <c r="AJ54" s="64" t="str">
        <f aca="false">IF(OR(AJ$4="",$C54="",$D54="",N($E54)=0),"",$E54*MAX(0,MIN($D54+1,EDATE(AJ$4,1))-MAX($C54,AJ$4))/MAX(1,$D54+1-$C54))</f>
        <v/>
      </c>
      <c r="AK54" s="64" t="str">
        <f aca="false">IF(OR(AK$4="",$C54="",$D54="",N($E54)=0),"",$E54*MAX(0,MIN($D54+1,EDATE(AK$4,1))-MAX($C54,AK$4))/MAX(1,$D54+1-$C54))</f>
        <v/>
      </c>
      <c r="AL54" s="64" t="str">
        <f aca="false">IF(OR(AL$4="",$C54="",$D54="",N($E54)=0),"",$E54*MAX(0,MIN($D54+1,EDATE(AL$4,1))-MAX($C54,AL$4))/MAX(1,$D54+1-$C54))</f>
        <v/>
      </c>
      <c r="AM54" s="64" t="str">
        <f aca="false">IF(OR(AM$4="",$C54="",$D54="",N($E54)=0),"",$E54*MAX(0,MIN($D54+1,EDATE(AM$4,1))-MAX($C54,AM$4))/MAX(1,$D54+1-$C54))</f>
        <v/>
      </c>
      <c r="AN54" s="64" t="str">
        <f aca="false">IF(OR(AN$4="",$C54="",$D54="",N($E54)=0),"",$E54*MAX(0,MIN($D54+1,EDATE(AN$4,1))-MAX($C54,AN$4))/MAX(1,$D54+1-$C54))</f>
        <v/>
      </c>
      <c r="AO54" s="64" t="str">
        <f aca="false">IF(OR(AO$4="",$C54="",$D54="",N($E54)=0),"",$E54*MAX(0,MIN($D54+1,EDATE(AO$4,1))-MAX($C54,AO$4))/MAX(1,$D54+1-$C54))</f>
        <v/>
      </c>
      <c r="AP54" s="64" t="str">
        <f aca="false">IF(OR(AP$4="",$C54="",$D54="",N($E54)=0),"",$E54*MAX(0,MIN($D54+1,EDATE(AP$4,1))-MAX($C54,AP$4))/MAX(1,$D54+1-$C54))</f>
        <v/>
      </c>
      <c r="AQ54" s="64" t="str">
        <f aca="false">IF(OR(AQ$4="",$C54="",$D54="",N($E54)=0),"",$E54*MAX(0,MIN($D54+1,EDATE(AQ$4,1))-MAX($C54,AQ$4))/MAX(1,$D54+1-$C54))</f>
        <v/>
      </c>
      <c r="AR54" s="64" t="str">
        <f aca="false">IF(OR(AR$4="",$C54="",$D54="",N($E54)=0),"",$E54*MAX(0,MIN($D54+1,EDATE(AR$4,1))-MAX($C54,AR$4))/MAX(1,$D54+1-$C54))</f>
        <v/>
      </c>
      <c r="AS54" s="64" t="str">
        <f aca="false">IF(OR(AS$4="",$C54="",$D54="",N($E54)=0),"",$E54*MAX(0,MIN($D54+1,EDATE(AS$4,1))-MAX($C54,AS$4))/MAX(1,$D54+1-$C54))</f>
        <v/>
      </c>
      <c r="AT54" s="64" t="str">
        <f aca="false">IF(OR(AT$4="",$C54="",$D54="",N($E54)=0),"",$E54*MAX(0,MIN($D54+1,EDATE(AT$4,1))-MAX($C54,AT$4))/MAX(1,$D54+1-$C54))</f>
        <v/>
      </c>
      <c r="AU54" s="64" t="str">
        <f aca="false">IF(OR(AU$4="",$C54="",$D54="",N($E54)=0),"",$E54*MAX(0,MIN($D54+1,EDATE(AU$4,1))-MAX($C54,AU$4))/MAX(1,$D54+1-$C54))</f>
        <v/>
      </c>
      <c r="AV54" s="64" t="str">
        <f aca="false">IF(OR(AV$4="",$C54="",$D54="",N($E54)=0),"",$E54*MAX(0,MIN($D54+1,EDATE(AV$4,1))-MAX($C54,AV$4))/MAX(1,$D54+1-$C54))</f>
        <v/>
      </c>
      <c r="AW54" s="64" t="str">
        <f aca="false">IF(OR(AW$4="",$C54="",$D54="",N($E54)=0),"",$E54*MAX(0,MIN($D54+1,EDATE(AW$4,1))-MAX($C54,AW$4))/MAX(1,$D54+1-$C54))</f>
        <v/>
      </c>
      <c r="AX54" s="64" t="str">
        <f aca="false">IF(OR(AX$4="",$C54="",$D54="",N($E54)=0),"",$E54*MAX(0,MIN($D54+1,EDATE(AX$4,1))-MAX($C54,AX$4))/MAX(1,$D54+1-$C54))</f>
        <v/>
      </c>
      <c r="AY54" s="64" t="str">
        <f aca="false">IF(OR(AY$4="",$C54="",$D54="",N($E54)=0),"",$E54*MAX(0,MIN($D54+1,EDATE(AY$4,1))-MAX($C54,AY$4))/MAX(1,$D54+1-$C54))</f>
        <v/>
      </c>
      <c r="AZ54" s="64" t="str">
        <f aca="false">IF(OR(AZ$4="",$C54="",$D54="",N($E54)=0),"",$E54*MAX(0,MIN($D54+1,EDATE(AZ$4,1))-MAX($C54,AZ$4))/MAX(1,$D54+1-$C54))</f>
        <v/>
      </c>
      <c r="BA54" s="64" t="str">
        <f aca="false">IF(OR(BA$4="",$C54="",$D54="",N($E54)=0),"",$E54*MAX(0,MIN($D54+1,EDATE(BA$4,1))-MAX($C54,BA$4))/MAX(1,$D54+1-$C54))</f>
        <v/>
      </c>
      <c r="BB54" s="64" t="str">
        <f aca="false">IF(OR(BB$4="",$C54="",$D54="",N($E54)=0),"",$E54*MAX(0,MIN($D54+1,EDATE(BB$4,1))-MAX($C54,BB$4))/MAX(1,$D54+1-$C54))</f>
        <v/>
      </c>
      <c r="BC54" s="64" t="str">
        <f aca="false">IF(OR(BC$4="",$C54="",$D54="",N($E54)=0),"",$E54*MAX(0,MIN($D54+1,EDATE(BC$4,1))-MAX($C54,BC$4))/MAX(1,$D54+1-$C54))</f>
        <v/>
      </c>
      <c r="BD54" s="64" t="str">
        <f aca="false">IF(OR(BD$4="",$C54="",$D54="",N($E54)=0),"",$E54*MAX(0,MIN($D54+1,EDATE(BD$4,1))-MAX($C54,BD$4))/MAX(1,$D54+1-$C54))</f>
        <v/>
      </c>
      <c r="BE54" s="64" t="str">
        <f aca="false">IF(OR(BE$4="",$C54="",$D54="",N($E54)=0),"",$E54*MAX(0,MIN($D54+1,EDATE(BE$4,1))-MAX($C54,BE$4))/MAX(1,$D54+1-$C54))</f>
        <v/>
      </c>
      <c r="BF54" s="64" t="str">
        <f aca="false">IF(OR(BF$4="",$C54="",$D54="",N($E54)=0),"",$E54*MAX(0,MIN($D54+1,EDATE(BF$4,1))-MAX($C54,BF$4))/MAX(1,$D54+1-$C54))</f>
        <v/>
      </c>
      <c r="BG54" s="64" t="str">
        <f aca="false">IF(OR(BG$4="",$C54="",$D54="",N($E54)=0),"",$E54*MAX(0,MIN($D54+1,EDATE(BG$4,1))-MAX($C54,BG$4))/MAX(1,$D54+1-$C54))</f>
        <v/>
      </c>
      <c r="BH54" s="64" t="str">
        <f aca="false">IF(OR(BH$4="",$C54="",$D54="",N($E54)=0),"",$E54*MAX(0,MIN($D54+1,EDATE(BH$4,1))-MAX($C54,BH$4))/MAX(1,$D54+1-$C54))</f>
        <v/>
      </c>
      <c r="BI54" s="64" t="str">
        <f aca="false">IF(OR(BI$4="",$C54="",$D54="",N($E54)=0),"",$E54*MAX(0,MIN($D54+1,EDATE(BI$4,1))-MAX($C54,BI$4))/MAX(1,$D54+1-$C54))</f>
        <v/>
      </c>
      <c r="BJ54" s="64" t="str">
        <f aca="false">IF(OR(BJ$4="",$C54="",$D54="",N($E54)=0),"",$E54*MAX(0,MIN($D54+1,EDATE(BJ$4,1))-MAX($C54,BJ$4))/MAX(1,$D54+1-$C54))</f>
        <v/>
      </c>
      <c r="BK54" s="64" t="str">
        <f aca="false">IF(OR(BK$4="",$C54="",$D54="",N($E54)=0),"",$E54*MAX(0,MIN($D54+1,EDATE(BK$4,1))-MAX($C54,BK$4))/MAX(1,$D54+1-$C54))</f>
        <v/>
      </c>
      <c r="BL54" s="64" t="str">
        <f aca="false">IF(OR(BL$4="",$C54="",$D54="",N($E54)=0),"",$E54*MAX(0,MIN($D54+1,EDATE(BL$4,1))-MAX($C54,BL$4))/MAX(1,$D54+1-$C54))</f>
        <v/>
      </c>
      <c r="BM54" s="64" t="str">
        <f aca="false">IF(OR(BM$4="",$C54="",$D54="",N($E54)=0),"",$E54*MAX(0,MIN($D54+1,EDATE(BM$4,1))-MAX($C54,BM$4))/MAX(1,$D54+1-$C54))</f>
        <v/>
      </c>
      <c r="BN54" s="64" t="str">
        <f aca="false">IF(OR(BN$4="",$C54="",$D54="",N($E54)=0),"",$E54*MAX(0,MIN($D54+1,EDATE(BN$4,1))-MAX($C54,BN$4))/MAX(1,$D54+1-$C54))</f>
        <v/>
      </c>
      <c r="BO54" s="64" t="str">
        <f aca="false">IF(OR(BO$4="",$C54="",$D54="",N($E54)=0),"",$E54*MAX(0,MIN($D54+1,EDATE(BO$4,1))-MAX($C54,BO$4))/MAX(1,$D54+1-$C54))</f>
        <v/>
      </c>
      <c r="BP54" s="64" t="str">
        <f aca="false">IF(OR(BP$4="",$C54="",$D54="",N($E54)=0),"",$E54*MAX(0,MIN($D54+1,EDATE(BP$4,1))-MAX($C54,BP$4))/MAX(1,$D54+1-$C54))</f>
        <v/>
      </c>
      <c r="BQ54" s="64" t="str">
        <f aca="false">IF(OR(BQ$4="",$C54="",$D54="",N($E54)=0),"",$E54*MAX(0,MIN($D54+1,EDATE(BQ$4,1))-MAX($C54,BQ$4))/MAX(1,$D54+1-$C54))</f>
        <v/>
      </c>
      <c r="BR54" s="64" t="str">
        <f aca="false">IF(OR(BR$4="",$C54="",$D54="",N($E54)=0),"",$E54*MAX(0,MIN($D54+1,EDATE(BR$4,1))-MAX($C54,BR$4))/MAX(1,$D54+1-$C54))</f>
        <v/>
      </c>
      <c r="BS54" s="64" t="str">
        <f aca="false">IF(OR(BS$4="",$C54="",$D54="",N($E54)=0),"",$E54*MAX(0,MIN($D54+1,EDATE(BS$4,1))-MAX($C54,BS$4))/MAX(1,$D54+1-$C54))</f>
        <v/>
      </c>
      <c r="BT54" s="64" t="str">
        <f aca="false">IF(OR(BT$4="",$C54="",$D54="",N($E54)=0),"",$E54*MAX(0,MIN($D54+1,EDATE(BT$4,1))-MAX($C54,BT$4))/MAX(1,$D54+1-$C54))</f>
        <v/>
      </c>
      <c r="BU54" s="64" t="str">
        <f aca="false">IF(OR(BU$4="",$C54="",$D54="",N($E54)=0),"",$E54*MAX(0,MIN($D54+1,EDATE(BU$4,1))-MAX($C54,BU$4))/MAX(1,$D54+1-$C54))</f>
        <v/>
      </c>
      <c r="BV54" s="64" t="str">
        <f aca="false">IF(OR(BV$4="",$C54="",$D54="",N($E54)=0),"",$E54*MAX(0,MIN($D54+1,EDATE(BV$4,1))-MAX($C54,BV$4))/MAX(1,$D54+1-$C54))</f>
        <v/>
      </c>
      <c r="BW54" s="64" t="str">
        <f aca="false">IF(OR(BW$4="",$C54="",$D54="",N($E54)=0),"",$E54*MAX(0,MIN($D54+1,EDATE(BW$4,1))-MAX($C54,BW$4))/MAX(1,$D54+1-$C54))</f>
        <v/>
      </c>
      <c r="BX54" s="64" t="str">
        <f aca="false">IF(OR(BX$4="",$C54="",$D54="",N($E54)=0),"",$E54*MAX(0,MIN($D54+1,EDATE(BX$4,1))-MAX($C54,BX$4))/MAX(1,$D54+1-$C54))</f>
        <v/>
      </c>
      <c r="BY54" s="64" t="str">
        <f aca="false">IF(OR(BY$4="",$C54="",$D54="",N($E54)=0),"",$E54*MAX(0,MIN($D54+1,EDATE(BY$4,1))-MAX($C54,BY$4))/MAX(1,$D54+1-$C54))</f>
        <v/>
      </c>
    </row>
    <row r="55" customFormat="false" ht="15" hidden="false" customHeight="false" outlineLevel="0" collapsed="false">
      <c r="A55" s="61" t="str">
        <f aca="false">IF(BOE!$A56="","",BOE!$A56)</f>
        <v/>
      </c>
      <c r="B55" s="61" t="str">
        <f aca="false">IF(BOE!$A56="","",BOE!$C56)</f>
        <v/>
      </c>
      <c r="C55" s="62" t="str">
        <f aca="false">IF(BOE!$O56="","",BOE!$O56)</f>
        <v/>
      </c>
      <c r="D55" s="62" t="str">
        <f aca="false">IF(BOE!$P56="","",BOE!$P56)</f>
        <v/>
      </c>
      <c r="E55" s="63" t="n">
        <f aca="false">IF(Inputs!$B$7="P90",BOE!$T56,BOE!$R56)</f>
        <v>0</v>
      </c>
      <c r="F55" s="64" t="str">
        <f aca="false">IF(OR(F$4="",$C55="",$D55="",N($E55)=0),"",$E55*MAX(0,MIN($D55+1,EDATE(F$4,1))-MAX($C55,F$4))/MAX(1,$D55+1-$C55))</f>
        <v/>
      </c>
      <c r="G55" s="64" t="str">
        <f aca="false">IF(OR(G$4="",$C55="",$D55="",N($E55)=0),"",$E55*MAX(0,MIN($D55+1,EDATE(G$4,1))-MAX($C55,G$4))/MAX(1,$D55+1-$C55))</f>
        <v/>
      </c>
      <c r="H55" s="64" t="str">
        <f aca="false">IF(OR(H$4="",$C55="",$D55="",N($E55)=0),"",$E55*MAX(0,MIN($D55+1,EDATE(H$4,1))-MAX($C55,H$4))/MAX(1,$D55+1-$C55))</f>
        <v/>
      </c>
      <c r="I55" s="64" t="str">
        <f aca="false">IF(OR(I$4="",$C55="",$D55="",N($E55)=0),"",$E55*MAX(0,MIN($D55+1,EDATE(I$4,1))-MAX($C55,I$4))/MAX(1,$D55+1-$C55))</f>
        <v/>
      </c>
      <c r="J55" s="64" t="str">
        <f aca="false">IF(OR(J$4="",$C55="",$D55="",N($E55)=0),"",$E55*MAX(0,MIN($D55+1,EDATE(J$4,1))-MAX($C55,J$4))/MAX(1,$D55+1-$C55))</f>
        <v/>
      </c>
      <c r="K55" s="64" t="str">
        <f aca="false">IF(OR(K$4="",$C55="",$D55="",N($E55)=0),"",$E55*MAX(0,MIN($D55+1,EDATE(K$4,1))-MAX($C55,K$4))/MAX(1,$D55+1-$C55))</f>
        <v/>
      </c>
      <c r="L55" s="64" t="str">
        <f aca="false">IF(OR(L$4="",$C55="",$D55="",N($E55)=0),"",$E55*MAX(0,MIN($D55+1,EDATE(L$4,1))-MAX($C55,L$4))/MAX(1,$D55+1-$C55))</f>
        <v/>
      </c>
      <c r="M55" s="64" t="str">
        <f aca="false">IF(OR(M$4="",$C55="",$D55="",N($E55)=0),"",$E55*MAX(0,MIN($D55+1,EDATE(M$4,1))-MAX($C55,M$4))/MAX(1,$D55+1-$C55))</f>
        <v/>
      </c>
      <c r="N55" s="64" t="str">
        <f aca="false">IF(OR(N$4="",$C55="",$D55="",N($E55)=0),"",$E55*MAX(0,MIN($D55+1,EDATE(N$4,1))-MAX($C55,N$4))/MAX(1,$D55+1-$C55))</f>
        <v/>
      </c>
      <c r="O55" s="64" t="str">
        <f aca="false">IF(OR(O$4="",$C55="",$D55="",N($E55)=0),"",$E55*MAX(0,MIN($D55+1,EDATE(O$4,1))-MAX($C55,O$4))/MAX(1,$D55+1-$C55))</f>
        <v/>
      </c>
      <c r="P55" s="64" t="str">
        <f aca="false">IF(OR(P$4="",$C55="",$D55="",N($E55)=0),"",$E55*MAX(0,MIN($D55+1,EDATE(P$4,1))-MAX($C55,P$4))/MAX(1,$D55+1-$C55))</f>
        <v/>
      </c>
      <c r="Q55" s="64" t="str">
        <f aca="false">IF(OR(Q$4="",$C55="",$D55="",N($E55)=0),"",$E55*MAX(0,MIN($D55+1,EDATE(Q$4,1))-MAX($C55,Q$4))/MAX(1,$D55+1-$C55))</f>
        <v/>
      </c>
      <c r="R55" s="64" t="str">
        <f aca="false">IF(OR(R$4="",$C55="",$D55="",N($E55)=0),"",$E55*MAX(0,MIN($D55+1,EDATE(R$4,1))-MAX($C55,R$4))/MAX(1,$D55+1-$C55))</f>
        <v/>
      </c>
      <c r="S55" s="64" t="str">
        <f aca="false">IF(OR(S$4="",$C55="",$D55="",N($E55)=0),"",$E55*MAX(0,MIN($D55+1,EDATE(S$4,1))-MAX($C55,S$4))/MAX(1,$D55+1-$C55))</f>
        <v/>
      </c>
      <c r="T55" s="64" t="str">
        <f aca="false">IF(OR(T$4="",$C55="",$D55="",N($E55)=0),"",$E55*MAX(0,MIN($D55+1,EDATE(T$4,1))-MAX($C55,T$4))/MAX(1,$D55+1-$C55))</f>
        <v/>
      </c>
      <c r="U55" s="64" t="str">
        <f aca="false">IF(OR(U$4="",$C55="",$D55="",N($E55)=0),"",$E55*MAX(0,MIN($D55+1,EDATE(U$4,1))-MAX($C55,U$4))/MAX(1,$D55+1-$C55))</f>
        <v/>
      </c>
      <c r="V55" s="64" t="str">
        <f aca="false">IF(OR(V$4="",$C55="",$D55="",N($E55)=0),"",$E55*MAX(0,MIN($D55+1,EDATE(V$4,1))-MAX($C55,V$4))/MAX(1,$D55+1-$C55))</f>
        <v/>
      </c>
      <c r="W55" s="64" t="str">
        <f aca="false">IF(OR(W$4="",$C55="",$D55="",N($E55)=0),"",$E55*MAX(0,MIN($D55+1,EDATE(W$4,1))-MAX($C55,W$4))/MAX(1,$D55+1-$C55))</f>
        <v/>
      </c>
      <c r="X55" s="64" t="str">
        <f aca="false">IF(OR(X$4="",$C55="",$D55="",N($E55)=0),"",$E55*MAX(0,MIN($D55+1,EDATE(X$4,1))-MAX($C55,X$4))/MAX(1,$D55+1-$C55))</f>
        <v/>
      </c>
      <c r="Y55" s="64" t="str">
        <f aca="false">IF(OR(Y$4="",$C55="",$D55="",N($E55)=0),"",$E55*MAX(0,MIN($D55+1,EDATE(Y$4,1))-MAX($C55,Y$4))/MAX(1,$D55+1-$C55))</f>
        <v/>
      </c>
      <c r="Z55" s="64" t="str">
        <f aca="false">IF(OR(Z$4="",$C55="",$D55="",N($E55)=0),"",$E55*MAX(0,MIN($D55+1,EDATE(Z$4,1))-MAX($C55,Z$4))/MAX(1,$D55+1-$C55))</f>
        <v/>
      </c>
      <c r="AA55" s="64" t="str">
        <f aca="false">IF(OR(AA$4="",$C55="",$D55="",N($E55)=0),"",$E55*MAX(0,MIN($D55+1,EDATE(AA$4,1))-MAX($C55,AA$4))/MAX(1,$D55+1-$C55))</f>
        <v/>
      </c>
      <c r="AB55" s="64" t="str">
        <f aca="false">IF(OR(AB$4="",$C55="",$D55="",N($E55)=0),"",$E55*MAX(0,MIN($D55+1,EDATE(AB$4,1))-MAX($C55,AB$4))/MAX(1,$D55+1-$C55))</f>
        <v/>
      </c>
      <c r="AC55" s="64" t="str">
        <f aca="false">IF(OR(AC$4="",$C55="",$D55="",N($E55)=0),"",$E55*MAX(0,MIN($D55+1,EDATE(AC$4,1))-MAX($C55,AC$4))/MAX(1,$D55+1-$C55))</f>
        <v/>
      </c>
      <c r="AD55" s="64" t="str">
        <f aca="false">IF(OR(AD$4="",$C55="",$D55="",N($E55)=0),"",$E55*MAX(0,MIN($D55+1,EDATE(AD$4,1))-MAX($C55,AD$4))/MAX(1,$D55+1-$C55))</f>
        <v/>
      </c>
      <c r="AE55" s="64" t="str">
        <f aca="false">IF(OR(AE$4="",$C55="",$D55="",N($E55)=0),"",$E55*MAX(0,MIN($D55+1,EDATE(AE$4,1))-MAX($C55,AE$4))/MAX(1,$D55+1-$C55))</f>
        <v/>
      </c>
      <c r="AF55" s="64" t="str">
        <f aca="false">IF(OR(AF$4="",$C55="",$D55="",N($E55)=0),"",$E55*MAX(0,MIN($D55+1,EDATE(AF$4,1))-MAX($C55,AF$4))/MAX(1,$D55+1-$C55))</f>
        <v/>
      </c>
      <c r="AG55" s="64" t="str">
        <f aca="false">IF(OR(AG$4="",$C55="",$D55="",N($E55)=0),"",$E55*MAX(0,MIN($D55+1,EDATE(AG$4,1))-MAX($C55,AG$4))/MAX(1,$D55+1-$C55))</f>
        <v/>
      </c>
      <c r="AH55" s="64" t="str">
        <f aca="false">IF(OR(AH$4="",$C55="",$D55="",N($E55)=0),"",$E55*MAX(0,MIN($D55+1,EDATE(AH$4,1))-MAX($C55,AH$4))/MAX(1,$D55+1-$C55))</f>
        <v/>
      </c>
      <c r="AI55" s="64" t="str">
        <f aca="false">IF(OR(AI$4="",$C55="",$D55="",N($E55)=0),"",$E55*MAX(0,MIN($D55+1,EDATE(AI$4,1))-MAX($C55,AI$4))/MAX(1,$D55+1-$C55))</f>
        <v/>
      </c>
      <c r="AJ55" s="64" t="str">
        <f aca="false">IF(OR(AJ$4="",$C55="",$D55="",N($E55)=0),"",$E55*MAX(0,MIN($D55+1,EDATE(AJ$4,1))-MAX($C55,AJ$4))/MAX(1,$D55+1-$C55))</f>
        <v/>
      </c>
      <c r="AK55" s="64" t="str">
        <f aca="false">IF(OR(AK$4="",$C55="",$D55="",N($E55)=0),"",$E55*MAX(0,MIN($D55+1,EDATE(AK$4,1))-MAX($C55,AK$4))/MAX(1,$D55+1-$C55))</f>
        <v/>
      </c>
      <c r="AL55" s="64" t="str">
        <f aca="false">IF(OR(AL$4="",$C55="",$D55="",N($E55)=0),"",$E55*MAX(0,MIN($D55+1,EDATE(AL$4,1))-MAX($C55,AL$4))/MAX(1,$D55+1-$C55))</f>
        <v/>
      </c>
      <c r="AM55" s="64" t="str">
        <f aca="false">IF(OR(AM$4="",$C55="",$D55="",N($E55)=0),"",$E55*MAX(0,MIN($D55+1,EDATE(AM$4,1))-MAX($C55,AM$4))/MAX(1,$D55+1-$C55))</f>
        <v/>
      </c>
      <c r="AN55" s="64" t="str">
        <f aca="false">IF(OR(AN$4="",$C55="",$D55="",N($E55)=0),"",$E55*MAX(0,MIN($D55+1,EDATE(AN$4,1))-MAX($C55,AN$4))/MAX(1,$D55+1-$C55))</f>
        <v/>
      </c>
      <c r="AO55" s="64" t="str">
        <f aca="false">IF(OR(AO$4="",$C55="",$D55="",N($E55)=0),"",$E55*MAX(0,MIN($D55+1,EDATE(AO$4,1))-MAX($C55,AO$4))/MAX(1,$D55+1-$C55))</f>
        <v/>
      </c>
      <c r="AP55" s="64" t="str">
        <f aca="false">IF(OR(AP$4="",$C55="",$D55="",N($E55)=0),"",$E55*MAX(0,MIN($D55+1,EDATE(AP$4,1))-MAX($C55,AP$4))/MAX(1,$D55+1-$C55))</f>
        <v/>
      </c>
      <c r="AQ55" s="64" t="str">
        <f aca="false">IF(OR(AQ$4="",$C55="",$D55="",N($E55)=0),"",$E55*MAX(0,MIN($D55+1,EDATE(AQ$4,1))-MAX($C55,AQ$4))/MAX(1,$D55+1-$C55))</f>
        <v/>
      </c>
      <c r="AR55" s="64" t="str">
        <f aca="false">IF(OR(AR$4="",$C55="",$D55="",N($E55)=0),"",$E55*MAX(0,MIN($D55+1,EDATE(AR$4,1))-MAX($C55,AR$4))/MAX(1,$D55+1-$C55))</f>
        <v/>
      </c>
      <c r="AS55" s="64" t="str">
        <f aca="false">IF(OR(AS$4="",$C55="",$D55="",N($E55)=0),"",$E55*MAX(0,MIN($D55+1,EDATE(AS$4,1))-MAX($C55,AS$4))/MAX(1,$D55+1-$C55))</f>
        <v/>
      </c>
      <c r="AT55" s="64" t="str">
        <f aca="false">IF(OR(AT$4="",$C55="",$D55="",N($E55)=0),"",$E55*MAX(0,MIN($D55+1,EDATE(AT$4,1))-MAX($C55,AT$4))/MAX(1,$D55+1-$C55))</f>
        <v/>
      </c>
      <c r="AU55" s="64" t="str">
        <f aca="false">IF(OR(AU$4="",$C55="",$D55="",N($E55)=0),"",$E55*MAX(0,MIN($D55+1,EDATE(AU$4,1))-MAX($C55,AU$4))/MAX(1,$D55+1-$C55))</f>
        <v/>
      </c>
      <c r="AV55" s="64" t="str">
        <f aca="false">IF(OR(AV$4="",$C55="",$D55="",N($E55)=0),"",$E55*MAX(0,MIN($D55+1,EDATE(AV$4,1))-MAX($C55,AV$4))/MAX(1,$D55+1-$C55))</f>
        <v/>
      </c>
      <c r="AW55" s="64" t="str">
        <f aca="false">IF(OR(AW$4="",$C55="",$D55="",N($E55)=0),"",$E55*MAX(0,MIN($D55+1,EDATE(AW$4,1))-MAX($C55,AW$4))/MAX(1,$D55+1-$C55))</f>
        <v/>
      </c>
      <c r="AX55" s="64" t="str">
        <f aca="false">IF(OR(AX$4="",$C55="",$D55="",N($E55)=0),"",$E55*MAX(0,MIN($D55+1,EDATE(AX$4,1))-MAX($C55,AX$4))/MAX(1,$D55+1-$C55))</f>
        <v/>
      </c>
      <c r="AY55" s="64" t="str">
        <f aca="false">IF(OR(AY$4="",$C55="",$D55="",N($E55)=0),"",$E55*MAX(0,MIN($D55+1,EDATE(AY$4,1))-MAX($C55,AY$4))/MAX(1,$D55+1-$C55))</f>
        <v/>
      </c>
      <c r="AZ55" s="64" t="str">
        <f aca="false">IF(OR(AZ$4="",$C55="",$D55="",N($E55)=0),"",$E55*MAX(0,MIN($D55+1,EDATE(AZ$4,1))-MAX($C55,AZ$4))/MAX(1,$D55+1-$C55))</f>
        <v/>
      </c>
      <c r="BA55" s="64" t="str">
        <f aca="false">IF(OR(BA$4="",$C55="",$D55="",N($E55)=0),"",$E55*MAX(0,MIN($D55+1,EDATE(BA$4,1))-MAX($C55,BA$4))/MAX(1,$D55+1-$C55))</f>
        <v/>
      </c>
      <c r="BB55" s="64" t="str">
        <f aca="false">IF(OR(BB$4="",$C55="",$D55="",N($E55)=0),"",$E55*MAX(0,MIN($D55+1,EDATE(BB$4,1))-MAX($C55,BB$4))/MAX(1,$D55+1-$C55))</f>
        <v/>
      </c>
      <c r="BC55" s="64" t="str">
        <f aca="false">IF(OR(BC$4="",$C55="",$D55="",N($E55)=0),"",$E55*MAX(0,MIN($D55+1,EDATE(BC$4,1))-MAX($C55,BC$4))/MAX(1,$D55+1-$C55))</f>
        <v/>
      </c>
      <c r="BD55" s="64" t="str">
        <f aca="false">IF(OR(BD$4="",$C55="",$D55="",N($E55)=0),"",$E55*MAX(0,MIN($D55+1,EDATE(BD$4,1))-MAX($C55,BD$4))/MAX(1,$D55+1-$C55))</f>
        <v/>
      </c>
      <c r="BE55" s="64" t="str">
        <f aca="false">IF(OR(BE$4="",$C55="",$D55="",N($E55)=0),"",$E55*MAX(0,MIN($D55+1,EDATE(BE$4,1))-MAX($C55,BE$4))/MAX(1,$D55+1-$C55))</f>
        <v/>
      </c>
      <c r="BF55" s="64" t="str">
        <f aca="false">IF(OR(BF$4="",$C55="",$D55="",N($E55)=0),"",$E55*MAX(0,MIN($D55+1,EDATE(BF$4,1))-MAX($C55,BF$4))/MAX(1,$D55+1-$C55))</f>
        <v/>
      </c>
      <c r="BG55" s="64" t="str">
        <f aca="false">IF(OR(BG$4="",$C55="",$D55="",N($E55)=0),"",$E55*MAX(0,MIN($D55+1,EDATE(BG$4,1))-MAX($C55,BG$4))/MAX(1,$D55+1-$C55))</f>
        <v/>
      </c>
      <c r="BH55" s="64" t="str">
        <f aca="false">IF(OR(BH$4="",$C55="",$D55="",N($E55)=0),"",$E55*MAX(0,MIN($D55+1,EDATE(BH$4,1))-MAX($C55,BH$4))/MAX(1,$D55+1-$C55))</f>
        <v/>
      </c>
      <c r="BI55" s="64" t="str">
        <f aca="false">IF(OR(BI$4="",$C55="",$D55="",N($E55)=0),"",$E55*MAX(0,MIN($D55+1,EDATE(BI$4,1))-MAX($C55,BI$4))/MAX(1,$D55+1-$C55))</f>
        <v/>
      </c>
      <c r="BJ55" s="64" t="str">
        <f aca="false">IF(OR(BJ$4="",$C55="",$D55="",N($E55)=0),"",$E55*MAX(0,MIN($D55+1,EDATE(BJ$4,1))-MAX($C55,BJ$4))/MAX(1,$D55+1-$C55))</f>
        <v/>
      </c>
      <c r="BK55" s="64" t="str">
        <f aca="false">IF(OR(BK$4="",$C55="",$D55="",N($E55)=0),"",$E55*MAX(0,MIN($D55+1,EDATE(BK$4,1))-MAX($C55,BK$4))/MAX(1,$D55+1-$C55))</f>
        <v/>
      </c>
      <c r="BL55" s="64" t="str">
        <f aca="false">IF(OR(BL$4="",$C55="",$D55="",N($E55)=0),"",$E55*MAX(0,MIN($D55+1,EDATE(BL$4,1))-MAX($C55,BL$4))/MAX(1,$D55+1-$C55))</f>
        <v/>
      </c>
      <c r="BM55" s="64" t="str">
        <f aca="false">IF(OR(BM$4="",$C55="",$D55="",N($E55)=0),"",$E55*MAX(0,MIN($D55+1,EDATE(BM$4,1))-MAX($C55,BM$4))/MAX(1,$D55+1-$C55))</f>
        <v/>
      </c>
      <c r="BN55" s="64" t="str">
        <f aca="false">IF(OR(BN$4="",$C55="",$D55="",N($E55)=0),"",$E55*MAX(0,MIN($D55+1,EDATE(BN$4,1))-MAX($C55,BN$4))/MAX(1,$D55+1-$C55))</f>
        <v/>
      </c>
      <c r="BO55" s="64" t="str">
        <f aca="false">IF(OR(BO$4="",$C55="",$D55="",N($E55)=0),"",$E55*MAX(0,MIN($D55+1,EDATE(BO$4,1))-MAX($C55,BO$4))/MAX(1,$D55+1-$C55))</f>
        <v/>
      </c>
      <c r="BP55" s="64" t="str">
        <f aca="false">IF(OR(BP$4="",$C55="",$D55="",N($E55)=0),"",$E55*MAX(0,MIN($D55+1,EDATE(BP$4,1))-MAX($C55,BP$4))/MAX(1,$D55+1-$C55))</f>
        <v/>
      </c>
      <c r="BQ55" s="64" t="str">
        <f aca="false">IF(OR(BQ$4="",$C55="",$D55="",N($E55)=0),"",$E55*MAX(0,MIN($D55+1,EDATE(BQ$4,1))-MAX($C55,BQ$4))/MAX(1,$D55+1-$C55))</f>
        <v/>
      </c>
      <c r="BR55" s="64" t="str">
        <f aca="false">IF(OR(BR$4="",$C55="",$D55="",N($E55)=0),"",$E55*MAX(0,MIN($D55+1,EDATE(BR$4,1))-MAX($C55,BR$4))/MAX(1,$D55+1-$C55))</f>
        <v/>
      </c>
      <c r="BS55" s="64" t="str">
        <f aca="false">IF(OR(BS$4="",$C55="",$D55="",N($E55)=0),"",$E55*MAX(0,MIN($D55+1,EDATE(BS$4,1))-MAX($C55,BS$4))/MAX(1,$D55+1-$C55))</f>
        <v/>
      </c>
      <c r="BT55" s="64" t="str">
        <f aca="false">IF(OR(BT$4="",$C55="",$D55="",N($E55)=0),"",$E55*MAX(0,MIN($D55+1,EDATE(BT$4,1))-MAX($C55,BT$4))/MAX(1,$D55+1-$C55))</f>
        <v/>
      </c>
      <c r="BU55" s="64" t="str">
        <f aca="false">IF(OR(BU$4="",$C55="",$D55="",N($E55)=0),"",$E55*MAX(0,MIN($D55+1,EDATE(BU$4,1))-MAX($C55,BU$4))/MAX(1,$D55+1-$C55))</f>
        <v/>
      </c>
      <c r="BV55" s="64" t="str">
        <f aca="false">IF(OR(BV$4="",$C55="",$D55="",N($E55)=0),"",$E55*MAX(0,MIN($D55+1,EDATE(BV$4,1))-MAX($C55,BV$4))/MAX(1,$D55+1-$C55))</f>
        <v/>
      </c>
      <c r="BW55" s="64" t="str">
        <f aca="false">IF(OR(BW$4="",$C55="",$D55="",N($E55)=0),"",$E55*MAX(0,MIN($D55+1,EDATE(BW$4,1))-MAX($C55,BW$4))/MAX(1,$D55+1-$C55))</f>
        <v/>
      </c>
      <c r="BX55" s="64" t="str">
        <f aca="false">IF(OR(BX$4="",$C55="",$D55="",N($E55)=0),"",$E55*MAX(0,MIN($D55+1,EDATE(BX$4,1))-MAX($C55,BX$4))/MAX(1,$D55+1-$C55))</f>
        <v/>
      </c>
      <c r="BY55" s="64" t="str">
        <f aca="false">IF(OR(BY$4="",$C55="",$D55="",N($E55)=0),"",$E55*MAX(0,MIN($D55+1,EDATE(BY$4,1))-MAX($C55,BY$4))/MAX(1,$D55+1-$C55))</f>
        <v/>
      </c>
    </row>
    <row r="56" customFormat="false" ht="15" hidden="false" customHeight="false" outlineLevel="0" collapsed="false">
      <c r="A56" s="61" t="str">
        <f aca="false">IF(BOE!$A57="","",BOE!$A57)</f>
        <v/>
      </c>
      <c r="B56" s="61" t="str">
        <f aca="false">IF(BOE!$A57="","",BOE!$C57)</f>
        <v/>
      </c>
      <c r="C56" s="62" t="str">
        <f aca="false">IF(BOE!$O57="","",BOE!$O57)</f>
        <v/>
      </c>
      <c r="D56" s="62" t="str">
        <f aca="false">IF(BOE!$P57="","",BOE!$P57)</f>
        <v/>
      </c>
      <c r="E56" s="63" t="n">
        <f aca="false">IF(Inputs!$B$7="P90",BOE!$T57,BOE!$R57)</f>
        <v>0</v>
      </c>
      <c r="F56" s="64" t="str">
        <f aca="false">IF(OR(F$4="",$C56="",$D56="",N($E56)=0),"",$E56*MAX(0,MIN($D56+1,EDATE(F$4,1))-MAX($C56,F$4))/MAX(1,$D56+1-$C56))</f>
        <v/>
      </c>
      <c r="G56" s="64" t="str">
        <f aca="false">IF(OR(G$4="",$C56="",$D56="",N($E56)=0),"",$E56*MAX(0,MIN($D56+1,EDATE(G$4,1))-MAX($C56,G$4))/MAX(1,$D56+1-$C56))</f>
        <v/>
      </c>
      <c r="H56" s="64" t="str">
        <f aca="false">IF(OR(H$4="",$C56="",$D56="",N($E56)=0),"",$E56*MAX(0,MIN($D56+1,EDATE(H$4,1))-MAX($C56,H$4))/MAX(1,$D56+1-$C56))</f>
        <v/>
      </c>
      <c r="I56" s="64" t="str">
        <f aca="false">IF(OR(I$4="",$C56="",$D56="",N($E56)=0),"",$E56*MAX(0,MIN($D56+1,EDATE(I$4,1))-MAX($C56,I$4))/MAX(1,$D56+1-$C56))</f>
        <v/>
      </c>
      <c r="J56" s="64" t="str">
        <f aca="false">IF(OR(J$4="",$C56="",$D56="",N($E56)=0),"",$E56*MAX(0,MIN($D56+1,EDATE(J$4,1))-MAX($C56,J$4))/MAX(1,$D56+1-$C56))</f>
        <v/>
      </c>
      <c r="K56" s="64" t="str">
        <f aca="false">IF(OR(K$4="",$C56="",$D56="",N($E56)=0),"",$E56*MAX(0,MIN($D56+1,EDATE(K$4,1))-MAX($C56,K$4))/MAX(1,$D56+1-$C56))</f>
        <v/>
      </c>
      <c r="L56" s="64" t="str">
        <f aca="false">IF(OR(L$4="",$C56="",$D56="",N($E56)=0),"",$E56*MAX(0,MIN($D56+1,EDATE(L$4,1))-MAX($C56,L$4))/MAX(1,$D56+1-$C56))</f>
        <v/>
      </c>
      <c r="M56" s="64" t="str">
        <f aca="false">IF(OR(M$4="",$C56="",$D56="",N($E56)=0),"",$E56*MAX(0,MIN($D56+1,EDATE(M$4,1))-MAX($C56,M$4))/MAX(1,$D56+1-$C56))</f>
        <v/>
      </c>
      <c r="N56" s="64" t="str">
        <f aca="false">IF(OR(N$4="",$C56="",$D56="",N($E56)=0),"",$E56*MAX(0,MIN($D56+1,EDATE(N$4,1))-MAX($C56,N$4))/MAX(1,$D56+1-$C56))</f>
        <v/>
      </c>
      <c r="O56" s="64" t="str">
        <f aca="false">IF(OR(O$4="",$C56="",$D56="",N($E56)=0),"",$E56*MAX(0,MIN($D56+1,EDATE(O$4,1))-MAX($C56,O$4))/MAX(1,$D56+1-$C56))</f>
        <v/>
      </c>
      <c r="P56" s="64" t="str">
        <f aca="false">IF(OR(P$4="",$C56="",$D56="",N($E56)=0),"",$E56*MAX(0,MIN($D56+1,EDATE(P$4,1))-MAX($C56,P$4))/MAX(1,$D56+1-$C56))</f>
        <v/>
      </c>
      <c r="Q56" s="64" t="str">
        <f aca="false">IF(OR(Q$4="",$C56="",$D56="",N($E56)=0),"",$E56*MAX(0,MIN($D56+1,EDATE(Q$4,1))-MAX($C56,Q$4))/MAX(1,$D56+1-$C56))</f>
        <v/>
      </c>
      <c r="R56" s="64" t="str">
        <f aca="false">IF(OR(R$4="",$C56="",$D56="",N($E56)=0),"",$E56*MAX(0,MIN($D56+1,EDATE(R$4,1))-MAX($C56,R$4))/MAX(1,$D56+1-$C56))</f>
        <v/>
      </c>
      <c r="S56" s="64" t="str">
        <f aca="false">IF(OR(S$4="",$C56="",$D56="",N($E56)=0),"",$E56*MAX(0,MIN($D56+1,EDATE(S$4,1))-MAX($C56,S$4))/MAX(1,$D56+1-$C56))</f>
        <v/>
      </c>
      <c r="T56" s="64" t="str">
        <f aca="false">IF(OR(T$4="",$C56="",$D56="",N($E56)=0),"",$E56*MAX(0,MIN($D56+1,EDATE(T$4,1))-MAX($C56,T$4))/MAX(1,$D56+1-$C56))</f>
        <v/>
      </c>
      <c r="U56" s="64" t="str">
        <f aca="false">IF(OR(U$4="",$C56="",$D56="",N($E56)=0),"",$E56*MAX(0,MIN($D56+1,EDATE(U$4,1))-MAX($C56,U$4))/MAX(1,$D56+1-$C56))</f>
        <v/>
      </c>
      <c r="V56" s="64" t="str">
        <f aca="false">IF(OR(V$4="",$C56="",$D56="",N($E56)=0),"",$E56*MAX(0,MIN($D56+1,EDATE(V$4,1))-MAX($C56,V$4))/MAX(1,$D56+1-$C56))</f>
        <v/>
      </c>
      <c r="W56" s="64" t="str">
        <f aca="false">IF(OR(W$4="",$C56="",$D56="",N($E56)=0),"",$E56*MAX(0,MIN($D56+1,EDATE(W$4,1))-MAX($C56,W$4))/MAX(1,$D56+1-$C56))</f>
        <v/>
      </c>
      <c r="X56" s="64" t="str">
        <f aca="false">IF(OR(X$4="",$C56="",$D56="",N($E56)=0),"",$E56*MAX(0,MIN($D56+1,EDATE(X$4,1))-MAX($C56,X$4))/MAX(1,$D56+1-$C56))</f>
        <v/>
      </c>
      <c r="Y56" s="64" t="str">
        <f aca="false">IF(OR(Y$4="",$C56="",$D56="",N($E56)=0),"",$E56*MAX(0,MIN($D56+1,EDATE(Y$4,1))-MAX($C56,Y$4))/MAX(1,$D56+1-$C56))</f>
        <v/>
      </c>
      <c r="Z56" s="64" t="str">
        <f aca="false">IF(OR(Z$4="",$C56="",$D56="",N($E56)=0),"",$E56*MAX(0,MIN($D56+1,EDATE(Z$4,1))-MAX($C56,Z$4))/MAX(1,$D56+1-$C56))</f>
        <v/>
      </c>
      <c r="AA56" s="64" t="str">
        <f aca="false">IF(OR(AA$4="",$C56="",$D56="",N($E56)=0),"",$E56*MAX(0,MIN($D56+1,EDATE(AA$4,1))-MAX($C56,AA$4))/MAX(1,$D56+1-$C56))</f>
        <v/>
      </c>
      <c r="AB56" s="64" t="str">
        <f aca="false">IF(OR(AB$4="",$C56="",$D56="",N($E56)=0),"",$E56*MAX(0,MIN($D56+1,EDATE(AB$4,1))-MAX($C56,AB$4))/MAX(1,$D56+1-$C56))</f>
        <v/>
      </c>
      <c r="AC56" s="64" t="str">
        <f aca="false">IF(OR(AC$4="",$C56="",$D56="",N($E56)=0),"",$E56*MAX(0,MIN($D56+1,EDATE(AC$4,1))-MAX($C56,AC$4))/MAX(1,$D56+1-$C56))</f>
        <v/>
      </c>
      <c r="AD56" s="64" t="str">
        <f aca="false">IF(OR(AD$4="",$C56="",$D56="",N($E56)=0),"",$E56*MAX(0,MIN($D56+1,EDATE(AD$4,1))-MAX($C56,AD$4))/MAX(1,$D56+1-$C56))</f>
        <v/>
      </c>
      <c r="AE56" s="64" t="str">
        <f aca="false">IF(OR(AE$4="",$C56="",$D56="",N($E56)=0),"",$E56*MAX(0,MIN($D56+1,EDATE(AE$4,1))-MAX($C56,AE$4))/MAX(1,$D56+1-$C56))</f>
        <v/>
      </c>
      <c r="AF56" s="64" t="str">
        <f aca="false">IF(OR(AF$4="",$C56="",$D56="",N($E56)=0),"",$E56*MAX(0,MIN($D56+1,EDATE(AF$4,1))-MAX($C56,AF$4))/MAX(1,$D56+1-$C56))</f>
        <v/>
      </c>
      <c r="AG56" s="64" t="str">
        <f aca="false">IF(OR(AG$4="",$C56="",$D56="",N($E56)=0),"",$E56*MAX(0,MIN($D56+1,EDATE(AG$4,1))-MAX($C56,AG$4))/MAX(1,$D56+1-$C56))</f>
        <v/>
      </c>
      <c r="AH56" s="64" t="str">
        <f aca="false">IF(OR(AH$4="",$C56="",$D56="",N($E56)=0),"",$E56*MAX(0,MIN($D56+1,EDATE(AH$4,1))-MAX($C56,AH$4))/MAX(1,$D56+1-$C56))</f>
        <v/>
      </c>
      <c r="AI56" s="64" t="str">
        <f aca="false">IF(OR(AI$4="",$C56="",$D56="",N($E56)=0),"",$E56*MAX(0,MIN($D56+1,EDATE(AI$4,1))-MAX($C56,AI$4))/MAX(1,$D56+1-$C56))</f>
        <v/>
      </c>
      <c r="AJ56" s="64" t="str">
        <f aca="false">IF(OR(AJ$4="",$C56="",$D56="",N($E56)=0),"",$E56*MAX(0,MIN($D56+1,EDATE(AJ$4,1))-MAX($C56,AJ$4))/MAX(1,$D56+1-$C56))</f>
        <v/>
      </c>
      <c r="AK56" s="64" t="str">
        <f aca="false">IF(OR(AK$4="",$C56="",$D56="",N($E56)=0),"",$E56*MAX(0,MIN($D56+1,EDATE(AK$4,1))-MAX($C56,AK$4))/MAX(1,$D56+1-$C56))</f>
        <v/>
      </c>
      <c r="AL56" s="64" t="str">
        <f aca="false">IF(OR(AL$4="",$C56="",$D56="",N($E56)=0),"",$E56*MAX(0,MIN($D56+1,EDATE(AL$4,1))-MAX($C56,AL$4))/MAX(1,$D56+1-$C56))</f>
        <v/>
      </c>
      <c r="AM56" s="64" t="str">
        <f aca="false">IF(OR(AM$4="",$C56="",$D56="",N($E56)=0),"",$E56*MAX(0,MIN($D56+1,EDATE(AM$4,1))-MAX($C56,AM$4))/MAX(1,$D56+1-$C56))</f>
        <v/>
      </c>
      <c r="AN56" s="64" t="str">
        <f aca="false">IF(OR(AN$4="",$C56="",$D56="",N($E56)=0),"",$E56*MAX(0,MIN($D56+1,EDATE(AN$4,1))-MAX($C56,AN$4))/MAX(1,$D56+1-$C56))</f>
        <v/>
      </c>
      <c r="AO56" s="64" t="str">
        <f aca="false">IF(OR(AO$4="",$C56="",$D56="",N($E56)=0),"",$E56*MAX(0,MIN($D56+1,EDATE(AO$4,1))-MAX($C56,AO$4))/MAX(1,$D56+1-$C56))</f>
        <v/>
      </c>
      <c r="AP56" s="64" t="str">
        <f aca="false">IF(OR(AP$4="",$C56="",$D56="",N($E56)=0),"",$E56*MAX(0,MIN($D56+1,EDATE(AP$4,1))-MAX($C56,AP$4))/MAX(1,$D56+1-$C56))</f>
        <v/>
      </c>
      <c r="AQ56" s="64" t="str">
        <f aca="false">IF(OR(AQ$4="",$C56="",$D56="",N($E56)=0),"",$E56*MAX(0,MIN($D56+1,EDATE(AQ$4,1))-MAX($C56,AQ$4))/MAX(1,$D56+1-$C56))</f>
        <v/>
      </c>
      <c r="AR56" s="64" t="str">
        <f aca="false">IF(OR(AR$4="",$C56="",$D56="",N($E56)=0),"",$E56*MAX(0,MIN($D56+1,EDATE(AR$4,1))-MAX($C56,AR$4))/MAX(1,$D56+1-$C56))</f>
        <v/>
      </c>
      <c r="AS56" s="64" t="str">
        <f aca="false">IF(OR(AS$4="",$C56="",$D56="",N($E56)=0),"",$E56*MAX(0,MIN($D56+1,EDATE(AS$4,1))-MAX($C56,AS$4))/MAX(1,$D56+1-$C56))</f>
        <v/>
      </c>
      <c r="AT56" s="64" t="str">
        <f aca="false">IF(OR(AT$4="",$C56="",$D56="",N($E56)=0),"",$E56*MAX(0,MIN($D56+1,EDATE(AT$4,1))-MAX($C56,AT$4))/MAX(1,$D56+1-$C56))</f>
        <v/>
      </c>
      <c r="AU56" s="64" t="str">
        <f aca="false">IF(OR(AU$4="",$C56="",$D56="",N($E56)=0),"",$E56*MAX(0,MIN($D56+1,EDATE(AU$4,1))-MAX($C56,AU$4))/MAX(1,$D56+1-$C56))</f>
        <v/>
      </c>
      <c r="AV56" s="64" t="str">
        <f aca="false">IF(OR(AV$4="",$C56="",$D56="",N($E56)=0),"",$E56*MAX(0,MIN($D56+1,EDATE(AV$4,1))-MAX($C56,AV$4))/MAX(1,$D56+1-$C56))</f>
        <v/>
      </c>
      <c r="AW56" s="64" t="str">
        <f aca="false">IF(OR(AW$4="",$C56="",$D56="",N($E56)=0),"",$E56*MAX(0,MIN($D56+1,EDATE(AW$4,1))-MAX($C56,AW$4))/MAX(1,$D56+1-$C56))</f>
        <v/>
      </c>
      <c r="AX56" s="64" t="str">
        <f aca="false">IF(OR(AX$4="",$C56="",$D56="",N($E56)=0),"",$E56*MAX(0,MIN($D56+1,EDATE(AX$4,1))-MAX($C56,AX$4))/MAX(1,$D56+1-$C56))</f>
        <v/>
      </c>
      <c r="AY56" s="64" t="str">
        <f aca="false">IF(OR(AY$4="",$C56="",$D56="",N($E56)=0),"",$E56*MAX(0,MIN($D56+1,EDATE(AY$4,1))-MAX($C56,AY$4))/MAX(1,$D56+1-$C56))</f>
        <v/>
      </c>
      <c r="AZ56" s="64" t="str">
        <f aca="false">IF(OR(AZ$4="",$C56="",$D56="",N($E56)=0),"",$E56*MAX(0,MIN($D56+1,EDATE(AZ$4,1))-MAX($C56,AZ$4))/MAX(1,$D56+1-$C56))</f>
        <v/>
      </c>
      <c r="BA56" s="64" t="str">
        <f aca="false">IF(OR(BA$4="",$C56="",$D56="",N($E56)=0),"",$E56*MAX(0,MIN($D56+1,EDATE(BA$4,1))-MAX($C56,BA$4))/MAX(1,$D56+1-$C56))</f>
        <v/>
      </c>
      <c r="BB56" s="64" t="str">
        <f aca="false">IF(OR(BB$4="",$C56="",$D56="",N($E56)=0),"",$E56*MAX(0,MIN($D56+1,EDATE(BB$4,1))-MAX($C56,BB$4))/MAX(1,$D56+1-$C56))</f>
        <v/>
      </c>
      <c r="BC56" s="64" t="str">
        <f aca="false">IF(OR(BC$4="",$C56="",$D56="",N($E56)=0),"",$E56*MAX(0,MIN($D56+1,EDATE(BC$4,1))-MAX($C56,BC$4))/MAX(1,$D56+1-$C56))</f>
        <v/>
      </c>
      <c r="BD56" s="64" t="str">
        <f aca="false">IF(OR(BD$4="",$C56="",$D56="",N($E56)=0),"",$E56*MAX(0,MIN($D56+1,EDATE(BD$4,1))-MAX($C56,BD$4))/MAX(1,$D56+1-$C56))</f>
        <v/>
      </c>
      <c r="BE56" s="64" t="str">
        <f aca="false">IF(OR(BE$4="",$C56="",$D56="",N($E56)=0),"",$E56*MAX(0,MIN($D56+1,EDATE(BE$4,1))-MAX($C56,BE$4))/MAX(1,$D56+1-$C56))</f>
        <v/>
      </c>
      <c r="BF56" s="64" t="str">
        <f aca="false">IF(OR(BF$4="",$C56="",$D56="",N($E56)=0),"",$E56*MAX(0,MIN($D56+1,EDATE(BF$4,1))-MAX($C56,BF$4))/MAX(1,$D56+1-$C56))</f>
        <v/>
      </c>
      <c r="BG56" s="64" t="str">
        <f aca="false">IF(OR(BG$4="",$C56="",$D56="",N($E56)=0),"",$E56*MAX(0,MIN($D56+1,EDATE(BG$4,1))-MAX($C56,BG$4))/MAX(1,$D56+1-$C56))</f>
        <v/>
      </c>
      <c r="BH56" s="64" t="str">
        <f aca="false">IF(OR(BH$4="",$C56="",$D56="",N($E56)=0),"",$E56*MAX(0,MIN($D56+1,EDATE(BH$4,1))-MAX($C56,BH$4))/MAX(1,$D56+1-$C56))</f>
        <v/>
      </c>
      <c r="BI56" s="64" t="str">
        <f aca="false">IF(OR(BI$4="",$C56="",$D56="",N($E56)=0),"",$E56*MAX(0,MIN($D56+1,EDATE(BI$4,1))-MAX($C56,BI$4))/MAX(1,$D56+1-$C56))</f>
        <v/>
      </c>
      <c r="BJ56" s="64" t="str">
        <f aca="false">IF(OR(BJ$4="",$C56="",$D56="",N($E56)=0),"",$E56*MAX(0,MIN($D56+1,EDATE(BJ$4,1))-MAX($C56,BJ$4))/MAX(1,$D56+1-$C56))</f>
        <v/>
      </c>
      <c r="BK56" s="64" t="str">
        <f aca="false">IF(OR(BK$4="",$C56="",$D56="",N($E56)=0),"",$E56*MAX(0,MIN($D56+1,EDATE(BK$4,1))-MAX($C56,BK$4))/MAX(1,$D56+1-$C56))</f>
        <v/>
      </c>
      <c r="BL56" s="64" t="str">
        <f aca="false">IF(OR(BL$4="",$C56="",$D56="",N($E56)=0),"",$E56*MAX(0,MIN($D56+1,EDATE(BL$4,1))-MAX($C56,BL$4))/MAX(1,$D56+1-$C56))</f>
        <v/>
      </c>
      <c r="BM56" s="64" t="str">
        <f aca="false">IF(OR(BM$4="",$C56="",$D56="",N($E56)=0),"",$E56*MAX(0,MIN($D56+1,EDATE(BM$4,1))-MAX($C56,BM$4))/MAX(1,$D56+1-$C56))</f>
        <v/>
      </c>
      <c r="BN56" s="64" t="str">
        <f aca="false">IF(OR(BN$4="",$C56="",$D56="",N($E56)=0),"",$E56*MAX(0,MIN($D56+1,EDATE(BN$4,1))-MAX($C56,BN$4))/MAX(1,$D56+1-$C56))</f>
        <v/>
      </c>
      <c r="BO56" s="64" t="str">
        <f aca="false">IF(OR(BO$4="",$C56="",$D56="",N($E56)=0),"",$E56*MAX(0,MIN($D56+1,EDATE(BO$4,1))-MAX($C56,BO$4))/MAX(1,$D56+1-$C56))</f>
        <v/>
      </c>
      <c r="BP56" s="64" t="str">
        <f aca="false">IF(OR(BP$4="",$C56="",$D56="",N($E56)=0),"",$E56*MAX(0,MIN($D56+1,EDATE(BP$4,1))-MAX($C56,BP$4))/MAX(1,$D56+1-$C56))</f>
        <v/>
      </c>
      <c r="BQ56" s="64" t="str">
        <f aca="false">IF(OR(BQ$4="",$C56="",$D56="",N($E56)=0),"",$E56*MAX(0,MIN($D56+1,EDATE(BQ$4,1))-MAX($C56,BQ$4))/MAX(1,$D56+1-$C56))</f>
        <v/>
      </c>
      <c r="BR56" s="64" t="str">
        <f aca="false">IF(OR(BR$4="",$C56="",$D56="",N($E56)=0),"",$E56*MAX(0,MIN($D56+1,EDATE(BR$4,1))-MAX($C56,BR$4))/MAX(1,$D56+1-$C56))</f>
        <v/>
      </c>
      <c r="BS56" s="64" t="str">
        <f aca="false">IF(OR(BS$4="",$C56="",$D56="",N($E56)=0),"",$E56*MAX(0,MIN($D56+1,EDATE(BS$4,1))-MAX($C56,BS$4))/MAX(1,$D56+1-$C56))</f>
        <v/>
      </c>
      <c r="BT56" s="64" t="str">
        <f aca="false">IF(OR(BT$4="",$C56="",$D56="",N($E56)=0),"",$E56*MAX(0,MIN($D56+1,EDATE(BT$4,1))-MAX($C56,BT$4))/MAX(1,$D56+1-$C56))</f>
        <v/>
      </c>
      <c r="BU56" s="64" t="str">
        <f aca="false">IF(OR(BU$4="",$C56="",$D56="",N($E56)=0),"",$E56*MAX(0,MIN($D56+1,EDATE(BU$4,1))-MAX($C56,BU$4))/MAX(1,$D56+1-$C56))</f>
        <v/>
      </c>
      <c r="BV56" s="64" t="str">
        <f aca="false">IF(OR(BV$4="",$C56="",$D56="",N($E56)=0),"",$E56*MAX(0,MIN($D56+1,EDATE(BV$4,1))-MAX($C56,BV$4))/MAX(1,$D56+1-$C56))</f>
        <v/>
      </c>
      <c r="BW56" s="64" t="str">
        <f aca="false">IF(OR(BW$4="",$C56="",$D56="",N($E56)=0),"",$E56*MAX(0,MIN($D56+1,EDATE(BW$4,1))-MAX($C56,BW$4))/MAX(1,$D56+1-$C56))</f>
        <v/>
      </c>
      <c r="BX56" s="64" t="str">
        <f aca="false">IF(OR(BX$4="",$C56="",$D56="",N($E56)=0),"",$E56*MAX(0,MIN($D56+1,EDATE(BX$4,1))-MAX($C56,BX$4))/MAX(1,$D56+1-$C56))</f>
        <v/>
      </c>
      <c r="BY56" s="64" t="str">
        <f aca="false">IF(OR(BY$4="",$C56="",$D56="",N($E56)=0),"",$E56*MAX(0,MIN($D56+1,EDATE(BY$4,1))-MAX($C56,BY$4))/MAX(1,$D56+1-$C56))</f>
        <v/>
      </c>
    </row>
    <row r="57" customFormat="false" ht="15" hidden="false" customHeight="false" outlineLevel="0" collapsed="false">
      <c r="A57" s="61" t="str">
        <f aca="false">IF(BOE!$A58="","",BOE!$A58)</f>
        <v/>
      </c>
      <c r="B57" s="61" t="str">
        <f aca="false">IF(BOE!$A58="","",BOE!$C58)</f>
        <v/>
      </c>
      <c r="C57" s="62" t="str">
        <f aca="false">IF(BOE!$O58="","",BOE!$O58)</f>
        <v/>
      </c>
      <c r="D57" s="62" t="str">
        <f aca="false">IF(BOE!$P58="","",BOE!$P58)</f>
        <v/>
      </c>
      <c r="E57" s="63" t="n">
        <f aca="false">IF(Inputs!$B$7="P90",BOE!$T58,BOE!$R58)</f>
        <v>0</v>
      </c>
      <c r="F57" s="64" t="str">
        <f aca="false">IF(OR(F$4="",$C57="",$D57="",N($E57)=0),"",$E57*MAX(0,MIN($D57+1,EDATE(F$4,1))-MAX($C57,F$4))/MAX(1,$D57+1-$C57))</f>
        <v/>
      </c>
      <c r="G57" s="64" t="str">
        <f aca="false">IF(OR(G$4="",$C57="",$D57="",N($E57)=0),"",$E57*MAX(0,MIN($D57+1,EDATE(G$4,1))-MAX($C57,G$4))/MAX(1,$D57+1-$C57))</f>
        <v/>
      </c>
      <c r="H57" s="64" t="str">
        <f aca="false">IF(OR(H$4="",$C57="",$D57="",N($E57)=0),"",$E57*MAX(0,MIN($D57+1,EDATE(H$4,1))-MAX($C57,H$4))/MAX(1,$D57+1-$C57))</f>
        <v/>
      </c>
      <c r="I57" s="64" t="str">
        <f aca="false">IF(OR(I$4="",$C57="",$D57="",N($E57)=0),"",$E57*MAX(0,MIN($D57+1,EDATE(I$4,1))-MAX($C57,I$4))/MAX(1,$D57+1-$C57))</f>
        <v/>
      </c>
      <c r="J57" s="64" t="str">
        <f aca="false">IF(OR(J$4="",$C57="",$D57="",N($E57)=0),"",$E57*MAX(0,MIN($D57+1,EDATE(J$4,1))-MAX($C57,J$4))/MAX(1,$D57+1-$C57))</f>
        <v/>
      </c>
      <c r="K57" s="64" t="str">
        <f aca="false">IF(OR(K$4="",$C57="",$D57="",N($E57)=0),"",$E57*MAX(0,MIN($D57+1,EDATE(K$4,1))-MAX($C57,K$4))/MAX(1,$D57+1-$C57))</f>
        <v/>
      </c>
      <c r="L57" s="64" t="str">
        <f aca="false">IF(OR(L$4="",$C57="",$D57="",N($E57)=0),"",$E57*MAX(0,MIN($D57+1,EDATE(L$4,1))-MAX($C57,L$4))/MAX(1,$D57+1-$C57))</f>
        <v/>
      </c>
      <c r="M57" s="64" t="str">
        <f aca="false">IF(OR(M$4="",$C57="",$D57="",N($E57)=0),"",$E57*MAX(0,MIN($D57+1,EDATE(M$4,1))-MAX($C57,M$4))/MAX(1,$D57+1-$C57))</f>
        <v/>
      </c>
      <c r="N57" s="64" t="str">
        <f aca="false">IF(OR(N$4="",$C57="",$D57="",N($E57)=0),"",$E57*MAX(0,MIN($D57+1,EDATE(N$4,1))-MAX($C57,N$4))/MAX(1,$D57+1-$C57))</f>
        <v/>
      </c>
      <c r="O57" s="64" t="str">
        <f aca="false">IF(OR(O$4="",$C57="",$D57="",N($E57)=0),"",$E57*MAX(0,MIN($D57+1,EDATE(O$4,1))-MAX($C57,O$4))/MAX(1,$D57+1-$C57))</f>
        <v/>
      </c>
      <c r="P57" s="64" t="str">
        <f aca="false">IF(OR(P$4="",$C57="",$D57="",N($E57)=0),"",$E57*MAX(0,MIN($D57+1,EDATE(P$4,1))-MAX($C57,P$4))/MAX(1,$D57+1-$C57))</f>
        <v/>
      </c>
      <c r="Q57" s="64" t="str">
        <f aca="false">IF(OR(Q$4="",$C57="",$D57="",N($E57)=0),"",$E57*MAX(0,MIN($D57+1,EDATE(Q$4,1))-MAX($C57,Q$4))/MAX(1,$D57+1-$C57))</f>
        <v/>
      </c>
      <c r="R57" s="64" t="str">
        <f aca="false">IF(OR(R$4="",$C57="",$D57="",N($E57)=0),"",$E57*MAX(0,MIN($D57+1,EDATE(R$4,1))-MAX($C57,R$4))/MAX(1,$D57+1-$C57))</f>
        <v/>
      </c>
      <c r="S57" s="64" t="str">
        <f aca="false">IF(OR(S$4="",$C57="",$D57="",N($E57)=0),"",$E57*MAX(0,MIN($D57+1,EDATE(S$4,1))-MAX($C57,S$4))/MAX(1,$D57+1-$C57))</f>
        <v/>
      </c>
      <c r="T57" s="64" t="str">
        <f aca="false">IF(OR(T$4="",$C57="",$D57="",N($E57)=0),"",$E57*MAX(0,MIN($D57+1,EDATE(T$4,1))-MAX($C57,T$4))/MAX(1,$D57+1-$C57))</f>
        <v/>
      </c>
      <c r="U57" s="64" t="str">
        <f aca="false">IF(OR(U$4="",$C57="",$D57="",N($E57)=0),"",$E57*MAX(0,MIN($D57+1,EDATE(U$4,1))-MAX($C57,U$4))/MAX(1,$D57+1-$C57))</f>
        <v/>
      </c>
      <c r="V57" s="64" t="str">
        <f aca="false">IF(OR(V$4="",$C57="",$D57="",N($E57)=0),"",$E57*MAX(0,MIN($D57+1,EDATE(V$4,1))-MAX($C57,V$4))/MAX(1,$D57+1-$C57))</f>
        <v/>
      </c>
      <c r="W57" s="64" t="str">
        <f aca="false">IF(OR(W$4="",$C57="",$D57="",N($E57)=0),"",$E57*MAX(0,MIN($D57+1,EDATE(W$4,1))-MAX($C57,W$4))/MAX(1,$D57+1-$C57))</f>
        <v/>
      </c>
      <c r="X57" s="64" t="str">
        <f aca="false">IF(OR(X$4="",$C57="",$D57="",N($E57)=0),"",$E57*MAX(0,MIN($D57+1,EDATE(X$4,1))-MAX($C57,X$4))/MAX(1,$D57+1-$C57))</f>
        <v/>
      </c>
      <c r="Y57" s="64" t="str">
        <f aca="false">IF(OR(Y$4="",$C57="",$D57="",N($E57)=0),"",$E57*MAX(0,MIN($D57+1,EDATE(Y$4,1))-MAX($C57,Y$4))/MAX(1,$D57+1-$C57))</f>
        <v/>
      </c>
      <c r="Z57" s="64" t="str">
        <f aca="false">IF(OR(Z$4="",$C57="",$D57="",N($E57)=0),"",$E57*MAX(0,MIN($D57+1,EDATE(Z$4,1))-MAX($C57,Z$4))/MAX(1,$D57+1-$C57))</f>
        <v/>
      </c>
      <c r="AA57" s="64" t="str">
        <f aca="false">IF(OR(AA$4="",$C57="",$D57="",N($E57)=0),"",$E57*MAX(0,MIN($D57+1,EDATE(AA$4,1))-MAX($C57,AA$4))/MAX(1,$D57+1-$C57))</f>
        <v/>
      </c>
      <c r="AB57" s="64" t="str">
        <f aca="false">IF(OR(AB$4="",$C57="",$D57="",N($E57)=0),"",$E57*MAX(0,MIN($D57+1,EDATE(AB$4,1))-MAX($C57,AB$4))/MAX(1,$D57+1-$C57))</f>
        <v/>
      </c>
      <c r="AC57" s="64" t="str">
        <f aca="false">IF(OR(AC$4="",$C57="",$D57="",N($E57)=0),"",$E57*MAX(0,MIN($D57+1,EDATE(AC$4,1))-MAX($C57,AC$4))/MAX(1,$D57+1-$C57))</f>
        <v/>
      </c>
      <c r="AD57" s="64" t="str">
        <f aca="false">IF(OR(AD$4="",$C57="",$D57="",N($E57)=0),"",$E57*MAX(0,MIN($D57+1,EDATE(AD$4,1))-MAX($C57,AD$4))/MAX(1,$D57+1-$C57))</f>
        <v/>
      </c>
      <c r="AE57" s="64" t="str">
        <f aca="false">IF(OR(AE$4="",$C57="",$D57="",N($E57)=0),"",$E57*MAX(0,MIN($D57+1,EDATE(AE$4,1))-MAX($C57,AE$4))/MAX(1,$D57+1-$C57))</f>
        <v/>
      </c>
      <c r="AF57" s="64" t="str">
        <f aca="false">IF(OR(AF$4="",$C57="",$D57="",N($E57)=0),"",$E57*MAX(0,MIN($D57+1,EDATE(AF$4,1))-MAX($C57,AF$4))/MAX(1,$D57+1-$C57))</f>
        <v/>
      </c>
      <c r="AG57" s="64" t="str">
        <f aca="false">IF(OR(AG$4="",$C57="",$D57="",N($E57)=0),"",$E57*MAX(0,MIN($D57+1,EDATE(AG$4,1))-MAX($C57,AG$4))/MAX(1,$D57+1-$C57))</f>
        <v/>
      </c>
      <c r="AH57" s="64" t="str">
        <f aca="false">IF(OR(AH$4="",$C57="",$D57="",N($E57)=0),"",$E57*MAX(0,MIN($D57+1,EDATE(AH$4,1))-MAX($C57,AH$4))/MAX(1,$D57+1-$C57))</f>
        <v/>
      </c>
      <c r="AI57" s="64" t="str">
        <f aca="false">IF(OR(AI$4="",$C57="",$D57="",N($E57)=0),"",$E57*MAX(0,MIN($D57+1,EDATE(AI$4,1))-MAX($C57,AI$4))/MAX(1,$D57+1-$C57))</f>
        <v/>
      </c>
      <c r="AJ57" s="64" t="str">
        <f aca="false">IF(OR(AJ$4="",$C57="",$D57="",N($E57)=0),"",$E57*MAX(0,MIN($D57+1,EDATE(AJ$4,1))-MAX($C57,AJ$4))/MAX(1,$D57+1-$C57))</f>
        <v/>
      </c>
      <c r="AK57" s="64" t="str">
        <f aca="false">IF(OR(AK$4="",$C57="",$D57="",N($E57)=0),"",$E57*MAX(0,MIN($D57+1,EDATE(AK$4,1))-MAX($C57,AK$4))/MAX(1,$D57+1-$C57))</f>
        <v/>
      </c>
      <c r="AL57" s="64" t="str">
        <f aca="false">IF(OR(AL$4="",$C57="",$D57="",N($E57)=0),"",$E57*MAX(0,MIN($D57+1,EDATE(AL$4,1))-MAX($C57,AL$4))/MAX(1,$D57+1-$C57))</f>
        <v/>
      </c>
      <c r="AM57" s="64" t="str">
        <f aca="false">IF(OR(AM$4="",$C57="",$D57="",N($E57)=0),"",$E57*MAX(0,MIN($D57+1,EDATE(AM$4,1))-MAX($C57,AM$4))/MAX(1,$D57+1-$C57))</f>
        <v/>
      </c>
      <c r="AN57" s="64" t="str">
        <f aca="false">IF(OR(AN$4="",$C57="",$D57="",N($E57)=0),"",$E57*MAX(0,MIN($D57+1,EDATE(AN$4,1))-MAX($C57,AN$4))/MAX(1,$D57+1-$C57))</f>
        <v/>
      </c>
      <c r="AO57" s="64" t="str">
        <f aca="false">IF(OR(AO$4="",$C57="",$D57="",N($E57)=0),"",$E57*MAX(0,MIN($D57+1,EDATE(AO$4,1))-MAX($C57,AO$4))/MAX(1,$D57+1-$C57))</f>
        <v/>
      </c>
      <c r="AP57" s="64" t="str">
        <f aca="false">IF(OR(AP$4="",$C57="",$D57="",N($E57)=0),"",$E57*MAX(0,MIN($D57+1,EDATE(AP$4,1))-MAX($C57,AP$4))/MAX(1,$D57+1-$C57))</f>
        <v/>
      </c>
      <c r="AQ57" s="64" t="str">
        <f aca="false">IF(OR(AQ$4="",$C57="",$D57="",N($E57)=0),"",$E57*MAX(0,MIN($D57+1,EDATE(AQ$4,1))-MAX($C57,AQ$4))/MAX(1,$D57+1-$C57))</f>
        <v/>
      </c>
      <c r="AR57" s="64" t="str">
        <f aca="false">IF(OR(AR$4="",$C57="",$D57="",N($E57)=0),"",$E57*MAX(0,MIN($D57+1,EDATE(AR$4,1))-MAX($C57,AR$4))/MAX(1,$D57+1-$C57))</f>
        <v/>
      </c>
      <c r="AS57" s="64" t="str">
        <f aca="false">IF(OR(AS$4="",$C57="",$D57="",N($E57)=0),"",$E57*MAX(0,MIN($D57+1,EDATE(AS$4,1))-MAX($C57,AS$4))/MAX(1,$D57+1-$C57))</f>
        <v/>
      </c>
      <c r="AT57" s="64" t="str">
        <f aca="false">IF(OR(AT$4="",$C57="",$D57="",N($E57)=0),"",$E57*MAX(0,MIN($D57+1,EDATE(AT$4,1))-MAX($C57,AT$4))/MAX(1,$D57+1-$C57))</f>
        <v/>
      </c>
      <c r="AU57" s="64" t="str">
        <f aca="false">IF(OR(AU$4="",$C57="",$D57="",N($E57)=0),"",$E57*MAX(0,MIN($D57+1,EDATE(AU$4,1))-MAX($C57,AU$4))/MAX(1,$D57+1-$C57))</f>
        <v/>
      </c>
      <c r="AV57" s="64" t="str">
        <f aca="false">IF(OR(AV$4="",$C57="",$D57="",N($E57)=0),"",$E57*MAX(0,MIN($D57+1,EDATE(AV$4,1))-MAX($C57,AV$4))/MAX(1,$D57+1-$C57))</f>
        <v/>
      </c>
      <c r="AW57" s="64" t="str">
        <f aca="false">IF(OR(AW$4="",$C57="",$D57="",N($E57)=0),"",$E57*MAX(0,MIN($D57+1,EDATE(AW$4,1))-MAX($C57,AW$4))/MAX(1,$D57+1-$C57))</f>
        <v/>
      </c>
      <c r="AX57" s="64" t="str">
        <f aca="false">IF(OR(AX$4="",$C57="",$D57="",N($E57)=0),"",$E57*MAX(0,MIN($D57+1,EDATE(AX$4,1))-MAX($C57,AX$4))/MAX(1,$D57+1-$C57))</f>
        <v/>
      </c>
      <c r="AY57" s="64" t="str">
        <f aca="false">IF(OR(AY$4="",$C57="",$D57="",N($E57)=0),"",$E57*MAX(0,MIN($D57+1,EDATE(AY$4,1))-MAX($C57,AY$4))/MAX(1,$D57+1-$C57))</f>
        <v/>
      </c>
      <c r="AZ57" s="64" t="str">
        <f aca="false">IF(OR(AZ$4="",$C57="",$D57="",N($E57)=0),"",$E57*MAX(0,MIN($D57+1,EDATE(AZ$4,1))-MAX($C57,AZ$4))/MAX(1,$D57+1-$C57))</f>
        <v/>
      </c>
      <c r="BA57" s="64" t="str">
        <f aca="false">IF(OR(BA$4="",$C57="",$D57="",N($E57)=0),"",$E57*MAX(0,MIN($D57+1,EDATE(BA$4,1))-MAX($C57,BA$4))/MAX(1,$D57+1-$C57))</f>
        <v/>
      </c>
      <c r="BB57" s="64" t="str">
        <f aca="false">IF(OR(BB$4="",$C57="",$D57="",N($E57)=0),"",$E57*MAX(0,MIN($D57+1,EDATE(BB$4,1))-MAX($C57,BB$4))/MAX(1,$D57+1-$C57))</f>
        <v/>
      </c>
      <c r="BC57" s="64" t="str">
        <f aca="false">IF(OR(BC$4="",$C57="",$D57="",N($E57)=0),"",$E57*MAX(0,MIN($D57+1,EDATE(BC$4,1))-MAX($C57,BC$4))/MAX(1,$D57+1-$C57))</f>
        <v/>
      </c>
      <c r="BD57" s="64" t="str">
        <f aca="false">IF(OR(BD$4="",$C57="",$D57="",N($E57)=0),"",$E57*MAX(0,MIN($D57+1,EDATE(BD$4,1))-MAX($C57,BD$4))/MAX(1,$D57+1-$C57))</f>
        <v/>
      </c>
      <c r="BE57" s="64" t="str">
        <f aca="false">IF(OR(BE$4="",$C57="",$D57="",N($E57)=0),"",$E57*MAX(0,MIN($D57+1,EDATE(BE$4,1))-MAX($C57,BE$4))/MAX(1,$D57+1-$C57))</f>
        <v/>
      </c>
      <c r="BF57" s="64" t="str">
        <f aca="false">IF(OR(BF$4="",$C57="",$D57="",N($E57)=0),"",$E57*MAX(0,MIN($D57+1,EDATE(BF$4,1))-MAX($C57,BF$4))/MAX(1,$D57+1-$C57))</f>
        <v/>
      </c>
      <c r="BG57" s="64" t="str">
        <f aca="false">IF(OR(BG$4="",$C57="",$D57="",N($E57)=0),"",$E57*MAX(0,MIN($D57+1,EDATE(BG$4,1))-MAX($C57,BG$4))/MAX(1,$D57+1-$C57))</f>
        <v/>
      </c>
      <c r="BH57" s="64" t="str">
        <f aca="false">IF(OR(BH$4="",$C57="",$D57="",N($E57)=0),"",$E57*MAX(0,MIN($D57+1,EDATE(BH$4,1))-MAX($C57,BH$4))/MAX(1,$D57+1-$C57))</f>
        <v/>
      </c>
      <c r="BI57" s="64" t="str">
        <f aca="false">IF(OR(BI$4="",$C57="",$D57="",N($E57)=0),"",$E57*MAX(0,MIN($D57+1,EDATE(BI$4,1))-MAX($C57,BI$4))/MAX(1,$D57+1-$C57))</f>
        <v/>
      </c>
      <c r="BJ57" s="64" t="str">
        <f aca="false">IF(OR(BJ$4="",$C57="",$D57="",N($E57)=0),"",$E57*MAX(0,MIN($D57+1,EDATE(BJ$4,1))-MAX($C57,BJ$4))/MAX(1,$D57+1-$C57))</f>
        <v/>
      </c>
      <c r="BK57" s="64" t="str">
        <f aca="false">IF(OR(BK$4="",$C57="",$D57="",N($E57)=0),"",$E57*MAX(0,MIN($D57+1,EDATE(BK$4,1))-MAX($C57,BK$4))/MAX(1,$D57+1-$C57))</f>
        <v/>
      </c>
      <c r="BL57" s="64" t="str">
        <f aca="false">IF(OR(BL$4="",$C57="",$D57="",N($E57)=0),"",$E57*MAX(0,MIN($D57+1,EDATE(BL$4,1))-MAX($C57,BL$4))/MAX(1,$D57+1-$C57))</f>
        <v/>
      </c>
      <c r="BM57" s="64" t="str">
        <f aca="false">IF(OR(BM$4="",$C57="",$D57="",N($E57)=0),"",$E57*MAX(0,MIN($D57+1,EDATE(BM$4,1))-MAX($C57,BM$4))/MAX(1,$D57+1-$C57))</f>
        <v/>
      </c>
      <c r="BN57" s="64" t="str">
        <f aca="false">IF(OR(BN$4="",$C57="",$D57="",N($E57)=0),"",$E57*MAX(0,MIN($D57+1,EDATE(BN$4,1))-MAX($C57,BN$4))/MAX(1,$D57+1-$C57))</f>
        <v/>
      </c>
      <c r="BO57" s="64" t="str">
        <f aca="false">IF(OR(BO$4="",$C57="",$D57="",N($E57)=0),"",$E57*MAX(0,MIN($D57+1,EDATE(BO$4,1))-MAX($C57,BO$4))/MAX(1,$D57+1-$C57))</f>
        <v/>
      </c>
      <c r="BP57" s="64" t="str">
        <f aca="false">IF(OR(BP$4="",$C57="",$D57="",N($E57)=0),"",$E57*MAX(0,MIN($D57+1,EDATE(BP$4,1))-MAX($C57,BP$4))/MAX(1,$D57+1-$C57))</f>
        <v/>
      </c>
      <c r="BQ57" s="64" t="str">
        <f aca="false">IF(OR(BQ$4="",$C57="",$D57="",N($E57)=0),"",$E57*MAX(0,MIN($D57+1,EDATE(BQ$4,1))-MAX($C57,BQ$4))/MAX(1,$D57+1-$C57))</f>
        <v/>
      </c>
      <c r="BR57" s="64" t="str">
        <f aca="false">IF(OR(BR$4="",$C57="",$D57="",N($E57)=0),"",$E57*MAX(0,MIN($D57+1,EDATE(BR$4,1))-MAX($C57,BR$4))/MAX(1,$D57+1-$C57))</f>
        <v/>
      </c>
      <c r="BS57" s="64" t="str">
        <f aca="false">IF(OR(BS$4="",$C57="",$D57="",N($E57)=0),"",$E57*MAX(0,MIN($D57+1,EDATE(BS$4,1))-MAX($C57,BS$4))/MAX(1,$D57+1-$C57))</f>
        <v/>
      </c>
      <c r="BT57" s="64" t="str">
        <f aca="false">IF(OR(BT$4="",$C57="",$D57="",N($E57)=0),"",$E57*MAX(0,MIN($D57+1,EDATE(BT$4,1))-MAX($C57,BT$4))/MAX(1,$D57+1-$C57))</f>
        <v/>
      </c>
      <c r="BU57" s="64" t="str">
        <f aca="false">IF(OR(BU$4="",$C57="",$D57="",N($E57)=0),"",$E57*MAX(0,MIN($D57+1,EDATE(BU$4,1))-MAX($C57,BU$4))/MAX(1,$D57+1-$C57))</f>
        <v/>
      </c>
      <c r="BV57" s="64" t="str">
        <f aca="false">IF(OR(BV$4="",$C57="",$D57="",N($E57)=0),"",$E57*MAX(0,MIN($D57+1,EDATE(BV$4,1))-MAX($C57,BV$4))/MAX(1,$D57+1-$C57))</f>
        <v/>
      </c>
      <c r="BW57" s="64" t="str">
        <f aca="false">IF(OR(BW$4="",$C57="",$D57="",N($E57)=0),"",$E57*MAX(0,MIN($D57+1,EDATE(BW$4,1))-MAX($C57,BW$4))/MAX(1,$D57+1-$C57))</f>
        <v/>
      </c>
      <c r="BX57" s="64" t="str">
        <f aca="false">IF(OR(BX$4="",$C57="",$D57="",N($E57)=0),"",$E57*MAX(0,MIN($D57+1,EDATE(BX$4,1))-MAX($C57,BX$4))/MAX(1,$D57+1-$C57))</f>
        <v/>
      </c>
      <c r="BY57" s="64" t="str">
        <f aca="false">IF(OR(BY$4="",$C57="",$D57="",N($E57)=0),"",$E57*MAX(0,MIN($D57+1,EDATE(BY$4,1))-MAX($C57,BY$4))/MAX(1,$D57+1-$C57))</f>
        <v/>
      </c>
    </row>
    <row r="58" customFormat="false" ht="15" hidden="false" customHeight="false" outlineLevel="0" collapsed="false">
      <c r="A58" s="61" t="str">
        <f aca="false">IF(BOE!$A59="","",BOE!$A59)</f>
        <v/>
      </c>
      <c r="B58" s="61" t="str">
        <f aca="false">IF(BOE!$A59="","",BOE!$C59)</f>
        <v/>
      </c>
      <c r="C58" s="62" t="str">
        <f aca="false">IF(BOE!$O59="","",BOE!$O59)</f>
        <v/>
      </c>
      <c r="D58" s="62" t="str">
        <f aca="false">IF(BOE!$P59="","",BOE!$P59)</f>
        <v/>
      </c>
      <c r="E58" s="63" t="n">
        <f aca="false">IF(Inputs!$B$7="P90",BOE!$T59,BOE!$R59)</f>
        <v>0</v>
      </c>
      <c r="F58" s="64" t="str">
        <f aca="false">IF(OR(F$4="",$C58="",$D58="",N($E58)=0),"",$E58*MAX(0,MIN($D58+1,EDATE(F$4,1))-MAX($C58,F$4))/MAX(1,$D58+1-$C58))</f>
        <v/>
      </c>
      <c r="G58" s="64" t="str">
        <f aca="false">IF(OR(G$4="",$C58="",$D58="",N($E58)=0),"",$E58*MAX(0,MIN($D58+1,EDATE(G$4,1))-MAX($C58,G$4))/MAX(1,$D58+1-$C58))</f>
        <v/>
      </c>
      <c r="H58" s="64" t="str">
        <f aca="false">IF(OR(H$4="",$C58="",$D58="",N($E58)=0),"",$E58*MAX(0,MIN($D58+1,EDATE(H$4,1))-MAX($C58,H$4))/MAX(1,$D58+1-$C58))</f>
        <v/>
      </c>
      <c r="I58" s="64" t="str">
        <f aca="false">IF(OR(I$4="",$C58="",$D58="",N($E58)=0),"",$E58*MAX(0,MIN($D58+1,EDATE(I$4,1))-MAX($C58,I$4))/MAX(1,$D58+1-$C58))</f>
        <v/>
      </c>
      <c r="J58" s="64" t="str">
        <f aca="false">IF(OR(J$4="",$C58="",$D58="",N($E58)=0),"",$E58*MAX(0,MIN($D58+1,EDATE(J$4,1))-MAX($C58,J$4))/MAX(1,$D58+1-$C58))</f>
        <v/>
      </c>
      <c r="K58" s="64" t="str">
        <f aca="false">IF(OR(K$4="",$C58="",$D58="",N($E58)=0),"",$E58*MAX(0,MIN($D58+1,EDATE(K$4,1))-MAX($C58,K$4))/MAX(1,$D58+1-$C58))</f>
        <v/>
      </c>
      <c r="L58" s="64" t="str">
        <f aca="false">IF(OR(L$4="",$C58="",$D58="",N($E58)=0),"",$E58*MAX(0,MIN($D58+1,EDATE(L$4,1))-MAX($C58,L$4))/MAX(1,$D58+1-$C58))</f>
        <v/>
      </c>
      <c r="M58" s="64" t="str">
        <f aca="false">IF(OR(M$4="",$C58="",$D58="",N($E58)=0),"",$E58*MAX(0,MIN($D58+1,EDATE(M$4,1))-MAX($C58,M$4))/MAX(1,$D58+1-$C58))</f>
        <v/>
      </c>
      <c r="N58" s="64" t="str">
        <f aca="false">IF(OR(N$4="",$C58="",$D58="",N($E58)=0),"",$E58*MAX(0,MIN($D58+1,EDATE(N$4,1))-MAX($C58,N$4))/MAX(1,$D58+1-$C58))</f>
        <v/>
      </c>
      <c r="O58" s="64" t="str">
        <f aca="false">IF(OR(O$4="",$C58="",$D58="",N($E58)=0),"",$E58*MAX(0,MIN($D58+1,EDATE(O$4,1))-MAX($C58,O$4))/MAX(1,$D58+1-$C58))</f>
        <v/>
      </c>
      <c r="P58" s="64" t="str">
        <f aca="false">IF(OR(P$4="",$C58="",$D58="",N($E58)=0),"",$E58*MAX(0,MIN($D58+1,EDATE(P$4,1))-MAX($C58,P$4))/MAX(1,$D58+1-$C58))</f>
        <v/>
      </c>
      <c r="Q58" s="64" t="str">
        <f aca="false">IF(OR(Q$4="",$C58="",$D58="",N($E58)=0),"",$E58*MAX(0,MIN($D58+1,EDATE(Q$4,1))-MAX($C58,Q$4))/MAX(1,$D58+1-$C58))</f>
        <v/>
      </c>
      <c r="R58" s="64" t="str">
        <f aca="false">IF(OR(R$4="",$C58="",$D58="",N($E58)=0),"",$E58*MAX(0,MIN($D58+1,EDATE(R$4,1))-MAX($C58,R$4))/MAX(1,$D58+1-$C58))</f>
        <v/>
      </c>
      <c r="S58" s="64" t="str">
        <f aca="false">IF(OR(S$4="",$C58="",$D58="",N($E58)=0),"",$E58*MAX(0,MIN($D58+1,EDATE(S$4,1))-MAX($C58,S$4))/MAX(1,$D58+1-$C58))</f>
        <v/>
      </c>
      <c r="T58" s="64" t="str">
        <f aca="false">IF(OR(T$4="",$C58="",$D58="",N($E58)=0),"",$E58*MAX(0,MIN($D58+1,EDATE(T$4,1))-MAX($C58,T$4))/MAX(1,$D58+1-$C58))</f>
        <v/>
      </c>
      <c r="U58" s="64" t="str">
        <f aca="false">IF(OR(U$4="",$C58="",$D58="",N($E58)=0),"",$E58*MAX(0,MIN($D58+1,EDATE(U$4,1))-MAX($C58,U$4))/MAX(1,$D58+1-$C58))</f>
        <v/>
      </c>
      <c r="V58" s="64" t="str">
        <f aca="false">IF(OR(V$4="",$C58="",$D58="",N($E58)=0),"",$E58*MAX(0,MIN($D58+1,EDATE(V$4,1))-MAX($C58,V$4))/MAX(1,$D58+1-$C58))</f>
        <v/>
      </c>
      <c r="W58" s="64" t="str">
        <f aca="false">IF(OR(W$4="",$C58="",$D58="",N($E58)=0),"",$E58*MAX(0,MIN($D58+1,EDATE(W$4,1))-MAX($C58,W$4))/MAX(1,$D58+1-$C58))</f>
        <v/>
      </c>
      <c r="X58" s="64" t="str">
        <f aca="false">IF(OR(X$4="",$C58="",$D58="",N($E58)=0),"",$E58*MAX(0,MIN($D58+1,EDATE(X$4,1))-MAX($C58,X$4))/MAX(1,$D58+1-$C58))</f>
        <v/>
      </c>
      <c r="Y58" s="64" t="str">
        <f aca="false">IF(OR(Y$4="",$C58="",$D58="",N($E58)=0),"",$E58*MAX(0,MIN($D58+1,EDATE(Y$4,1))-MAX($C58,Y$4))/MAX(1,$D58+1-$C58))</f>
        <v/>
      </c>
      <c r="Z58" s="64" t="str">
        <f aca="false">IF(OR(Z$4="",$C58="",$D58="",N($E58)=0),"",$E58*MAX(0,MIN($D58+1,EDATE(Z$4,1))-MAX($C58,Z$4))/MAX(1,$D58+1-$C58))</f>
        <v/>
      </c>
      <c r="AA58" s="64" t="str">
        <f aca="false">IF(OR(AA$4="",$C58="",$D58="",N($E58)=0),"",$E58*MAX(0,MIN($D58+1,EDATE(AA$4,1))-MAX($C58,AA$4))/MAX(1,$D58+1-$C58))</f>
        <v/>
      </c>
      <c r="AB58" s="64" t="str">
        <f aca="false">IF(OR(AB$4="",$C58="",$D58="",N($E58)=0),"",$E58*MAX(0,MIN($D58+1,EDATE(AB$4,1))-MAX($C58,AB$4))/MAX(1,$D58+1-$C58))</f>
        <v/>
      </c>
      <c r="AC58" s="64" t="str">
        <f aca="false">IF(OR(AC$4="",$C58="",$D58="",N($E58)=0),"",$E58*MAX(0,MIN($D58+1,EDATE(AC$4,1))-MAX($C58,AC$4))/MAX(1,$D58+1-$C58))</f>
        <v/>
      </c>
      <c r="AD58" s="64" t="str">
        <f aca="false">IF(OR(AD$4="",$C58="",$D58="",N($E58)=0),"",$E58*MAX(0,MIN($D58+1,EDATE(AD$4,1))-MAX($C58,AD$4))/MAX(1,$D58+1-$C58))</f>
        <v/>
      </c>
      <c r="AE58" s="64" t="str">
        <f aca="false">IF(OR(AE$4="",$C58="",$D58="",N($E58)=0),"",$E58*MAX(0,MIN($D58+1,EDATE(AE$4,1))-MAX($C58,AE$4))/MAX(1,$D58+1-$C58))</f>
        <v/>
      </c>
      <c r="AF58" s="64" t="str">
        <f aca="false">IF(OR(AF$4="",$C58="",$D58="",N($E58)=0),"",$E58*MAX(0,MIN($D58+1,EDATE(AF$4,1))-MAX($C58,AF$4))/MAX(1,$D58+1-$C58))</f>
        <v/>
      </c>
      <c r="AG58" s="64" t="str">
        <f aca="false">IF(OR(AG$4="",$C58="",$D58="",N($E58)=0),"",$E58*MAX(0,MIN($D58+1,EDATE(AG$4,1))-MAX($C58,AG$4))/MAX(1,$D58+1-$C58))</f>
        <v/>
      </c>
      <c r="AH58" s="64" t="str">
        <f aca="false">IF(OR(AH$4="",$C58="",$D58="",N($E58)=0),"",$E58*MAX(0,MIN($D58+1,EDATE(AH$4,1))-MAX($C58,AH$4))/MAX(1,$D58+1-$C58))</f>
        <v/>
      </c>
      <c r="AI58" s="64" t="str">
        <f aca="false">IF(OR(AI$4="",$C58="",$D58="",N($E58)=0),"",$E58*MAX(0,MIN($D58+1,EDATE(AI$4,1))-MAX($C58,AI$4))/MAX(1,$D58+1-$C58))</f>
        <v/>
      </c>
      <c r="AJ58" s="64" t="str">
        <f aca="false">IF(OR(AJ$4="",$C58="",$D58="",N($E58)=0),"",$E58*MAX(0,MIN($D58+1,EDATE(AJ$4,1))-MAX($C58,AJ$4))/MAX(1,$D58+1-$C58))</f>
        <v/>
      </c>
      <c r="AK58" s="64" t="str">
        <f aca="false">IF(OR(AK$4="",$C58="",$D58="",N($E58)=0),"",$E58*MAX(0,MIN($D58+1,EDATE(AK$4,1))-MAX($C58,AK$4))/MAX(1,$D58+1-$C58))</f>
        <v/>
      </c>
      <c r="AL58" s="64" t="str">
        <f aca="false">IF(OR(AL$4="",$C58="",$D58="",N($E58)=0),"",$E58*MAX(0,MIN($D58+1,EDATE(AL$4,1))-MAX($C58,AL$4))/MAX(1,$D58+1-$C58))</f>
        <v/>
      </c>
      <c r="AM58" s="64" t="str">
        <f aca="false">IF(OR(AM$4="",$C58="",$D58="",N($E58)=0),"",$E58*MAX(0,MIN($D58+1,EDATE(AM$4,1))-MAX($C58,AM$4))/MAX(1,$D58+1-$C58))</f>
        <v/>
      </c>
      <c r="AN58" s="64" t="str">
        <f aca="false">IF(OR(AN$4="",$C58="",$D58="",N($E58)=0),"",$E58*MAX(0,MIN($D58+1,EDATE(AN$4,1))-MAX($C58,AN$4))/MAX(1,$D58+1-$C58))</f>
        <v/>
      </c>
      <c r="AO58" s="64" t="str">
        <f aca="false">IF(OR(AO$4="",$C58="",$D58="",N($E58)=0),"",$E58*MAX(0,MIN($D58+1,EDATE(AO$4,1))-MAX($C58,AO$4))/MAX(1,$D58+1-$C58))</f>
        <v/>
      </c>
      <c r="AP58" s="64" t="str">
        <f aca="false">IF(OR(AP$4="",$C58="",$D58="",N($E58)=0),"",$E58*MAX(0,MIN($D58+1,EDATE(AP$4,1))-MAX($C58,AP$4))/MAX(1,$D58+1-$C58))</f>
        <v/>
      </c>
      <c r="AQ58" s="64" t="str">
        <f aca="false">IF(OR(AQ$4="",$C58="",$D58="",N($E58)=0),"",$E58*MAX(0,MIN($D58+1,EDATE(AQ$4,1))-MAX($C58,AQ$4))/MAX(1,$D58+1-$C58))</f>
        <v/>
      </c>
      <c r="AR58" s="64" t="str">
        <f aca="false">IF(OR(AR$4="",$C58="",$D58="",N($E58)=0),"",$E58*MAX(0,MIN($D58+1,EDATE(AR$4,1))-MAX($C58,AR$4))/MAX(1,$D58+1-$C58))</f>
        <v/>
      </c>
      <c r="AS58" s="64" t="str">
        <f aca="false">IF(OR(AS$4="",$C58="",$D58="",N($E58)=0),"",$E58*MAX(0,MIN($D58+1,EDATE(AS$4,1))-MAX($C58,AS$4))/MAX(1,$D58+1-$C58))</f>
        <v/>
      </c>
      <c r="AT58" s="64" t="str">
        <f aca="false">IF(OR(AT$4="",$C58="",$D58="",N($E58)=0),"",$E58*MAX(0,MIN($D58+1,EDATE(AT$4,1))-MAX($C58,AT$4))/MAX(1,$D58+1-$C58))</f>
        <v/>
      </c>
      <c r="AU58" s="64" t="str">
        <f aca="false">IF(OR(AU$4="",$C58="",$D58="",N($E58)=0),"",$E58*MAX(0,MIN($D58+1,EDATE(AU$4,1))-MAX($C58,AU$4))/MAX(1,$D58+1-$C58))</f>
        <v/>
      </c>
      <c r="AV58" s="64" t="str">
        <f aca="false">IF(OR(AV$4="",$C58="",$D58="",N($E58)=0),"",$E58*MAX(0,MIN($D58+1,EDATE(AV$4,1))-MAX($C58,AV$4))/MAX(1,$D58+1-$C58))</f>
        <v/>
      </c>
      <c r="AW58" s="64" t="str">
        <f aca="false">IF(OR(AW$4="",$C58="",$D58="",N($E58)=0),"",$E58*MAX(0,MIN($D58+1,EDATE(AW$4,1))-MAX($C58,AW$4))/MAX(1,$D58+1-$C58))</f>
        <v/>
      </c>
      <c r="AX58" s="64" t="str">
        <f aca="false">IF(OR(AX$4="",$C58="",$D58="",N($E58)=0),"",$E58*MAX(0,MIN($D58+1,EDATE(AX$4,1))-MAX($C58,AX$4))/MAX(1,$D58+1-$C58))</f>
        <v/>
      </c>
      <c r="AY58" s="64" t="str">
        <f aca="false">IF(OR(AY$4="",$C58="",$D58="",N($E58)=0),"",$E58*MAX(0,MIN($D58+1,EDATE(AY$4,1))-MAX($C58,AY$4))/MAX(1,$D58+1-$C58))</f>
        <v/>
      </c>
      <c r="AZ58" s="64" t="str">
        <f aca="false">IF(OR(AZ$4="",$C58="",$D58="",N($E58)=0),"",$E58*MAX(0,MIN($D58+1,EDATE(AZ$4,1))-MAX($C58,AZ$4))/MAX(1,$D58+1-$C58))</f>
        <v/>
      </c>
      <c r="BA58" s="64" t="str">
        <f aca="false">IF(OR(BA$4="",$C58="",$D58="",N($E58)=0),"",$E58*MAX(0,MIN($D58+1,EDATE(BA$4,1))-MAX($C58,BA$4))/MAX(1,$D58+1-$C58))</f>
        <v/>
      </c>
      <c r="BB58" s="64" t="str">
        <f aca="false">IF(OR(BB$4="",$C58="",$D58="",N($E58)=0),"",$E58*MAX(0,MIN($D58+1,EDATE(BB$4,1))-MAX($C58,BB$4))/MAX(1,$D58+1-$C58))</f>
        <v/>
      </c>
      <c r="BC58" s="64" t="str">
        <f aca="false">IF(OR(BC$4="",$C58="",$D58="",N($E58)=0),"",$E58*MAX(0,MIN($D58+1,EDATE(BC$4,1))-MAX($C58,BC$4))/MAX(1,$D58+1-$C58))</f>
        <v/>
      </c>
      <c r="BD58" s="64" t="str">
        <f aca="false">IF(OR(BD$4="",$C58="",$D58="",N($E58)=0),"",$E58*MAX(0,MIN($D58+1,EDATE(BD$4,1))-MAX($C58,BD$4))/MAX(1,$D58+1-$C58))</f>
        <v/>
      </c>
      <c r="BE58" s="64" t="str">
        <f aca="false">IF(OR(BE$4="",$C58="",$D58="",N($E58)=0),"",$E58*MAX(0,MIN($D58+1,EDATE(BE$4,1))-MAX($C58,BE$4))/MAX(1,$D58+1-$C58))</f>
        <v/>
      </c>
      <c r="BF58" s="64" t="str">
        <f aca="false">IF(OR(BF$4="",$C58="",$D58="",N($E58)=0),"",$E58*MAX(0,MIN($D58+1,EDATE(BF$4,1))-MAX($C58,BF$4))/MAX(1,$D58+1-$C58))</f>
        <v/>
      </c>
      <c r="BG58" s="64" t="str">
        <f aca="false">IF(OR(BG$4="",$C58="",$D58="",N($E58)=0),"",$E58*MAX(0,MIN($D58+1,EDATE(BG$4,1))-MAX($C58,BG$4))/MAX(1,$D58+1-$C58))</f>
        <v/>
      </c>
      <c r="BH58" s="64" t="str">
        <f aca="false">IF(OR(BH$4="",$C58="",$D58="",N($E58)=0),"",$E58*MAX(0,MIN($D58+1,EDATE(BH$4,1))-MAX($C58,BH$4))/MAX(1,$D58+1-$C58))</f>
        <v/>
      </c>
      <c r="BI58" s="64" t="str">
        <f aca="false">IF(OR(BI$4="",$C58="",$D58="",N($E58)=0),"",$E58*MAX(0,MIN($D58+1,EDATE(BI$4,1))-MAX($C58,BI$4))/MAX(1,$D58+1-$C58))</f>
        <v/>
      </c>
      <c r="BJ58" s="64" t="str">
        <f aca="false">IF(OR(BJ$4="",$C58="",$D58="",N($E58)=0),"",$E58*MAX(0,MIN($D58+1,EDATE(BJ$4,1))-MAX($C58,BJ$4))/MAX(1,$D58+1-$C58))</f>
        <v/>
      </c>
      <c r="BK58" s="64" t="str">
        <f aca="false">IF(OR(BK$4="",$C58="",$D58="",N($E58)=0),"",$E58*MAX(0,MIN($D58+1,EDATE(BK$4,1))-MAX($C58,BK$4))/MAX(1,$D58+1-$C58))</f>
        <v/>
      </c>
      <c r="BL58" s="64" t="str">
        <f aca="false">IF(OR(BL$4="",$C58="",$D58="",N($E58)=0),"",$E58*MAX(0,MIN($D58+1,EDATE(BL$4,1))-MAX($C58,BL$4))/MAX(1,$D58+1-$C58))</f>
        <v/>
      </c>
      <c r="BM58" s="64" t="str">
        <f aca="false">IF(OR(BM$4="",$C58="",$D58="",N($E58)=0),"",$E58*MAX(0,MIN($D58+1,EDATE(BM$4,1))-MAX($C58,BM$4))/MAX(1,$D58+1-$C58))</f>
        <v/>
      </c>
      <c r="BN58" s="64" t="str">
        <f aca="false">IF(OR(BN$4="",$C58="",$D58="",N($E58)=0),"",$E58*MAX(0,MIN($D58+1,EDATE(BN$4,1))-MAX($C58,BN$4))/MAX(1,$D58+1-$C58))</f>
        <v/>
      </c>
      <c r="BO58" s="64" t="str">
        <f aca="false">IF(OR(BO$4="",$C58="",$D58="",N($E58)=0),"",$E58*MAX(0,MIN($D58+1,EDATE(BO$4,1))-MAX($C58,BO$4))/MAX(1,$D58+1-$C58))</f>
        <v/>
      </c>
      <c r="BP58" s="64" t="str">
        <f aca="false">IF(OR(BP$4="",$C58="",$D58="",N($E58)=0),"",$E58*MAX(0,MIN($D58+1,EDATE(BP$4,1))-MAX($C58,BP$4))/MAX(1,$D58+1-$C58))</f>
        <v/>
      </c>
      <c r="BQ58" s="64" t="str">
        <f aca="false">IF(OR(BQ$4="",$C58="",$D58="",N($E58)=0),"",$E58*MAX(0,MIN($D58+1,EDATE(BQ$4,1))-MAX($C58,BQ$4))/MAX(1,$D58+1-$C58))</f>
        <v/>
      </c>
      <c r="BR58" s="64" t="str">
        <f aca="false">IF(OR(BR$4="",$C58="",$D58="",N($E58)=0),"",$E58*MAX(0,MIN($D58+1,EDATE(BR$4,1))-MAX($C58,BR$4))/MAX(1,$D58+1-$C58))</f>
        <v/>
      </c>
      <c r="BS58" s="64" t="str">
        <f aca="false">IF(OR(BS$4="",$C58="",$D58="",N($E58)=0),"",$E58*MAX(0,MIN($D58+1,EDATE(BS$4,1))-MAX($C58,BS$4))/MAX(1,$D58+1-$C58))</f>
        <v/>
      </c>
      <c r="BT58" s="64" t="str">
        <f aca="false">IF(OR(BT$4="",$C58="",$D58="",N($E58)=0),"",$E58*MAX(0,MIN($D58+1,EDATE(BT$4,1))-MAX($C58,BT$4))/MAX(1,$D58+1-$C58))</f>
        <v/>
      </c>
      <c r="BU58" s="64" t="str">
        <f aca="false">IF(OR(BU$4="",$C58="",$D58="",N($E58)=0),"",$E58*MAX(0,MIN($D58+1,EDATE(BU$4,1))-MAX($C58,BU$4))/MAX(1,$D58+1-$C58))</f>
        <v/>
      </c>
      <c r="BV58" s="64" t="str">
        <f aca="false">IF(OR(BV$4="",$C58="",$D58="",N($E58)=0),"",$E58*MAX(0,MIN($D58+1,EDATE(BV$4,1))-MAX($C58,BV$4))/MAX(1,$D58+1-$C58))</f>
        <v/>
      </c>
      <c r="BW58" s="64" t="str">
        <f aca="false">IF(OR(BW$4="",$C58="",$D58="",N($E58)=0),"",$E58*MAX(0,MIN($D58+1,EDATE(BW$4,1))-MAX($C58,BW$4))/MAX(1,$D58+1-$C58))</f>
        <v/>
      </c>
      <c r="BX58" s="64" t="str">
        <f aca="false">IF(OR(BX$4="",$C58="",$D58="",N($E58)=0),"",$E58*MAX(0,MIN($D58+1,EDATE(BX$4,1))-MAX($C58,BX$4))/MAX(1,$D58+1-$C58))</f>
        <v/>
      </c>
      <c r="BY58" s="64" t="str">
        <f aca="false">IF(OR(BY$4="",$C58="",$D58="",N($E58)=0),"",$E58*MAX(0,MIN($D58+1,EDATE(BY$4,1))-MAX($C58,BY$4))/MAX(1,$D58+1-$C58))</f>
        <v/>
      </c>
    </row>
    <row r="59" customFormat="false" ht="15" hidden="false" customHeight="false" outlineLevel="0" collapsed="false">
      <c r="A59" s="61" t="str">
        <f aca="false">IF(BOE!$A60="","",BOE!$A60)</f>
        <v/>
      </c>
      <c r="B59" s="61" t="str">
        <f aca="false">IF(BOE!$A60="","",BOE!$C60)</f>
        <v/>
      </c>
      <c r="C59" s="62" t="str">
        <f aca="false">IF(BOE!$O60="","",BOE!$O60)</f>
        <v/>
      </c>
      <c r="D59" s="62" t="str">
        <f aca="false">IF(BOE!$P60="","",BOE!$P60)</f>
        <v/>
      </c>
      <c r="E59" s="63" t="n">
        <f aca="false">IF(Inputs!$B$7="P90",BOE!$T60,BOE!$R60)</f>
        <v>0</v>
      </c>
      <c r="F59" s="64" t="str">
        <f aca="false">IF(OR(F$4="",$C59="",$D59="",N($E59)=0),"",$E59*MAX(0,MIN($D59+1,EDATE(F$4,1))-MAX($C59,F$4))/MAX(1,$D59+1-$C59))</f>
        <v/>
      </c>
      <c r="G59" s="64" t="str">
        <f aca="false">IF(OR(G$4="",$C59="",$D59="",N($E59)=0),"",$E59*MAX(0,MIN($D59+1,EDATE(G$4,1))-MAX($C59,G$4))/MAX(1,$D59+1-$C59))</f>
        <v/>
      </c>
      <c r="H59" s="64" t="str">
        <f aca="false">IF(OR(H$4="",$C59="",$D59="",N($E59)=0),"",$E59*MAX(0,MIN($D59+1,EDATE(H$4,1))-MAX($C59,H$4))/MAX(1,$D59+1-$C59))</f>
        <v/>
      </c>
      <c r="I59" s="64" t="str">
        <f aca="false">IF(OR(I$4="",$C59="",$D59="",N($E59)=0),"",$E59*MAX(0,MIN($D59+1,EDATE(I$4,1))-MAX($C59,I$4))/MAX(1,$D59+1-$C59))</f>
        <v/>
      </c>
      <c r="J59" s="64" t="str">
        <f aca="false">IF(OR(J$4="",$C59="",$D59="",N($E59)=0),"",$E59*MAX(0,MIN($D59+1,EDATE(J$4,1))-MAX($C59,J$4))/MAX(1,$D59+1-$C59))</f>
        <v/>
      </c>
      <c r="K59" s="64" t="str">
        <f aca="false">IF(OR(K$4="",$C59="",$D59="",N($E59)=0),"",$E59*MAX(0,MIN($D59+1,EDATE(K$4,1))-MAX($C59,K$4))/MAX(1,$D59+1-$C59))</f>
        <v/>
      </c>
      <c r="L59" s="64" t="str">
        <f aca="false">IF(OR(L$4="",$C59="",$D59="",N($E59)=0),"",$E59*MAX(0,MIN($D59+1,EDATE(L$4,1))-MAX($C59,L$4))/MAX(1,$D59+1-$C59))</f>
        <v/>
      </c>
      <c r="M59" s="64" t="str">
        <f aca="false">IF(OR(M$4="",$C59="",$D59="",N($E59)=0),"",$E59*MAX(0,MIN($D59+1,EDATE(M$4,1))-MAX($C59,M$4))/MAX(1,$D59+1-$C59))</f>
        <v/>
      </c>
      <c r="N59" s="64" t="str">
        <f aca="false">IF(OR(N$4="",$C59="",$D59="",N($E59)=0),"",$E59*MAX(0,MIN($D59+1,EDATE(N$4,1))-MAX($C59,N$4))/MAX(1,$D59+1-$C59))</f>
        <v/>
      </c>
      <c r="O59" s="64" t="str">
        <f aca="false">IF(OR(O$4="",$C59="",$D59="",N($E59)=0),"",$E59*MAX(0,MIN($D59+1,EDATE(O$4,1))-MAX($C59,O$4))/MAX(1,$D59+1-$C59))</f>
        <v/>
      </c>
      <c r="P59" s="64" t="str">
        <f aca="false">IF(OR(P$4="",$C59="",$D59="",N($E59)=0),"",$E59*MAX(0,MIN($D59+1,EDATE(P$4,1))-MAX($C59,P$4))/MAX(1,$D59+1-$C59))</f>
        <v/>
      </c>
      <c r="Q59" s="64" t="str">
        <f aca="false">IF(OR(Q$4="",$C59="",$D59="",N($E59)=0),"",$E59*MAX(0,MIN($D59+1,EDATE(Q$4,1))-MAX($C59,Q$4))/MAX(1,$D59+1-$C59))</f>
        <v/>
      </c>
      <c r="R59" s="64" t="str">
        <f aca="false">IF(OR(R$4="",$C59="",$D59="",N($E59)=0),"",$E59*MAX(0,MIN($D59+1,EDATE(R$4,1))-MAX($C59,R$4))/MAX(1,$D59+1-$C59))</f>
        <v/>
      </c>
      <c r="S59" s="64" t="str">
        <f aca="false">IF(OR(S$4="",$C59="",$D59="",N($E59)=0),"",$E59*MAX(0,MIN($D59+1,EDATE(S$4,1))-MAX($C59,S$4))/MAX(1,$D59+1-$C59))</f>
        <v/>
      </c>
      <c r="T59" s="64" t="str">
        <f aca="false">IF(OR(T$4="",$C59="",$D59="",N($E59)=0),"",$E59*MAX(0,MIN($D59+1,EDATE(T$4,1))-MAX($C59,T$4))/MAX(1,$D59+1-$C59))</f>
        <v/>
      </c>
      <c r="U59" s="64" t="str">
        <f aca="false">IF(OR(U$4="",$C59="",$D59="",N($E59)=0),"",$E59*MAX(0,MIN($D59+1,EDATE(U$4,1))-MAX($C59,U$4))/MAX(1,$D59+1-$C59))</f>
        <v/>
      </c>
      <c r="V59" s="64" t="str">
        <f aca="false">IF(OR(V$4="",$C59="",$D59="",N($E59)=0),"",$E59*MAX(0,MIN($D59+1,EDATE(V$4,1))-MAX($C59,V$4))/MAX(1,$D59+1-$C59))</f>
        <v/>
      </c>
      <c r="W59" s="64" t="str">
        <f aca="false">IF(OR(W$4="",$C59="",$D59="",N($E59)=0),"",$E59*MAX(0,MIN($D59+1,EDATE(W$4,1))-MAX($C59,W$4))/MAX(1,$D59+1-$C59))</f>
        <v/>
      </c>
      <c r="X59" s="64" t="str">
        <f aca="false">IF(OR(X$4="",$C59="",$D59="",N($E59)=0),"",$E59*MAX(0,MIN($D59+1,EDATE(X$4,1))-MAX($C59,X$4))/MAX(1,$D59+1-$C59))</f>
        <v/>
      </c>
      <c r="Y59" s="64" t="str">
        <f aca="false">IF(OR(Y$4="",$C59="",$D59="",N($E59)=0),"",$E59*MAX(0,MIN($D59+1,EDATE(Y$4,1))-MAX($C59,Y$4))/MAX(1,$D59+1-$C59))</f>
        <v/>
      </c>
      <c r="Z59" s="64" t="str">
        <f aca="false">IF(OR(Z$4="",$C59="",$D59="",N($E59)=0),"",$E59*MAX(0,MIN($D59+1,EDATE(Z$4,1))-MAX($C59,Z$4))/MAX(1,$D59+1-$C59))</f>
        <v/>
      </c>
      <c r="AA59" s="64" t="str">
        <f aca="false">IF(OR(AA$4="",$C59="",$D59="",N($E59)=0),"",$E59*MAX(0,MIN($D59+1,EDATE(AA$4,1))-MAX($C59,AA$4))/MAX(1,$D59+1-$C59))</f>
        <v/>
      </c>
      <c r="AB59" s="64" t="str">
        <f aca="false">IF(OR(AB$4="",$C59="",$D59="",N($E59)=0),"",$E59*MAX(0,MIN($D59+1,EDATE(AB$4,1))-MAX($C59,AB$4))/MAX(1,$D59+1-$C59))</f>
        <v/>
      </c>
      <c r="AC59" s="64" t="str">
        <f aca="false">IF(OR(AC$4="",$C59="",$D59="",N($E59)=0),"",$E59*MAX(0,MIN($D59+1,EDATE(AC$4,1))-MAX($C59,AC$4))/MAX(1,$D59+1-$C59))</f>
        <v/>
      </c>
      <c r="AD59" s="64" t="str">
        <f aca="false">IF(OR(AD$4="",$C59="",$D59="",N($E59)=0),"",$E59*MAX(0,MIN($D59+1,EDATE(AD$4,1))-MAX($C59,AD$4))/MAX(1,$D59+1-$C59))</f>
        <v/>
      </c>
      <c r="AE59" s="64" t="str">
        <f aca="false">IF(OR(AE$4="",$C59="",$D59="",N($E59)=0),"",$E59*MAX(0,MIN($D59+1,EDATE(AE$4,1))-MAX($C59,AE$4))/MAX(1,$D59+1-$C59))</f>
        <v/>
      </c>
      <c r="AF59" s="64" t="str">
        <f aca="false">IF(OR(AF$4="",$C59="",$D59="",N($E59)=0),"",$E59*MAX(0,MIN($D59+1,EDATE(AF$4,1))-MAX($C59,AF$4))/MAX(1,$D59+1-$C59))</f>
        <v/>
      </c>
      <c r="AG59" s="64" t="str">
        <f aca="false">IF(OR(AG$4="",$C59="",$D59="",N($E59)=0),"",$E59*MAX(0,MIN($D59+1,EDATE(AG$4,1))-MAX($C59,AG$4))/MAX(1,$D59+1-$C59))</f>
        <v/>
      </c>
      <c r="AH59" s="64" t="str">
        <f aca="false">IF(OR(AH$4="",$C59="",$D59="",N($E59)=0),"",$E59*MAX(0,MIN($D59+1,EDATE(AH$4,1))-MAX($C59,AH$4))/MAX(1,$D59+1-$C59))</f>
        <v/>
      </c>
      <c r="AI59" s="64" t="str">
        <f aca="false">IF(OR(AI$4="",$C59="",$D59="",N($E59)=0),"",$E59*MAX(0,MIN($D59+1,EDATE(AI$4,1))-MAX($C59,AI$4))/MAX(1,$D59+1-$C59))</f>
        <v/>
      </c>
      <c r="AJ59" s="64" t="str">
        <f aca="false">IF(OR(AJ$4="",$C59="",$D59="",N($E59)=0),"",$E59*MAX(0,MIN($D59+1,EDATE(AJ$4,1))-MAX($C59,AJ$4))/MAX(1,$D59+1-$C59))</f>
        <v/>
      </c>
      <c r="AK59" s="64" t="str">
        <f aca="false">IF(OR(AK$4="",$C59="",$D59="",N($E59)=0),"",$E59*MAX(0,MIN($D59+1,EDATE(AK$4,1))-MAX($C59,AK$4))/MAX(1,$D59+1-$C59))</f>
        <v/>
      </c>
      <c r="AL59" s="64" t="str">
        <f aca="false">IF(OR(AL$4="",$C59="",$D59="",N($E59)=0),"",$E59*MAX(0,MIN($D59+1,EDATE(AL$4,1))-MAX($C59,AL$4))/MAX(1,$D59+1-$C59))</f>
        <v/>
      </c>
      <c r="AM59" s="64" t="str">
        <f aca="false">IF(OR(AM$4="",$C59="",$D59="",N($E59)=0),"",$E59*MAX(0,MIN($D59+1,EDATE(AM$4,1))-MAX($C59,AM$4))/MAX(1,$D59+1-$C59))</f>
        <v/>
      </c>
      <c r="AN59" s="64" t="str">
        <f aca="false">IF(OR(AN$4="",$C59="",$D59="",N($E59)=0),"",$E59*MAX(0,MIN($D59+1,EDATE(AN$4,1))-MAX($C59,AN$4))/MAX(1,$D59+1-$C59))</f>
        <v/>
      </c>
      <c r="AO59" s="64" t="str">
        <f aca="false">IF(OR(AO$4="",$C59="",$D59="",N($E59)=0),"",$E59*MAX(0,MIN($D59+1,EDATE(AO$4,1))-MAX($C59,AO$4))/MAX(1,$D59+1-$C59))</f>
        <v/>
      </c>
      <c r="AP59" s="64" t="str">
        <f aca="false">IF(OR(AP$4="",$C59="",$D59="",N($E59)=0),"",$E59*MAX(0,MIN($D59+1,EDATE(AP$4,1))-MAX($C59,AP$4))/MAX(1,$D59+1-$C59))</f>
        <v/>
      </c>
      <c r="AQ59" s="64" t="str">
        <f aca="false">IF(OR(AQ$4="",$C59="",$D59="",N($E59)=0),"",$E59*MAX(0,MIN($D59+1,EDATE(AQ$4,1))-MAX($C59,AQ$4))/MAX(1,$D59+1-$C59))</f>
        <v/>
      </c>
      <c r="AR59" s="64" t="str">
        <f aca="false">IF(OR(AR$4="",$C59="",$D59="",N($E59)=0),"",$E59*MAX(0,MIN($D59+1,EDATE(AR$4,1))-MAX($C59,AR$4))/MAX(1,$D59+1-$C59))</f>
        <v/>
      </c>
      <c r="AS59" s="64" t="str">
        <f aca="false">IF(OR(AS$4="",$C59="",$D59="",N($E59)=0),"",$E59*MAX(0,MIN($D59+1,EDATE(AS$4,1))-MAX($C59,AS$4))/MAX(1,$D59+1-$C59))</f>
        <v/>
      </c>
      <c r="AT59" s="64" t="str">
        <f aca="false">IF(OR(AT$4="",$C59="",$D59="",N($E59)=0),"",$E59*MAX(0,MIN($D59+1,EDATE(AT$4,1))-MAX($C59,AT$4))/MAX(1,$D59+1-$C59))</f>
        <v/>
      </c>
      <c r="AU59" s="64" t="str">
        <f aca="false">IF(OR(AU$4="",$C59="",$D59="",N($E59)=0),"",$E59*MAX(0,MIN($D59+1,EDATE(AU$4,1))-MAX($C59,AU$4))/MAX(1,$D59+1-$C59))</f>
        <v/>
      </c>
      <c r="AV59" s="64" t="str">
        <f aca="false">IF(OR(AV$4="",$C59="",$D59="",N($E59)=0),"",$E59*MAX(0,MIN($D59+1,EDATE(AV$4,1))-MAX($C59,AV$4))/MAX(1,$D59+1-$C59))</f>
        <v/>
      </c>
      <c r="AW59" s="64" t="str">
        <f aca="false">IF(OR(AW$4="",$C59="",$D59="",N($E59)=0),"",$E59*MAX(0,MIN($D59+1,EDATE(AW$4,1))-MAX($C59,AW$4))/MAX(1,$D59+1-$C59))</f>
        <v/>
      </c>
      <c r="AX59" s="64" t="str">
        <f aca="false">IF(OR(AX$4="",$C59="",$D59="",N($E59)=0),"",$E59*MAX(0,MIN($D59+1,EDATE(AX$4,1))-MAX($C59,AX$4))/MAX(1,$D59+1-$C59))</f>
        <v/>
      </c>
      <c r="AY59" s="64" t="str">
        <f aca="false">IF(OR(AY$4="",$C59="",$D59="",N($E59)=0),"",$E59*MAX(0,MIN($D59+1,EDATE(AY$4,1))-MAX($C59,AY$4))/MAX(1,$D59+1-$C59))</f>
        <v/>
      </c>
      <c r="AZ59" s="64" t="str">
        <f aca="false">IF(OR(AZ$4="",$C59="",$D59="",N($E59)=0),"",$E59*MAX(0,MIN($D59+1,EDATE(AZ$4,1))-MAX($C59,AZ$4))/MAX(1,$D59+1-$C59))</f>
        <v/>
      </c>
      <c r="BA59" s="64" t="str">
        <f aca="false">IF(OR(BA$4="",$C59="",$D59="",N($E59)=0),"",$E59*MAX(0,MIN($D59+1,EDATE(BA$4,1))-MAX($C59,BA$4))/MAX(1,$D59+1-$C59))</f>
        <v/>
      </c>
      <c r="BB59" s="64" t="str">
        <f aca="false">IF(OR(BB$4="",$C59="",$D59="",N($E59)=0),"",$E59*MAX(0,MIN($D59+1,EDATE(BB$4,1))-MAX($C59,BB$4))/MAX(1,$D59+1-$C59))</f>
        <v/>
      </c>
      <c r="BC59" s="64" t="str">
        <f aca="false">IF(OR(BC$4="",$C59="",$D59="",N($E59)=0),"",$E59*MAX(0,MIN($D59+1,EDATE(BC$4,1))-MAX($C59,BC$4))/MAX(1,$D59+1-$C59))</f>
        <v/>
      </c>
      <c r="BD59" s="64" t="str">
        <f aca="false">IF(OR(BD$4="",$C59="",$D59="",N($E59)=0),"",$E59*MAX(0,MIN($D59+1,EDATE(BD$4,1))-MAX($C59,BD$4))/MAX(1,$D59+1-$C59))</f>
        <v/>
      </c>
      <c r="BE59" s="64" t="str">
        <f aca="false">IF(OR(BE$4="",$C59="",$D59="",N($E59)=0),"",$E59*MAX(0,MIN($D59+1,EDATE(BE$4,1))-MAX($C59,BE$4))/MAX(1,$D59+1-$C59))</f>
        <v/>
      </c>
      <c r="BF59" s="64" t="str">
        <f aca="false">IF(OR(BF$4="",$C59="",$D59="",N($E59)=0),"",$E59*MAX(0,MIN($D59+1,EDATE(BF$4,1))-MAX($C59,BF$4))/MAX(1,$D59+1-$C59))</f>
        <v/>
      </c>
      <c r="BG59" s="64" t="str">
        <f aca="false">IF(OR(BG$4="",$C59="",$D59="",N($E59)=0),"",$E59*MAX(0,MIN($D59+1,EDATE(BG$4,1))-MAX($C59,BG$4))/MAX(1,$D59+1-$C59))</f>
        <v/>
      </c>
      <c r="BH59" s="64" t="str">
        <f aca="false">IF(OR(BH$4="",$C59="",$D59="",N($E59)=0),"",$E59*MAX(0,MIN($D59+1,EDATE(BH$4,1))-MAX($C59,BH$4))/MAX(1,$D59+1-$C59))</f>
        <v/>
      </c>
      <c r="BI59" s="64" t="str">
        <f aca="false">IF(OR(BI$4="",$C59="",$D59="",N($E59)=0),"",$E59*MAX(0,MIN($D59+1,EDATE(BI$4,1))-MAX($C59,BI$4))/MAX(1,$D59+1-$C59))</f>
        <v/>
      </c>
      <c r="BJ59" s="64" t="str">
        <f aca="false">IF(OR(BJ$4="",$C59="",$D59="",N($E59)=0),"",$E59*MAX(0,MIN($D59+1,EDATE(BJ$4,1))-MAX($C59,BJ$4))/MAX(1,$D59+1-$C59))</f>
        <v/>
      </c>
      <c r="BK59" s="64" t="str">
        <f aca="false">IF(OR(BK$4="",$C59="",$D59="",N($E59)=0),"",$E59*MAX(0,MIN($D59+1,EDATE(BK$4,1))-MAX($C59,BK$4))/MAX(1,$D59+1-$C59))</f>
        <v/>
      </c>
      <c r="BL59" s="64" t="str">
        <f aca="false">IF(OR(BL$4="",$C59="",$D59="",N($E59)=0),"",$E59*MAX(0,MIN($D59+1,EDATE(BL$4,1))-MAX($C59,BL$4))/MAX(1,$D59+1-$C59))</f>
        <v/>
      </c>
      <c r="BM59" s="64" t="str">
        <f aca="false">IF(OR(BM$4="",$C59="",$D59="",N($E59)=0),"",$E59*MAX(0,MIN($D59+1,EDATE(BM$4,1))-MAX($C59,BM$4))/MAX(1,$D59+1-$C59))</f>
        <v/>
      </c>
      <c r="BN59" s="64" t="str">
        <f aca="false">IF(OR(BN$4="",$C59="",$D59="",N($E59)=0),"",$E59*MAX(0,MIN($D59+1,EDATE(BN$4,1))-MAX($C59,BN$4))/MAX(1,$D59+1-$C59))</f>
        <v/>
      </c>
      <c r="BO59" s="64" t="str">
        <f aca="false">IF(OR(BO$4="",$C59="",$D59="",N($E59)=0),"",$E59*MAX(0,MIN($D59+1,EDATE(BO$4,1))-MAX($C59,BO$4))/MAX(1,$D59+1-$C59))</f>
        <v/>
      </c>
      <c r="BP59" s="64" t="str">
        <f aca="false">IF(OR(BP$4="",$C59="",$D59="",N($E59)=0),"",$E59*MAX(0,MIN($D59+1,EDATE(BP$4,1))-MAX($C59,BP$4))/MAX(1,$D59+1-$C59))</f>
        <v/>
      </c>
      <c r="BQ59" s="64" t="str">
        <f aca="false">IF(OR(BQ$4="",$C59="",$D59="",N($E59)=0),"",$E59*MAX(0,MIN($D59+1,EDATE(BQ$4,1))-MAX($C59,BQ$4))/MAX(1,$D59+1-$C59))</f>
        <v/>
      </c>
      <c r="BR59" s="64" t="str">
        <f aca="false">IF(OR(BR$4="",$C59="",$D59="",N($E59)=0),"",$E59*MAX(0,MIN($D59+1,EDATE(BR$4,1))-MAX($C59,BR$4))/MAX(1,$D59+1-$C59))</f>
        <v/>
      </c>
      <c r="BS59" s="64" t="str">
        <f aca="false">IF(OR(BS$4="",$C59="",$D59="",N($E59)=0),"",$E59*MAX(0,MIN($D59+1,EDATE(BS$4,1))-MAX($C59,BS$4))/MAX(1,$D59+1-$C59))</f>
        <v/>
      </c>
      <c r="BT59" s="64" t="str">
        <f aca="false">IF(OR(BT$4="",$C59="",$D59="",N($E59)=0),"",$E59*MAX(0,MIN($D59+1,EDATE(BT$4,1))-MAX($C59,BT$4))/MAX(1,$D59+1-$C59))</f>
        <v/>
      </c>
      <c r="BU59" s="64" t="str">
        <f aca="false">IF(OR(BU$4="",$C59="",$D59="",N($E59)=0),"",$E59*MAX(0,MIN($D59+1,EDATE(BU$4,1))-MAX($C59,BU$4))/MAX(1,$D59+1-$C59))</f>
        <v/>
      </c>
      <c r="BV59" s="64" t="str">
        <f aca="false">IF(OR(BV$4="",$C59="",$D59="",N($E59)=0),"",$E59*MAX(0,MIN($D59+1,EDATE(BV$4,1))-MAX($C59,BV$4))/MAX(1,$D59+1-$C59))</f>
        <v/>
      </c>
      <c r="BW59" s="64" t="str">
        <f aca="false">IF(OR(BW$4="",$C59="",$D59="",N($E59)=0),"",$E59*MAX(0,MIN($D59+1,EDATE(BW$4,1))-MAX($C59,BW$4))/MAX(1,$D59+1-$C59))</f>
        <v/>
      </c>
      <c r="BX59" s="64" t="str">
        <f aca="false">IF(OR(BX$4="",$C59="",$D59="",N($E59)=0),"",$E59*MAX(0,MIN($D59+1,EDATE(BX$4,1))-MAX($C59,BX$4))/MAX(1,$D59+1-$C59))</f>
        <v/>
      </c>
      <c r="BY59" s="64" t="str">
        <f aca="false">IF(OR(BY$4="",$C59="",$D59="",N($E59)=0),"",$E59*MAX(0,MIN($D59+1,EDATE(BY$4,1))-MAX($C59,BY$4))/MAX(1,$D59+1-$C59))</f>
        <v/>
      </c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</row>
    <row r="61" customFormat="false" ht="15" hidden="false" customHeight="false" outlineLevel="0" collapsed="false">
      <c r="A61" s="4"/>
      <c r="B61" s="18" t="s">
        <v>308</v>
      </c>
      <c r="C61" s="4"/>
      <c r="D61" s="4"/>
      <c r="E61" s="58" t="n">
        <f aca="false">SUM(E5:E59)</f>
        <v>11953.1991786448</v>
      </c>
      <c r="F61" s="65" t="n">
        <f aca="false">IF(F$4="","",SUM(F5:F59))</f>
        <v>275.600906832325</v>
      </c>
      <c r="G61" s="65" t="n">
        <f aca="false">IF(G$4="","",SUM(G5:G59))</f>
        <v>254.076050162832</v>
      </c>
      <c r="H61" s="65" t="n">
        <f aca="false">IF(H$4="","",SUM(H5:H59))</f>
        <v>296.621774552871</v>
      </c>
      <c r="I61" s="65" t="n">
        <f aca="false">IF(I$4="","",SUM(I5:I59))</f>
        <v>336.250361367041</v>
      </c>
      <c r="J61" s="65" t="n">
        <f aca="false">IF(J$4="","",SUM(J5:J59))</f>
        <v>340.645519932756</v>
      </c>
      <c r="K61" s="65" t="n">
        <f aca="false">IF(K$4="","",SUM(K5:K59))</f>
        <v>329.656954773635</v>
      </c>
      <c r="L61" s="65" t="n">
        <f aca="false">IF(L$4="","",SUM(L5:L59))</f>
        <v>332.645519932756</v>
      </c>
      <c r="M61" s="65" t="n">
        <f aca="false">IF(M$4="","",SUM(M5:M59))</f>
        <v>216.645519932756</v>
      </c>
      <c r="N61" s="65" t="n">
        <f aca="false">IF(N$4="","",SUM(N5:N59))</f>
        <v>209.656954773635</v>
      </c>
      <c r="O61" s="65" t="n">
        <f aca="false">IF(O$4="","",SUM(O5:O59))</f>
        <v>216.645519932756</v>
      </c>
      <c r="P61" s="65" t="n">
        <f aca="false">IF(P$4="","",SUM(P5:P59))</f>
        <v>626.638906777098</v>
      </c>
      <c r="Q61" s="65" t="n">
        <f aca="false">IF(Q$4="","",SUM(Q5:Q59))</f>
        <v>644.350049901717</v>
      </c>
      <c r="R61" s="65" t="n">
        <f aca="false">IF(R$4="","",SUM(R5:R59))</f>
        <v>644.350049901717</v>
      </c>
      <c r="S61" s="65" t="n">
        <f aca="false">IF(S$4="","",SUM(S5:S59))</f>
        <v>602.779078940316</v>
      </c>
      <c r="T61" s="65" t="n">
        <f aca="false">IF(T$4="","",SUM(T5:T59))</f>
        <v>644.350049901717</v>
      </c>
      <c r="U61" s="65" t="n">
        <f aca="false">IF(U$4="","",SUM(U5:U59))</f>
        <v>623.564564421017</v>
      </c>
      <c r="V61" s="65" t="n">
        <f aca="false">IF(V$4="","",SUM(V5:V59))</f>
        <v>629.7849023996</v>
      </c>
      <c r="W61" s="65" t="n">
        <f aca="false">IF(W$4="","",SUM(W5:W59))</f>
        <v>342.326155652371</v>
      </c>
      <c r="X61" s="65" t="n">
        <f aca="false">IF(X$4="","",SUM(X5:X59))</f>
        <v>260.209551914703</v>
      </c>
      <c r="Y61" s="65" t="n">
        <f aca="false">IF(Y$4="","",SUM(Y5:Y59))</f>
        <v>260.209551914703</v>
      </c>
      <c r="Z61" s="65" t="n">
        <f aca="false">IF(Z$4="","",SUM(Z5:Z59))</f>
        <v>251.815695401325</v>
      </c>
      <c r="AA61" s="65" t="n">
        <f aca="false">IF(AA$4="","",SUM(AA5:AA59))</f>
        <v>260.209551914703</v>
      </c>
      <c r="AB61" s="65" t="n">
        <f aca="false">IF(AB$4="","",SUM(AB5:AB59))</f>
        <v>251.815695401325</v>
      </c>
      <c r="AC61" s="65" t="n">
        <f aca="false">IF(AC$4="","",SUM(AC5:AC59))</f>
        <v>320.359927854552</v>
      </c>
      <c r="AD61" s="65" t="n">
        <f aca="false">IF(AD$4="","",SUM(AD5:AD59))</f>
        <v>308.996976143065</v>
      </c>
      <c r="AE61" s="65" t="n">
        <f aca="false">IF(AE$4="","",SUM(AE5:AE59))</f>
        <v>275.592236792036</v>
      </c>
      <c r="AF61" s="65" t="n">
        <f aca="false">IF(AF$4="","",SUM(AF5:AF59))</f>
        <v>305.119976448326</v>
      </c>
      <c r="AG61" s="65" t="n">
        <f aca="false">IF(AG$4="","",SUM(AG5:AG59))</f>
        <v>295.277396562896</v>
      </c>
      <c r="AH61" s="65" t="n">
        <f aca="false">IF(AH$4="","",SUM(AH5:AH59))</f>
        <v>305.119976448326</v>
      </c>
      <c r="AI61" s="65" t="n">
        <f aca="false">IF(AI$4="","",SUM(AI5:AI59))</f>
        <v>295.277396562896</v>
      </c>
      <c r="AJ61" s="65" t="n">
        <f aca="false">IF(AJ$4="","",SUM(AJ5:AJ59))</f>
        <v>305.119976448326</v>
      </c>
      <c r="AK61" s="65" t="n">
        <f aca="false">IF(AK$4="","",SUM(AK5:AK59))</f>
        <v>252.622356853487</v>
      </c>
      <c r="AL61" s="65" t="n">
        <f aca="false">IF(AL$4="","",SUM(AL5:AL59))</f>
        <v>175.411355915426</v>
      </c>
      <c r="AM61" s="65" t="n">
        <f aca="false">IF(AM$4="","",SUM(AM5:AM59))</f>
        <v>93.6671602366943</v>
      </c>
      <c r="AN61" s="65" t="n">
        <f aca="false">IF(AN$4="","",SUM(AN5:AN59))</f>
        <v>87.8201150395134</v>
      </c>
      <c r="AO61" s="65" t="n">
        <f aca="false">IF(AO$4="","",SUM(AO5:AO59))</f>
        <v>81.9654407035459</v>
      </c>
      <c r="AP61" s="65" t="str">
        <f aca="false">IF(AP$4="","",SUM(AP5:AP59))</f>
        <v/>
      </c>
      <c r="AQ61" s="65" t="str">
        <f aca="false">IF(AQ$4="","",SUM(AQ5:AQ59))</f>
        <v/>
      </c>
      <c r="AR61" s="65" t="str">
        <f aca="false">IF(AR$4="","",SUM(AR5:AR59))</f>
        <v/>
      </c>
      <c r="AS61" s="65" t="str">
        <f aca="false">IF(AS$4="","",SUM(AS5:AS59))</f>
        <v/>
      </c>
      <c r="AT61" s="65" t="str">
        <f aca="false">IF(AT$4="","",SUM(AT5:AT59))</f>
        <v/>
      </c>
      <c r="AU61" s="65" t="str">
        <f aca="false">IF(AU$4="","",SUM(AU5:AU59))</f>
        <v/>
      </c>
      <c r="AV61" s="65" t="str">
        <f aca="false">IF(AV$4="","",SUM(AV5:AV59))</f>
        <v/>
      </c>
      <c r="AW61" s="65" t="str">
        <f aca="false">IF(AW$4="","",SUM(AW5:AW59))</f>
        <v/>
      </c>
      <c r="AX61" s="65" t="str">
        <f aca="false">IF(AX$4="","",SUM(AX5:AX59))</f>
        <v/>
      </c>
      <c r="AY61" s="65" t="str">
        <f aca="false">IF(AY$4="","",SUM(AY5:AY59))</f>
        <v/>
      </c>
      <c r="AZ61" s="65" t="str">
        <f aca="false">IF(AZ$4="","",SUM(AZ5:AZ59))</f>
        <v/>
      </c>
      <c r="BA61" s="65" t="str">
        <f aca="false">IF(BA$4="","",SUM(BA5:BA59))</f>
        <v/>
      </c>
      <c r="BB61" s="65" t="str">
        <f aca="false">IF(BB$4="","",SUM(BB5:BB59))</f>
        <v/>
      </c>
      <c r="BC61" s="65" t="str">
        <f aca="false">IF(BC$4="","",SUM(BC5:BC59))</f>
        <v/>
      </c>
      <c r="BD61" s="65" t="str">
        <f aca="false">IF(BD$4="","",SUM(BD5:BD59))</f>
        <v/>
      </c>
      <c r="BE61" s="65" t="str">
        <f aca="false">IF(BE$4="","",SUM(BE5:BE59))</f>
        <v/>
      </c>
      <c r="BF61" s="65" t="str">
        <f aca="false">IF(BF$4="","",SUM(BF5:BF59))</f>
        <v/>
      </c>
      <c r="BG61" s="65" t="str">
        <f aca="false">IF(BG$4="","",SUM(BG5:BG59))</f>
        <v/>
      </c>
      <c r="BH61" s="65" t="str">
        <f aca="false">IF(BH$4="","",SUM(BH5:BH59))</f>
        <v/>
      </c>
      <c r="BI61" s="65" t="str">
        <f aca="false">IF(BI$4="","",SUM(BI5:BI59))</f>
        <v/>
      </c>
      <c r="BJ61" s="65" t="str">
        <f aca="false">IF(BJ$4="","",SUM(BJ5:BJ59))</f>
        <v/>
      </c>
      <c r="BK61" s="65" t="str">
        <f aca="false">IF(BK$4="","",SUM(BK5:BK59))</f>
        <v/>
      </c>
      <c r="BL61" s="65" t="str">
        <f aca="false">IF(BL$4="","",SUM(BL5:BL59))</f>
        <v/>
      </c>
      <c r="BM61" s="65" t="str">
        <f aca="false">IF(BM$4="","",SUM(BM5:BM59))</f>
        <v/>
      </c>
      <c r="BN61" s="65" t="str">
        <f aca="false">IF(BN$4="","",SUM(BN5:BN59))</f>
        <v/>
      </c>
      <c r="BO61" s="65" t="str">
        <f aca="false">IF(BO$4="","",SUM(BO5:BO59))</f>
        <v/>
      </c>
      <c r="BP61" s="65" t="str">
        <f aca="false">IF(BP$4="","",SUM(BP5:BP59))</f>
        <v/>
      </c>
      <c r="BQ61" s="65" t="str">
        <f aca="false">IF(BQ$4="","",SUM(BQ5:BQ59))</f>
        <v/>
      </c>
      <c r="BR61" s="65" t="str">
        <f aca="false">IF(BR$4="","",SUM(BR5:BR59))</f>
        <v/>
      </c>
      <c r="BS61" s="65" t="str">
        <f aca="false">IF(BS$4="","",SUM(BS5:BS59))</f>
        <v/>
      </c>
      <c r="BT61" s="65" t="str">
        <f aca="false">IF(BT$4="","",SUM(BT5:BT59))</f>
        <v/>
      </c>
      <c r="BU61" s="65" t="str">
        <f aca="false">IF(BU$4="","",SUM(BU5:BU59))</f>
        <v/>
      </c>
      <c r="BV61" s="65" t="str">
        <f aca="false">IF(BV$4="","",SUM(BV5:BV59))</f>
        <v/>
      </c>
      <c r="BW61" s="65" t="str">
        <f aca="false">IF(BW$4="","",SUM(BW5:BW59))</f>
        <v/>
      </c>
      <c r="BX61" s="65" t="str">
        <f aca="false">IF(BX$4="","",SUM(BX5:BX59))</f>
        <v/>
      </c>
      <c r="BY61" s="65" t="str">
        <f aca="false">IF(BY$4="","",SUM(BY5:BY59))</f>
        <v/>
      </c>
    </row>
    <row r="62" customFormat="false" ht="15" hidden="false" customHeight="false" outlineLevel="0" collapsed="false">
      <c r="A62" s="4"/>
      <c r="B62" s="18" t="s">
        <v>309</v>
      </c>
      <c r="C62" s="4"/>
      <c r="D62" s="4"/>
      <c r="E62" s="4"/>
      <c r="F62" s="66" t="n">
        <f aca="false">IF(F$4="","",F61/Inputs!$B$6)</f>
        <v>1.76667247969439</v>
      </c>
      <c r="G62" s="66" t="n">
        <f aca="false">IF(G$4="","",G61/Inputs!$B$6)</f>
        <v>1.62869262924892</v>
      </c>
      <c r="H62" s="66" t="n">
        <f aca="false">IF(H$4="","",H61/Inputs!$B$6)</f>
        <v>1.90142163174917</v>
      </c>
      <c r="I62" s="66" t="n">
        <f aca="false">IF(I$4="","",I61/Inputs!$B$6)</f>
        <v>2.15545103440411</v>
      </c>
      <c r="J62" s="66" t="n">
        <f aca="false">IF(J$4="","",J61/Inputs!$B$6)</f>
        <v>2.18362512777408</v>
      </c>
      <c r="K62" s="66" t="n">
        <f aca="false">IF(K$4="","",K61/Inputs!$B$6)</f>
        <v>2.1131856075233</v>
      </c>
      <c r="L62" s="66" t="n">
        <f aca="false">IF(L$4="","",L61/Inputs!$B$6)</f>
        <v>2.13234307649202</v>
      </c>
      <c r="M62" s="66" t="n">
        <f aca="false">IF(M$4="","",M61/Inputs!$B$6)</f>
        <v>1.38875333290228</v>
      </c>
      <c r="N62" s="66" t="n">
        <f aca="false">IF(N$4="","",N61/Inputs!$B$6)</f>
        <v>1.34395483829253</v>
      </c>
      <c r="O62" s="66" t="n">
        <f aca="false">IF(O$4="","",O61/Inputs!$B$6)</f>
        <v>1.38875333290228</v>
      </c>
      <c r="P62" s="66" t="n">
        <f aca="false">IF(P$4="","",P61/Inputs!$B$6)</f>
        <v>4.01691606908396</v>
      </c>
      <c r="Q62" s="66" t="n">
        <f aca="false">IF(Q$4="","",Q61/Inputs!$B$6)</f>
        <v>4.13044903783152</v>
      </c>
      <c r="R62" s="66" t="n">
        <f aca="false">IF(R$4="","",R61/Inputs!$B$6)</f>
        <v>4.13044903783152</v>
      </c>
      <c r="S62" s="66" t="n">
        <f aca="false">IF(S$4="","",S61/Inputs!$B$6)</f>
        <v>3.86396845474562</v>
      </c>
      <c r="T62" s="66" t="n">
        <f aca="false">IF(T$4="","",T61/Inputs!$B$6)</f>
        <v>4.13044903783152</v>
      </c>
      <c r="U62" s="66" t="n">
        <f aca="false">IF(U$4="","",U61/Inputs!$B$6)</f>
        <v>3.99720874628857</v>
      </c>
      <c r="V62" s="66" t="n">
        <f aca="false">IF(V$4="","",V61/Inputs!$B$6)</f>
        <v>4.03708270768975</v>
      </c>
      <c r="W62" s="66" t="n">
        <f aca="false">IF(W$4="","",W61/Inputs!$B$6)</f>
        <v>2.19439843366905</v>
      </c>
      <c r="X62" s="66" t="n">
        <f aca="false">IF(X$4="","",X61/Inputs!$B$6)</f>
        <v>1.66800994817117</v>
      </c>
      <c r="Y62" s="66" t="n">
        <f aca="false">IF(Y$4="","",Y61/Inputs!$B$6)</f>
        <v>1.66800994817117</v>
      </c>
      <c r="Z62" s="66" t="n">
        <f aca="false">IF(Z$4="","",Z61/Inputs!$B$6)</f>
        <v>1.61420317564952</v>
      </c>
      <c r="AA62" s="66" t="n">
        <f aca="false">IF(AA$4="","",AA61/Inputs!$B$6)</f>
        <v>1.66800994817117</v>
      </c>
      <c r="AB62" s="66" t="n">
        <f aca="false">IF(AB$4="","",AB61/Inputs!$B$6)</f>
        <v>1.61420317564952</v>
      </c>
      <c r="AC62" s="66" t="n">
        <f aca="false">IF(AC$4="","",AC61/Inputs!$B$6)</f>
        <v>2.05358928111893</v>
      </c>
      <c r="AD62" s="66" t="n">
        <f aca="false">IF(AD$4="","",AD61/Inputs!$B$6)</f>
        <v>1.98074984707093</v>
      </c>
      <c r="AE62" s="66" t="n">
        <f aca="false">IF(AE$4="","",AE61/Inputs!$B$6)</f>
        <v>1.76661690251305</v>
      </c>
      <c r="AF62" s="66" t="n">
        <f aca="false">IF(AF$4="","",AF61/Inputs!$B$6)</f>
        <v>1.95589728492517</v>
      </c>
      <c r="AG62" s="66" t="n">
        <f aca="false">IF(AG$4="","",AG61/Inputs!$B$6)</f>
        <v>1.89280382412113</v>
      </c>
      <c r="AH62" s="66" t="n">
        <f aca="false">IF(AH$4="","",AH61/Inputs!$B$6)</f>
        <v>1.95589728492517</v>
      </c>
      <c r="AI62" s="66" t="n">
        <f aca="false">IF(AI$4="","",AI61/Inputs!$B$6)</f>
        <v>1.89280382412113</v>
      </c>
      <c r="AJ62" s="66" t="n">
        <f aca="false">IF(AJ$4="","",AJ61/Inputs!$B$6)</f>
        <v>1.95589728492517</v>
      </c>
      <c r="AK62" s="66" t="n">
        <f aca="false">IF(AK$4="","",AK61/Inputs!$B$6)</f>
        <v>1.61937408239415</v>
      </c>
      <c r="AL62" s="66" t="n">
        <f aca="false">IF(AL$4="","",AL61/Inputs!$B$6)</f>
        <v>1.12443176868863</v>
      </c>
      <c r="AM62" s="66" t="n">
        <f aca="false">IF(AM$4="","",AM61/Inputs!$B$6)</f>
        <v>0.600430514337784</v>
      </c>
      <c r="AN62" s="66" t="n">
        <f aca="false">IF(AN$4="","",AN61/Inputs!$B$6)</f>
        <v>0.562949455381496</v>
      </c>
      <c r="AO62" s="66" t="n">
        <f aca="false">IF(AO$4="","",AO61/Inputs!$B$6)</f>
        <v>0.525419491689397</v>
      </c>
      <c r="AP62" s="66" t="str">
        <f aca="false">IF(AP$4="","",AP61/Inputs!$B$6)</f>
        <v/>
      </c>
      <c r="AQ62" s="66" t="str">
        <f aca="false">IF(AQ$4="","",AQ61/Inputs!$B$6)</f>
        <v/>
      </c>
      <c r="AR62" s="66" t="str">
        <f aca="false">IF(AR$4="","",AR61/Inputs!$B$6)</f>
        <v/>
      </c>
      <c r="AS62" s="66" t="str">
        <f aca="false">IF(AS$4="","",AS61/Inputs!$B$6)</f>
        <v/>
      </c>
      <c r="AT62" s="66" t="str">
        <f aca="false">IF(AT$4="","",AT61/Inputs!$B$6)</f>
        <v/>
      </c>
      <c r="AU62" s="66" t="str">
        <f aca="false">IF(AU$4="","",AU61/Inputs!$B$6)</f>
        <v/>
      </c>
      <c r="AV62" s="66" t="str">
        <f aca="false">IF(AV$4="","",AV61/Inputs!$B$6)</f>
        <v/>
      </c>
      <c r="AW62" s="66" t="str">
        <f aca="false">IF(AW$4="","",AW61/Inputs!$B$6)</f>
        <v/>
      </c>
      <c r="AX62" s="66" t="str">
        <f aca="false">IF(AX$4="","",AX61/Inputs!$B$6)</f>
        <v/>
      </c>
      <c r="AY62" s="66" t="str">
        <f aca="false">IF(AY$4="","",AY61/Inputs!$B$6)</f>
        <v/>
      </c>
      <c r="AZ62" s="66" t="str">
        <f aca="false">IF(AZ$4="","",AZ61/Inputs!$B$6)</f>
        <v/>
      </c>
      <c r="BA62" s="66" t="str">
        <f aca="false">IF(BA$4="","",BA61/Inputs!$B$6)</f>
        <v/>
      </c>
      <c r="BB62" s="66" t="str">
        <f aca="false">IF(BB$4="","",BB61/Inputs!$B$6)</f>
        <v/>
      </c>
      <c r="BC62" s="66" t="str">
        <f aca="false">IF(BC$4="","",BC61/Inputs!$B$6)</f>
        <v/>
      </c>
      <c r="BD62" s="66" t="str">
        <f aca="false">IF(BD$4="","",BD61/Inputs!$B$6)</f>
        <v/>
      </c>
      <c r="BE62" s="66" t="str">
        <f aca="false">IF(BE$4="","",BE61/Inputs!$B$6)</f>
        <v/>
      </c>
      <c r="BF62" s="66" t="str">
        <f aca="false">IF(BF$4="","",BF61/Inputs!$B$6)</f>
        <v/>
      </c>
      <c r="BG62" s="66" t="str">
        <f aca="false">IF(BG$4="","",BG61/Inputs!$B$6)</f>
        <v/>
      </c>
      <c r="BH62" s="66" t="str">
        <f aca="false">IF(BH$4="","",BH61/Inputs!$B$6)</f>
        <v/>
      </c>
      <c r="BI62" s="66" t="str">
        <f aca="false">IF(BI$4="","",BI61/Inputs!$B$6)</f>
        <v/>
      </c>
      <c r="BJ62" s="66" t="str">
        <f aca="false">IF(BJ$4="","",BJ61/Inputs!$B$6)</f>
        <v/>
      </c>
      <c r="BK62" s="66" t="str">
        <f aca="false">IF(BK$4="","",BK61/Inputs!$B$6)</f>
        <v/>
      </c>
      <c r="BL62" s="66" t="str">
        <f aca="false">IF(BL$4="","",BL61/Inputs!$B$6)</f>
        <v/>
      </c>
      <c r="BM62" s="66" t="str">
        <f aca="false">IF(BM$4="","",BM61/Inputs!$B$6)</f>
        <v/>
      </c>
      <c r="BN62" s="66" t="str">
        <f aca="false">IF(BN$4="","",BN61/Inputs!$B$6)</f>
        <v/>
      </c>
      <c r="BO62" s="66" t="str">
        <f aca="false">IF(BO$4="","",BO61/Inputs!$B$6)</f>
        <v/>
      </c>
      <c r="BP62" s="66" t="str">
        <f aca="false">IF(BP$4="","",BP61/Inputs!$B$6)</f>
        <v/>
      </c>
      <c r="BQ62" s="66" t="str">
        <f aca="false">IF(BQ$4="","",BQ61/Inputs!$B$6)</f>
        <v/>
      </c>
      <c r="BR62" s="66" t="str">
        <f aca="false">IF(BR$4="","",BR61/Inputs!$B$6)</f>
        <v/>
      </c>
      <c r="BS62" s="66" t="str">
        <f aca="false">IF(BS$4="","",BS61/Inputs!$B$6)</f>
        <v/>
      </c>
      <c r="BT62" s="66" t="str">
        <f aca="false">IF(BT$4="","",BT61/Inputs!$B$6)</f>
        <v/>
      </c>
      <c r="BU62" s="66" t="str">
        <f aca="false">IF(BU$4="","",BU61/Inputs!$B$6)</f>
        <v/>
      </c>
      <c r="BV62" s="66" t="str">
        <f aca="false">IF(BV$4="","",BV61/Inputs!$B$6)</f>
        <v/>
      </c>
      <c r="BW62" s="66" t="str">
        <f aca="false">IF(BW$4="","",BW61/Inputs!$B$6)</f>
        <v/>
      </c>
      <c r="BX62" s="66" t="str">
        <f aca="false">IF(BX$4="","",BX61/Inputs!$B$6)</f>
        <v/>
      </c>
      <c r="BY62" s="66" t="str">
        <f aca="false">IF(BY$4="","",BY61/Inputs!$B$6)</f>
        <v/>
      </c>
    </row>
    <row r="63" customFormat="false" ht="15" hidden="false" customHeight="false" outlineLevel="0" collapsed="false">
      <c r="A63" s="4"/>
      <c r="B63" s="18" t="s">
        <v>310</v>
      </c>
      <c r="C63" s="4"/>
      <c r="D63" s="4"/>
      <c r="E63" s="4"/>
      <c r="F63" s="67" t="n">
        <f aca="false">IF(F$4="","",0+N(F61))</f>
        <v>275.600906832325</v>
      </c>
      <c r="G63" s="67" t="n">
        <f aca="false">IF(G$4="","",N(F63)+N(G61))</f>
        <v>529.676956995156</v>
      </c>
      <c r="H63" s="67" t="n">
        <f aca="false">IF(H$4="","",N(G63)+N(H61))</f>
        <v>826.298731548027</v>
      </c>
      <c r="I63" s="67" t="n">
        <f aca="false">IF(I$4="","",N(H63)+N(I61))</f>
        <v>1162.54909291507</v>
      </c>
      <c r="J63" s="67" t="n">
        <f aca="false">IF(J$4="","",N(I63)+N(J61))</f>
        <v>1503.19461284782</v>
      </c>
      <c r="K63" s="67" t="n">
        <f aca="false">IF(K$4="","",N(J63)+N(K61))</f>
        <v>1832.85156762146</v>
      </c>
      <c r="L63" s="67" t="n">
        <f aca="false">IF(L$4="","",N(K63)+N(L61))</f>
        <v>2165.49708755421</v>
      </c>
      <c r="M63" s="67" t="n">
        <f aca="false">IF(M$4="","",N(L63)+N(M61))</f>
        <v>2382.14260748697</v>
      </c>
      <c r="N63" s="67" t="n">
        <f aca="false">IF(N$4="","",N(M63)+N(N61))</f>
        <v>2591.7995622606</v>
      </c>
      <c r="O63" s="67" t="n">
        <f aca="false">IF(O$4="","",N(N63)+N(O61))</f>
        <v>2808.44508219336</v>
      </c>
      <c r="P63" s="67" t="n">
        <f aca="false">IF(P$4="","",N(O63)+N(P61))</f>
        <v>3435.08398897046</v>
      </c>
      <c r="Q63" s="67" t="n">
        <f aca="false">IF(Q$4="","",N(P63)+N(Q61))</f>
        <v>4079.43403887218</v>
      </c>
      <c r="R63" s="67" t="n">
        <f aca="false">IF(R$4="","",N(Q63)+N(R61))</f>
        <v>4723.78408877389</v>
      </c>
      <c r="S63" s="67" t="n">
        <f aca="false">IF(S$4="","",N(R63)+N(S61))</f>
        <v>5326.56316771421</v>
      </c>
      <c r="T63" s="67" t="n">
        <f aca="false">IF(T$4="","",N(S63)+N(T61))</f>
        <v>5970.91321761593</v>
      </c>
      <c r="U63" s="67" t="n">
        <f aca="false">IF(U$4="","",N(T63)+N(U61))</f>
        <v>6594.47778203694</v>
      </c>
      <c r="V63" s="67" t="n">
        <f aca="false">IF(V$4="","",N(U63)+N(V61))</f>
        <v>7224.26268443654</v>
      </c>
      <c r="W63" s="67" t="n">
        <f aca="false">IF(W$4="","",N(V63)+N(W61))</f>
        <v>7566.58884008891</v>
      </c>
      <c r="X63" s="67" t="n">
        <f aca="false">IF(X$4="","",N(W63)+N(X61))</f>
        <v>7826.79839200362</v>
      </c>
      <c r="Y63" s="67" t="n">
        <f aca="false">IF(Y$4="","",N(X63)+N(Y61))</f>
        <v>8087.00794391832</v>
      </c>
      <c r="Z63" s="67" t="n">
        <f aca="false">IF(Z$4="","",N(Y63)+N(Z61))</f>
        <v>8338.82363931964</v>
      </c>
      <c r="AA63" s="67" t="n">
        <f aca="false">IF(AA$4="","",N(Z63)+N(AA61))</f>
        <v>8599.03319123435</v>
      </c>
      <c r="AB63" s="67" t="n">
        <f aca="false">IF(AB$4="","",N(AA63)+N(AB61))</f>
        <v>8850.84888663567</v>
      </c>
      <c r="AC63" s="67" t="n">
        <f aca="false">IF(AC$4="","",N(AB63)+N(AC61))</f>
        <v>9171.20881449022</v>
      </c>
      <c r="AD63" s="67" t="n">
        <f aca="false">IF(AD$4="","",N(AC63)+N(AD61))</f>
        <v>9480.20579063329</v>
      </c>
      <c r="AE63" s="67" t="n">
        <f aca="false">IF(AE$4="","",N(AD63)+N(AE61))</f>
        <v>9755.79802742532</v>
      </c>
      <c r="AF63" s="67" t="n">
        <f aca="false">IF(AF$4="","",N(AE63)+N(AF61))</f>
        <v>10060.9180038736</v>
      </c>
      <c r="AG63" s="67" t="n">
        <f aca="false">IF(AG$4="","",N(AF63)+N(AG61))</f>
        <v>10356.1954004365</v>
      </c>
      <c r="AH63" s="67" t="n">
        <f aca="false">IF(AH$4="","",N(AG63)+N(AH61))</f>
        <v>10661.3153768849</v>
      </c>
      <c r="AI63" s="67" t="n">
        <f aca="false">IF(AI$4="","",N(AH63)+N(AI61))</f>
        <v>10956.5927734478</v>
      </c>
      <c r="AJ63" s="67" t="n">
        <f aca="false">IF(AJ$4="","",N(AI63)+N(AJ61))</f>
        <v>11261.7127498961</v>
      </c>
      <c r="AK63" s="67" t="n">
        <f aca="false">IF(AK$4="","",N(AJ63)+N(AK61))</f>
        <v>11514.3351067496</v>
      </c>
      <c r="AL63" s="67" t="n">
        <f aca="false">IF(AL$4="","",N(AK63)+N(AL61))</f>
        <v>11689.746462665</v>
      </c>
      <c r="AM63" s="67" t="n">
        <f aca="false">IF(AM$4="","",N(AL63)+N(AM61))</f>
        <v>11783.4136229017</v>
      </c>
      <c r="AN63" s="67" t="n">
        <f aca="false">IF(AN$4="","",N(AM63)+N(AN61))</f>
        <v>11871.2337379412</v>
      </c>
      <c r="AO63" s="67" t="n">
        <f aca="false">IF(AO$4="","",N(AN63)+N(AO61))</f>
        <v>11953.1991786448</v>
      </c>
      <c r="AP63" s="67" t="str">
        <f aca="false">IF(AP$4="","",N(AO63)+N(AP61))</f>
        <v/>
      </c>
      <c r="AQ63" s="67" t="str">
        <f aca="false">IF(AQ$4="","",N(AP63)+N(AQ61))</f>
        <v/>
      </c>
      <c r="AR63" s="67" t="str">
        <f aca="false">IF(AR$4="","",N(AQ63)+N(AR61))</f>
        <v/>
      </c>
      <c r="AS63" s="67" t="str">
        <f aca="false">IF(AS$4="","",N(AR63)+N(AS61))</f>
        <v/>
      </c>
      <c r="AT63" s="67" t="str">
        <f aca="false">IF(AT$4="","",N(AS63)+N(AT61))</f>
        <v/>
      </c>
      <c r="AU63" s="67" t="str">
        <f aca="false">IF(AU$4="","",N(AT63)+N(AU61))</f>
        <v/>
      </c>
      <c r="AV63" s="67" t="str">
        <f aca="false">IF(AV$4="","",N(AU63)+N(AV61))</f>
        <v/>
      </c>
      <c r="AW63" s="67" t="str">
        <f aca="false">IF(AW$4="","",N(AV63)+N(AW61))</f>
        <v/>
      </c>
      <c r="AX63" s="67" t="str">
        <f aca="false">IF(AX$4="","",N(AW63)+N(AX61))</f>
        <v/>
      </c>
      <c r="AY63" s="67" t="str">
        <f aca="false">IF(AY$4="","",N(AX63)+N(AY61))</f>
        <v/>
      </c>
      <c r="AZ63" s="67" t="str">
        <f aca="false">IF(AZ$4="","",N(AY63)+N(AZ61))</f>
        <v/>
      </c>
      <c r="BA63" s="67" t="str">
        <f aca="false">IF(BA$4="","",N(AZ63)+N(BA61))</f>
        <v/>
      </c>
      <c r="BB63" s="67" t="str">
        <f aca="false">IF(BB$4="","",N(BA63)+N(BB61))</f>
        <v/>
      </c>
      <c r="BC63" s="67" t="str">
        <f aca="false">IF(BC$4="","",N(BB63)+N(BC61))</f>
        <v/>
      </c>
      <c r="BD63" s="67" t="str">
        <f aca="false">IF(BD$4="","",N(BC63)+N(BD61))</f>
        <v/>
      </c>
      <c r="BE63" s="67" t="str">
        <f aca="false">IF(BE$4="","",N(BD63)+N(BE61))</f>
        <v/>
      </c>
      <c r="BF63" s="67" t="str">
        <f aca="false">IF(BF$4="","",N(BE63)+N(BF61))</f>
        <v/>
      </c>
      <c r="BG63" s="67" t="str">
        <f aca="false">IF(BG$4="","",N(BF63)+N(BG61))</f>
        <v/>
      </c>
      <c r="BH63" s="67" t="str">
        <f aca="false">IF(BH$4="","",N(BG63)+N(BH61))</f>
        <v/>
      </c>
      <c r="BI63" s="67" t="str">
        <f aca="false">IF(BI$4="","",N(BH63)+N(BI61))</f>
        <v/>
      </c>
      <c r="BJ63" s="67" t="str">
        <f aca="false">IF(BJ$4="","",N(BI63)+N(BJ61))</f>
        <v/>
      </c>
      <c r="BK63" s="67" t="str">
        <f aca="false">IF(BK$4="","",N(BJ63)+N(BK61))</f>
        <v/>
      </c>
      <c r="BL63" s="67" t="str">
        <f aca="false">IF(BL$4="","",N(BK63)+N(BL61))</f>
        <v/>
      </c>
      <c r="BM63" s="67" t="str">
        <f aca="false">IF(BM$4="","",N(BL63)+N(BM61))</f>
        <v/>
      </c>
      <c r="BN63" s="67" t="str">
        <f aca="false">IF(BN$4="","",N(BM63)+N(BN61))</f>
        <v/>
      </c>
      <c r="BO63" s="67" t="str">
        <f aca="false">IF(BO$4="","",N(BN63)+N(BO61))</f>
        <v/>
      </c>
      <c r="BP63" s="67" t="str">
        <f aca="false">IF(BP$4="","",N(BO63)+N(BP61))</f>
        <v/>
      </c>
      <c r="BQ63" s="67" t="str">
        <f aca="false">IF(BQ$4="","",N(BP63)+N(BQ61))</f>
        <v/>
      </c>
      <c r="BR63" s="67" t="str">
        <f aca="false">IF(BR$4="","",N(BQ63)+N(BR61))</f>
        <v/>
      </c>
      <c r="BS63" s="67" t="str">
        <f aca="false">IF(BS$4="","",N(BR63)+N(BS61))</f>
        <v/>
      </c>
      <c r="BT63" s="67" t="str">
        <f aca="false">IF(BT$4="","",N(BS63)+N(BT61))</f>
        <v/>
      </c>
      <c r="BU63" s="67" t="str">
        <f aca="false">IF(BU$4="","",N(BT63)+N(BU61))</f>
        <v/>
      </c>
      <c r="BV63" s="67" t="str">
        <f aca="false">IF(BV$4="","",N(BU63)+N(BV61))</f>
        <v/>
      </c>
      <c r="BW63" s="67" t="str">
        <f aca="false">IF(BW$4="","",N(BV63)+N(BW61))</f>
        <v/>
      </c>
      <c r="BX63" s="67" t="str">
        <f aca="false">IF(BX$4="","",N(BW63)+N(BX61))</f>
        <v/>
      </c>
      <c r="BY63" s="67" t="str">
        <f aca="false">IF(BY$4="","",N(BX63)+N(BY61))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BY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77" min="6" style="0" width="4.2"/>
  </cols>
  <sheetData>
    <row r="1" customFormat="false" ht="17.35" hidden="false" customHeight="false" outlineLevel="0" collapsed="false">
      <c r="A1" s="3" t="s">
        <v>311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</row>
    <row r="2" customFormat="false" ht="15" hidden="false" customHeight="false" outlineLevel="0" collapsed="false">
      <c r="A2" s="5" t="str">
        <f aca="false">"Program: "&amp;TEXT(Inputs!$B$4,"yyyy-mm-dd")&amp;" to "&amp;TEXT(Inputs!$B$5,"yyyy-mm-dd")&amp;"   |   Bars = task windows, ◆ = milestone"</f>
        <v>Program: 2027-01-04 to 2029-12-31   |   Bars = task windows, ◆ = milestone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</row>
    <row r="3" customFormat="false" ht="15" hidden="false" customHeight="false" outlineLevel="0" collapsed="false">
      <c r="A3" s="4"/>
      <c r="B3" s="4"/>
      <c r="C3" s="4"/>
      <c r="D3" s="4"/>
      <c r="E3" s="4"/>
      <c r="F3" s="59" t="n">
        <f aca="false">Phasing!F3</f>
        <v>1</v>
      </c>
      <c r="G3" s="59" t="n">
        <f aca="false">Phasing!G3</f>
        <v>2</v>
      </c>
      <c r="H3" s="59" t="n">
        <f aca="false">Phasing!H3</f>
        <v>3</v>
      </c>
      <c r="I3" s="59" t="n">
        <f aca="false">Phasing!I3</f>
        <v>4</v>
      </c>
      <c r="J3" s="59" t="n">
        <f aca="false">Phasing!J3</f>
        <v>5</v>
      </c>
      <c r="K3" s="59" t="n">
        <f aca="false">Phasing!K3</f>
        <v>6</v>
      </c>
      <c r="L3" s="59" t="n">
        <f aca="false">Phasing!L3</f>
        <v>7</v>
      </c>
      <c r="M3" s="59" t="n">
        <f aca="false">Phasing!M3</f>
        <v>8</v>
      </c>
      <c r="N3" s="59" t="n">
        <f aca="false">Phasing!N3</f>
        <v>9</v>
      </c>
      <c r="O3" s="59" t="n">
        <f aca="false">Phasing!O3</f>
        <v>10</v>
      </c>
      <c r="P3" s="59" t="n">
        <f aca="false">Phasing!P3</f>
        <v>11</v>
      </c>
      <c r="Q3" s="59" t="n">
        <f aca="false">Phasing!Q3</f>
        <v>12</v>
      </c>
      <c r="R3" s="59" t="n">
        <f aca="false">Phasing!R3</f>
        <v>13</v>
      </c>
      <c r="S3" s="59" t="n">
        <f aca="false">Phasing!S3</f>
        <v>14</v>
      </c>
      <c r="T3" s="59" t="n">
        <f aca="false">Phasing!T3</f>
        <v>15</v>
      </c>
      <c r="U3" s="59" t="n">
        <f aca="false">Phasing!U3</f>
        <v>16</v>
      </c>
      <c r="V3" s="59" t="n">
        <f aca="false">Phasing!V3</f>
        <v>17</v>
      </c>
      <c r="W3" s="59" t="n">
        <f aca="false">Phasing!W3</f>
        <v>18</v>
      </c>
      <c r="X3" s="59" t="n">
        <f aca="false">Phasing!X3</f>
        <v>19</v>
      </c>
      <c r="Y3" s="59" t="n">
        <f aca="false">Phasing!Y3</f>
        <v>20</v>
      </c>
      <c r="Z3" s="59" t="n">
        <f aca="false">Phasing!Z3</f>
        <v>21</v>
      </c>
      <c r="AA3" s="59" t="n">
        <f aca="false">Phasing!AA3</f>
        <v>22</v>
      </c>
      <c r="AB3" s="59" t="n">
        <f aca="false">Phasing!AB3</f>
        <v>23</v>
      </c>
      <c r="AC3" s="59" t="n">
        <f aca="false">Phasing!AC3</f>
        <v>24</v>
      </c>
      <c r="AD3" s="59" t="n">
        <f aca="false">Phasing!AD3</f>
        <v>25</v>
      </c>
      <c r="AE3" s="59" t="n">
        <f aca="false">Phasing!AE3</f>
        <v>26</v>
      </c>
      <c r="AF3" s="59" t="n">
        <f aca="false">Phasing!AF3</f>
        <v>27</v>
      </c>
      <c r="AG3" s="59" t="n">
        <f aca="false">Phasing!AG3</f>
        <v>28</v>
      </c>
      <c r="AH3" s="59" t="n">
        <f aca="false">Phasing!AH3</f>
        <v>29</v>
      </c>
      <c r="AI3" s="59" t="n">
        <f aca="false">Phasing!AI3</f>
        <v>30</v>
      </c>
      <c r="AJ3" s="59" t="n">
        <f aca="false">Phasing!AJ3</f>
        <v>31</v>
      </c>
      <c r="AK3" s="59" t="n">
        <f aca="false">Phasing!AK3</f>
        <v>32</v>
      </c>
      <c r="AL3" s="59" t="n">
        <f aca="false">Phasing!AL3</f>
        <v>33</v>
      </c>
      <c r="AM3" s="59" t="n">
        <f aca="false">Phasing!AM3</f>
        <v>34</v>
      </c>
      <c r="AN3" s="59" t="n">
        <f aca="false">Phasing!AN3</f>
        <v>35</v>
      </c>
      <c r="AO3" s="59" t="n">
        <f aca="false">Phasing!AO3</f>
        <v>36</v>
      </c>
      <c r="AP3" s="59" t="str">
        <f aca="false">Phasing!AP3</f>
        <v/>
      </c>
      <c r="AQ3" s="59" t="str">
        <f aca="false">Phasing!AQ3</f>
        <v/>
      </c>
      <c r="AR3" s="59" t="str">
        <f aca="false">Phasing!AR3</f>
        <v/>
      </c>
      <c r="AS3" s="59" t="str">
        <f aca="false">Phasing!AS3</f>
        <v/>
      </c>
      <c r="AT3" s="59" t="str">
        <f aca="false">Phasing!AT3</f>
        <v/>
      </c>
      <c r="AU3" s="59" t="str">
        <f aca="false">Phasing!AU3</f>
        <v/>
      </c>
      <c r="AV3" s="59" t="str">
        <f aca="false">Phasing!AV3</f>
        <v/>
      </c>
      <c r="AW3" s="59" t="str">
        <f aca="false">Phasing!AW3</f>
        <v/>
      </c>
      <c r="AX3" s="59" t="str">
        <f aca="false">Phasing!AX3</f>
        <v/>
      </c>
      <c r="AY3" s="59" t="str">
        <f aca="false">Phasing!AY3</f>
        <v/>
      </c>
      <c r="AZ3" s="59" t="str">
        <f aca="false">Phasing!AZ3</f>
        <v/>
      </c>
      <c r="BA3" s="59" t="str">
        <f aca="false">Phasing!BA3</f>
        <v/>
      </c>
      <c r="BB3" s="59" t="str">
        <f aca="false">Phasing!BB3</f>
        <v/>
      </c>
      <c r="BC3" s="59" t="str">
        <f aca="false">Phasing!BC3</f>
        <v/>
      </c>
      <c r="BD3" s="59" t="str">
        <f aca="false">Phasing!BD3</f>
        <v/>
      </c>
      <c r="BE3" s="59" t="str">
        <f aca="false">Phasing!BE3</f>
        <v/>
      </c>
      <c r="BF3" s="59" t="str">
        <f aca="false">Phasing!BF3</f>
        <v/>
      </c>
      <c r="BG3" s="59" t="str">
        <f aca="false">Phasing!BG3</f>
        <v/>
      </c>
      <c r="BH3" s="59" t="str">
        <f aca="false">Phasing!BH3</f>
        <v/>
      </c>
      <c r="BI3" s="59" t="str">
        <f aca="false">Phasing!BI3</f>
        <v/>
      </c>
      <c r="BJ3" s="59" t="str">
        <f aca="false">Phasing!BJ3</f>
        <v/>
      </c>
      <c r="BK3" s="59" t="str">
        <f aca="false">Phasing!BK3</f>
        <v/>
      </c>
      <c r="BL3" s="59" t="str">
        <f aca="false">Phasing!BL3</f>
        <v/>
      </c>
      <c r="BM3" s="59" t="str">
        <f aca="false">Phasing!BM3</f>
        <v/>
      </c>
      <c r="BN3" s="59" t="str">
        <f aca="false">Phasing!BN3</f>
        <v/>
      </c>
      <c r="BO3" s="59" t="str">
        <f aca="false">Phasing!BO3</f>
        <v/>
      </c>
      <c r="BP3" s="59" t="str">
        <f aca="false">Phasing!BP3</f>
        <v/>
      </c>
      <c r="BQ3" s="59" t="str">
        <f aca="false">Phasing!BQ3</f>
        <v/>
      </c>
      <c r="BR3" s="59" t="str">
        <f aca="false">Phasing!BR3</f>
        <v/>
      </c>
      <c r="BS3" s="59" t="str">
        <f aca="false">Phasing!BS3</f>
        <v/>
      </c>
      <c r="BT3" s="59" t="str">
        <f aca="false">Phasing!BT3</f>
        <v/>
      </c>
      <c r="BU3" s="59" t="str">
        <f aca="false">Phasing!BU3</f>
        <v/>
      </c>
      <c r="BV3" s="59" t="str">
        <f aca="false">Phasing!BV3</f>
        <v/>
      </c>
      <c r="BW3" s="59" t="str">
        <f aca="false">Phasing!BW3</f>
        <v/>
      </c>
      <c r="BX3" s="59" t="str">
        <f aca="false">Phasing!BX3</f>
        <v/>
      </c>
      <c r="BY3" s="59" t="str">
        <f aca="false">Phasing!BY3</f>
        <v/>
      </c>
    </row>
    <row r="4" customFormat="false" ht="48" hidden="false" customHeight="true" outlineLevel="0" collapsed="false">
      <c r="A4" s="6" t="s">
        <v>159</v>
      </c>
      <c r="B4" s="6" t="s">
        <v>312</v>
      </c>
      <c r="C4" s="6" t="s">
        <v>305</v>
      </c>
      <c r="D4" s="6" t="s">
        <v>306</v>
      </c>
      <c r="E4" s="6" t="s">
        <v>307</v>
      </c>
      <c r="F4" s="68" t="n">
        <f aca="false">Phasing!F4</f>
        <v>46391</v>
      </c>
      <c r="G4" s="68" t="n">
        <f aca="false">Phasing!G4</f>
        <v>46422</v>
      </c>
      <c r="H4" s="68" t="n">
        <f aca="false">Phasing!H4</f>
        <v>46450</v>
      </c>
      <c r="I4" s="68" t="n">
        <f aca="false">Phasing!I4</f>
        <v>46481</v>
      </c>
      <c r="J4" s="68" t="n">
        <f aca="false">Phasing!J4</f>
        <v>46511</v>
      </c>
      <c r="K4" s="68" t="n">
        <f aca="false">Phasing!K4</f>
        <v>46542</v>
      </c>
      <c r="L4" s="68" t="n">
        <f aca="false">Phasing!L4</f>
        <v>46572</v>
      </c>
      <c r="M4" s="68" t="n">
        <f aca="false">Phasing!M4</f>
        <v>46603</v>
      </c>
      <c r="N4" s="68" t="n">
        <f aca="false">Phasing!N4</f>
        <v>46634</v>
      </c>
      <c r="O4" s="68" t="n">
        <f aca="false">Phasing!O4</f>
        <v>46664</v>
      </c>
      <c r="P4" s="68" t="n">
        <f aca="false">Phasing!P4</f>
        <v>46695</v>
      </c>
      <c r="Q4" s="68" t="n">
        <f aca="false">Phasing!Q4</f>
        <v>46725</v>
      </c>
      <c r="R4" s="68" t="n">
        <f aca="false">Phasing!R4</f>
        <v>46756</v>
      </c>
      <c r="S4" s="68" t="n">
        <f aca="false">Phasing!S4</f>
        <v>46787</v>
      </c>
      <c r="T4" s="68" t="n">
        <f aca="false">Phasing!T4</f>
        <v>46816</v>
      </c>
      <c r="U4" s="68" t="n">
        <f aca="false">Phasing!U4</f>
        <v>46847</v>
      </c>
      <c r="V4" s="68" t="n">
        <f aca="false">Phasing!V4</f>
        <v>46877</v>
      </c>
      <c r="W4" s="68" t="n">
        <f aca="false">Phasing!W4</f>
        <v>46908</v>
      </c>
      <c r="X4" s="68" t="n">
        <f aca="false">Phasing!X4</f>
        <v>46938</v>
      </c>
      <c r="Y4" s="68" t="n">
        <f aca="false">Phasing!Y4</f>
        <v>46969</v>
      </c>
      <c r="Z4" s="68" t="n">
        <f aca="false">Phasing!Z4</f>
        <v>47000</v>
      </c>
      <c r="AA4" s="68" t="n">
        <f aca="false">Phasing!AA4</f>
        <v>47030</v>
      </c>
      <c r="AB4" s="68" t="n">
        <f aca="false">Phasing!AB4</f>
        <v>47061</v>
      </c>
      <c r="AC4" s="68" t="n">
        <f aca="false">Phasing!AC4</f>
        <v>47091</v>
      </c>
      <c r="AD4" s="68" t="n">
        <f aca="false">Phasing!AD4</f>
        <v>47122</v>
      </c>
      <c r="AE4" s="68" t="n">
        <f aca="false">Phasing!AE4</f>
        <v>47153</v>
      </c>
      <c r="AF4" s="68" t="n">
        <f aca="false">Phasing!AF4</f>
        <v>47181</v>
      </c>
      <c r="AG4" s="68" t="n">
        <f aca="false">Phasing!AG4</f>
        <v>47212</v>
      </c>
      <c r="AH4" s="68" t="n">
        <f aca="false">Phasing!AH4</f>
        <v>47242</v>
      </c>
      <c r="AI4" s="68" t="n">
        <f aca="false">Phasing!AI4</f>
        <v>47273</v>
      </c>
      <c r="AJ4" s="68" t="n">
        <f aca="false">Phasing!AJ4</f>
        <v>47303</v>
      </c>
      <c r="AK4" s="68" t="n">
        <f aca="false">Phasing!AK4</f>
        <v>47334</v>
      </c>
      <c r="AL4" s="68" t="n">
        <f aca="false">Phasing!AL4</f>
        <v>47365</v>
      </c>
      <c r="AM4" s="68" t="n">
        <f aca="false">Phasing!AM4</f>
        <v>47395</v>
      </c>
      <c r="AN4" s="68" t="n">
        <f aca="false">Phasing!AN4</f>
        <v>47426</v>
      </c>
      <c r="AO4" s="68" t="n">
        <f aca="false">Phasing!AO4</f>
        <v>47456</v>
      </c>
      <c r="AP4" s="68" t="str">
        <f aca="false">Phasing!AP4</f>
        <v/>
      </c>
      <c r="AQ4" s="68" t="str">
        <f aca="false">Phasing!AQ4</f>
        <v/>
      </c>
      <c r="AR4" s="68" t="str">
        <f aca="false">Phasing!AR4</f>
        <v/>
      </c>
      <c r="AS4" s="68" t="str">
        <f aca="false">Phasing!AS4</f>
        <v/>
      </c>
      <c r="AT4" s="68" t="str">
        <f aca="false">Phasing!AT4</f>
        <v/>
      </c>
      <c r="AU4" s="68" t="str">
        <f aca="false">Phasing!AU4</f>
        <v/>
      </c>
      <c r="AV4" s="68" t="str">
        <f aca="false">Phasing!AV4</f>
        <v/>
      </c>
      <c r="AW4" s="68" t="str">
        <f aca="false">Phasing!AW4</f>
        <v/>
      </c>
      <c r="AX4" s="68" t="str">
        <f aca="false">Phasing!AX4</f>
        <v/>
      </c>
      <c r="AY4" s="68" t="str">
        <f aca="false">Phasing!AY4</f>
        <v/>
      </c>
      <c r="AZ4" s="68" t="str">
        <f aca="false">Phasing!AZ4</f>
        <v/>
      </c>
      <c r="BA4" s="68" t="str">
        <f aca="false">Phasing!BA4</f>
        <v/>
      </c>
      <c r="BB4" s="68" t="str">
        <f aca="false">Phasing!BB4</f>
        <v/>
      </c>
      <c r="BC4" s="68" t="str">
        <f aca="false">Phasing!BC4</f>
        <v/>
      </c>
      <c r="BD4" s="68" t="str">
        <f aca="false">Phasing!BD4</f>
        <v/>
      </c>
      <c r="BE4" s="68" t="str">
        <f aca="false">Phasing!BE4</f>
        <v/>
      </c>
      <c r="BF4" s="68" t="str">
        <f aca="false">Phasing!BF4</f>
        <v/>
      </c>
      <c r="BG4" s="68" t="str">
        <f aca="false">Phasing!BG4</f>
        <v/>
      </c>
      <c r="BH4" s="68" t="str">
        <f aca="false">Phasing!BH4</f>
        <v/>
      </c>
      <c r="BI4" s="68" t="str">
        <f aca="false">Phasing!BI4</f>
        <v/>
      </c>
      <c r="BJ4" s="68" t="str">
        <f aca="false">Phasing!BJ4</f>
        <v/>
      </c>
      <c r="BK4" s="68" t="str">
        <f aca="false">Phasing!BK4</f>
        <v/>
      </c>
      <c r="BL4" s="68" t="str">
        <f aca="false">Phasing!BL4</f>
        <v/>
      </c>
      <c r="BM4" s="68" t="str">
        <f aca="false">Phasing!BM4</f>
        <v/>
      </c>
      <c r="BN4" s="68" t="str">
        <f aca="false">Phasing!BN4</f>
        <v/>
      </c>
      <c r="BO4" s="68" t="str">
        <f aca="false">Phasing!BO4</f>
        <v/>
      </c>
      <c r="BP4" s="68" t="str">
        <f aca="false">Phasing!BP4</f>
        <v/>
      </c>
      <c r="BQ4" s="68" t="str">
        <f aca="false">Phasing!BQ4</f>
        <v/>
      </c>
      <c r="BR4" s="68" t="str">
        <f aca="false">Phasing!BR4</f>
        <v/>
      </c>
      <c r="BS4" s="68" t="str">
        <f aca="false">Phasing!BS4</f>
        <v/>
      </c>
      <c r="BT4" s="68" t="str">
        <f aca="false">Phasing!BT4</f>
        <v/>
      </c>
      <c r="BU4" s="68" t="str">
        <f aca="false">Phasing!BU4</f>
        <v/>
      </c>
      <c r="BV4" s="68" t="str">
        <f aca="false">Phasing!BV4</f>
        <v/>
      </c>
      <c r="BW4" s="68" t="str">
        <f aca="false">Phasing!BW4</f>
        <v/>
      </c>
      <c r="BX4" s="68" t="str">
        <f aca="false">Phasing!BX4</f>
        <v/>
      </c>
      <c r="BY4" s="68" t="str">
        <f aca="false">Phasing!BY4</f>
        <v/>
      </c>
    </row>
    <row r="5" customFormat="false" ht="15" hidden="false" customHeight="false" outlineLevel="0" collapsed="false">
      <c r="A5" s="69" t="s">
        <v>313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</row>
    <row r="6" customFormat="false" ht="15" hidden="false" customHeight="false" outlineLevel="0" collapsed="false">
      <c r="A6" s="4"/>
      <c r="B6" s="61" t="str">
        <f aca="false">IF(Milestones!$B5="","",Milestones!$B5)</f>
        <v>Program Start</v>
      </c>
      <c r="C6" s="62" t="n">
        <f aca="false">IF(Milestones!$E5="","",Milestones!$E5)</f>
        <v>46391</v>
      </c>
      <c r="D6" s="4"/>
      <c r="E6" s="4"/>
      <c r="F6" s="71" t="str">
        <f aca="false">IF(OR(F$4="",$C6=""),"",IF(AND($C6&gt;=F$4,$C6&lt;EDATE(F$4,1)),"◆",""))</f>
        <v>◆</v>
      </c>
      <c r="G6" s="71" t="str">
        <f aca="false">IF(OR(G$4="",$C6=""),"",IF(AND($C6&gt;=G$4,$C6&lt;EDATE(G$4,1)),"◆",""))</f>
        <v/>
      </c>
      <c r="H6" s="71" t="str">
        <f aca="false">IF(OR(H$4="",$C6=""),"",IF(AND($C6&gt;=H$4,$C6&lt;EDATE(H$4,1)),"◆",""))</f>
        <v/>
      </c>
      <c r="I6" s="71" t="str">
        <f aca="false">IF(OR(I$4="",$C6=""),"",IF(AND($C6&gt;=I$4,$C6&lt;EDATE(I$4,1)),"◆",""))</f>
        <v/>
      </c>
      <c r="J6" s="71" t="str">
        <f aca="false">IF(OR(J$4="",$C6=""),"",IF(AND($C6&gt;=J$4,$C6&lt;EDATE(J$4,1)),"◆",""))</f>
        <v/>
      </c>
      <c r="K6" s="71" t="str">
        <f aca="false">IF(OR(K$4="",$C6=""),"",IF(AND($C6&gt;=K$4,$C6&lt;EDATE(K$4,1)),"◆",""))</f>
        <v/>
      </c>
      <c r="L6" s="71" t="str">
        <f aca="false">IF(OR(L$4="",$C6=""),"",IF(AND($C6&gt;=L$4,$C6&lt;EDATE(L$4,1)),"◆",""))</f>
        <v/>
      </c>
      <c r="M6" s="71" t="str">
        <f aca="false">IF(OR(M$4="",$C6=""),"",IF(AND($C6&gt;=M$4,$C6&lt;EDATE(M$4,1)),"◆",""))</f>
        <v/>
      </c>
      <c r="N6" s="71" t="str">
        <f aca="false">IF(OR(N$4="",$C6=""),"",IF(AND($C6&gt;=N$4,$C6&lt;EDATE(N$4,1)),"◆",""))</f>
        <v/>
      </c>
      <c r="O6" s="71" t="str">
        <f aca="false">IF(OR(O$4="",$C6=""),"",IF(AND($C6&gt;=O$4,$C6&lt;EDATE(O$4,1)),"◆",""))</f>
        <v/>
      </c>
      <c r="P6" s="71" t="str">
        <f aca="false">IF(OR(P$4="",$C6=""),"",IF(AND($C6&gt;=P$4,$C6&lt;EDATE(P$4,1)),"◆",""))</f>
        <v/>
      </c>
      <c r="Q6" s="71" t="str">
        <f aca="false">IF(OR(Q$4="",$C6=""),"",IF(AND($C6&gt;=Q$4,$C6&lt;EDATE(Q$4,1)),"◆",""))</f>
        <v/>
      </c>
      <c r="R6" s="71" t="str">
        <f aca="false">IF(OR(R$4="",$C6=""),"",IF(AND($C6&gt;=R$4,$C6&lt;EDATE(R$4,1)),"◆",""))</f>
        <v/>
      </c>
      <c r="S6" s="71" t="str">
        <f aca="false">IF(OR(S$4="",$C6=""),"",IF(AND($C6&gt;=S$4,$C6&lt;EDATE(S$4,1)),"◆",""))</f>
        <v/>
      </c>
      <c r="T6" s="71" t="str">
        <f aca="false">IF(OR(T$4="",$C6=""),"",IF(AND($C6&gt;=T$4,$C6&lt;EDATE(T$4,1)),"◆",""))</f>
        <v/>
      </c>
      <c r="U6" s="71" t="str">
        <f aca="false">IF(OR(U$4="",$C6=""),"",IF(AND($C6&gt;=U$4,$C6&lt;EDATE(U$4,1)),"◆",""))</f>
        <v/>
      </c>
      <c r="V6" s="71" t="str">
        <f aca="false">IF(OR(V$4="",$C6=""),"",IF(AND($C6&gt;=V$4,$C6&lt;EDATE(V$4,1)),"◆",""))</f>
        <v/>
      </c>
      <c r="W6" s="71" t="str">
        <f aca="false">IF(OR(W$4="",$C6=""),"",IF(AND($C6&gt;=W$4,$C6&lt;EDATE(W$4,1)),"◆",""))</f>
        <v/>
      </c>
      <c r="X6" s="71" t="str">
        <f aca="false">IF(OR(X$4="",$C6=""),"",IF(AND($C6&gt;=X$4,$C6&lt;EDATE(X$4,1)),"◆",""))</f>
        <v/>
      </c>
      <c r="Y6" s="71" t="str">
        <f aca="false">IF(OR(Y$4="",$C6=""),"",IF(AND($C6&gt;=Y$4,$C6&lt;EDATE(Y$4,1)),"◆",""))</f>
        <v/>
      </c>
      <c r="Z6" s="71" t="str">
        <f aca="false">IF(OR(Z$4="",$C6=""),"",IF(AND($C6&gt;=Z$4,$C6&lt;EDATE(Z$4,1)),"◆",""))</f>
        <v/>
      </c>
      <c r="AA6" s="71" t="str">
        <f aca="false">IF(OR(AA$4="",$C6=""),"",IF(AND($C6&gt;=AA$4,$C6&lt;EDATE(AA$4,1)),"◆",""))</f>
        <v/>
      </c>
      <c r="AB6" s="71" t="str">
        <f aca="false">IF(OR(AB$4="",$C6=""),"",IF(AND($C6&gt;=AB$4,$C6&lt;EDATE(AB$4,1)),"◆",""))</f>
        <v/>
      </c>
      <c r="AC6" s="71" t="str">
        <f aca="false">IF(OR(AC$4="",$C6=""),"",IF(AND($C6&gt;=AC$4,$C6&lt;EDATE(AC$4,1)),"◆",""))</f>
        <v/>
      </c>
      <c r="AD6" s="71" t="str">
        <f aca="false">IF(OR(AD$4="",$C6=""),"",IF(AND($C6&gt;=AD$4,$C6&lt;EDATE(AD$4,1)),"◆",""))</f>
        <v/>
      </c>
      <c r="AE6" s="71" t="str">
        <f aca="false">IF(OR(AE$4="",$C6=""),"",IF(AND($C6&gt;=AE$4,$C6&lt;EDATE(AE$4,1)),"◆",""))</f>
        <v/>
      </c>
      <c r="AF6" s="71" t="str">
        <f aca="false">IF(OR(AF$4="",$C6=""),"",IF(AND($C6&gt;=AF$4,$C6&lt;EDATE(AF$4,1)),"◆",""))</f>
        <v/>
      </c>
      <c r="AG6" s="71" t="str">
        <f aca="false">IF(OR(AG$4="",$C6=""),"",IF(AND($C6&gt;=AG$4,$C6&lt;EDATE(AG$4,1)),"◆",""))</f>
        <v/>
      </c>
      <c r="AH6" s="71" t="str">
        <f aca="false">IF(OR(AH$4="",$C6=""),"",IF(AND($C6&gt;=AH$4,$C6&lt;EDATE(AH$4,1)),"◆",""))</f>
        <v/>
      </c>
      <c r="AI6" s="71" t="str">
        <f aca="false">IF(OR(AI$4="",$C6=""),"",IF(AND($C6&gt;=AI$4,$C6&lt;EDATE(AI$4,1)),"◆",""))</f>
        <v/>
      </c>
      <c r="AJ6" s="71" t="str">
        <f aca="false">IF(OR(AJ$4="",$C6=""),"",IF(AND($C6&gt;=AJ$4,$C6&lt;EDATE(AJ$4,1)),"◆",""))</f>
        <v/>
      </c>
      <c r="AK6" s="71" t="str">
        <f aca="false">IF(OR(AK$4="",$C6=""),"",IF(AND($C6&gt;=AK$4,$C6&lt;EDATE(AK$4,1)),"◆",""))</f>
        <v/>
      </c>
      <c r="AL6" s="71" t="str">
        <f aca="false">IF(OR(AL$4="",$C6=""),"",IF(AND($C6&gt;=AL$4,$C6&lt;EDATE(AL$4,1)),"◆",""))</f>
        <v/>
      </c>
      <c r="AM6" s="71" t="str">
        <f aca="false">IF(OR(AM$4="",$C6=""),"",IF(AND($C6&gt;=AM$4,$C6&lt;EDATE(AM$4,1)),"◆",""))</f>
        <v/>
      </c>
      <c r="AN6" s="71" t="str">
        <f aca="false">IF(OR(AN$4="",$C6=""),"",IF(AND($C6&gt;=AN$4,$C6&lt;EDATE(AN$4,1)),"◆",""))</f>
        <v/>
      </c>
      <c r="AO6" s="71" t="str">
        <f aca="false">IF(OR(AO$4="",$C6=""),"",IF(AND($C6&gt;=AO$4,$C6&lt;EDATE(AO$4,1)),"◆",""))</f>
        <v/>
      </c>
      <c r="AP6" s="71" t="str">
        <f aca="false">IF(OR(AP$4="",$C6=""),"",IF(AND($C6&gt;=AP$4,$C6&lt;EDATE(AP$4,1)),"◆",""))</f>
        <v/>
      </c>
      <c r="AQ6" s="71" t="str">
        <f aca="false">IF(OR(AQ$4="",$C6=""),"",IF(AND($C6&gt;=AQ$4,$C6&lt;EDATE(AQ$4,1)),"◆",""))</f>
        <v/>
      </c>
      <c r="AR6" s="71" t="str">
        <f aca="false">IF(OR(AR$4="",$C6=""),"",IF(AND($C6&gt;=AR$4,$C6&lt;EDATE(AR$4,1)),"◆",""))</f>
        <v/>
      </c>
      <c r="AS6" s="71" t="str">
        <f aca="false">IF(OR(AS$4="",$C6=""),"",IF(AND($C6&gt;=AS$4,$C6&lt;EDATE(AS$4,1)),"◆",""))</f>
        <v/>
      </c>
      <c r="AT6" s="71" t="str">
        <f aca="false">IF(OR(AT$4="",$C6=""),"",IF(AND($C6&gt;=AT$4,$C6&lt;EDATE(AT$4,1)),"◆",""))</f>
        <v/>
      </c>
      <c r="AU6" s="71" t="str">
        <f aca="false">IF(OR(AU$4="",$C6=""),"",IF(AND($C6&gt;=AU$4,$C6&lt;EDATE(AU$4,1)),"◆",""))</f>
        <v/>
      </c>
      <c r="AV6" s="71" t="str">
        <f aca="false">IF(OR(AV$4="",$C6=""),"",IF(AND($C6&gt;=AV$4,$C6&lt;EDATE(AV$4,1)),"◆",""))</f>
        <v/>
      </c>
      <c r="AW6" s="71" t="str">
        <f aca="false">IF(OR(AW$4="",$C6=""),"",IF(AND($C6&gt;=AW$4,$C6&lt;EDATE(AW$4,1)),"◆",""))</f>
        <v/>
      </c>
      <c r="AX6" s="71" t="str">
        <f aca="false">IF(OR(AX$4="",$C6=""),"",IF(AND($C6&gt;=AX$4,$C6&lt;EDATE(AX$4,1)),"◆",""))</f>
        <v/>
      </c>
      <c r="AY6" s="71" t="str">
        <f aca="false">IF(OR(AY$4="",$C6=""),"",IF(AND($C6&gt;=AY$4,$C6&lt;EDATE(AY$4,1)),"◆",""))</f>
        <v/>
      </c>
      <c r="AZ6" s="71" t="str">
        <f aca="false">IF(OR(AZ$4="",$C6=""),"",IF(AND($C6&gt;=AZ$4,$C6&lt;EDATE(AZ$4,1)),"◆",""))</f>
        <v/>
      </c>
      <c r="BA6" s="71" t="str">
        <f aca="false">IF(OR(BA$4="",$C6=""),"",IF(AND($C6&gt;=BA$4,$C6&lt;EDATE(BA$4,1)),"◆",""))</f>
        <v/>
      </c>
      <c r="BB6" s="71" t="str">
        <f aca="false">IF(OR(BB$4="",$C6=""),"",IF(AND($C6&gt;=BB$4,$C6&lt;EDATE(BB$4,1)),"◆",""))</f>
        <v/>
      </c>
      <c r="BC6" s="71" t="str">
        <f aca="false">IF(OR(BC$4="",$C6=""),"",IF(AND($C6&gt;=BC$4,$C6&lt;EDATE(BC$4,1)),"◆",""))</f>
        <v/>
      </c>
      <c r="BD6" s="71" t="str">
        <f aca="false">IF(OR(BD$4="",$C6=""),"",IF(AND($C6&gt;=BD$4,$C6&lt;EDATE(BD$4,1)),"◆",""))</f>
        <v/>
      </c>
      <c r="BE6" s="71" t="str">
        <f aca="false">IF(OR(BE$4="",$C6=""),"",IF(AND($C6&gt;=BE$4,$C6&lt;EDATE(BE$4,1)),"◆",""))</f>
        <v/>
      </c>
      <c r="BF6" s="71" t="str">
        <f aca="false">IF(OR(BF$4="",$C6=""),"",IF(AND($C6&gt;=BF$4,$C6&lt;EDATE(BF$4,1)),"◆",""))</f>
        <v/>
      </c>
      <c r="BG6" s="71" t="str">
        <f aca="false">IF(OR(BG$4="",$C6=""),"",IF(AND($C6&gt;=BG$4,$C6&lt;EDATE(BG$4,1)),"◆",""))</f>
        <v/>
      </c>
      <c r="BH6" s="71" t="str">
        <f aca="false">IF(OR(BH$4="",$C6=""),"",IF(AND($C6&gt;=BH$4,$C6&lt;EDATE(BH$4,1)),"◆",""))</f>
        <v/>
      </c>
      <c r="BI6" s="71" t="str">
        <f aca="false">IF(OR(BI$4="",$C6=""),"",IF(AND($C6&gt;=BI$4,$C6&lt;EDATE(BI$4,1)),"◆",""))</f>
        <v/>
      </c>
      <c r="BJ6" s="71" t="str">
        <f aca="false">IF(OR(BJ$4="",$C6=""),"",IF(AND($C6&gt;=BJ$4,$C6&lt;EDATE(BJ$4,1)),"◆",""))</f>
        <v/>
      </c>
      <c r="BK6" s="71" t="str">
        <f aca="false">IF(OR(BK$4="",$C6=""),"",IF(AND($C6&gt;=BK$4,$C6&lt;EDATE(BK$4,1)),"◆",""))</f>
        <v/>
      </c>
      <c r="BL6" s="71" t="str">
        <f aca="false">IF(OR(BL$4="",$C6=""),"",IF(AND($C6&gt;=BL$4,$C6&lt;EDATE(BL$4,1)),"◆",""))</f>
        <v/>
      </c>
      <c r="BM6" s="71" t="str">
        <f aca="false">IF(OR(BM$4="",$C6=""),"",IF(AND($C6&gt;=BM$4,$C6&lt;EDATE(BM$4,1)),"◆",""))</f>
        <v/>
      </c>
      <c r="BN6" s="71" t="str">
        <f aca="false">IF(OR(BN$4="",$C6=""),"",IF(AND($C6&gt;=BN$4,$C6&lt;EDATE(BN$4,1)),"◆",""))</f>
        <v/>
      </c>
      <c r="BO6" s="71" t="str">
        <f aca="false">IF(OR(BO$4="",$C6=""),"",IF(AND($C6&gt;=BO$4,$C6&lt;EDATE(BO$4,1)),"◆",""))</f>
        <v/>
      </c>
      <c r="BP6" s="71" t="str">
        <f aca="false">IF(OR(BP$4="",$C6=""),"",IF(AND($C6&gt;=BP$4,$C6&lt;EDATE(BP$4,1)),"◆",""))</f>
        <v/>
      </c>
      <c r="BQ6" s="71" t="str">
        <f aca="false">IF(OR(BQ$4="",$C6=""),"",IF(AND($C6&gt;=BQ$4,$C6&lt;EDATE(BQ$4,1)),"◆",""))</f>
        <v/>
      </c>
      <c r="BR6" s="71" t="str">
        <f aca="false">IF(OR(BR$4="",$C6=""),"",IF(AND($C6&gt;=BR$4,$C6&lt;EDATE(BR$4,1)),"◆",""))</f>
        <v/>
      </c>
      <c r="BS6" s="71" t="str">
        <f aca="false">IF(OR(BS$4="",$C6=""),"",IF(AND($C6&gt;=BS$4,$C6&lt;EDATE(BS$4,1)),"◆",""))</f>
        <v/>
      </c>
      <c r="BT6" s="71" t="str">
        <f aca="false">IF(OR(BT$4="",$C6=""),"",IF(AND($C6&gt;=BT$4,$C6&lt;EDATE(BT$4,1)),"◆",""))</f>
        <v/>
      </c>
      <c r="BU6" s="71" t="str">
        <f aca="false">IF(OR(BU$4="",$C6=""),"",IF(AND($C6&gt;=BU$4,$C6&lt;EDATE(BU$4,1)),"◆",""))</f>
        <v/>
      </c>
      <c r="BV6" s="71" t="str">
        <f aca="false">IF(OR(BV$4="",$C6=""),"",IF(AND($C6&gt;=BV$4,$C6&lt;EDATE(BV$4,1)),"◆",""))</f>
        <v/>
      </c>
      <c r="BW6" s="71" t="str">
        <f aca="false">IF(OR(BW$4="",$C6=""),"",IF(AND($C6&gt;=BW$4,$C6&lt;EDATE(BW$4,1)),"◆",""))</f>
        <v/>
      </c>
      <c r="BX6" s="71" t="str">
        <f aca="false">IF(OR(BX$4="",$C6=""),"",IF(AND($C6&gt;=BX$4,$C6&lt;EDATE(BX$4,1)),"◆",""))</f>
        <v/>
      </c>
      <c r="BY6" s="71" t="str">
        <f aca="false">IF(OR(BY$4="",$C6=""),"",IF(AND($C6&gt;=BY$4,$C6&lt;EDATE(BY$4,1)),"◆",""))</f>
        <v/>
      </c>
    </row>
    <row r="7" customFormat="false" ht="15" hidden="false" customHeight="false" outlineLevel="0" collapsed="false">
      <c r="A7" s="4"/>
      <c r="B7" s="61" t="str">
        <f aca="false">IF(Milestones!$B6="","",Milestones!$B6)</f>
        <v>SRR</v>
      </c>
      <c r="C7" s="62" t="n">
        <f aca="false">IF(Milestones!$E6="","",Milestones!$E6)</f>
        <v>46481</v>
      </c>
      <c r="D7" s="4"/>
      <c r="E7" s="4"/>
      <c r="F7" s="71" t="str">
        <f aca="false">IF(OR(F$4="",$C7=""),"",IF(AND($C7&gt;=F$4,$C7&lt;EDATE(F$4,1)),"◆",""))</f>
        <v/>
      </c>
      <c r="G7" s="71" t="str">
        <f aca="false">IF(OR(G$4="",$C7=""),"",IF(AND($C7&gt;=G$4,$C7&lt;EDATE(G$4,1)),"◆",""))</f>
        <v/>
      </c>
      <c r="H7" s="71" t="str">
        <f aca="false">IF(OR(H$4="",$C7=""),"",IF(AND($C7&gt;=H$4,$C7&lt;EDATE(H$4,1)),"◆",""))</f>
        <v/>
      </c>
      <c r="I7" s="71" t="str">
        <f aca="false">IF(OR(I$4="",$C7=""),"",IF(AND($C7&gt;=I$4,$C7&lt;EDATE(I$4,1)),"◆",""))</f>
        <v>◆</v>
      </c>
      <c r="J7" s="71" t="str">
        <f aca="false">IF(OR(J$4="",$C7=""),"",IF(AND($C7&gt;=J$4,$C7&lt;EDATE(J$4,1)),"◆",""))</f>
        <v/>
      </c>
      <c r="K7" s="71" t="str">
        <f aca="false">IF(OR(K$4="",$C7=""),"",IF(AND($C7&gt;=K$4,$C7&lt;EDATE(K$4,1)),"◆",""))</f>
        <v/>
      </c>
      <c r="L7" s="71" t="str">
        <f aca="false">IF(OR(L$4="",$C7=""),"",IF(AND($C7&gt;=L$4,$C7&lt;EDATE(L$4,1)),"◆",""))</f>
        <v/>
      </c>
      <c r="M7" s="71" t="str">
        <f aca="false">IF(OR(M$4="",$C7=""),"",IF(AND($C7&gt;=M$4,$C7&lt;EDATE(M$4,1)),"◆",""))</f>
        <v/>
      </c>
      <c r="N7" s="71" t="str">
        <f aca="false">IF(OR(N$4="",$C7=""),"",IF(AND($C7&gt;=N$4,$C7&lt;EDATE(N$4,1)),"◆",""))</f>
        <v/>
      </c>
      <c r="O7" s="71" t="str">
        <f aca="false">IF(OR(O$4="",$C7=""),"",IF(AND($C7&gt;=O$4,$C7&lt;EDATE(O$4,1)),"◆",""))</f>
        <v/>
      </c>
      <c r="P7" s="71" t="str">
        <f aca="false">IF(OR(P$4="",$C7=""),"",IF(AND($C7&gt;=P$4,$C7&lt;EDATE(P$4,1)),"◆",""))</f>
        <v/>
      </c>
      <c r="Q7" s="71" t="str">
        <f aca="false">IF(OR(Q$4="",$C7=""),"",IF(AND($C7&gt;=Q$4,$C7&lt;EDATE(Q$4,1)),"◆",""))</f>
        <v/>
      </c>
      <c r="R7" s="71" t="str">
        <f aca="false">IF(OR(R$4="",$C7=""),"",IF(AND($C7&gt;=R$4,$C7&lt;EDATE(R$4,1)),"◆",""))</f>
        <v/>
      </c>
      <c r="S7" s="71" t="str">
        <f aca="false">IF(OR(S$4="",$C7=""),"",IF(AND($C7&gt;=S$4,$C7&lt;EDATE(S$4,1)),"◆",""))</f>
        <v/>
      </c>
      <c r="T7" s="71" t="str">
        <f aca="false">IF(OR(T$4="",$C7=""),"",IF(AND($C7&gt;=T$4,$C7&lt;EDATE(T$4,1)),"◆",""))</f>
        <v/>
      </c>
      <c r="U7" s="71" t="str">
        <f aca="false">IF(OR(U$4="",$C7=""),"",IF(AND($C7&gt;=U$4,$C7&lt;EDATE(U$4,1)),"◆",""))</f>
        <v/>
      </c>
      <c r="V7" s="71" t="str">
        <f aca="false">IF(OR(V$4="",$C7=""),"",IF(AND($C7&gt;=V$4,$C7&lt;EDATE(V$4,1)),"◆",""))</f>
        <v/>
      </c>
      <c r="W7" s="71" t="str">
        <f aca="false">IF(OR(W$4="",$C7=""),"",IF(AND($C7&gt;=W$4,$C7&lt;EDATE(W$4,1)),"◆",""))</f>
        <v/>
      </c>
      <c r="X7" s="71" t="str">
        <f aca="false">IF(OR(X$4="",$C7=""),"",IF(AND($C7&gt;=X$4,$C7&lt;EDATE(X$4,1)),"◆",""))</f>
        <v/>
      </c>
      <c r="Y7" s="71" t="str">
        <f aca="false">IF(OR(Y$4="",$C7=""),"",IF(AND($C7&gt;=Y$4,$C7&lt;EDATE(Y$4,1)),"◆",""))</f>
        <v/>
      </c>
      <c r="Z7" s="71" t="str">
        <f aca="false">IF(OR(Z$4="",$C7=""),"",IF(AND($C7&gt;=Z$4,$C7&lt;EDATE(Z$4,1)),"◆",""))</f>
        <v/>
      </c>
      <c r="AA7" s="71" t="str">
        <f aca="false">IF(OR(AA$4="",$C7=""),"",IF(AND($C7&gt;=AA$4,$C7&lt;EDATE(AA$4,1)),"◆",""))</f>
        <v/>
      </c>
      <c r="AB7" s="71" t="str">
        <f aca="false">IF(OR(AB$4="",$C7=""),"",IF(AND($C7&gt;=AB$4,$C7&lt;EDATE(AB$4,1)),"◆",""))</f>
        <v/>
      </c>
      <c r="AC7" s="71" t="str">
        <f aca="false">IF(OR(AC$4="",$C7=""),"",IF(AND($C7&gt;=AC$4,$C7&lt;EDATE(AC$4,1)),"◆",""))</f>
        <v/>
      </c>
      <c r="AD7" s="71" t="str">
        <f aca="false">IF(OR(AD$4="",$C7=""),"",IF(AND($C7&gt;=AD$4,$C7&lt;EDATE(AD$4,1)),"◆",""))</f>
        <v/>
      </c>
      <c r="AE7" s="71" t="str">
        <f aca="false">IF(OR(AE$4="",$C7=""),"",IF(AND($C7&gt;=AE$4,$C7&lt;EDATE(AE$4,1)),"◆",""))</f>
        <v/>
      </c>
      <c r="AF7" s="71" t="str">
        <f aca="false">IF(OR(AF$4="",$C7=""),"",IF(AND($C7&gt;=AF$4,$C7&lt;EDATE(AF$4,1)),"◆",""))</f>
        <v/>
      </c>
      <c r="AG7" s="71" t="str">
        <f aca="false">IF(OR(AG$4="",$C7=""),"",IF(AND($C7&gt;=AG$4,$C7&lt;EDATE(AG$4,1)),"◆",""))</f>
        <v/>
      </c>
      <c r="AH7" s="71" t="str">
        <f aca="false">IF(OR(AH$4="",$C7=""),"",IF(AND($C7&gt;=AH$4,$C7&lt;EDATE(AH$4,1)),"◆",""))</f>
        <v/>
      </c>
      <c r="AI7" s="71" t="str">
        <f aca="false">IF(OR(AI$4="",$C7=""),"",IF(AND($C7&gt;=AI$4,$C7&lt;EDATE(AI$4,1)),"◆",""))</f>
        <v/>
      </c>
      <c r="AJ7" s="71" t="str">
        <f aca="false">IF(OR(AJ$4="",$C7=""),"",IF(AND($C7&gt;=AJ$4,$C7&lt;EDATE(AJ$4,1)),"◆",""))</f>
        <v/>
      </c>
      <c r="AK7" s="71" t="str">
        <f aca="false">IF(OR(AK$4="",$C7=""),"",IF(AND($C7&gt;=AK$4,$C7&lt;EDATE(AK$4,1)),"◆",""))</f>
        <v/>
      </c>
      <c r="AL7" s="71" t="str">
        <f aca="false">IF(OR(AL$4="",$C7=""),"",IF(AND($C7&gt;=AL$4,$C7&lt;EDATE(AL$4,1)),"◆",""))</f>
        <v/>
      </c>
      <c r="AM7" s="71" t="str">
        <f aca="false">IF(OR(AM$4="",$C7=""),"",IF(AND($C7&gt;=AM$4,$C7&lt;EDATE(AM$4,1)),"◆",""))</f>
        <v/>
      </c>
      <c r="AN7" s="71" t="str">
        <f aca="false">IF(OR(AN$4="",$C7=""),"",IF(AND($C7&gt;=AN$4,$C7&lt;EDATE(AN$4,1)),"◆",""))</f>
        <v/>
      </c>
      <c r="AO7" s="71" t="str">
        <f aca="false">IF(OR(AO$4="",$C7=""),"",IF(AND($C7&gt;=AO$4,$C7&lt;EDATE(AO$4,1)),"◆",""))</f>
        <v/>
      </c>
      <c r="AP7" s="71" t="str">
        <f aca="false">IF(OR(AP$4="",$C7=""),"",IF(AND($C7&gt;=AP$4,$C7&lt;EDATE(AP$4,1)),"◆",""))</f>
        <v/>
      </c>
      <c r="AQ7" s="71" t="str">
        <f aca="false">IF(OR(AQ$4="",$C7=""),"",IF(AND($C7&gt;=AQ$4,$C7&lt;EDATE(AQ$4,1)),"◆",""))</f>
        <v/>
      </c>
      <c r="AR7" s="71" t="str">
        <f aca="false">IF(OR(AR$4="",$C7=""),"",IF(AND($C7&gt;=AR$4,$C7&lt;EDATE(AR$4,1)),"◆",""))</f>
        <v/>
      </c>
      <c r="AS7" s="71" t="str">
        <f aca="false">IF(OR(AS$4="",$C7=""),"",IF(AND($C7&gt;=AS$4,$C7&lt;EDATE(AS$4,1)),"◆",""))</f>
        <v/>
      </c>
      <c r="AT7" s="71" t="str">
        <f aca="false">IF(OR(AT$4="",$C7=""),"",IF(AND($C7&gt;=AT$4,$C7&lt;EDATE(AT$4,1)),"◆",""))</f>
        <v/>
      </c>
      <c r="AU7" s="71" t="str">
        <f aca="false">IF(OR(AU$4="",$C7=""),"",IF(AND($C7&gt;=AU$4,$C7&lt;EDATE(AU$4,1)),"◆",""))</f>
        <v/>
      </c>
      <c r="AV7" s="71" t="str">
        <f aca="false">IF(OR(AV$4="",$C7=""),"",IF(AND($C7&gt;=AV$4,$C7&lt;EDATE(AV$4,1)),"◆",""))</f>
        <v/>
      </c>
      <c r="AW7" s="71" t="str">
        <f aca="false">IF(OR(AW$4="",$C7=""),"",IF(AND($C7&gt;=AW$4,$C7&lt;EDATE(AW$4,1)),"◆",""))</f>
        <v/>
      </c>
      <c r="AX7" s="71" t="str">
        <f aca="false">IF(OR(AX$4="",$C7=""),"",IF(AND($C7&gt;=AX$4,$C7&lt;EDATE(AX$4,1)),"◆",""))</f>
        <v/>
      </c>
      <c r="AY7" s="71" t="str">
        <f aca="false">IF(OR(AY$4="",$C7=""),"",IF(AND($C7&gt;=AY$4,$C7&lt;EDATE(AY$4,1)),"◆",""))</f>
        <v/>
      </c>
      <c r="AZ7" s="71" t="str">
        <f aca="false">IF(OR(AZ$4="",$C7=""),"",IF(AND($C7&gt;=AZ$4,$C7&lt;EDATE(AZ$4,1)),"◆",""))</f>
        <v/>
      </c>
      <c r="BA7" s="71" t="str">
        <f aca="false">IF(OR(BA$4="",$C7=""),"",IF(AND($C7&gt;=BA$4,$C7&lt;EDATE(BA$4,1)),"◆",""))</f>
        <v/>
      </c>
      <c r="BB7" s="71" t="str">
        <f aca="false">IF(OR(BB$4="",$C7=""),"",IF(AND($C7&gt;=BB$4,$C7&lt;EDATE(BB$4,1)),"◆",""))</f>
        <v/>
      </c>
      <c r="BC7" s="71" t="str">
        <f aca="false">IF(OR(BC$4="",$C7=""),"",IF(AND($C7&gt;=BC$4,$C7&lt;EDATE(BC$4,1)),"◆",""))</f>
        <v/>
      </c>
      <c r="BD7" s="71" t="str">
        <f aca="false">IF(OR(BD$4="",$C7=""),"",IF(AND($C7&gt;=BD$4,$C7&lt;EDATE(BD$4,1)),"◆",""))</f>
        <v/>
      </c>
      <c r="BE7" s="71" t="str">
        <f aca="false">IF(OR(BE$4="",$C7=""),"",IF(AND($C7&gt;=BE$4,$C7&lt;EDATE(BE$4,1)),"◆",""))</f>
        <v/>
      </c>
      <c r="BF7" s="71" t="str">
        <f aca="false">IF(OR(BF$4="",$C7=""),"",IF(AND($C7&gt;=BF$4,$C7&lt;EDATE(BF$4,1)),"◆",""))</f>
        <v/>
      </c>
      <c r="BG7" s="71" t="str">
        <f aca="false">IF(OR(BG$4="",$C7=""),"",IF(AND($C7&gt;=BG$4,$C7&lt;EDATE(BG$4,1)),"◆",""))</f>
        <v/>
      </c>
      <c r="BH7" s="71" t="str">
        <f aca="false">IF(OR(BH$4="",$C7=""),"",IF(AND($C7&gt;=BH$4,$C7&lt;EDATE(BH$4,1)),"◆",""))</f>
        <v/>
      </c>
      <c r="BI7" s="71" t="str">
        <f aca="false">IF(OR(BI$4="",$C7=""),"",IF(AND($C7&gt;=BI$4,$C7&lt;EDATE(BI$4,1)),"◆",""))</f>
        <v/>
      </c>
      <c r="BJ7" s="71" t="str">
        <f aca="false">IF(OR(BJ$4="",$C7=""),"",IF(AND($C7&gt;=BJ$4,$C7&lt;EDATE(BJ$4,1)),"◆",""))</f>
        <v/>
      </c>
      <c r="BK7" s="71" t="str">
        <f aca="false">IF(OR(BK$4="",$C7=""),"",IF(AND($C7&gt;=BK$4,$C7&lt;EDATE(BK$4,1)),"◆",""))</f>
        <v/>
      </c>
      <c r="BL7" s="71" t="str">
        <f aca="false">IF(OR(BL$4="",$C7=""),"",IF(AND($C7&gt;=BL$4,$C7&lt;EDATE(BL$4,1)),"◆",""))</f>
        <v/>
      </c>
      <c r="BM7" s="71" t="str">
        <f aca="false">IF(OR(BM$4="",$C7=""),"",IF(AND($C7&gt;=BM$4,$C7&lt;EDATE(BM$4,1)),"◆",""))</f>
        <v/>
      </c>
      <c r="BN7" s="71" t="str">
        <f aca="false">IF(OR(BN$4="",$C7=""),"",IF(AND($C7&gt;=BN$4,$C7&lt;EDATE(BN$4,1)),"◆",""))</f>
        <v/>
      </c>
      <c r="BO7" s="71" t="str">
        <f aca="false">IF(OR(BO$4="",$C7=""),"",IF(AND($C7&gt;=BO$4,$C7&lt;EDATE(BO$4,1)),"◆",""))</f>
        <v/>
      </c>
      <c r="BP7" s="71" t="str">
        <f aca="false">IF(OR(BP$4="",$C7=""),"",IF(AND($C7&gt;=BP$4,$C7&lt;EDATE(BP$4,1)),"◆",""))</f>
        <v/>
      </c>
      <c r="BQ7" s="71" t="str">
        <f aca="false">IF(OR(BQ$4="",$C7=""),"",IF(AND($C7&gt;=BQ$4,$C7&lt;EDATE(BQ$4,1)),"◆",""))</f>
        <v/>
      </c>
      <c r="BR7" s="71" t="str">
        <f aca="false">IF(OR(BR$4="",$C7=""),"",IF(AND($C7&gt;=BR$4,$C7&lt;EDATE(BR$4,1)),"◆",""))</f>
        <v/>
      </c>
      <c r="BS7" s="71" t="str">
        <f aca="false">IF(OR(BS$4="",$C7=""),"",IF(AND($C7&gt;=BS$4,$C7&lt;EDATE(BS$4,1)),"◆",""))</f>
        <v/>
      </c>
      <c r="BT7" s="71" t="str">
        <f aca="false">IF(OR(BT$4="",$C7=""),"",IF(AND($C7&gt;=BT$4,$C7&lt;EDATE(BT$4,1)),"◆",""))</f>
        <v/>
      </c>
      <c r="BU7" s="71" t="str">
        <f aca="false">IF(OR(BU$4="",$C7=""),"",IF(AND($C7&gt;=BU$4,$C7&lt;EDATE(BU$4,1)),"◆",""))</f>
        <v/>
      </c>
      <c r="BV7" s="71" t="str">
        <f aca="false">IF(OR(BV$4="",$C7=""),"",IF(AND($C7&gt;=BV$4,$C7&lt;EDATE(BV$4,1)),"◆",""))</f>
        <v/>
      </c>
      <c r="BW7" s="71" t="str">
        <f aca="false">IF(OR(BW$4="",$C7=""),"",IF(AND($C7&gt;=BW$4,$C7&lt;EDATE(BW$4,1)),"◆",""))</f>
        <v/>
      </c>
      <c r="BX7" s="71" t="str">
        <f aca="false">IF(OR(BX$4="",$C7=""),"",IF(AND($C7&gt;=BX$4,$C7&lt;EDATE(BX$4,1)),"◆",""))</f>
        <v/>
      </c>
      <c r="BY7" s="71" t="str">
        <f aca="false">IF(OR(BY$4="",$C7=""),"",IF(AND($C7&gt;=BY$4,$C7&lt;EDATE(BY$4,1)),"◆",""))</f>
        <v/>
      </c>
    </row>
    <row r="8" customFormat="false" ht="15" hidden="false" customHeight="false" outlineLevel="0" collapsed="false">
      <c r="A8" s="4"/>
      <c r="B8" s="61" t="str">
        <f aca="false">IF(Milestones!$B7="","",Milestones!$B7)</f>
        <v>SFR</v>
      </c>
      <c r="C8" s="62" t="n">
        <f aca="false">IF(Milestones!$E7="","",Milestones!$E7)</f>
        <v>46572</v>
      </c>
      <c r="D8" s="4"/>
      <c r="E8" s="4"/>
      <c r="F8" s="71" t="str">
        <f aca="false">IF(OR(F$4="",$C8=""),"",IF(AND($C8&gt;=F$4,$C8&lt;EDATE(F$4,1)),"◆",""))</f>
        <v/>
      </c>
      <c r="G8" s="71" t="str">
        <f aca="false">IF(OR(G$4="",$C8=""),"",IF(AND($C8&gt;=G$4,$C8&lt;EDATE(G$4,1)),"◆",""))</f>
        <v/>
      </c>
      <c r="H8" s="71" t="str">
        <f aca="false">IF(OR(H$4="",$C8=""),"",IF(AND($C8&gt;=H$4,$C8&lt;EDATE(H$4,1)),"◆",""))</f>
        <v/>
      </c>
      <c r="I8" s="71" t="str">
        <f aca="false">IF(OR(I$4="",$C8=""),"",IF(AND($C8&gt;=I$4,$C8&lt;EDATE(I$4,1)),"◆",""))</f>
        <v/>
      </c>
      <c r="J8" s="71" t="str">
        <f aca="false">IF(OR(J$4="",$C8=""),"",IF(AND($C8&gt;=J$4,$C8&lt;EDATE(J$4,1)),"◆",""))</f>
        <v/>
      </c>
      <c r="K8" s="71" t="str">
        <f aca="false">IF(OR(K$4="",$C8=""),"",IF(AND($C8&gt;=K$4,$C8&lt;EDATE(K$4,1)),"◆",""))</f>
        <v/>
      </c>
      <c r="L8" s="71" t="str">
        <f aca="false">IF(OR(L$4="",$C8=""),"",IF(AND($C8&gt;=L$4,$C8&lt;EDATE(L$4,1)),"◆",""))</f>
        <v>◆</v>
      </c>
      <c r="M8" s="71" t="str">
        <f aca="false">IF(OR(M$4="",$C8=""),"",IF(AND($C8&gt;=M$4,$C8&lt;EDATE(M$4,1)),"◆",""))</f>
        <v/>
      </c>
      <c r="N8" s="71" t="str">
        <f aca="false">IF(OR(N$4="",$C8=""),"",IF(AND($C8&gt;=N$4,$C8&lt;EDATE(N$4,1)),"◆",""))</f>
        <v/>
      </c>
      <c r="O8" s="71" t="str">
        <f aca="false">IF(OR(O$4="",$C8=""),"",IF(AND($C8&gt;=O$4,$C8&lt;EDATE(O$4,1)),"◆",""))</f>
        <v/>
      </c>
      <c r="P8" s="71" t="str">
        <f aca="false">IF(OR(P$4="",$C8=""),"",IF(AND($C8&gt;=P$4,$C8&lt;EDATE(P$4,1)),"◆",""))</f>
        <v/>
      </c>
      <c r="Q8" s="71" t="str">
        <f aca="false">IF(OR(Q$4="",$C8=""),"",IF(AND($C8&gt;=Q$4,$C8&lt;EDATE(Q$4,1)),"◆",""))</f>
        <v/>
      </c>
      <c r="R8" s="71" t="str">
        <f aca="false">IF(OR(R$4="",$C8=""),"",IF(AND($C8&gt;=R$4,$C8&lt;EDATE(R$4,1)),"◆",""))</f>
        <v/>
      </c>
      <c r="S8" s="71" t="str">
        <f aca="false">IF(OR(S$4="",$C8=""),"",IF(AND($C8&gt;=S$4,$C8&lt;EDATE(S$4,1)),"◆",""))</f>
        <v/>
      </c>
      <c r="T8" s="71" t="str">
        <f aca="false">IF(OR(T$4="",$C8=""),"",IF(AND($C8&gt;=T$4,$C8&lt;EDATE(T$4,1)),"◆",""))</f>
        <v/>
      </c>
      <c r="U8" s="71" t="str">
        <f aca="false">IF(OR(U$4="",$C8=""),"",IF(AND($C8&gt;=U$4,$C8&lt;EDATE(U$4,1)),"◆",""))</f>
        <v/>
      </c>
      <c r="V8" s="71" t="str">
        <f aca="false">IF(OR(V$4="",$C8=""),"",IF(AND($C8&gt;=V$4,$C8&lt;EDATE(V$4,1)),"◆",""))</f>
        <v/>
      </c>
      <c r="W8" s="71" t="str">
        <f aca="false">IF(OR(W$4="",$C8=""),"",IF(AND($C8&gt;=W$4,$C8&lt;EDATE(W$4,1)),"◆",""))</f>
        <v/>
      </c>
      <c r="X8" s="71" t="str">
        <f aca="false">IF(OR(X$4="",$C8=""),"",IF(AND($C8&gt;=X$4,$C8&lt;EDATE(X$4,1)),"◆",""))</f>
        <v/>
      </c>
      <c r="Y8" s="71" t="str">
        <f aca="false">IF(OR(Y$4="",$C8=""),"",IF(AND($C8&gt;=Y$4,$C8&lt;EDATE(Y$4,1)),"◆",""))</f>
        <v/>
      </c>
      <c r="Z8" s="71" t="str">
        <f aca="false">IF(OR(Z$4="",$C8=""),"",IF(AND($C8&gt;=Z$4,$C8&lt;EDATE(Z$4,1)),"◆",""))</f>
        <v/>
      </c>
      <c r="AA8" s="71" t="str">
        <f aca="false">IF(OR(AA$4="",$C8=""),"",IF(AND($C8&gt;=AA$4,$C8&lt;EDATE(AA$4,1)),"◆",""))</f>
        <v/>
      </c>
      <c r="AB8" s="71" t="str">
        <f aca="false">IF(OR(AB$4="",$C8=""),"",IF(AND($C8&gt;=AB$4,$C8&lt;EDATE(AB$4,1)),"◆",""))</f>
        <v/>
      </c>
      <c r="AC8" s="71" t="str">
        <f aca="false">IF(OR(AC$4="",$C8=""),"",IF(AND($C8&gt;=AC$4,$C8&lt;EDATE(AC$4,1)),"◆",""))</f>
        <v/>
      </c>
      <c r="AD8" s="71" t="str">
        <f aca="false">IF(OR(AD$4="",$C8=""),"",IF(AND($C8&gt;=AD$4,$C8&lt;EDATE(AD$4,1)),"◆",""))</f>
        <v/>
      </c>
      <c r="AE8" s="71" t="str">
        <f aca="false">IF(OR(AE$4="",$C8=""),"",IF(AND($C8&gt;=AE$4,$C8&lt;EDATE(AE$4,1)),"◆",""))</f>
        <v/>
      </c>
      <c r="AF8" s="71" t="str">
        <f aca="false">IF(OR(AF$4="",$C8=""),"",IF(AND($C8&gt;=AF$4,$C8&lt;EDATE(AF$4,1)),"◆",""))</f>
        <v/>
      </c>
      <c r="AG8" s="71" t="str">
        <f aca="false">IF(OR(AG$4="",$C8=""),"",IF(AND($C8&gt;=AG$4,$C8&lt;EDATE(AG$4,1)),"◆",""))</f>
        <v/>
      </c>
      <c r="AH8" s="71" t="str">
        <f aca="false">IF(OR(AH$4="",$C8=""),"",IF(AND($C8&gt;=AH$4,$C8&lt;EDATE(AH$4,1)),"◆",""))</f>
        <v/>
      </c>
      <c r="AI8" s="71" t="str">
        <f aca="false">IF(OR(AI$4="",$C8=""),"",IF(AND($C8&gt;=AI$4,$C8&lt;EDATE(AI$4,1)),"◆",""))</f>
        <v/>
      </c>
      <c r="AJ8" s="71" t="str">
        <f aca="false">IF(OR(AJ$4="",$C8=""),"",IF(AND($C8&gt;=AJ$4,$C8&lt;EDATE(AJ$4,1)),"◆",""))</f>
        <v/>
      </c>
      <c r="AK8" s="71" t="str">
        <f aca="false">IF(OR(AK$4="",$C8=""),"",IF(AND($C8&gt;=AK$4,$C8&lt;EDATE(AK$4,1)),"◆",""))</f>
        <v/>
      </c>
      <c r="AL8" s="71" t="str">
        <f aca="false">IF(OR(AL$4="",$C8=""),"",IF(AND($C8&gt;=AL$4,$C8&lt;EDATE(AL$4,1)),"◆",""))</f>
        <v/>
      </c>
      <c r="AM8" s="71" t="str">
        <f aca="false">IF(OR(AM$4="",$C8=""),"",IF(AND($C8&gt;=AM$4,$C8&lt;EDATE(AM$4,1)),"◆",""))</f>
        <v/>
      </c>
      <c r="AN8" s="71" t="str">
        <f aca="false">IF(OR(AN$4="",$C8=""),"",IF(AND($C8&gt;=AN$4,$C8&lt;EDATE(AN$4,1)),"◆",""))</f>
        <v/>
      </c>
      <c r="AO8" s="71" t="str">
        <f aca="false">IF(OR(AO$4="",$C8=""),"",IF(AND($C8&gt;=AO$4,$C8&lt;EDATE(AO$4,1)),"◆",""))</f>
        <v/>
      </c>
      <c r="AP8" s="71" t="str">
        <f aca="false">IF(OR(AP$4="",$C8=""),"",IF(AND($C8&gt;=AP$4,$C8&lt;EDATE(AP$4,1)),"◆",""))</f>
        <v/>
      </c>
      <c r="AQ8" s="71" t="str">
        <f aca="false">IF(OR(AQ$4="",$C8=""),"",IF(AND($C8&gt;=AQ$4,$C8&lt;EDATE(AQ$4,1)),"◆",""))</f>
        <v/>
      </c>
      <c r="AR8" s="71" t="str">
        <f aca="false">IF(OR(AR$4="",$C8=""),"",IF(AND($C8&gt;=AR$4,$C8&lt;EDATE(AR$4,1)),"◆",""))</f>
        <v/>
      </c>
      <c r="AS8" s="71" t="str">
        <f aca="false">IF(OR(AS$4="",$C8=""),"",IF(AND($C8&gt;=AS$4,$C8&lt;EDATE(AS$4,1)),"◆",""))</f>
        <v/>
      </c>
      <c r="AT8" s="71" t="str">
        <f aca="false">IF(OR(AT$4="",$C8=""),"",IF(AND($C8&gt;=AT$4,$C8&lt;EDATE(AT$4,1)),"◆",""))</f>
        <v/>
      </c>
      <c r="AU8" s="71" t="str">
        <f aca="false">IF(OR(AU$4="",$C8=""),"",IF(AND($C8&gt;=AU$4,$C8&lt;EDATE(AU$4,1)),"◆",""))</f>
        <v/>
      </c>
      <c r="AV8" s="71" t="str">
        <f aca="false">IF(OR(AV$4="",$C8=""),"",IF(AND($C8&gt;=AV$4,$C8&lt;EDATE(AV$4,1)),"◆",""))</f>
        <v/>
      </c>
      <c r="AW8" s="71" t="str">
        <f aca="false">IF(OR(AW$4="",$C8=""),"",IF(AND($C8&gt;=AW$4,$C8&lt;EDATE(AW$4,1)),"◆",""))</f>
        <v/>
      </c>
      <c r="AX8" s="71" t="str">
        <f aca="false">IF(OR(AX$4="",$C8=""),"",IF(AND($C8&gt;=AX$4,$C8&lt;EDATE(AX$4,1)),"◆",""))</f>
        <v/>
      </c>
      <c r="AY8" s="71" t="str">
        <f aca="false">IF(OR(AY$4="",$C8=""),"",IF(AND($C8&gt;=AY$4,$C8&lt;EDATE(AY$4,1)),"◆",""))</f>
        <v/>
      </c>
      <c r="AZ8" s="71" t="str">
        <f aca="false">IF(OR(AZ$4="",$C8=""),"",IF(AND($C8&gt;=AZ$4,$C8&lt;EDATE(AZ$4,1)),"◆",""))</f>
        <v/>
      </c>
      <c r="BA8" s="71" t="str">
        <f aca="false">IF(OR(BA$4="",$C8=""),"",IF(AND($C8&gt;=BA$4,$C8&lt;EDATE(BA$4,1)),"◆",""))</f>
        <v/>
      </c>
      <c r="BB8" s="71" t="str">
        <f aca="false">IF(OR(BB$4="",$C8=""),"",IF(AND($C8&gt;=BB$4,$C8&lt;EDATE(BB$4,1)),"◆",""))</f>
        <v/>
      </c>
      <c r="BC8" s="71" t="str">
        <f aca="false">IF(OR(BC$4="",$C8=""),"",IF(AND($C8&gt;=BC$4,$C8&lt;EDATE(BC$4,1)),"◆",""))</f>
        <v/>
      </c>
      <c r="BD8" s="71" t="str">
        <f aca="false">IF(OR(BD$4="",$C8=""),"",IF(AND($C8&gt;=BD$4,$C8&lt;EDATE(BD$4,1)),"◆",""))</f>
        <v/>
      </c>
      <c r="BE8" s="71" t="str">
        <f aca="false">IF(OR(BE$4="",$C8=""),"",IF(AND($C8&gt;=BE$4,$C8&lt;EDATE(BE$4,1)),"◆",""))</f>
        <v/>
      </c>
      <c r="BF8" s="71" t="str">
        <f aca="false">IF(OR(BF$4="",$C8=""),"",IF(AND($C8&gt;=BF$4,$C8&lt;EDATE(BF$4,1)),"◆",""))</f>
        <v/>
      </c>
      <c r="BG8" s="71" t="str">
        <f aca="false">IF(OR(BG$4="",$C8=""),"",IF(AND($C8&gt;=BG$4,$C8&lt;EDATE(BG$4,1)),"◆",""))</f>
        <v/>
      </c>
      <c r="BH8" s="71" t="str">
        <f aca="false">IF(OR(BH$4="",$C8=""),"",IF(AND($C8&gt;=BH$4,$C8&lt;EDATE(BH$4,1)),"◆",""))</f>
        <v/>
      </c>
      <c r="BI8" s="71" t="str">
        <f aca="false">IF(OR(BI$4="",$C8=""),"",IF(AND($C8&gt;=BI$4,$C8&lt;EDATE(BI$4,1)),"◆",""))</f>
        <v/>
      </c>
      <c r="BJ8" s="71" t="str">
        <f aca="false">IF(OR(BJ$4="",$C8=""),"",IF(AND($C8&gt;=BJ$4,$C8&lt;EDATE(BJ$4,1)),"◆",""))</f>
        <v/>
      </c>
      <c r="BK8" s="71" t="str">
        <f aca="false">IF(OR(BK$4="",$C8=""),"",IF(AND($C8&gt;=BK$4,$C8&lt;EDATE(BK$4,1)),"◆",""))</f>
        <v/>
      </c>
      <c r="BL8" s="71" t="str">
        <f aca="false">IF(OR(BL$4="",$C8=""),"",IF(AND($C8&gt;=BL$4,$C8&lt;EDATE(BL$4,1)),"◆",""))</f>
        <v/>
      </c>
      <c r="BM8" s="71" t="str">
        <f aca="false">IF(OR(BM$4="",$C8=""),"",IF(AND($C8&gt;=BM$4,$C8&lt;EDATE(BM$4,1)),"◆",""))</f>
        <v/>
      </c>
      <c r="BN8" s="71" t="str">
        <f aca="false">IF(OR(BN$4="",$C8=""),"",IF(AND($C8&gt;=BN$4,$C8&lt;EDATE(BN$4,1)),"◆",""))</f>
        <v/>
      </c>
      <c r="BO8" s="71" t="str">
        <f aca="false">IF(OR(BO$4="",$C8=""),"",IF(AND($C8&gt;=BO$4,$C8&lt;EDATE(BO$4,1)),"◆",""))</f>
        <v/>
      </c>
      <c r="BP8" s="71" t="str">
        <f aca="false">IF(OR(BP$4="",$C8=""),"",IF(AND($C8&gt;=BP$4,$C8&lt;EDATE(BP$4,1)),"◆",""))</f>
        <v/>
      </c>
      <c r="BQ8" s="71" t="str">
        <f aca="false">IF(OR(BQ$4="",$C8=""),"",IF(AND($C8&gt;=BQ$4,$C8&lt;EDATE(BQ$4,1)),"◆",""))</f>
        <v/>
      </c>
      <c r="BR8" s="71" t="str">
        <f aca="false">IF(OR(BR$4="",$C8=""),"",IF(AND($C8&gt;=BR$4,$C8&lt;EDATE(BR$4,1)),"◆",""))</f>
        <v/>
      </c>
      <c r="BS8" s="71" t="str">
        <f aca="false">IF(OR(BS$4="",$C8=""),"",IF(AND($C8&gt;=BS$4,$C8&lt;EDATE(BS$4,1)),"◆",""))</f>
        <v/>
      </c>
      <c r="BT8" s="71" t="str">
        <f aca="false">IF(OR(BT$4="",$C8=""),"",IF(AND($C8&gt;=BT$4,$C8&lt;EDATE(BT$4,1)),"◆",""))</f>
        <v/>
      </c>
      <c r="BU8" s="71" t="str">
        <f aca="false">IF(OR(BU$4="",$C8=""),"",IF(AND($C8&gt;=BU$4,$C8&lt;EDATE(BU$4,1)),"◆",""))</f>
        <v/>
      </c>
      <c r="BV8" s="71" t="str">
        <f aca="false">IF(OR(BV$4="",$C8=""),"",IF(AND($C8&gt;=BV$4,$C8&lt;EDATE(BV$4,1)),"◆",""))</f>
        <v/>
      </c>
      <c r="BW8" s="71" t="str">
        <f aca="false">IF(OR(BW$4="",$C8=""),"",IF(AND($C8&gt;=BW$4,$C8&lt;EDATE(BW$4,1)),"◆",""))</f>
        <v/>
      </c>
      <c r="BX8" s="71" t="str">
        <f aca="false">IF(OR(BX$4="",$C8=""),"",IF(AND($C8&gt;=BX$4,$C8&lt;EDATE(BX$4,1)),"◆",""))</f>
        <v/>
      </c>
      <c r="BY8" s="71" t="str">
        <f aca="false">IF(OR(BY$4="",$C8=""),"",IF(AND($C8&gt;=BY$4,$C8&lt;EDATE(BY$4,1)),"◆",""))</f>
        <v/>
      </c>
    </row>
    <row r="9" customFormat="false" ht="15" hidden="false" customHeight="false" outlineLevel="0" collapsed="false">
      <c r="A9" s="4"/>
      <c r="B9" s="61" t="str">
        <f aca="false">IF(Milestones!$B8="","",Milestones!$B8)</f>
        <v>PDR</v>
      </c>
      <c r="C9" s="62" t="n">
        <f aca="false">IF(Milestones!$E8="","",Milestones!$E8)</f>
        <v>46695</v>
      </c>
      <c r="D9" s="4"/>
      <c r="E9" s="4"/>
      <c r="F9" s="71" t="str">
        <f aca="false">IF(OR(F$4="",$C9=""),"",IF(AND($C9&gt;=F$4,$C9&lt;EDATE(F$4,1)),"◆",""))</f>
        <v/>
      </c>
      <c r="G9" s="71" t="str">
        <f aca="false">IF(OR(G$4="",$C9=""),"",IF(AND($C9&gt;=G$4,$C9&lt;EDATE(G$4,1)),"◆",""))</f>
        <v/>
      </c>
      <c r="H9" s="71" t="str">
        <f aca="false">IF(OR(H$4="",$C9=""),"",IF(AND($C9&gt;=H$4,$C9&lt;EDATE(H$4,1)),"◆",""))</f>
        <v/>
      </c>
      <c r="I9" s="71" t="str">
        <f aca="false">IF(OR(I$4="",$C9=""),"",IF(AND($C9&gt;=I$4,$C9&lt;EDATE(I$4,1)),"◆",""))</f>
        <v/>
      </c>
      <c r="J9" s="71" t="str">
        <f aca="false">IF(OR(J$4="",$C9=""),"",IF(AND($C9&gt;=J$4,$C9&lt;EDATE(J$4,1)),"◆",""))</f>
        <v/>
      </c>
      <c r="K9" s="71" t="str">
        <f aca="false">IF(OR(K$4="",$C9=""),"",IF(AND($C9&gt;=K$4,$C9&lt;EDATE(K$4,1)),"◆",""))</f>
        <v/>
      </c>
      <c r="L9" s="71" t="str">
        <f aca="false">IF(OR(L$4="",$C9=""),"",IF(AND($C9&gt;=L$4,$C9&lt;EDATE(L$4,1)),"◆",""))</f>
        <v/>
      </c>
      <c r="M9" s="71" t="str">
        <f aca="false">IF(OR(M$4="",$C9=""),"",IF(AND($C9&gt;=M$4,$C9&lt;EDATE(M$4,1)),"◆",""))</f>
        <v/>
      </c>
      <c r="N9" s="71" t="str">
        <f aca="false">IF(OR(N$4="",$C9=""),"",IF(AND($C9&gt;=N$4,$C9&lt;EDATE(N$4,1)),"◆",""))</f>
        <v/>
      </c>
      <c r="O9" s="71" t="str">
        <f aca="false">IF(OR(O$4="",$C9=""),"",IF(AND($C9&gt;=O$4,$C9&lt;EDATE(O$4,1)),"◆",""))</f>
        <v/>
      </c>
      <c r="P9" s="71" t="str">
        <f aca="false">IF(OR(P$4="",$C9=""),"",IF(AND($C9&gt;=P$4,$C9&lt;EDATE(P$4,1)),"◆",""))</f>
        <v>◆</v>
      </c>
      <c r="Q9" s="71" t="str">
        <f aca="false">IF(OR(Q$4="",$C9=""),"",IF(AND($C9&gt;=Q$4,$C9&lt;EDATE(Q$4,1)),"◆",""))</f>
        <v/>
      </c>
      <c r="R9" s="71" t="str">
        <f aca="false">IF(OR(R$4="",$C9=""),"",IF(AND($C9&gt;=R$4,$C9&lt;EDATE(R$4,1)),"◆",""))</f>
        <v/>
      </c>
      <c r="S9" s="71" t="str">
        <f aca="false">IF(OR(S$4="",$C9=""),"",IF(AND($C9&gt;=S$4,$C9&lt;EDATE(S$4,1)),"◆",""))</f>
        <v/>
      </c>
      <c r="T9" s="71" t="str">
        <f aca="false">IF(OR(T$4="",$C9=""),"",IF(AND($C9&gt;=T$4,$C9&lt;EDATE(T$4,1)),"◆",""))</f>
        <v/>
      </c>
      <c r="U9" s="71" t="str">
        <f aca="false">IF(OR(U$4="",$C9=""),"",IF(AND($C9&gt;=U$4,$C9&lt;EDATE(U$4,1)),"◆",""))</f>
        <v/>
      </c>
      <c r="V9" s="71" t="str">
        <f aca="false">IF(OR(V$4="",$C9=""),"",IF(AND($C9&gt;=V$4,$C9&lt;EDATE(V$4,1)),"◆",""))</f>
        <v/>
      </c>
      <c r="W9" s="71" t="str">
        <f aca="false">IF(OR(W$4="",$C9=""),"",IF(AND($C9&gt;=W$4,$C9&lt;EDATE(W$4,1)),"◆",""))</f>
        <v/>
      </c>
      <c r="X9" s="71" t="str">
        <f aca="false">IF(OR(X$4="",$C9=""),"",IF(AND($C9&gt;=X$4,$C9&lt;EDATE(X$4,1)),"◆",""))</f>
        <v/>
      </c>
      <c r="Y9" s="71" t="str">
        <f aca="false">IF(OR(Y$4="",$C9=""),"",IF(AND($C9&gt;=Y$4,$C9&lt;EDATE(Y$4,1)),"◆",""))</f>
        <v/>
      </c>
      <c r="Z9" s="71" t="str">
        <f aca="false">IF(OR(Z$4="",$C9=""),"",IF(AND($C9&gt;=Z$4,$C9&lt;EDATE(Z$4,1)),"◆",""))</f>
        <v/>
      </c>
      <c r="AA9" s="71" t="str">
        <f aca="false">IF(OR(AA$4="",$C9=""),"",IF(AND($C9&gt;=AA$4,$C9&lt;EDATE(AA$4,1)),"◆",""))</f>
        <v/>
      </c>
      <c r="AB9" s="71" t="str">
        <f aca="false">IF(OR(AB$4="",$C9=""),"",IF(AND($C9&gt;=AB$4,$C9&lt;EDATE(AB$4,1)),"◆",""))</f>
        <v/>
      </c>
      <c r="AC9" s="71" t="str">
        <f aca="false">IF(OR(AC$4="",$C9=""),"",IF(AND($C9&gt;=AC$4,$C9&lt;EDATE(AC$4,1)),"◆",""))</f>
        <v/>
      </c>
      <c r="AD9" s="71" t="str">
        <f aca="false">IF(OR(AD$4="",$C9=""),"",IF(AND($C9&gt;=AD$4,$C9&lt;EDATE(AD$4,1)),"◆",""))</f>
        <v/>
      </c>
      <c r="AE9" s="71" t="str">
        <f aca="false">IF(OR(AE$4="",$C9=""),"",IF(AND($C9&gt;=AE$4,$C9&lt;EDATE(AE$4,1)),"◆",""))</f>
        <v/>
      </c>
      <c r="AF9" s="71" t="str">
        <f aca="false">IF(OR(AF$4="",$C9=""),"",IF(AND($C9&gt;=AF$4,$C9&lt;EDATE(AF$4,1)),"◆",""))</f>
        <v/>
      </c>
      <c r="AG9" s="71" t="str">
        <f aca="false">IF(OR(AG$4="",$C9=""),"",IF(AND($C9&gt;=AG$4,$C9&lt;EDATE(AG$4,1)),"◆",""))</f>
        <v/>
      </c>
      <c r="AH9" s="71" t="str">
        <f aca="false">IF(OR(AH$4="",$C9=""),"",IF(AND($C9&gt;=AH$4,$C9&lt;EDATE(AH$4,1)),"◆",""))</f>
        <v/>
      </c>
      <c r="AI9" s="71" t="str">
        <f aca="false">IF(OR(AI$4="",$C9=""),"",IF(AND($C9&gt;=AI$4,$C9&lt;EDATE(AI$4,1)),"◆",""))</f>
        <v/>
      </c>
      <c r="AJ9" s="71" t="str">
        <f aca="false">IF(OR(AJ$4="",$C9=""),"",IF(AND($C9&gt;=AJ$4,$C9&lt;EDATE(AJ$4,1)),"◆",""))</f>
        <v/>
      </c>
      <c r="AK9" s="71" t="str">
        <f aca="false">IF(OR(AK$4="",$C9=""),"",IF(AND($C9&gt;=AK$4,$C9&lt;EDATE(AK$4,1)),"◆",""))</f>
        <v/>
      </c>
      <c r="AL9" s="71" t="str">
        <f aca="false">IF(OR(AL$4="",$C9=""),"",IF(AND($C9&gt;=AL$4,$C9&lt;EDATE(AL$4,1)),"◆",""))</f>
        <v/>
      </c>
      <c r="AM9" s="71" t="str">
        <f aca="false">IF(OR(AM$4="",$C9=""),"",IF(AND($C9&gt;=AM$4,$C9&lt;EDATE(AM$4,1)),"◆",""))</f>
        <v/>
      </c>
      <c r="AN9" s="71" t="str">
        <f aca="false">IF(OR(AN$4="",$C9=""),"",IF(AND($C9&gt;=AN$4,$C9&lt;EDATE(AN$4,1)),"◆",""))</f>
        <v/>
      </c>
      <c r="AO9" s="71" t="str">
        <f aca="false">IF(OR(AO$4="",$C9=""),"",IF(AND($C9&gt;=AO$4,$C9&lt;EDATE(AO$4,1)),"◆",""))</f>
        <v/>
      </c>
      <c r="AP9" s="71" t="str">
        <f aca="false">IF(OR(AP$4="",$C9=""),"",IF(AND($C9&gt;=AP$4,$C9&lt;EDATE(AP$4,1)),"◆",""))</f>
        <v/>
      </c>
      <c r="AQ9" s="71" t="str">
        <f aca="false">IF(OR(AQ$4="",$C9=""),"",IF(AND($C9&gt;=AQ$4,$C9&lt;EDATE(AQ$4,1)),"◆",""))</f>
        <v/>
      </c>
      <c r="AR9" s="71" t="str">
        <f aca="false">IF(OR(AR$4="",$C9=""),"",IF(AND($C9&gt;=AR$4,$C9&lt;EDATE(AR$4,1)),"◆",""))</f>
        <v/>
      </c>
      <c r="AS9" s="71" t="str">
        <f aca="false">IF(OR(AS$4="",$C9=""),"",IF(AND($C9&gt;=AS$4,$C9&lt;EDATE(AS$4,1)),"◆",""))</f>
        <v/>
      </c>
      <c r="AT9" s="71" t="str">
        <f aca="false">IF(OR(AT$4="",$C9=""),"",IF(AND($C9&gt;=AT$4,$C9&lt;EDATE(AT$4,1)),"◆",""))</f>
        <v/>
      </c>
      <c r="AU9" s="71" t="str">
        <f aca="false">IF(OR(AU$4="",$C9=""),"",IF(AND($C9&gt;=AU$4,$C9&lt;EDATE(AU$4,1)),"◆",""))</f>
        <v/>
      </c>
      <c r="AV9" s="71" t="str">
        <f aca="false">IF(OR(AV$4="",$C9=""),"",IF(AND($C9&gt;=AV$4,$C9&lt;EDATE(AV$4,1)),"◆",""))</f>
        <v/>
      </c>
      <c r="AW9" s="71" t="str">
        <f aca="false">IF(OR(AW$4="",$C9=""),"",IF(AND($C9&gt;=AW$4,$C9&lt;EDATE(AW$4,1)),"◆",""))</f>
        <v/>
      </c>
      <c r="AX9" s="71" t="str">
        <f aca="false">IF(OR(AX$4="",$C9=""),"",IF(AND($C9&gt;=AX$4,$C9&lt;EDATE(AX$4,1)),"◆",""))</f>
        <v/>
      </c>
      <c r="AY9" s="71" t="str">
        <f aca="false">IF(OR(AY$4="",$C9=""),"",IF(AND($C9&gt;=AY$4,$C9&lt;EDATE(AY$4,1)),"◆",""))</f>
        <v/>
      </c>
      <c r="AZ9" s="71" t="str">
        <f aca="false">IF(OR(AZ$4="",$C9=""),"",IF(AND($C9&gt;=AZ$4,$C9&lt;EDATE(AZ$4,1)),"◆",""))</f>
        <v/>
      </c>
      <c r="BA9" s="71" t="str">
        <f aca="false">IF(OR(BA$4="",$C9=""),"",IF(AND($C9&gt;=BA$4,$C9&lt;EDATE(BA$4,1)),"◆",""))</f>
        <v/>
      </c>
      <c r="BB9" s="71" t="str">
        <f aca="false">IF(OR(BB$4="",$C9=""),"",IF(AND($C9&gt;=BB$4,$C9&lt;EDATE(BB$4,1)),"◆",""))</f>
        <v/>
      </c>
      <c r="BC9" s="71" t="str">
        <f aca="false">IF(OR(BC$4="",$C9=""),"",IF(AND($C9&gt;=BC$4,$C9&lt;EDATE(BC$4,1)),"◆",""))</f>
        <v/>
      </c>
      <c r="BD9" s="71" t="str">
        <f aca="false">IF(OR(BD$4="",$C9=""),"",IF(AND($C9&gt;=BD$4,$C9&lt;EDATE(BD$4,1)),"◆",""))</f>
        <v/>
      </c>
      <c r="BE9" s="71" t="str">
        <f aca="false">IF(OR(BE$4="",$C9=""),"",IF(AND($C9&gt;=BE$4,$C9&lt;EDATE(BE$4,1)),"◆",""))</f>
        <v/>
      </c>
      <c r="BF9" s="71" t="str">
        <f aca="false">IF(OR(BF$4="",$C9=""),"",IF(AND($C9&gt;=BF$4,$C9&lt;EDATE(BF$4,1)),"◆",""))</f>
        <v/>
      </c>
      <c r="BG9" s="71" t="str">
        <f aca="false">IF(OR(BG$4="",$C9=""),"",IF(AND($C9&gt;=BG$4,$C9&lt;EDATE(BG$4,1)),"◆",""))</f>
        <v/>
      </c>
      <c r="BH9" s="71" t="str">
        <f aca="false">IF(OR(BH$4="",$C9=""),"",IF(AND($C9&gt;=BH$4,$C9&lt;EDATE(BH$4,1)),"◆",""))</f>
        <v/>
      </c>
      <c r="BI9" s="71" t="str">
        <f aca="false">IF(OR(BI$4="",$C9=""),"",IF(AND($C9&gt;=BI$4,$C9&lt;EDATE(BI$4,1)),"◆",""))</f>
        <v/>
      </c>
      <c r="BJ9" s="71" t="str">
        <f aca="false">IF(OR(BJ$4="",$C9=""),"",IF(AND($C9&gt;=BJ$4,$C9&lt;EDATE(BJ$4,1)),"◆",""))</f>
        <v/>
      </c>
      <c r="BK9" s="71" t="str">
        <f aca="false">IF(OR(BK$4="",$C9=""),"",IF(AND($C9&gt;=BK$4,$C9&lt;EDATE(BK$4,1)),"◆",""))</f>
        <v/>
      </c>
      <c r="BL9" s="71" t="str">
        <f aca="false">IF(OR(BL$4="",$C9=""),"",IF(AND($C9&gt;=BL$4,$C9&lt;EDATE(BL$4,1)),"◆",""))</f>
        <v/>
      </c>
      <c r="BM9" s="71" t="str">
        <f aca="false">IF(OR(BM$4="",$C9=""),"",IF(AND($C9&gt;=BM$4,$C9&lt;EDATE(BM$4,1)),"◆",""))</f>
        <v/>
      </c>
      <c r="BN9" s="71" t="str">
        <f aca="false">IF(OR(BN$4="",$C9=""),"",IF(AND($C9&gt;=BN$4,$C9&lt;EDATE(BN$4,1)),"◆",""))</f>
        <v/>
      </c>
      <c r="BO9" s="71" t="str">
        <f aca="false">IF(OR(BO$4="",$C9=""),"",IF(AND($C9&gt;=BO$4,$C9&lt;EDATE(BO$4,1)),"◆",""))</f>
        <v/>
      </c>
      <c r="BP9" s="71" t="str">
        <f aca="false">IF(OR(BP$4="",$C9=""),"",IF(AND($C9&gt;=BP$4,$C9&lt;EDATE(BP$4,1)),"◆",""))</f>
        <v/>
      </c>
      <c r="BQ9" s="71" t="str">
        <f aca="false">IF(OR(BQ$4="",$C9=""),"",IF(AND($C9&gt;=BQ$4,$C9&lt;EDATE(BQ$4,1)),"◆",""))</f>
        <v/>
      </c>
      <c r="BR9" s="71" t="str">
        <f aca="false">IF(OR(BR$4="",$C9=""),"",IF(AND($C9&gt;=BR$4,$C9&lt;EDATE(BR$4,1)),"◆",""))</f>
        <v/>
      </c>
      <c r="BS9" s="71" t="str">
        <f aca="false">IF(OR(BS$4="",$C9=""),"",IF(AND($C9&gt;=BS$4,$C9&lt;EDATE(BS$4,1)),"◆",""))</f>
        <v/>
      </c>
      <c r="BT9" s="71" t="str">
        <f aca="false">IF(OR(BT$4="",$C9=""),"",IF(AND($C9&gt;=BT$4,$C9&lt;EDATE(BT$4,1)),"◆",""))</f>
        <v/>
      </c>
      <c r="BU9" s="71" t="str">
        <f aca="false">IF(OR(BU$4="",$C9=""),"",IF(AND($C9&gt;=BU$4,$C9&lt;EDATE(BU$4,1)),"◆",""))</f>
        <v/>
      </c>
      <c r="BV9" s="71" t="str">
        <f aca="false">IF(OR(BV$4="",$C9=""),"",IF(AND($C9&gt;=BV$4,$C9&lt;EDATE(BV$4,1)),"◆",""))</f>
        <v/>
      </c>
      <c r="BW9" s="71" t="str">
        <f aca="false">IF(OR(BW$4="",$C9=""),"",IF(AND($C9&gt;=BW$4,$C9&lt;EDATE(BW$4,1)),"◆",""))</f>
        <v/>
      </c>
      <c r="BX9" s="71" t="str">
        <f aca="false">IF(OR(BX$4="",$C9=""),"",IF(AND($C9&gt;=BX$4,$C9&lt;EDATE(BX$4,1)),"◆",""))</f>
        <v/>
      </c>
      <c r="BY9" s="71" t="str">
        <f aca="false">IF(OR(BY$4="",$C9=""),"",IF(AND($C9&gt;=BY$4,$C9&lt;EDATE(BY$4,1)),"◆",""))</f>
        <v/>
      </c>
    </row>
    <row r="10" customFormat="false" ht="15" hidden="false" customHeight="false" outlineLevel="0" collapsed="false">
      <c r="A10" s="4"/>
      <c r="B10" s="61" t="str">
        <f aca="false">IF(Milestones!$B9="","",Milestones!$B9)</f>
        <v>CDR</v>
      </c>
      <c r="C10" s="62" t="n">
        <f aca="false">IF(Milestones!$E9="","",Milestones!$E9)</f>
        <v>46877</v>
      </c>
      <c r="D10" s="4"/>
      <c r="E10" s="4"/>
      <c r="F10" s="71" t="str">
        <f aca="false">IF(OR(F$4="",$C10=""),"",IF(AND($C10&gt;=F$4,$C10&lt;EDATE(F$4,1)),"◆",""))</f>
        <v/>
      </c>
      <c r="G10" s="71" t="str">
        <f aca="false">IF(OR(G$4="",$C10=""),"",IF(AND($C10&gt;=G$4,$C10&lt;EDATE(G$4,1)),"◆",""))</f>
        <v/>
      </c>
      <c r="H10" s="71" t="str">
        <f aca="false">IF(OR(H$4="",$C10=""),"",IF(AND($C10&gt;=H$4,$C10&lt;EDATE(H$4,1)),"◆",""))</f>
        <v/>
      </c>
      <c r="I10" s="71" t="str">
        <f aca="false">IF(OR(I$4="",$C10=""),"",IF(AND($C10&gt;=I$4,$C10&lt;EDATE(I$4,1)),"◆",""))</f>
        <v/>
      </c>
      <c r="J10" s="71" t="str">
        <f aca="false">IF(OR(J$4="",$C10=""),"",IF(AND($C10&gt;=J$4,$C10&lt;EDATE(J$4,1)),"◆",""))</f>
        <v/>
      </c>
      <c r="K10" s="71" t="str">
        <f aca="false">IF(OR(K$4="",$C10=""),"",IF(AND($C10&gt;=K$4,$C10&lt;EDATE(K$4,1)),"◆",""))</f>
        <v/>
      </c>
      <c r="L10" s="71" t="str">
        <f aca="false">IF(OR(L$4="",$C10=""),"",IF(AND($C10&gt;=L$4,$C10&lt;EDATE(L$4,1)),"◆",""))</f>
        <v/>
      </c>
      <c r="M10" s="71" t="str">
        <f aca="false">IF(OR(M$4="",$C10=""),"",IF(AND($C10&gt;=M$4,$C10&lt;EDATE(M$4,1)),"◆",""))</f>
        <v/>
      </c>
      <c r="N10" s="71" t="str">
        <f aca="false">IF(OR(N$4="",$C10=""),"",IF(AND($C10&gt;=N$4,$C10&lt;EDATE(N$4,1)),"◆",""))</f>
        <v/>
      </c>
      <c r="O10" s="71" t="str">
        <f aca="false">IF(OR(O$4="",$C10=""),"",IF(AND($C10&gt;=O$4,$C10&lt;EDATE(O$4,1)),"◆",""))</f>
        <v/>
      </c>
      <c r="P10" s="71" t="str">
        <f aca="false">IF(OR(P$4="",$C10=""),"",IF(AND($C10&gt;=P$4,$C10&lt;EDATE(P$4,1)),"◆",""))</f>
        <v/>
      </c>
      <c r="Q10" s="71" t="str">
        <f aca="false">IF(OR(Q$4="",$C10=""),"",IF(AND($C10&gt;=Q$4,$C10&lt;EDATE(Q$4,1)),"◆",""))</f>
        <v/>
      </c>
      <c r="R10" s="71" t="str">
        <f aca="false">IF(OR(R$4="",$C10=""),"",IF(AND($C10&gt;=R$4,$C10&lt;EDATE(R$4,1)),"◆",""))</f>
        <v/>
      </c>
      <c r="S10" s="71" t="str">
        <f aca="false">IF(OR(S$4="",$C10=""),"",IF(AND($C10&gt;=S$4,$C10&lt;EDATE(S$4,1)),"◆",""))</f>
        <v/>
      </c>
      <c r="T10" s="71" t="str">
        <f aca="false">IF(OR(T$4="",$C10=""),"",IF(AND($C10&gt;=T$4,$C10&lt;EDATE(T$4,1)),"◆",""))</f>
        <v/>
      </c>
      <c r="U10" s="71" t="str">
        <f aca="false">IF(OR(U$4="",$C10=""),"",IF(AND($C10&gt;=U$4,$C10&lt;EDATE(U$4,1)),"◆",""))</f>
        <v/>
      </c>
      <c r="V10" s="71" t="str">
        <f aca="false">IF(OR(V$4="",$C10=""),"",IF(AND($C10&gt;=V$4,$C10&lt;EDATE(V$4,1)),"◆",""))</f>
        <v>◆</v>
      </c>
      <c r="W10" s="71" t="str">
        <f aca="false">IF(OR(W$4="",$C10=""),"",IF(AND($C10&gt;=W$4,$C10&lt;EDATE(W$4,1)),"◆",""))</f>
        <v/>
      </c>
      <c r="X10" s="71" t="str">
        <f aca="false">IF(OR(X$4="",$C10=""),"",IF(AND($C10&gt;=X$4,$C10&lt;EDATE(X$4,1)),"◆",""))</f>
        <v/>
      </c>
      <c r="Y10" s="71" t="str">
        <f aca="false">IF(OR(Y$4="",$C10=""),"",IF(AND($C10&gt;=Y$4,$C10&lt;EDATE(Y$4,1)),"◆",""))</f>
        <v/>
      </c>
      <c r="Z10" s="71" t="str">
        <f aca="false">IF(OR(Z$4="",$C10=""),"",IF(AND($C10&gt;=Z$4,$C10&lt;EDATE(Z$4,1)),"◆",""))</f>
        <v/>
      </c>
      <c r="AA10" s="71" t="str">
        <f aca="false">IF(OR(AA$4="",$C10=""),"",IF(AND($C10&gt;=AA$4,$C10&lt;EDATE(AA$4,1)),"◆",""))</f>
        <v/>
      </c>
      <c r="AB10" s="71" t="str">
        <f aca="false">IF(OR(AB$4="",$C10=""),"",IF(AND($C10&gt;=AB$4,$C10&lt;EDATE(AB$4,1)),"◆",""))</f>
        <v/>
      </c>
      <c r="AC10" s="71" t="str">
        <f aca="false">IF(OR(AC$4="",$C10=""),"",IF(AND($C10&gt;=AC$4,$C10&lt;EDATE(AC$4,1)),"◆",""))</f>
        <v/>
      </c>
      <c r="AD10" s="71" t="str">
        <f aca="false">IF(OR(AD$4="",$C10=""),"",IF(AND($C10&gt;=AD$4,$C10&lt;EDATE(AD$4,1)),"◆",""))</f>
        <v/>
      </c>
      <c r="AE10" s="71" t="str">
        <f aca="false">IF(OR(AE$4="",$C10=""),"",IF(AND($C10&gt;=AE$4,$C10&lt;EDATE(AE$4,1)),"◆",""))</f>
        <v/>
      </c>
      <c r="AF10" s="71" t="str">
        <f aca="false">IF(OR(AF$4="",$C10=""),"",IF(AND($C10&gt;=AF$4,$C10&lt;EDATE(AF$4,1)),"◆",""))</f>
        <v/>
      </c>
      <c r="AG10" s="71" t="str">
        <f aca="false">IF(OR(AG$4="",$C10=""),"",IF(AND($C10&gt;=AG$4,$C10&lt;EDATE(AG$4,1)),"◆",""))</f>
        <v/>
      </c>
      <c r="AH10" s="71" t="str">
        <f aca="false">IF(OR(AH$4="",$C10=""),"",IF(AND($C10&gt;=AH$4,$C10&lt;EDATE(AH$4,1)),"◆",""))</f>
        <v/>
      </c>
      <c r="AI10" s="71" t="str">
        <f aca="false">IF(OR(AI$4="",$C10=""),"",IF(AND($C10&gt;=AI$4,$C10&lt;EDATE(AI$4,1)),"◆",""))</f>
        <v/>
      </c>
      <c r="AJ10" s="71" t="str">
        <f aca="false">IF(OR(AJ$4="",$C10=""),"",IF(AND($C10&gt;=AJ$4,$C10&lt;EDATE(AJ$4,1)),"◆",""))</f>
        <v/>
      </c>
      <c r="AK10" s="71" t="str">
        <f aca="false">IF(OR(AK$4="",$C10=""),"",IF(AND($C10&gt;=AK$4,$C10&lt;EDATE(AK$4,1)),"◆",""))</f>
        <v/>
      </c>
      <c r="AL10" s="71" t="str">
        <f aca="false">IF(OR(AL$4="",$C10=""),"",IF(AND($C10&gt;=AL$4,$C10&lt;EDATE(AL$4,1)),"◆",""))</f>
        <v/>
      </c>
      <c r="AM10" s="71" t="str">
        <f aca="false">IF(OR(AM$4="",$C10=""),"",IF(AND($C10&gt;=AM$4,$C10&lt;EDATE(AM$4,1)),"◆",""))</f>
        <v/>
      </c>
      <c r="AN10" s="71" t="str">
        <f aca="false">IF(OR(AN$4="",$C10=""),"",IF(AND($C10&gt;=AN$4,$C10&lt;EDATE(AN$4,1)),"◆",""))</f>
        <v/>
      </c>
      <c r="AO10" s="71" t="str">
        <f aca="false">IF(OR(AO$4="",$C10=""),"",IF(AND($C10&gt;=AO$4,$C10&lt;EDATE(AO$4,1)),"◆",""))</f>
        <v/>
      </c>
      <c r="AP10" s="71" t="str">
        <f aca="false">IF(OR(AP$4="",$C10=""),"",IF(AND($C10&gt;=AP$4,$C10&lt;EDATE(AP$4,1)),"◆",""))</f>
        <v/>
      </c>
      <c r="AQ10" s="71" t="str">
        <f aca="false">IF(OR(AQ$4="",$C10=""),"",IF(AND($C10&gt;=AQ$4,$C10&lt;EDATE(AQ$4,1)),"◆",""))</f>
        <v/>
      </c>
      <c r="AR10" s="71" t="str">
        <f aca="false">IF(OR(AR$4="",$C10=""),"",IF(AND($C10&gt;=AR$4,$C10&lt;EDATE(AR$4,1)),"◆",""))</f>
        <v/>
      </c>
      <c r="AS10" s="71" t="str">
        <f aca="false">IF(OR(AS$4="",$C10=""),"",IF(AND($C10&gt;=AS$4,$C10&lt;EDATE(AS$4,1)),"◆",""))</f>
        <v/>
      </c>
      <c r="AT10" s="71" t="str">
        <f aca="false">IF(OR(AT$4="",$C10=""),"",IF(AND($C10&gt;=AT$4,$C10&lt;EDATE(AT$4,1)),"◆",""))</f>
        <v/>
      </c>
      <c r="AU10" s="71" t="str">
        <f aca="false">IF(OR(AU$4="",$C10=""),"",IF(AND($C10&gt;=AU$4,$C10&lt;EDATE(AU$4,1)),"◆",""))</f>
        <v/>
      </c>
      <c r="AV10" s="71" t="str">
        <f aca="false">IF(OR(AV$4="",$C10=""),"",IF(AND($C10&gt;=AV$4,$C10&lt;EDATE(AV$4,1)),"◆",""))</f>
        <v/>
      </c>
      <c r="AW10" s="71" t="str">
        <f aca="false">IF(OR(AW$4="",$C10=""),"",IF(AND($C10&gt;=AW$4,$C10&lt;EDATE(AW$4,1)),"◆",""))</f>
        <v/>
      </c>
      <c r="AX10" s="71" t="str">
        <f aca="false">IF(OR(AX$4="",$C10=""),"",IF(AND($C10&gt;=AX$4,$C10&lt;EDATE(AX$4,1)),"◆",""))</f>
        <v/>
      </c>
      <c r="AY10" s="71" t="str">
        <f aca="false">IF(OR(AY$4="",$C10=""),"",IF(AND($C10&gt;=AY$4,$C10&lt;EDATE(AY$4,1)),"◆",""))</f>
        <v/>
      </c>
      <c r="AZ10" s="71" t="str">
        <f aca="false">IF(OR(AZ$4="",$C10=""),"",IF(AND($C10&gt;=AZ$4,$C10&lt;EDATE(AZ$4,1)),"◆",""))</f>
        <v/>
      </c>
      <c r="BA10" s="71" t="str">
        <f aca="false">IF(OR(BA$4="",$C10=""),"",IF(AND($C10&gt;=BA$4,$C10&lt;EDATE(BA$4,1)),"◆",""))</f>
        <v/>
      </c>
      <c r="BB10" s="71" t="str">
        <f aca="false">IF(OR(BB$4="",$C10=""),"",IF(AND($C10&gt;=BB$4,$C10&lt;EDATE(BB$4,1)),"◆",""))</f>
        <v/>
      </c>
      <c r="BC10" s="71" t="str">
        <f aca="false">IF(OR(BC$4="",$C10=""),"",IF(AND($C10&gt;=BC$4,$C10&lt;EDATE(BC$4,1)),"◆",""))</f>
        <v/>
      </c>
      <c r="BD10" s="71" t="str">
        <f aca="false">IF(OR(BD$4="",$C10=""),"",IF(AND($C10&gt;=BD$4,$C10&lt;EDATE(BD$4,1)),"◆",""))</f>
        <v/>
      </c>
      <c r="BE10" s="71" t="str">
        <f aca="false">IF(OR(BE$4="",$C10=""),"",IF(AND($C10&gt;=BE$4,$C10&lt;EDATE(BE$4,1)),"◆",""))</f>
        <v/>
      </c>
      <c r="BF10" s="71" t="str">
        <f aca="false">IF(OR(BF$4="",$C10=""),"",IF(AND($C10&gt;=BF$4,$C10&lt;EDATE(BF$4,1)),"◆",""))</f>
        <v/>
      </c>
      <c r="BG10" s="71" t="str">
        <f aca="false">IF(OR(BG$4="",$C10=""),"",IF(AND($C10&gt;=BG$4,$C10&lt;EDATE(BG$4,1)),"◆",""))</f>
        <v/>
      </c>
      <c r="BH10" s="71" t="str">
        <f aca="false">IF(OR(BH$4="",$C10=""),"",IF(AND($C10&gt;=BH$4,$C10&lt;EDATE(BH$4,1)),"◆",""))</f>
        <v/>
      </c>
      <c r="BI10" s="71" t="str">
        <f aca="false">IF(OR(BI$4="",$C10=""),"",IF(AND($C10&gt;=BI$4,$C10&lt;EDATE(BI$4,1)),"◆",""))</f>
        <v/>
      </c>
      <c r="BJ10" s="71" t="str">
        <f aca="false">IF(OR(BJ$4="",$C10=""),"",IF(AND($C10&gt;=BJ$4,$C10&lt;EDATE(BJ$4,1)),"◆",""))</f>
        <v/>
      </c>
      <c r="BK10" s="71" t="str">
        <f aca="false">IF(OR(BK$4="",$C10=""),"",IF(AND($C10&gt;=BK$4,$C10&lt;EDATE(BK$4,1)),"◆",""))</f>
        <v/>
      </c>
      <c r="BL10" s="71" t="str">
        <f aca="false">IF(OR(BL$4="",$C10=""),"",IF(AND($C10&gt;=BL$4,$C10&lt;EDATE(BL$4,1)),"◆",""))</f>
        <v/>
      </c>
      <c r="BM10" s="71" t="str">
        <f aca="false">IF(OR(BM$4="",$C10=""),"",IF(AND($C10&gt;=BM$4,$C10&lt;EDATE(BM$4,1)),"◆",""))</f>
        <v/>
      </c>
      <c r="BN10" s="71" t="str">
        <f aca="false">IF(OR(BN$4="",$C10=""),"",IF(AND($C10&gt;=BN$4,$C10&lt;EDATE(BN$4,1)),"◆",""))</f>
        <v/>
      </c>
      <c r="BO10" s="71" t="str">
        <f aca="false">IF(OR(BO$4="",$C10=""),"",IF(AND($C10&gt;=BO$4,$C10&lt;EDATE(BO$4,1)),"◆",""))</f>
        <v/>
      </c>
      <c r="BP10" s="71" t="str">
        <f aca="false">IF(OR(BP$4="",$C10=""),"",IF(AND($C10&gt;=BP$4,$C10&lt;EDATE(BP$4,1)),"◆",""))</f>
        <v/>
      </c>
      <c r="BQ10" s="71" t="str">
        <f aca="false">IF(OR(BQ$4="",$C10=""),"",IF(AND($C10&gt;=BQ$4,$C10&lt;EDATE(BQ$4,1)),"◆",""))</f>
        <v/>
      </c>
      <c r="BR10" s="71" t="str">
        <f aca="false">IF(OR(BR$4="",$C10=""),"",IF(AND($C10&gt;=BR$4,$C10&lt;EDATE(BR$4,1)),"◆",""))</f>
        <v/>
      </c>
      <c r="BS10" s="71" t="str">
        <f aca="false">IF(OR(BS$4="",$C10=""),"",IF(AND($C10&gt;=BS$4,$C10&lt;EDATE(BS$4,1)),"◆",""))</f>
        <v/>
      </c>
      <c r="BT10" s="71" t="str">
        <f aca="false">IF(OR(BT$4="",$C10=""),"",IF(AND($C10&gt;=BT$4,$C10&lt;EDATE(BT$4,1)),"◆",""))</f>
        <v/>
      </c>
      <c r="BU10" s="71" t="str">
        <f aca="false">IF(OR(BU$4="",$C10=""),"",IF(AND($C10&gt;=BU$4,$C10&lt;EDATE(BU$4,1)),"◆",""))</f>
        <v/>
      </c>
      <c r="BV10" s="71" t="str">
        <f aca="false">IF(OR(BV$4="",$C10=""),"",IF(AND($C10&gt;=BV$4,$C10&lt;EDATE(BV$4,1)),"◆",""))</f>
        <v/>
      </c>
      <c r="BW10" s="71" t="str">
        <f aca="false">IF(OR(BW$4="",$C10=""),"",IF(AND($C10&gt;=BW$4,$C10&lt;EDATE(BW$4,1)),"◆",""))</f>
        <v/>
      </c>
      <c r="BX10" s="71" t="str">
        <f aca="false">IF(OR(BX$4="",$C10=""),"",IF(AND($C10&gt;=BX$4,$C10&lt;EDATE(BX$4,1)),"◆",""))</f>
        <v/>
      </c>
      <c r="BY10" s="71" t="str">
        <f aca="false">IF(OR(BY$4="",$C10=""),"",IF(AND($C10&gt;=BY$4,$C10&lt;EDATE(BY$4,1)),"◆",""))</f>
        <v/>
      </c>
    </row>
    <row r="11" customFormat="false" ht="15" hidden="false" customHeight="false" outlineLevel="0" collapsed="false">
      <c r="A11" s="4"/>
      <c r="B11" s="61" t="str">
        <f aca="false">IF(Milestones!$B10="","",Milestones!$B10)</f>
        <v>TRR</v>
      </c>
      <c r="C11" s="62" t="n">
        <f aca="false">IF(Milestones!$E10="","",Milestones!$E10)</f>
        <v>47122</v>
      </c>
      <c r="D11" s="4"/>
      <c r="E11" s="4"/>
      <c r="F11" s="71" t="str">
        <f aca="false">IF(OR(F$4="",$C11=""),"",IF(AND($C11&gt;=F$4,$C11&lt;EDATE(F$4,1)),"◆",""))</f>
        <v/>
      </c>
      <c r="G11" s="71" t="str">
        <f aca="false">IF(OR(G$4="",$C11=""),"",IF(AND($C11&gt;=G$4,$C11&lt;EDATE(G$4,1)),"◆",""))</f>
        <v/>
      </c>
      <c r="H11" s="71" t="str">
        <f aca="false">IF(OR(H$4="",$C11=""),"",IF(AND($C11&gt;=H$4,$C11&lt;EDATE(H$4,1)),"◆",""))</f>
        <v/>
      </c>
      <c r="I11" s="71" t="str">
        <f aca="false">IF(OR(I$4="",$C11=""),"",IF(AND($C11&gt;=I$4,$C11&lt;EDATE(I$4,1)),"◆",""))</f>
        <v/>
      </c>
      <c r="J11" s="71" t="str">
        <f aca="false">IF(OR(J$4="",$C11=""),"",IF(AND($C11&gt;=J$4,$C11&lt;EDATE(J$4,1)),"◆",""))</f>
        <v/>
      </c>
      <c r="K11" s="71" t="str">
        <f aca="false">IF(OR(K$4="",$C11=""),"",IF(AND($C11&gt;=K$4,$C11&lt;EDATE(K$4,1)),"◆",""))</f>
        <v/>
      </c>
      <c r="L11" s="71" t="str">
        <f aca="false">IF(OR(L$4="",$C11=""),"",IF(AND($C11&gt;=L$4,$C11&lt;EDATE(L$4,1)),"◆",""))</f>
        <v/>
      </c>
      <c r="M11" s="71" t="str">
        <f aca="false">IF(OR(M$4="",$C11=""),"",IF(AND($C11&gt;=M$4,$C11&lt;EDATE(M$4,1)),"◆",""))</f>
        <v/>
      </c>
      <c r="N11" s="71" t="str">
        <f aca="false">IF(OR(N$4="",$C11=""),"",IF(AND($C11&gt;=N$4,$C11&lt;EDATE(N$4,1)),"◆",""))</f>
        <v/>
      </c>
      <c r="O11" s="71" t="str">
        <f aca="false">IF(OR(O$4="",$C11=""),"",IF(AND($C11&gt;=O$4,$C11&lt;EDATE(O$4,1)),"◆",""))</f>
        <v/>
      </c>
      <c r="P11" s="71" t="str">
        <f aca="false">IF(OR(P$4="",$C11=""),"",IF(AND($C11&gt;=P$4,$C11&lt;EDATE(P$4,1)),"◆",""))</f>
        <v/>
      </c>
      <c r="Q11" s="71" t="str">
        <f aca="false">IF(OR(Q$4="",$C11=""),"",IF(AND($C11&gt;=Q$4,$C11&lt;EDATE(Q$4,1)),"◆",""))</f>
        <v/>
      </c>
      <c r="R11" s="71" t="str">
        <f aca="false">IF(OR(R$4="",$C11=""),"",IF(AND($C11&gt;=R$4,$C11&lt;EDATE(R$4,1)),"◆",""))</f>
        <v/>
      </c>
      <c r="S11" s="71" t="str">
        <f aca="false">IF(OR(S$4="",$C11=""),"",IF(AND($C11&gt;=S$4,$C11&lt;EDATE(S$4,1)),"◆",""))</f>
        <v/>
      </c>
      <c r="T11" s="71" t="str">
        <f aca="false">IF(OR(T$4="",$C11=""),"",IF(AND($C11&gt;=T$4,$C11&lt;EDATE(T$4,1)),"◆",""))</f>
        <v/>
      </c>
      <c r="U11" s="71" t="str">
        <f aca="false">IF(OR(U$4="",$C11=""),"",IF(AND($C11&gt;=U$4,$C11&lt;EDATE(U$4,1)),"◆",""))</f>
        <v/>
      </c>
      <c r="V11" s="71" t="str">
        <f aca="false">IF(OR(V$4="",$C11=""),"",IF(AND($C11&gt;=V$4,$C11&lt;EDATE(V$4,1)),"◆",""))</f>
        <v/>
      </c>
      <c r="W11" s="71" t="str">
        <f aca="false">IF(OR(W$4="",$C11=""),"",IF(AND($C11&gt;=W$4,$C11&lt;EDATE(W$4,1)),"◆",""))</f>
        <v/>
      </c>
      <c r="X11" s="71" t="str">
        <f aca="false">IF(OR(X$4="",$C11=""),"",IF(AND($C11&gt;=X$4,$C11&lt;EDATE(X$4,1)),"◆",""))</f>
        <v/>
      </c>
      <c r="Y11" s="71" t="str">
        <f aca="false">IF(OR(Y$4="",$C11=""),"",IF(AND($C11&gt;=Y$4,$C11&lt;EDATE(Y$4,1)),"◆",""))</f>
        <v/>
      </c>
      <c r="Z11" s="71" t="str">
        <f aca="false">IF(OR(Z$4="",$C11=""),"",IF(AND($C11&gt;=Z$4,$C11&lt;EDATE(Z$4,1)),"◆",""))</f>
        <v/>
      </c>
      <c r="AA11" s="71" t="str">
        <f aca="false">IF(OR(AA$4="",$C11=""),"",IF(AND($C11&gt;=AA$4,$C11&lt;EDATE(AA$4,1)),"◆",""))</f>
        <v/>
      </c>
      <c r="AB11" s="71" t="str">
        <f aca="false">IF(OR(AB$4="",$C11=""),"",IF(AND($C11&gt;=AB$4,$C11&lt;EDATE(AB$4,1)),"◆",""))</f>
        <v/>
      </c>
      <c r="AC11" s="71" t="str">
        <f aca="false">IF(OR(AC$4="",$C11=""),"",IF(AND($C11&gt;=AC$4,$C11&lt;EDATE(AC$4,1)),"◆",""))</f>
        <v/>
      </c>
      <c r="AD11" s="71" t="str">
        <f aca="false">IF(OR(AD$4="",$C11=""),"",IF(AND($C11&gt;=AD$4,$C11&lt;EDATE(AD$4,1)),"◆",""))</f>
        <v>◆</v>
      </c>
      <c r="AE11" s="71" t="str">
        <f aca="false">IF(OR(AE$4="",$C11=""),"",IF(AND($C11&gt;=AE$4,$C11&lt;EDATE(AE$4,1)),"◆",""))</f>
        <v/>
      </c>
      <c r="AF11" s="71" t="str">
        <f aca="false">IF(OR(AF$4="",$C11=""),"",IF(AND($C11&gt;=AF$4,$C11&lt;EDATE(AF$4,1)),"◆",""))</f>
        <v/>
      </c>
      <c r="AG11" s="71" t="str">
        <f aca="false">IF(OR(AG$4="",$C11=""),"",IF(AND($C11&gt;=AG$4,$C11&lt;EDATE(AG$4,1)),"◆",""))</f>
        <v/>
      </c>
      <c r="AH11" s="71" t="str">
        <f aca="false">IF(OR(AH$4="",$C11=""),"",IF(AND($C11&gt;=AH$4,$C11&lt;EDATE(AH$4,1)),"◆",""))</f>
        <v/>
      </c>
      <c r="AI11" s="71" t="str">
        <f aca="false">IF(OR(AI$4="",$C11=""),"",IF(AND($C11&gt;=AI$4,$C11&lt;EDATE(AI$4,1)),"◆",""))</f>
        <v/>
      </c>
      <c r="AJ11" s="71" t="str">
        <f aca="false">IF(OR(AJ$4="",$C11=""),"",IF(AND($C11&gt;=AJ$4,$C11&lt;EDATE(AJ$4,1)),"◆",""))</f>
        <v/>
      </c>
      <c r="AK11" s="71" t="str">
        <f aca="false">IF(OR(AK$4="",$C11=""),"",IF(AND($C11&gt;=AK$4,$C11&lt;EDATE(AK$4,1)),"◆",""))</f>
        <v/>
      </c>
      <c r="AL11" s="71" t="str">
        <f aca="false">IF(OR(AL$4="",$C11=""),"",IF(AND($C11&gt;=AL$4,$C11&lt;EDATE(AL$4,1)),"◆",""))</f>
        <v/>
      </c>
      <c r="AM11" s="71" t="str">
        <f aca="false">IF(OR(AM$4="",$C11=""),"",IF(AND($C11&gt;=AM$4,$C11&lt;EDATE(AM$4,1)),"◆",""))</f>
        <v/>
      </c>
      <c r="AN11" s="71" t="str">
        <f aca="false">IF(OR(AN$4="",$C11=""),"",IF(AND($C11&gt;=AN$4,$C11&lt;EDATE(AN$4,1)),"◆",""))</f>
        <v/>
      </c>
      <c r="AO11" s="71" t="str">
        <f aca="false">IF(OR(AO$4="",$C11=""),"",IF(AND($C11&gt;=AO$4,$C11&lt;EDATE(AO$4,1)),"◆",""))</f>
        <v/>
      </c>
      <c r="AP11" s="71" t="str">
        <f aca="false">IF(OR(AP$4="",$C11=""),"",IF(AND($C11&gt;=AP$4,$C11&lt;EDATE(AP$4,1)),"◆",""))</f>
        <v/>
      </c>
      <c r="AQ11" s="71" t="str">
        <f aca="false">IF(OR(AQ$4="",$C11=""),"",IF(AND($C11&gt;=AQ$4,$C11&lt;EDATE(AQ$4,1)),"◆",""))</f>
        <v/>
      </c>
      <c r="AR11" s="71" t="str">
        <f aca="false">IF(OR(AR$4="",$C11=""),"",IF(AND($C11&gt;=AR$4,$C11&lt;EDATE(AR$4,1)),"◆",""))</f>
        <v/>
      </c>
      <c r="AS11" s="71" t="str">
        <f aca="false">IF(OR(AS$4="",$C11=""),"",IF(AND($C11&gt;=AS$4,$C11&lt;EDATE(AS$4,1)),"◆",""))</f>
        <v/>
      </c>
      <c r="AT11" s="71" t="str">
        <f aca="false">IF(OR(AT$4="",$C11=""),"",IF(AND($C11&gt;=AT$4,$C11&lt;EDATE(AT$4,1)),"◆",""))</f>
        <v/>
      </c>
      <c r="AU11" s="71" t="str">
        <f aca="false">IF(OR(AU$4="",$C11=""),"",IF(AND($C11&gt;=AU$4,$C11&lt;EDATE(AU$4,1)),"◆",""))</f>
        <v/>
      </c>
      <c r="AV11" s="71" t="str">
        <f aca="false">IF(OR(AV$4="",$C11=""),"",IF(AND($C11&gt;=AV$4,$C11&lt;EDATE(AV$4,1)),"◆",""))</f>
        <v/>
      </c>
      <c r="AW11" s="71" t="str">
        <f aca="false">IF(OR(AW$4="",$C11=""),"",IF(AND($C11&gt;=AW$4,$C11&lt;EDATE(AW$4,1)),"◆",""))</f>
        <v/>
      </c>
      <c r="AX11" s="71" t="str">
        <f aca="false">IF(OR(AX$4="",$C11=""),"",IF(AND($C11&gt;=AX$4,$C11&lt;EDATE(AX$4,1)),"◆",""))</f>
        <v/>
      </c>
      <c r="AY11" s="71" t="str">
        <f aca="false">IF(OR(AY$4="",$C11=""),"",IF(AND($C11&gt;=AY$4,$C11&lt;EDATE(AY$4,1)),"◆",""))</f>
        <v/>
      </c>
      <c r="AZ11" s="71" t="str">
        <f aca="false">IF(OR(AZ$4="",$C11=""),"",IF(AND($C11&gt;=AZ$4,$C11&lt;EDATE(AZ$4,1)),"◆",""))</f>
        <v/>
      </c>
      <c r="BA11" s="71" t="str">
        <f aca="false">IF(OR(BA$4="",$C11=""),"",IF(AND($C11&gt;=BA$4,$C11&lt;EDATE(BA$4,1)),"◆",""))</f>
        <v/>
      </c>
      <c r="BB11" s="71" t="str">
        <f aca="false">IF(OR(BB$4="",$C11=""),"",IF(AND($C11&gt;=BB$4,$C11&lt;EDATE(BB$4,1)),"◆",""))</f>
        <v/>
      </c>
      <c r="BC11" s="71" t="str">
        <f aca="false">IF(OR(BC$4="",$C11=""),"",IF(AND($C11&gt;=BC$4,$C11&lt;EDATE(BC$4,1)),"◆",""))</f>
        <v/>
      </c>
      <c r="BD11" s="71" t="str">
        <f aca="false">IF(OR(BD$4="",$C11=""),"",IF(AND($C11&gt;=BD$4,$C11&lt;EDATE(BD$4,1)),"◆",""))</f>
        <v/>
      </c>
      <c r="BE11" s="71" t="str">
        <f aca="false">IF(OR(BE$4="",$C11=""),"",IF(AND($C11&gt;=BE$4,$C11&lt;EDATE(BE$4,1)),"◆",""))</f>
        <v/>
      </c>
      <c r="BF11" s="71" t="str">
        <f aca="false">IF(OR(BF$4="",$C11=""),"",IF(AND($C11&gt;=BF$4,$C11&lt;EDATE(BF$4,1)),"◆",""))</f>
        <v/>
      </c>
      <c r="BG11" s="71" t="str">
        <f aca="false">IF(OR(BG$4="",$C11=""),"",IF(AND($C11&gt;=BG$4,$C11&lt;EDATE(BG$4,1)),"◆",""))</f>
        <v/>
      </c>
      <c r="BH11" s="71" t="str">
        <f aca="false">IF(OR(BH$4="",$C11=""),"",IF(AND($C11&gt;=BH$4,$C11&lt;EDATE(BH$4,1)),"◆",""))</f>
        <v/>
      </c>
      <c r="BI11" s="71" t="str">
        <f aca="false">IF(OR(BI$4="",$C11=""),"",IF(AND($C11&gt;=BI$4,$C11&lt;EDATE(BI$4,1)),"◆",""))</f>
        <v/>
      </c>
      <c r="BJ11" s="71" t="str">
        <f aca="false">IF(OR(BJ$4="",$C11=""),"",IF(AND($C11&gt;=BJ$4,$C11&lt;EDATE(BJ$4,1)),"◆",""))</f>
        <v/>
      </c>
      <c r="BK11" s="71" t="str">
        <f aca="false">IF(OR(BK$4="",$C11=""),"",IF(AND($C11&gt;=BK$4,$C11&lt;EDATE(BK$4,1)),"◆",""))</f>
        <v/>
      </c>
      <c r="BL11" s="71" t="str">
        <f aca="false">IF(OR(BL$4="",$C11=""),"",IF(AND($C11&gt;=BL$4,$C11&lt;EDATE(BL$4,1)),"◆",""))</f>
        <v/>
      </c>
      <c r="BM11" s="71" t="str">
        <f aca="false">IF(OR(BM$4="",$C11=""),"",IF(AND($C11&gt;=BM$4,$C11&lt;EDATE(BM$4,1)),"◆",""))</f>
        <v/>
      </c>
      <c r="BN11" s="71" t="str">
        <f aca="false">IF(OR(BN$4="",$C11=""),"",IF(AND($C11&gt;=BN$4,$C11&lt;EDATE(BN$4,1)),"◆",""))</f>
        <v/>
      </c>
      <c r="BO11" s="71" t="str">
        <f aca="false">IF(OR(BO$4="",$C11=""),"",IF(AND($C11&gt;=BO$4,$C11&lt;EDATE(BO$4,1)),"◆",""))</f>
        <v/>
      </c>
      <c r="BP11" s="71" t="str">
        <f aca="false">IF(OR(BP$4="",$C11=""),"",IF(AND($C11&gt;=BP$4,$C11&lt;EDATE(BP$4,1)),"◆",""))</f>
        <v/>
      </c>
      <c r="BQ11" s="71" t="str">
        <f aca="false">IF(OR(BQ$4="",$C11=""),"",IF(AND($C11&gt;=BQ$4,$C11&lt;EDATE(BQ$4,1)),"◆",""))</f>
        <v/>
      </c>
      <c r="BR11" s="71" t="str">
        <f aca="false">IF(OR(BR$4="",$C11=""),"",IF(AND($C11&gt;=BR$4,$C11&lt;EDATE(BR$4,1)),"◆",""))</f>
        <v/>
      </c>
      <c r="BS11" s="71" t="str">
        <f aca="false">IF(OR(BS$4="",$C11=""),"",IF(AND($C11&gt;=BS$4,$C11&lt;EDATE(BS$4,1)),"◆",""))</f>
        <v/>
      </c>
      <c r="BT11" s="71" t="str">
        <f aca="false">IF(OR(BT$4="",$C11=""),"",IF(AND($C11&gt;=BT$4,$C11&lt;EDATE(BT$4,1)),"◆",""))</f>
        <v/>
      </c>
      <c r="BU11" s="71" t="str">
        <f aca="false">IF(OR(BU$4="",$C11=""),"",IF(AND($C11&gt;=BU$4,$C11&lt;EDATE(BU$4,1)),"◆",""))</f>
        <v/>
      </c>
      <c r="BV11" s="71" t="str">
        <f aca="false">IF(OR(BV$4="",$C11=""),"",IF(AND($C11&gt;=BV$4,$C11&lt;EDATE(BV$4,1)),"◆",""))</f>
        <v/>
      </c>
      <c r="BW11" s="71" t="str">
        <f aca="false">IF(OR(BW$4="",$C11=""),"",IF(AND($C11&gt;=BW$4,$C11&lt;EDATE(BW$4,1)),"◆",""))</f>
        <v/>
      </c>
      <c r="BX11" s="71" t="str">
        <f aca="false">IF(OR(BX$4="",$C11=""),"",IF(AND($C11&gt;=BX$4,$C11&lt;EDATE(BX$4,1)),"◆",""))</f>
        <v/>
      </c>
      <c r="BY11" s="71" t="str">
        <f aca="false">IF(OR(BY$4="",$C11=""),"",IF(AND($C11&gt;=BY$4,$C11&lt;EDATE(BY$4,1)),"◆",""))</f>
        <v/>
      </c>
    </row>
    <row r="12" customFormat="false" ht="15" hidden="false" customHeight="false" outlineLevel="0" collapsed="false">
      <c r="A12" s="4"/>
      <c r="B12" s="61" t="str">
        <f aca="false">IF(Milestones!$B11="","",Milestones!$B11)</f>
        <v>Test Start</v>
      </c>
      <c r="C12" s="62" t="n">
        <f aca="false">IF(Milestones!$E11="","",Milestones!$E11)</f>
        <v>47153</v>
      </c>
      <c r="D12" s="4"/>
      <c r="E12" s="4"/>
      <c r="F12" s="71" t="str">
        <f aca="false">IF(OR(F$4="",$C12=""),"",IF(AND($C12&gt;=F$4,$C12&lt;EDATE(F$4,1)),"◆",""))</f>
        <v/>
      </c>
      <c r="G12" s="71" t="str">
        <f aca="false">IF(OR(G$4="",$C12=""),"",IF(AND($C12&gt;=G$4,$C12&lt;EDATE(G$4,1)),"◆",""))</f>
        <v/>
      </c>
      <c r="H12" s="71" t="str">
        <f aca="false">IF(OR(H$4="",$C12=""),"",IF(AND($C12&gt;=H$4,$C12&lt;EDATE(H$4,1)),"◆",""))</f>
        <v/>
      </c>
      <c r="I12" s="71" t="str">
        <f aca="false">IF(OR(I$4="",$C12=""),"",IF(AND($C12&gt;=I$4,$C12&lt;EDATE(I$4,1)),"◆",""))</f>
        <v/>
      </c>
      <c r="J12" s="71" t="str">
        <f aca="false">IF(OR(J$4="",$C12=""),"",IF(AND($C12&gt;=J$4,$C12&lt;EDATE(J$4,1)),"◆",""))</f>
        <v/>
      </c>
      <c r="K12" s="71" t="str">
        <f aca="false">IF(OR(K$4="",$C12=""),"",IF(AND($C12&gt;=K$4,$C12&lt;EDATE(K$4,1)),"◆",""))</f>
        <v/>
      </c>
      <c r="L12" s="71" t="str">
        <f aca="false">IF(OR(L$4="",$C12=""),"",IF(AND($C12&gt;=L$4,$C12&lt;EDATE(L$4,1)),"◆",""))</f>
        <v/>
      </c>
      <c r="M12" s="71" t="str">
        <f aca="false">IF(OR(M$4="",$C12=""),"",IF(AND($C12&gt;=M$4,$C12&lt;EDATE(M$4,1)),"◆",""))</f>
        <v/>
      </c>
      <c r="N12" s="71" t="str">
        <f aca="false">IF(OR(N$4="",$C12=""),"",IF(AND($C12&gt;=N$4,$C12&lt;EDATE(N$4,1)),"◆",""))</f>
        <v/>
      </c>
      <c r="O12" s="71" t="str">
        <f aca="false">IF(OR(O$4="",$C12=""),"",IF(AND($C12&gt;=O$4,$C12&lt;EDATE(O$4,1)),"◆",""))</f>
        <v/>
      </c>
      <c r="P12" s="71" t="str">
        <f aca="false">IF(OR(P$4="",$C12=""),"",IF(AND($C12&gt;=P$4,$C12&lt;EDATE(P$4,1)),"◆",""))</f>
        <v/>
      </c>
      <c r="Q12" s="71" t="str">
        <f aca="false">IF(OR(Q$4="",$C12=""),"",IF(AND($C12&gt;=Q$4,$C12&lt;EDATE(Q$4,1)),"◆",""))</f>
        <v/>
      </c>
      <c r="R12" s="71" t="str">
        <f aca="false">IF(OR(R$4="",$C12=""),"",IF(AND($C12&gt;=R$4,$C12&lt;EDATE(R$4,1)),"◆",""))</f>
        <v/>
      </c>
      <c r="S12" s="71" t="str">
        <f aca="false">IF(OR(S$4="",$C12=""),"",IF(AND($C12&gt;=S$4,$C12&lt;EDATE(S$4,1)),"◆",""))</f>
        <v/>
      </c>
      <c r="T12" s="71" t="str">
        <f aca="false">IF(OR(T$4="",$C12=""),"",IF(AND($C12&gt;=T$4,$C12&lt;EDATE(T$4,1)),"◆",""))</f>
        <v/>
      </c>
      <c r="U12" s="71" t="str">
        <f aca="false">IF(OR(U$4="",$C12=""),"",IF(AND($C12&gt;=U$4,$C12&lt;EDATE(U$4,1)),"◆",""))</f>
        <v/>
      </c>
      <c r="V12" s="71" t="str">
        <f aca="false">IF(OR(V$4="",$C12=""),"",IF(AND($C12&gt;=V$4,$C12&lt;EDATE(V$4,1)),"◆",""))</f>
        <v/>
      </c>
      <c r="W12" s="71" t="str">
        <f aca="false">IF(OR(W$4="",$C12=""),"",IF(AND($C12&gt;=W$4,$C12&lt;EDATE(W$4,1)),"◆",""))</f>
        <v/>
      </c>
      <c r="X12" s="71" t="str">
        <f aca="false">IF(OR(X$4="",$C12=""),"",IF(AND($C12&gt;=X$4,$C12&lt;EDATE(X$4,1)),"◆",""))</f>
        <v/>
      </c>
      <c r="Y12" s="71" t="str">
        <f aca="false">IF(OR(Y$4="",$C12=""),"",IF(AND($C12&gt;=Y$4,$C12&lt;EDATE(Y$4,1)),"◆",""))</f>
        <v/>
      </c>
      <c r="Z12" s="71" t="str">
        <f aca="false">IF(OR(Z$4="",$C12=""),"",IF(AND($C12&gt;=Z$4,$C12&lt;EDATE(Z$4,1)),"◆",""))</f>
        <v/>
      </c>
      <c r="AA12" s="71" t="str">
        <f aca="false">IF(OR(AA$4="",$C12=""),"",IF(AND($C12&gt;=AA$4,$C12&lt;EDATE(AA$4,1)),"◆",""))</f>
        <v/>
      </c>
      <c r="AB12" s="71" t="str">
        <f aca="false">IF(OR(AB$4="",$C12=""),"",IF(AND($C12&gt;=AB$4,$C12&lt;EDATE(AB$4,1)),"◆",""))</f>
        <v/>
      </c>
      <c r="AC12" s="71" t="str">
        <f aca="false">IF(OR(AC$4="",$C12=""),"",IF(AND($C12&gt;=AC$4,$C12&lt;EDATE(AC$4,1)),"◆",""))</f>
        <v/>
      </c>
      <c r="AD12" s="71" t="str">
        <f aca="false">IF(OR(AD$4="",$C12=""),"",IF(AND($C12&gt;=AD$4,$C12&lt;EDATE(AD$4,1)),"◆",""))</f>
        <v/>
      </c>
      <c r="AE12" s="71" t="str">
        <f aca="false">IF(OR(AE$4="",$C12=""),"",IF(AND($C12&gt;=AE$4,$C12&lt;EDATE(AE$4,1)),"◆",""))</f>
        <v>◆</v>
      </c>
      <c r="AF12" s="71" t="str">
        <f aca="false">IF(OR(AF$4="",$C12=""),"",IF(AND($C12&gt;=AF$4,$C12&lt;EDATE(AF$4,1)),"◆",""))</f>
        <v/>
      </c>
      <c r="AG12" s="71" t="str">
        <f aca="false">IF(OR(AG$4="",$C12=""),"",IF(AND($C12&gt;=AG$4,$C12&lt;EDATE(AG$4,1)),"◆",""))</f>
        <v/>
      </c>
      <c r="AH12" s="71" t="str">
        <f aca="false">IF(OR(AH$4="",$C12=""),"",IF(AND($C12&gt;=AH$4,$C12&lt;EDATE(AH$4,1)),"◆",""))</f>
        <v/>
      </c>
      <c r="AI12" s="71" t="str">
        <f aca="false">IF(OR(AI$4="",$C12=""),"",IF(AND($C12&gt;=AI$4,$C12&lt;EDATE(AI$4,1)),"◆",""))</f>
        <v/>
      </c>
      <c r="AJ12" s="71" t="str">
        <f aca="false">IF(OR(AJ$4="",$C12=""),"",IF(AND($C12&gt;=AJ$4,$C12&lt;EDATE(AJ$4,1)),"◆",""))</f>
        <v/>
      </c>
      <c r="AK12" s="71" t="str">
        <f aca="false">IF(OR(AK$4="",$C12=""),"",IF(AND($C12&gt;=AK$4,$C12&lt;EDATE(AK$4,1)),"◆",""))</f>
        <v/>
      </c>
      <c r="AL12" s="71" t="str">
        <f aca="false">IF(OR(AL$4="",$C12=""),"",IF(AND($C12&gt;=AL$4,$C12&lt;EDATE(AL$4,1)),"◆",""))</f>
        <v/>
      </c>
      <c r="AM12" s="71" t="str">
        <f aca="false">IF(OR(AM$4="",$C12=""),"",IF(AND($C12&gt;=AM$4,$C12&lt;EDATE(AM$4,1)),"◆",""))</f>
        <v/>
      </c>
      <c r="AN12" s="71" t="str">
        <f aca="false">IF(OR(AN$4="",$C12=""),"",IF(AND($C12&gt;=AN$4,$C12&lt;EDATE(AN$4,1)),"◆",""))</f>
        <v/>
      </c>
      <c r="AO12" s="71" t="str">
        <f aca="false">IF(OR(AO$4="",$C12=""),"",IF(AND($C12&gt;=AO$4,$C12&lt;EDATE(AO$4,1)),"◆",""))</f>
        <v/>
      </c>
      <c r="AP12" s="71" t="str">
        <f aca="false">IF(OR(AP$4="",$C12=""),"",IF(AND($C12&gt;=AP$4,$C12&lt;EDATE(AP$4,1)),"◆",""))</f>
        <v/>
      </c>
      <c r="AQ12" s="71" t="str">
        <f aca="false">IF(OR(AQ$4="",$C12=""),"",IF(AND($C12&gt;=AQ$4,$C12&lt;EDATE(AQ$4,1)),"◆",""))</f>
        <v/>
      </c>
      <c r="AR12" s="71" t="str">
        <f aca="false">IF(OR(AR$4="",$C12=""),"",IF(AND($C12&gt;=AR$4,$C12&lt;EDATE(AR$4,1)),"◆",""))</f>
        <v/>
      </c>
      <c r="AS12" s="71" t="str">
        <f aca="false">IF(OR(AS$4="",$C12=""),"",IF(AND($C12&gt;=AS$4,$C12&lt;EDATE(AS$4,1)),"◆",""))</f>
        <v/>
      </c>
      <c r="AT12" s="71" t="str">
        <f aca="false">IF(OR(AT$4="",$C12=""),"",IF(AND($C12&gt;=AT$4,$C12&lt;EDATE(AT$4,1)),"◆",""))</f>
        <v/>
      </c>
      <c r="AU12" s="71" t="str">
        <f aca="false">IF(OR(AU$4="",$C12=""),"",IF(AND($C12&gt;=AU$4,$C12&lt;EDATE(AU$4,1)),"◆",""))</f>
        <v/>
      </c>
      <c r="AV12" s="71" t="str">
        <f aca="false">IF(OR(AV$4="",$C12=""),"",IF(AND($C12&gt;=AV$4,$C12&lt;EDATE(AV$4,1)),"◆",""))</f>
        <v/>
      </c>
      <c r="AW12" s="71" t="str">
        <f aca="false">IF(OR(AW$4="",$C12=""),"",IF(AND($C12&gt;=AW$4,$C12&lt;EDATE(AW$4,1)),"◆",""))</f>
        <v/>
      </c>
      <c r="AX12" s="71" t="str">
        <f aca="false">IF(OR(AX$4="",$C12=""),"",IF(AND($C12&gt;=AX$4,$C12&lt;EDATE(AX$4,1)),"◆",""))</f>
        <v/>
      </c>
      <c r="AY12" s="71" t="str">
        <f aca="false">IF(OR(AY$4="",$C12=""),"",IF(AND($C12&gt;=AY$4,$C12&lt;EDATE(AY$4,1)),"◆",""))</f>
        <v/>
      </c>
      <c r="AZ12" s="71" t="str">
        <f aca="false">IF(OR(AZ$4="",$C12=""),"",IF(AND($C12&gt;=AZ$4,$C12&lt;EDATE(AZ$4,1)),"◆",""))</f>
        <v/>
      </c>
      <c r="BA12" s="71" t="str">
        <f aca="false">IF(OR(BA$4="",$C12=""),"",IF(AND($C12&gt;=BA$4,$C12&lt;EDATE(BA$4,1)),"◆",""))</f>
        <v/>
      </c>
      <c r="BB12" s="71" t="str">
        <f aca="false">IF(OR(BB$4="",$C12=""),"",IF(AND($C12&gt;=BB$4,$C12&lt;EDATE(BB$4,1)),"◆",""))</f>
        <v/>
      </c>
      <c r="BC12" s="71" t="str">
        <f aca="false">IF(OR(BC$4="",$C12=""),"",IF(AND($C12&gt;=BC$4,$C12&lt;EDATE(BC$4,1)),"◆",""))</f>
        <v/>
      </c>
      <c r="BD12" s="71" t="str">
        <f aca="false">IF(OR(BD$4="",$C12=""),"",IF(AND($C12&gt;=BD$4,$C12&lt;EDATE(BD$4,1)),"◆",""))</f>
        <v/>
      </c>
      <c r="BE12" s="71" t="str">
        <f aca="false">IF(OR(BE$4="",$C12=""),"",IF(AND($C12&gt;=BE$4,$C12&lt;EDATE(BE$4,1)),"◆",""))</f>
        <v/>
      </c>
      <c r="BF12" s="71" t="str">
        <f aca="false">IF(OR(BF$4="",$C12=""),"",IF(AND($C12&gt;=BF$4,$C12&lt;EDATE(BF$4,1)),"◆",""))</f>
        <v/>
      </c>
      <c r="BG12" s="71" t="str">
        <f aca="false">IF(OR(BG$4="",$C12=""),"",IF(AND($C12&gt;=BG$4,$C12&lt;EDATE(BG$4,1)),"◆",""))</f>
        <v/>
      </c>
      <c r="BH12" s="71" t="str">
        <f aca="false">IF(OR(BH$4="",$C12=""),"",IF(AND($C12&gt;=BH$4,$C12&lt;EDATE(BH$4,1)),"◆",""))</f>
        <v/>
      </c>
      <c r="BI12" s="71" t="str">
        <f aca="false">IF(OR(BI$4="",$C12=""),"",IF(AND($C12&gt;=BI$4,$C12&lt;EDATE(BI$4,1)),"◆",""))</f>
        <v/>
      </c>
      <c r="BJ12" s="71" t="str">
        <f aca="false">IF(OR(BJ$4="",$C12=""),"",IF(AND($C12&gt;=BJ$4,$C12&lt;EDATE(BJ$4,1)),"◆",""))</f>
        <v/>
      </c>
      <c r="BK12" s="71" t="str">
        <f aca="false">IF(OR(BK$4="",$C12=""),"",IF(AND($C12&gt;=BK$4,$C12&lt;EDATE(BK$4,1)),"◆",""))</f>
        <v/>
      </c>
      <c r="BL12" s="71" t="str">
        <f aca="false">IF(OR(BL$4="",$C12=""),"",IF(AND($C12&gt;=BL$4,$C12&lt;EDATE(BL$4,1)),"◆",""))</f>
        <v/>
      </c>
      <c r="BM12" s="71" t="str">
        <f aca="false">IF(OR(BM$4="",$C12=""),"",IF(AND($C12&gt;=BM$4,$C12&lt;EDATE(BM$4,1)),"◆",""))</f>
        <v/>
      </c>
      <c r="BN12" s="71" t="str">
        <f aca="false">IF(OR(BN$4="",$C12=""),"",IF(AND($C12&gt;=BN$4,$C12&lt;EDATE(BN$4,1)),"◆",""))</f>
        <v/>
      </c>
      <c r="BO12" s="71" t="str">
        <f aca="false">IF(OR(BO$4="",$C12=""),"",IF(AND($C12&gt;=BO$4,$C12&lt;EDATE(BO$4,1)),"◆",""))</f>
        <v/>
      </c>
      <c r="BP12" s="71" t="str">
        <f aca="false">IF(OR(BP$4="",$C12=""),"",IF(AND($C12&gt;=BP$4,$C12&lt;EDATE(BP$4,1)),"◆",""))</f>
        <v/>
      </c>
      <c r="BQ12" s="71" t="str">
        <f aca="false">IF(OR(BQ$4="",$C12=""),"",IF(AND($C12&gt;=BQ$4,$C12&lt;EDATE(BQ$4,1)),"◆",""))</f>
        <v/>
      </c>
      <c r="BR12" s="71" t="str">
        <f aca="false">IF(OR(BR$4="",$C12=""),"",IF(AND($C12&gt;=BR$4,$C12&lt;EDATE(BR$4,1)),"◆",""))</f>
        <v/>
      </c>
      <c r="BS12" s="71" t="str">
        <f aca="false">IF(OR(BS$4="",$C12=""),"",IF(AND($C12&gt;=BS$4,$C12&lt;EDATE(BS$4,1)),"◆",""))</f>
        <v/>
      </c>
      <c r="BT12" s="71" t="str">
        <f aca="false">IF(OR(BT$4="",$C12=""),"",IF(AND($C12&gt;=BT$4,$C12&lt;EDATE(BT$4,1)),"◆",""))</f>
        <v/>
      </c>
      <c r="BU12" s="71" t="str">
        <f aca="false">IF(OR(BU$4="",$C12=""),"",IF(AND($C12&gt;=BU$4,$C12&lt;EDATE(BU$4,1)),"◆",""))</f>
        <v/>
      </c>
      <c r="BV12" s="71" t="str">
        <f aca="false">IF(OR(BV$4="",$C12=""),"",IF(AND($C12&gt;=BV$4,$C12&lt;EDATE(BV$4,1)),"◆",""))</f>
        <v/>
      </c>
      <c r="BW12" s="71" t="str">
        <f aca="false">IF(OR(BW$4="",$C12=""),"",IF(AND($C12&gt;=BW$4,$C12&lt;EDATE(BW$4,1)),"◆",""))</f>
        <v/>
      </c>
      <c r="BX12" s="71" t="str">
        <f aca="false">IF(OR(BX$4="",$C12=""),"",IF(AND($C12&gt;=BX$4,$C12&lt;EDATE(BX$4,1)),"◆",""))</f>
        <v/>
      </c>
      <c r="BY12" s="71" t="str">
        <f aca="false">IF(OR(BY$4="",$C12=""),"",IF(AND($C12&gt;=BY$4,$C12&lt;EDATE(BY$4,1)),"◆",""))</f>
        <v/>
      </c>
    </row>
    <row r="13" customFormat="false" ht="15" hidden="false" customHeight="false" outlineLevel="0" collapsed="false">
      <c r="A13" s="4"/>
      <c r="B13" s="61" t="str">
        <f aca="false">IF(Milestones!$B12="","",Milestones!$B12)</f>
        <v>Test Complete</v>
      </c>
      <c r="C13" s="62" t="n">
        <f aca="false">IF(Milestones!$E12="","",Milestones!$E12)</f>
        <v>47334</v>
      </c>
      <c r="D13" s="4"/>
      <c r="E13" s="4"/>
      <c r="F13" s="71" t="str">
        <f aca="false">IF(OR(F$4="",$C13=""),"",IF(AND($C13&gt;=F$4,$C13&lt;EDATE(F$4,1)),"◆",""))</f>
        <v/>
      </c>
      <c r="G13" s="71" t="str">
        <f aca="false">IF(OR(G$4="",$C13=""),"",IF(AND($C13&gt;=G$4,$C13&lt;EDATE(G$4,1)),"◆",""))</f>
        <v/>
      </c>
      <c r="H13" s="71" t="str">
        <f aca="false">IF(OR(H$4="",$C13=""),"",IF(AND($C13&gt;=H$4,$C13&lt;EDATE(H$4,1)),"◆",""))</f>
        <v/>
      </c>
      <c r="I13" s="71" t="str">
        <f aca="false">IF(OR(I$4="",$C13=""),"",IF(AND($C13&gt;=I$4,$C13&lt;EDATE(I$4,1)),"◆",""))</f>
        <v/>
      </c>
      <c r="J13" s="71" t="str">
        <f aca="false">IF(OR(J$4="",$C13=""),"",IF(AND($C13&gt;=J$4,$C13&lt;EDATE(J$4,1)),"◆",""))</f>
        <v/>
      </c>
      <c r="K13" s="71" t="str">
        <f aca="false">IF(OR(K$4="",$C13=""),"",IF(AND($C13&gt;=K$4,$C13&lt;EDATE(K$4,1)),"◆",""))</f>
        <v/>
      </c>
      <c r="L13" s="71" t="str">
        <f aca="false">IF(OR(L$4="",$C13=""),"",IF(AND($C13&gt;=L$4,$C13&lt;EDATE(L$4,1)),"◆",""))</f>
        <v/>
      </c>
      <c r="M13" s="71" t="str">
        <f aca="false">IF(OR(M$4="",$C13=""),"",IF(AND($C13&gt;=M$4,$C13&lt;EDATE(M$4,1)),"◆",""))</f>
        <v/>
      </c>
      <c r="N13" s="71" t="str">
        <f aca="false">IF(OR(N$4="",$C13=""),"",IF(AND($C13&gt;=N$4,$C13&lt;EDATE(N$4,1)),"◆",""))</f>
        <v/>
      </c>
      <c r="O13" s="71" t="str">
        <f aca="false">IF(OR(O$4="",$C13=""),"",IF(AND($C13&gt;=O$4,$C13&lt;EDATE(O$4,1)),"◆",""))</f>
        <v/>
      </c>
      <c r="P13" s="71" t="str">
        <f aca="false">IF(OR(P$4="",$C13=""),"",IF(AND($C13&gt;=P$4,$C13&lt;EDATE(P$4,1)),"◆",""))</f>
        <v/>
      </c>
      <c r="Q13" s="71" t="str">
        <f aca="false">IF(OR(Q$4="",$C13=""),"",IF(AND($C13&gt;=Q$4,$C13&lt;EDATE(Q$4,1)),"◆",""))</f>
        <v/>
      </c>
      <c r="R13" s="71" t="str">
        <f aca="false">IF(OR(R$4="",$C13=""),"",IF(AND($C13&gt;=R$4,$C13&lt;EDATE(R$4,1)),"◆",""))</f>
        <v/>
      </c>
      <c r="S13" s="71" t="str">
        <f aca="false">IF(OR(S$4="",$C13=""),"",IF(AND($C13&gt;=S$4,$C13&lt;EDATE(S$4,1)),"◆",""))</f>
        <v/>
      </c>
      <c r="T13" s="71" t="str">
        <f aca="false">IF(OR(T$4="",$C13=""),"",IF(AND($C13&gt;=T$4,$C13&lt;EDATE(T$4,1)),"◆",""))</f>
        <v/>
      </c>
      <c r="U13" s="71" t="str">
        <f aca="false">IF(OR(U$4="",$C13=""),"",IF(AND($C13&gt;=U$4,$C13&lt;EDATE(U$4,1)),"◆",""))</f>
        <v/>
      </c>
      <c r="V13" s="71" t="str">
        <f aca="false">IF(OR(V$4="",$C13=""),"",IF(AND($C13&gt;=V$4,$C13&lt;EDATE(V$4,1)),"◆",""))</f>
        <v/>
      </c>
      <c r="W13" s="71" t="str">
        <f aca="false">IF(OR(W$4="",$C13=""),"",IF(AND($C13&gt;=W$4,$C13&lt;EDATE(W$4,1)),"◆",""))</f>
        <v/>
      </c>
      <c r="X13" s="71" t="str">
        <f aca="false">IF(OR(X$4="",$C13=""),"",IF(AND($C13&gt;=X$4,$C13&lt;EDATE(X$4,1)),"◆",""))</f>
        <v/>
      </c>
      <c r="Y13" s="71" t="str">
        <f aca="false">IF(OR(Y$4="",$C13=""),"",IF(AND($C13&gt;=Y$4,$C13&lt;EDATE(Y$4,1)),"◆",""))</f>
        <v/>
      </c>
      <c r="Z13" s="71" t="str">
        <f aca="false">IF(OR(Z$4="",$C13=""),"",IF(AND($C13&gt;=Z$4,$C13&lt;EDATE(Z$4,1)),"◆",""))</f>
        <v/>
      </c>
      <c r="AA13" s="71" t="str">
        <f aca="false">IF(OR(AA$4="",$C13=""),"",IF(AND($C13&gt;=AA$4,$C13&lt;EDATE(AA$4,1)),"◆",""))</f>
        <v/>
      </c>
      <c r="AB13" s="71" t="str">
        <f aca="false">IF(OR(AB$4="",$C13=""),"",IF(AND($C13&gt;=AB$4,$C13&lt;EDATE(AB$4,1)),"◆",""))</f>
        <v/>
      </c>
      <c r="AC13" s="71" t="str">
        <f aca="false">IF(OR(AC$4="",$C13=""),"",IF(AND($C13&gt;=AC$4,$C13&lt;EDATE(AC$4,1)),"◆",""))</f>
        <v/>
      </c>
      <c r="AD13" s="71" t="str">
        <f aca="false">IF(OR(AD$4="",$C13=""),"",IF(AND($C13&gt;=AD$4,$C13&lt;EDATE(AD$4,1)),"◆",""))</f>
        <v/>
      </c>
      <c r="AE13" s="71" t="str">
        <f aca="false">IF(OR(AE$4="",$C13=""),"",IF(AND($C13&gt;=AE$4,$C13&lt;EDATE(AE$4,1)),"◆",""))</f>
        <v/>
      </c>
      <c r="AF13" s="71" t="str">
        <f aca="false">IF(OR(AF$4="",$C13=""),"",IF(AND($C13&gt;=AF$4,$C13&lt;EDATE(AF$4,1)),"◆",""))</f>
        <v/>
      </c>
      <c r="AG13" s="71" t="str">
        <f aca="false">IF(OR(AG$4="",$C13=""),"",IF(AND($C13&gt;=AG$4,$C13&lt;EDATE(AG$4,1)),"◆",""))</f>
        <v/>
      </c>
      <c r="AH13" s="71" t="str">
        <f aca="false">IF(OR(AH$4="",$C13=""),"",IF(AND($C13&gt;=AH$4,$C13&lt;EDATE(AH$4,1)),"◆",""))</f>
        <v/>
      </c>
      <c r="AI13" s="71" t="str">
        <f aca="false">IF(OR(AI$4="",$C13=""),"",IF(AND($C13&gt;=AI$4,$C13&lt;EDATE(AI$4,1)),"◆",""))</f>
        <v/>
      </c>
      <c r="AJ13" s="71" t="str">
        <f aca="false">IF(OR(AJ$4="",$C13=""),"",IF(AND($C13&gt;=AJ$4,$C13&lt;EDATE(AJ$4,1)),"◆",""))</f>
        <v/>
      </c>
      <c r="AK13" s="71" t="str">
        <f aca="false">IF(OR(AK$4="",$C13=""),"",IF(AND($C13&gt;=AK$4,$C13&lt;EDATE(AK$4,1)),"◆",""))</f>
        <v>◆</v>
      </c>
      <c r="AL13" s="71" t="str">
        <f aca="false">IF(OR(AL$4="",$C13=""),"",IF(AND($C13&gt;=AL$4,$C13&lt;EDATE(AL$4,1)),"◆",""))</f>
        <v/>
      </c>
      <c r="AM13" s="71" t="str">
        <f aca="false">IF(OR(AM$4="",$C13=""),"",IF(AND($C13&gt;=AM$4,$C13&lt;EDATE(AM$4,1)),"◆",""))</f>
        <v/>
      </c>
      <c r="AN13" s="71" t="str">
        <f aca="false">IF(OR(AN$4="",$C13=""),"",IF(AND($C13&gt;=AN$4,$C13&lt;EDATE(AN$4,1)),"◆",""))</f>
        <v/>
      </c>
      <c r="AO13" s="71" t="str">
        <f aca="false">IF(OR(AO$4="",$C13=""),"",IF(AND($C13&gt;=AO$4,$C13&lt;EDATE(AO$4,1)),"◆",""))</f>
        <v/>
      </c>
      <c r="AP13" s="71" t="str">
        <f aca="false">IF(OR(AP$4="",$C13=""),"",IF(AND($C13&gt;=AP$4,$C13&lt;EDATE(AP$4,1)),"◆",""))</f>
        <v/>
      </c>
      <c r="AQ13" s="71" t="str">
        <f aca="false">IF(OR(AQ$4="",$C13=""),"",IF(AND($C13&gt;=AQ$4,$C13&lt;EDATE(AQ$4,1)),"◆",""))</f>
        <v/>
      </c>
      <c r="AR13" s="71" t="str">
        <f aca="false">IF(OR(AR$4="",$C13=""),"",IF(AND($C13&gt;=AR$4,$C13&lt;EDATE(AR$4,1)),"◆",""))</f>
        <v/>
      </c>
      <c r="AS13" s="71" t="str">
        <f aca="false">IF(OR(AS$4="",$C13=""),"",IF(AND($C13&gt;=AS$4,$C13&lt;EDATE(AS$4,1)),"◆",""))</f>
        <v/>
      </c>
      <c r="AT13" s="71" t="str">
        <f aca="false">IF(OR(AT$4="",$C13=""),"",IF(AND($C13&gt;=AT$4,$C13&lt;EDATE(AT$4,1)),"◆",""))</f>
        <v/>
      </c>
      <c r="AU13" s="71" t="str">
        <f aca="false">IF(OR(AU$4="",$C13=""),"",IF(AND($C13&gt;=AU$4,$C13&lt;EDATE(AU$4,1)),"◆",""))</f>
        <v/>
      </c>
      <c r="AV13" s="71" t="str">
        <f aca="false">IF(OR(AV$4="",$C13=""),"",IF(AND($C13&gt;=AV$4,$C13&lt;EDATE(AV$4,1)),"◆",""))</f>
        <v/>
      </c>
      <c r="AW13" s="71" t="str">
        <f aca="false">IF(OR(AW$4="",$C13=""),"",IF(AND($C13&gt;=AW$4,$C13&lt;EDATE(AW$4,1)),"◆",""))</f>
        <v/>
      </c>
      <c r="AX13" s="71" t="str">
        <f aca="false">IF(OR(AX$4="",$C13=""),"",IF(AND($C13&gt;=AX$4,$C13&lt;EDATE(AX$4,1)),"◆",""))</f>
        <v/>
      </c>
      <c r="AY13" s="71" t="str">
        <f aca="false">IF(OR(AY$4="",$C13=""),"",IF(AND($C13&gt;=AY$4,$C13&lt;EDATE(AY$4,1)),"◆",""))</f>
        <v/>
      </c>
      <c r="AZ13" s="71" t="str">
        <f aca="false">IF(OR(AZ$4="",$C13=""),"",IF(AND($C13&gt;=AZ$4,$C13&lt;EDATE(AZ$4,1)),"◆",""))</f>
        <v/>
      </c>
      <c r="BA13" s="71" t="str">
        <f aca="false">IF(OR(BA$4="",$C13=""),"",IF(AND($C13&gt;=BA$4,$C13&lt;EDATE(BA$4,1)),"◆",""))</f>
        <v/>
      </c>
      <c r="BB13" s="71" t="str">
        <f aca="false">IF(OR(BB$4="",$C13=""),"",IF(AND($C13&gt;=BB$4,$C13&lt;EDATE(BB$4,1)),"◆",""))</f>
        <v/>
      </c>
      <c r="BC13" s="71" t="str">
        <f aca="false">IF(OR(BC$4="",$C13=""),"",IF(AND($C13&gt;=BC$4,$C13&lt;EDATE(BC$4,1)),"◆",""))</f>
        <v/>
      </c>
      <c r="BD13" s="71" t="str">
        <f aca="false">IF(OR(BD$4="",$C13=""),"",IF(AND($C13&gt;=BD$4,$C13&lt;EDATE(BD$4,1)),"◆",""))</f>
        <v/>
      </c>
      <c r="BE13" s="71" t="str">
        <f aca="false">IF(OR(BE$4="",$C13=""),"",IF(AND($C13&gt;=BE$4,$C13&lt;EDATE(BE$4,1)),"◆",""))</f>
        <v/>
      </c>
      <c r="BF13" s="71" t="str">
        <f aca="false">IF(OR(BF$4="",$C13=""),"",IF(AND($C13&gt;=BF$4,$C13&lt;EDATE(BF$4,1)),"◆",""))</f>
        <v/>
      </c>
      <c r="BG13" s="71" t="str">
        <f aca="false">IF(OR(BG$4="",$C13=""),"",IF(AND($C13&gt;=BG$4,$C13&lt;EDATE(BG$4,1)),"◆",""))</f>
        <v/>
      </c>
      <c r="BH13" s="71" t="str">
        <f aca="false">IF(OR(BH$4="",$C13=""),"",IF(AND($C13&gt;=BH$4,$C13&lt;EDATE(BH$4,1)),"◆",""))</f>
        <v/>
      </c>
      <c r="BI13" s="71" t="str">
        <f aca="false">IF(OR(BI$4="",$C13=""),"",IF(AND($C13&gt;=BI$4,$C13&lt;EDATE(BI$4,1)),"◆",""))</f>
        <v/>
      </c>
      <c r="BJ13" s="71" t="str">
        <f aca="false">IF(OR(BJ$4="",$C13=""),"",IF(AND($C13&gt;=BJ$4,$C13&lt;EDATE(BJ$4,1)),"◆",""))</f>
        <v/>
      </c>
      <c r="BK13" s="71" t="str">
        <f aca="false">IF(OR(BK$4="",$C13=""),"",IF(AND($C13&gt;=BK$4,$C13&lt;EDATE(BK$4,1)),"◆",""))</f>
        <v/>
      </c>
      <c r="BL13" s="71" t="str">
        <f aca="false">IF(OR(BL$4="",$C13=""),"",IF(AND($C13&gt;=BL$4,$C13&lt;EDATE(BL$4,1)),"◆",""))</f>
        <v/>
      </c>
      <c r="BM13" s="71" t="str">
        <f aca="false">IF(OR(BM$4="",$C13=""),"",IF(AND($C13&gt;=BM$4,$C13&lt;EDATE(BM$4,1)),"◆",""))</f>
        <v/>
      </c>
      <c r="BN13" s="71" t="str">
        <f aca="false">IF(OR(BN$4="",$C13=""),"",IF(AND($C13&gt;=BN$4,$C13&lt;EDATE(BN$4,1)),"◆",""))</f>
        <v/>
      </c>
      <c r="BO13" s="71" t="str">
        <f aca="false">IF(OR(BO$4="",$C13=""),"",IF(AND($C13&gt;=BO$4,$C13&lt;EDATE(BO$4,1)),"◆",""))</f>
        <v/>
      </c>
      <c r="BP13" s="71" t="str">
        <f aca="false">IF(OR(BP$4="",$C13=""),"",IF(AND($C13&gt;=BP$4,$C13&lt;EDATE(BP$4,1)),"◆",""))</f>
        <v/>
      </c>
      <c r="BQ13" s="71" t="str">
        <f aca="false">IF(OR(BQ$4="",$C13=""),"",IF(AND($C13&gt;=BQ$4,$C13&lt;EDATE(BQ$4,1)),"◆",""))</f>
        <v/>
      </c>
      <c r="BR13" s="71" t="str">
        <f aca="false">IF(OR(BR$4="",$C13=""),"",IF(AND($C13&gt;=BR$4,$C13&lt;EDATE(BR$4,1)),"◆",""))</f>
        <v/>
      </c>
      <c r="BS13" s="71" t="str">
        <f aca="false">IF(OR(BS$4="",$C13=""),"",IF(AND($C13&gt;=BS$4,$C13&lt;EDATE(BS$4,1)),"◆",""))</f>
        <v/>
      </c>
      <c r="BT13" s="71" t="str">
        <f aca="false">IF(OR(BT$4="",$C13=""),"",IF(AND($C13&gt;=BT$4,$C13&lt;EDATE(BT$4,1)),"◆",""))</f>
        <v/>
      </c>
      <c r="BU13" s="71" t="str">
        <f aca="false">IF(OR(BU$4="",$C13=""),"",IF(AND($C13&gt;=BU$4,$C13&lt;EDATE(BU$4,1)),"◆",""))</f>
        <v/>
      </c>
      <c r="BV13" s="71" t="str">
        <f aca="false">IF(OR(BV$4="",$C13=""),"",IF(AND($C13&gt;=BV$4,$C13&lt;EDATE(BV$4,1)),"◆",""))</f>
        <v/>
      </c>
      <c r="BW13" s="71" t="str">
        <f aca="false">IF(OR(BW$4="",$C13=""),"",IF(AND($C13&gt;=BW$4,$C13&lt;EDATE(BW$4,1)),"◆",""))</f>
        <v/>
      </c>
      <c r="BX13" s="71" t="str">
        <f aca="false">IF(OR(BX$4="",$C13=""),"",IF(AND($C13&gt;=BX$4,$C13&lt;EDATE(BX$4,1)),"◆",""))</f>
        <v/>
      </c>
      <c r="BY13" s="71" t="str">
        <f aca="false">IF(OR(BY$4="",$C13=""),"",IF(AND($C13&gt;=BY$4,$C13&lt;EDATE(BY$4,1)),"◆",""))</f>
        <v/>
      </c>
    </row>
    <row r="14" customFormat="false" ht="15" hidden="false" customHeight="false" outlineLevel="0" collapsed="false">
      <c r="A14" s="4"/>
      <c r="B14" s="61" t="str">
        <f aca="false">IF(Milestones!$B13="","",Milestones!$B13)</f>
        <v>SAR Submittal</v>
      </c>
      <c r="C14" s="62" t="n">
        <f aca="false">IF(Milestones!$E13="","",Milestones!$E13)</f>
        <v>47395</v>
      </c>
      <c r="D14" s="4"/>
      <c r="E14" s="4"/>
      <c r="F14" s="71" t="str">
        <f aca="false">IF(OR(F$4="",$C14=""),"",IF(AND($C14&gt;=F$4,$C14&lt;EDATE(F$4,1)),"◆",""))</f>
        <v/>
      </c>
      <c r="G14" s="71" t="str">
        <f aca="false">IF(OR(G$4="",$C14=""),"",IF(AND($C14&gt;=G$4,$C14&lt;EDATE(G$4,1)),"◆",""))</f>
        <v/>
      </c>
      <c r="H14" s="71" t="str">
        <f aca="false">IF(OR(H$4="",$C14=""),"",IF(AND($C14&gt;=H$4,$C14&lt;EDATE(H$4,1)),"◆",""))</f>
        <v/>
      </c>
      <c r="I14" s="71" t="str">
        <f aca="false">IF(OR(I$4="",$C14=""),"",IF(AND($C14&gt;=I$4,$C14&lt;EDATE(I$4,1)),"◆",""))</f>
        <v/>
      </c>
      <c r="J14" s="71" t="str">
        <f aca="false">IF(OR(J$4="",$C14=""),"",IF(AND($C14&gt;=J$4,$C14&lt;EDATE(J$4,1)),"◆",""))</f>
        <v/>
      </c>
      <c r="K14" s="71" t="str">
        <f aca="false">IF(OR(K$4="",$C14=""),"",IF(AND($C14&gt;=K$4,$C14&lt;EDATE(K$4,1)),"◆",""))</f>
        <v/>
      </c>
      <c r="L14" s="71" t="str">
        <f aca="false">IF(OR(L$4="",$C14=""),"",IF(AND($C14&gt;=L$4,$C14&lt;EDATE(L$4,1)),"◆",""))</f>
        <v/>
      </c>
      <c r="M14" s="71" t="str">
        <f aca="false">IF(OR(M$4="",$C14=""),"",IF(AND($C14&gt;=M$4,$C14&lt;EDATE(M$4,1)),"◆",""))</f>
        <v/>
      </c>
      <c r="N14" s="71" t="str">
        <f aca="false">IF(OR(N$4="",$C14=""),"",IF(AND($C14&gt;=N$4,$C14&lt;EDATE(N$4,1)),"◆",""))</f>
        <v/>
      </c>
      <c r="O14" s="71" t="str">
        <f aca="false">IF(OR(O$4="",$C14=""),"",IF(AND($C14&gt;=O$4,$C14&lt;EDATE(O$4,1)),"◆",""))</f>
        <v/>
      </c>
      <c r="P14" s="71" t="str">
        <f aca="false">IF(OR(P$4="",$C14=""),"",IF(AND($C14&gt;=P$4,$C14&lt;EDATE(P$4,1)),"◆",""))</f>
        <v/>
      </c>
      <c r="Q14" s="71" t="str">
        <f aca="false">IF(OR(Q$4="",$C14=""),"",IF(AND($C14&gt;=Q$4,$C14&lt;EDATE(Q$4,1)),"◆",""))</f>
        <v/>
      </c>
      <c r="R14" s="71" t="str">
        <f aca="false">IF(OR(R$4="",$C14=""),"",IF(AND($C14&gt;=R$4,$C14&lt;EDATE(R$4,1)),"◆",""))</f>
        <v/>
      </c>
      <c r="S14" s="71" t="str">
        <f aca="false">IF(OR(S$4="",$C14=""),"",IF(AND($C14&gt;=S$4,$C14&lt;EDATE(S$4,1)),"◆",""))</f>
        <v/>
      </c>
      <c r="T14" s="71" t="str">
        <f aca="false">IF(OR(T$4="",$C14=""),"",IF(AND($C14&gt;=T$4,$C14&lt;EDATE(T$4,1)),"◆",""))</f>
        <v/>
      </c>
      <c r="U14" s="71" t="str">
        <f aca="false">IF(OR(U$4="",$C14=""),"",IF(AND($C14&gt;=U$4,$C14&lt;EDATE(U$4,1)),"◆",""))</f>
        <v/>
      </c>
      <c r="V14" s="71" t="str">
        <f aca="false">IF(OR(V$4="",$C14=""),"",IF(AND($C14&gt;=V$4,$C14&lt;EDATE(V$4,1)),"◆",""))</f>
        <v/>
      </c>
      <c r="W14" s="71" t="str">
        <f aca="false">IF(OR(W$4="",$C14=""),"",IF(AND($C14&gt;=W$4,$C14&lt;EDATE(W$4,1)),"◆",""))</f>
        <v/>
      </c>
      <c r="X14" s="71" t="str">
        <f aca="false">IF(OR(X$4="",$C14=""),"",IF(AND($C14&gt;=X$4,$C14&lt;EDATE(X$4,1)),"◆",""))</f>
        <v/>
      </c>
      <c r="Y14" s="71" t="str">
        <f aca="false">IF(OR(Y$4="",$C14=""),"",IF(AND($C14&gt;=Y$4,$C14&lt;EDATE(Y$4,1)),"◆",""))</f>
        <v/>
      </c>
      <c r="Z14" s="71" t="str">
        <f aca="false">IF(OR(Z$4="",$C14=""),"",IF(AND($C14&gt;=Z$4,$C14&lt;EDATE(Z$4,1)),"◆",""))</f>
        <v/>
      </c>
      <c r="AA14" s="71" t="str">
        <f aca="false">IF(OR(AA$4="",$C14=""),"",IF(AND($C14&gt;=AA$4,$C14&lt;EDATE(AA$4,1)),"◆",""))</f>
        <v/>
      </c>
      <c r="AB14" s="71" t="str">
        <f aca="false">IF(OR(AB$4="",$C14=""),"",IF(AND($C14&gt;=AB$4,$C14&lt;EDATE(AB$4,1)),"◆",""))</f>
        <v/>
      </c>
      <c r="AC14" s="71" t="str">
        <f aca="false">IF(OR(AC$4="",$C14=""),"",IF(AND($C14&gt;=AC$4,$C14&lt;EDATE(AC$4,1)),"◆",""))</f>
        <v/>
      </c>
      <c r="AD14" s="71" t="str">
        <f aca="false">IF(OR(AD$4="",$C14=""),"",IF(AND($C14&gt;=AD$4,$C14&lt;EDATE(AD$4,1)),"◆",""))</f>
        <v/>
      </c>
      <c r="AE14" s="71" t="str">
        <f aca="false">IF(OR(AE$4="",$C14=""),"",IF(AND($C14&gt;=AE$4,$C14&lt;EDATE(AE$4,1)),"◆",""))</f>
        <v/>
      </c>
      <c r="AF14" s="71" t="str">
        <f aca="false">IF(OR(AF$4="",$C14=""),"",IF(AND($C14&gt;=AF$4,$C14&lt;EDATE(AF$4,1)),"◆",""))</f>
        <v/>
      </c>
      <c r="AG14" s="71" t="str">
        <f aca="false">IF(OR(AG$4="",$C14=""),"",IF(AND($C14&gt;=AG$4,$C14&lt;EDATE(AG$4,1)),"◆",""))</f>
        <v/>
      </c>
      <c r="AH14" s="71" t="str">
        <f aca="false">IF(OR(AH$4="",$C14=""),"",IF(AND($C14&gt;=AH$4,$C14&lt;EDATE(AH$4,1)),"◆",""))</f>
        <v/>
      </c>
      <c r="AI14" s="71" t="str">
        <f aca="false">IF(OR(AI$4="",$C14=""),"",IF(AND($C14&gt;=AI$4,$C14&lt;EDATE(AI$4,1)),"◆",""))</f>
        <v/>
      </c>
      <c r="AJ14" s="71" t="str">
        <f aca="false">IF(OR(AJ$4="",$C14=""),"",IF(AND($C14&gt;=AJ$4,$C14&lt;EDATE(AJ$4,1)),"◆",""))</f>
        <v/>
      </c>
      <c r="AK14" s="71" t="str">
        <f aca="false">IF(OR(AK$4="",$C14=""),"",IF(AND($C14&gt;=AK$4,$C14&lt;EDATE(AK$4,1)),"◆",""))</f>
        <v/>
      </c>
      <c r="AL14" s="71" t="str">
        <f aca="false">IF(OR(AL$4="",$C14=""),"",IF(AND($C14&gt;=AL$4,$C14&lt;EDATE(AL$4,1)),"◆",""))</f>
        <v/>
      </c>
      <c r="AM14" s="71" t="str">
        <f aca="false">IF(OR(AM$4="",$C14=""),"",IF(AND($C14&gt;=AM$4,$C14&lt;EDATE(AM$4,1)),"◆",""))</f>
        <v>◆</v>
      </c>
      <c r="AN14" s="71" t="str">
        <f aca="false">IF(OR(AN$4="",$C14=""),"",IF(AND($C14&gt;=AN$4,$C14&lt;EDATE(AN$4,1)),"◆",""))</f>
        <v/>
      </c>
      <c r="AO14" s="71" t="str">
        <f aca="false">IF(OR(AO$4="",$C14=""),"",IF(AND($C14&gt;=AO$4,$C14&lt;EDATE(AO$4,1)),"◆",""))</f>
        <v/>
      </c>
      <c r="AP14" s="71" t="str">
        <f aca="false">IF(OR(AP$4="",$C14=""),"",IF(AND($C14&gt;=AP$4,$C14&lt;EDATE(AP$4,1)),"◆",""))</f>
        <v/>
      </c>
      <c r="AQ14" s="71" t="str">
        <f aca="false">IF(OR(AQ$4="",$C14=""),"",IF(AND($C14&gt;=AQ$4,$C14&lt;EDATE(AQ$4,1)),"◆",""))</f>
        <v/>
      </c>
      <c r="AR14" s="71" t="str">
        <f aca="false">IF(OR(AR$4="",$C14=""),"",IF(AND($C14&gt;=AR$4,$C14&lt;EDATE(AR$4,1)),"◆",""))</f>
        <v/>
      </c>
      <c r="AS14" s="71" t="str">
        <f aca="false">IF(OR(AS$4="",$C14=""),"",IF(AND($C14&gt;=AS$4,$C14&lt;EDATE(AS$4,1)),"◆",""))</f>
        <v/>
      </c>
      <c r="AT14" s="71" t="str">
        <f aca="false">IF(OR(AT$4="",$C14=""),"",IF(AND($C14&gt;=AT$4,$C14&lt;EDATE(AT$4,1)),"◆",""))</f>
        <v/>
      </c>
      <c r="AU14" s="71" t="str">
        <f aca="false">IF(OR(AU$4="",$C14=""),"",IF(AND($C14&gt;=AU$4,$C14&lt;EDATE(AU$4,1)),"◆",""))</f>
        <v/>
      </c>
      <c r="AV14" s="71" t="str">
        <f aca="false">IF(OR(AV$4="",$C14=""),"",IF(AND($C14&gt;=AV$4,$C14&lt;EDATE(AV$4,1)),"◆",""))</f>
        <v/>
      </c>
      <c r="AW14" s="71" t="str">
        <f aca="false">IF(OR(AW$4="",$C14=""),"",IF(AND($C14&gt;=AW$4,$C14&lt;EDATE(AW$4,1)),"◆",""))</f>
        <v/>
      </c>
      <c r="AX14" s="71" t="str">
        <f aca="false">IF(OR(AX$4="",$C14=""),"",IF(AND($C14&gt;=AX$4,$C14&lt;EDATE(AX$4,1)),"◆",""))</f>
        <v/>
      </c>
      <c r="AY14" s="71" t="str">
        <f aca="false">IF(OR(AY$4="",$C14=""),"",IF(AND($C14&gt;=AY$4,$C14&lt;EDATE(AY$4,1)),"◆",""))</f>
        <v/>
      </c>
      <c r="AZ14" s="71" t="str">
        <f aca="false">IF(OR(AZ$4="",$C14=""),"",IF(AND($C14&gt;=AZ$4,$C14&lt;EDATE(AZ$4,1)),"◆",""))</f>
        <v/>
      </c>
      <c r="BA14" s="71" t="str">
        <f aca="false">IF(OR(BA$4="",$C14=""),"",IF(AND($C14&gt;=BA$4,$C14&lt;EDATE(BA$4,1)),"◆",""))</f>
        <v/>
      </c>
      <c r="BB14" s="71" t="str">
        <f aca="false">IF(OR(BB$4="",$C14=""),"",IF(AND($C14&gt;=BB$4,$C14&lt;EDATE(BB$4,1)),"◆",""))</f>
        <v/>
      </c>
      <c r="BC14" s="71" t="str">
        <f aca="false">IF(OR(BC$4="",$C14=""),"",IF(AND($C14&gt;=BC$4,$C14&lt;EDATE(BC$4,1)),"◆",""))</f>
        <v/>
      </c>
      <c r="BD14" s="71" t="str">
        <f aca="false">IF(OR(BD$4="",$C14=""),"",IF(AND($C14&gt;=BD$4,$C14&lt;EDATE(BD$4,1)),"◆",""))</f>
        <v/>
      </c>
      <c r="BE14" s="71" t="str">
        <f aca="false">IF(OR(BE$4="",$C14=""),"",IF(AND($C14&gt;=BE$4,$C14&lt;EDATE(BE$4,1)),"◆",""))</f>
        <v/>
      </c>
      <c r="BF14" s="71" t="str">
        <f aca="false">IF(OR(BF$4="",$C14=""),"",IF(AND($C14&gt;=BF$4,$C14&lt;EDATE(BF$4,1)),"◆",""))</f>
        <v/>
      </c>
      <c r="BG14" s="71" t="str">
        <f aca="false">IF(OR(BG$4="",$C14=""),"",IF(AND($C14&gt;=BG$4,$C14&lt;EDATE(BG$4,1)),"◆",""))</f>
        <v/>
      </c>
      <c r="BH14" s="71" t="str">
        <f aca="false">IF(OR(BH$4="",$C14=""),"",IF(AND($C14&gt;=BH$4,$C14&lt;EDATE(BH$4,1)),"◆",""))</f>
        <v/>
      </c>
      <c r="BI14" s="71" t="str">
        <f aca="false">IF(OR(BI$4="",$C14=""),"",IF(AND($C14&gt;=BI$4,$C14&lt;EDATE(BI$4,1)),"◆",""))</f>
        <v/>
      </c>
      <c r="BJ14" s="71" t="str">
        <f aca="false">IF(OR(BJ$4="",$C14=""),"",IF(AND($C14&gt;=BJ$4,$C14&lt;EDATE(BJ$4,1)),"◆",""))</f>
        <v/>
      </c>
      <c r="BK14" s="71" t="str">
        <f aca="false">IF(OR(BK$4="",$C14=""),"",IF(AND($C14&gt;=BK$4,$C14&lt;EDATE(BK$4,1)),"◆",""))</f>
        <v/>
      </c>
      <c r="BL14" s="71" t="str">
        <f aca="false">IF(OR(BL$4="",$C14=""),"",IF(AND($C14&gt;=BL$4,$C14&lt;EDATE(BL$4,1)),"◆",""))</f>
        <v/>
      </c>
      <c r="BM14" s="71" t="str">
        <f aca="false">IF(OR(BM$4="",$C14=""),"",IF(AND($C14&gt;=BM$4,$C14&lt;EDATE(BM$4,1)),"◆",""))</f>
        <v/>
      </c>
      <c r="BN14" s="71" t="str">
        <f aca="false">IF(OR(BN$4="",$C14=""),"",IF(AND($C14&gt;=BN$4,$C14&lt;EDATE(BN$4,1)),"◆",""))</f>
        <v/>
      </c>
      <c r="BO14" s="71" t="str">
        <f aca="false">IF(OR(BO$4="",$C14=""),"",IF(AND($C14&gt;=BO$4,$C14&lt;EDATE(BO$4,1)),"◆",""))</f>
        <v/>
      </c>
      <c r="BP14" s="71" t="str">
        <f aca="false">IF(OR(BP$4="",$C14=""),"",IF(AND($C14&gt;=BP$4,$C14&lt;EDATE(BP$4,1)),"◆",""))</f>
        <v/>
      </c>
      <c r="BQ14" s="71" t="str">
        <f aca="false">IF(OR(BQ$4="",$C14=""),"",IF(AND($C14&gt;=BQ$4,$C14&lt;EDATE(BQ$4,1)),"◆",""))</f>
        <v/>
      </c>
      <c r="BR14" s="71" t="str">
        <f aca="false">IF(OR(BR$4="",$C14=""),"",IF(AND($C14&gt;=BR$4,$C14&lt;EDATE(BR$4,1)),"◆",""))</f>
        <v/>
      </c>
      <c r="BS14" s="71" t="str">
        <f aca="false">IF(OR(BS$4="",$C14=""),"",IF(AND($C14&gt;=BS$4,$C14&lt;EDATE(BS$4,1)),"◆",""))</f>
        <v/>
      </c>
      <c r="BT14" s="71" t="str">
        <f aca="false">IF(OR(BT$4="",$C14=""),"",IF(AND($C14&gt;=BT$4,$C14&lt;EDATE(BT$4,1)),"◆",""))</f>
        <v/>
      </c>
      <c r="BU14" s="71" t="str">
        <f aca="false">IF(OR(BU$4="",$C14=""),"",IF(AND($C14&gt;=BU$4,$C14&lt;EDATE(BU$4,1)),"◆",""))</f>
        <v/>
      </c>
      <c r="BV14" s="71" t="str">
        <f aca="false">IF(OR(BV$4="",$C14=""),"",IF(AND($C14&gt;=BV$4,$C14&lt;EDATE(BV$4,1)),"◆",""))</f>
        <v/>
      </c>
      <c r="BW14" s="71" t="str">
        <f aca="false">IF(OR(BW$4="",$C14=""),"",IF(AND($C14&gt;=BW$4,$C14&lt;EDATE(BW$4,1)),"◆",""))</f>
        <v/>
      </c>
      <c r="BX14" s="71" t="str">
        <f aca="false">IF(OR(BX$4="",$C14=""),"",IF(AND($C14&gt;=BX$4,$C14&lt;EDATE(BX$4,1)),"◆",""))</f>
        <v/>
      </c>
      <c r="BY14" s="71" t="str">
        <f aca="false">IF(OR(BY$4="",$C14=""),"",IF(AND($C14&gt;=BY$4,$C14&lt;EDATE(BY$4,1)),"◆",""))</f>
        <v/>
      </c>
    </row>
    <row r="15" customFormat="false" ht="15" hidden="false" customHeight="false" outlineLevel="0" collapsed="false">
      <c r="A15" s="4"/>
      <c r="B15" s="61" t="str">
        <f aca="false">IF(Milestones!$B14="","",Milestones!$B14)</f>
        <v>Program End</v>
      </c>
      <c r="C15" s="62" t="n">
        <f aca="false">IF(Milestones!$E14="","",Milestones!$E14)</f>
        <v>47483</v>
      </c>
      <c r="D15" s="4"/>
      <c r="E15" s="4"/>
      <c r="F15" s="71" t="str">
        <f aca="false">IF(OR(F$4="",$C15=""),"",IF(AND($C15&gt;=F$4,$C15&lt;EDATE(F$4,1)),"◆",""))</f>
        <v/>
      </c>
      <c r="G15" s="71" t="str">
        <f aca="false">IF(OR(G$4="",$C15=""),"",IF(AND($C15&gt;=G$4,$C15&lt;EDATE(G$4,1)),"◆",""))</f>
        <v/>
      </c>
      <c r="H15" s="71" t="str">
        <f aca="false">IF(OR(H$4="",$C15=""),"",IF(AND($C15&gt;=H$4,$C15&lt;EDATE(H$4,1)),"◆",""))</f>
        <v/>
      </c>
      <c r="I15" s="71" t="str">
        <f aca="false">IF(OR(I$4="",$C15=""),"",IF(AND($C15&gt;=I$4,$C15&lt;EDATE(I$4,1)),"◆",""))</f>
        <v/>
      </c>
      <c r="J15" s="71" t="str">
        <f aca="false">IF(OR(J$4="",$C15=""),"",IF(AND($C15&gt;=J$4,$C15&lt;EDATE(J$4,1)),"◆",""))</f>
        <v/>
      </c>
      <c r="K15" s="71" t="str">
        <f aca="false">IF(OR(K$4="",$C15=""),"",IF(AND($C15&gt;=K$4,$C15&lt;EDATE(K$4,1)),"◆",""))</f>
        <v/>
      </c>
      <c r="L15" s="71" t="str">
        <f aca="false">IF(OR(L$4="",$C15=""),"",IF(AND($C15&gt;=L$4,$C15&lt;EDATE(L$4,1)),"◆",""))</f>
        <v/>
      </c>
      <c r="M15" s="71" t="str">
        <f aca="false">IF(OR(M$4="",$C15=""),"",IF(AND($C15&gt;=M$4,$C15&lt;EDATE(M$4,1)),"◆",""))</f>
        <v/>
      </c>
      <c r="N15" s="71" t="str">
        <f aca="false">IF(OR(N$4="",$C15=""),"",IF(AND($C15&gt;=N$4,$C15&lt;EDATE(N$4,1)),"◆",""))</f>
        <v/>
      </c>
      <c r="O15" s="71" t="str">
        <f aca="false">IF(OR(O$4="",$C15=""),"",IF(AND($C15&gt;=O$4,$C15&lt;EDATE(O$4,1)),"◆",""))</f>
        <v/>
      </c>
      <c r="P15" s="71" t="str">
        <f aca="false">IF(OR(P$4="",$C15=""),"",IF(AND($C15&gt;=P$4,$C15&lt;EDATE(P$4,1)),"◆",""))</f>
        <v/>
      </c>
      <c r="Q15" s="71" t="str">
        <f aca="false">IF(OR(Q$4="",$C15=""),"",IF(AND($C15&gt;=Q$4,$C15&lt;EDATE(Q$4,1)),"◆",""))</f>
        <v/>
      </c>
      <c r="R15" s="71" t="str">
        <f aca="false">IF(OR(R$4="",$C15=""),"",IF(AND($C15&gt;=R$4,$C15&lt;EDATE(R$4,1)),"◆",""))</f>
        <v/>
      </c>
      <c r="S15" s="71" t="str">
        <f aca="false">IF(OR(S$4="",$C15=""),"",IF(AND($C15&gt;=S$4,$C15&lt;EDATE(S$4,1)),"◆",""))</f>
        <v/>
      </c>
      <c r="T15" s="71" t="str">
        <f aca="false">IF(OR(T$4="",$C15=""),"",IF(AND($C15&gt;=T$4,$C15&lt;EDATE(T$4,1)),"◆",""))</f>
        <v/>
      </c>
      <c r="U15" s="71" t="str">
        <f aca="false">IF(OR(U$4="",$C15=""),"",IF(AND($C15&gt;=U$4,$C15&lt;EDATE(U$4,1)),"◆",""))</f>
        <v/>
      </c>
      <c r="V15" s="71" t="str">
        <f aca="false">IF(OR(V$4="",$C15=""),"",IF(AND($C15&gt;=V$4,$C15&lt;EDATE(V$4,1)),"◆",""))</f>
        <v/>
      </c>
      <c r="W15" s="71" t="str">
        <f aca="false">IF(OR(W$4="",$C15=""),"",IF(AND($C15&gt;=W$4,$C15&lt;EDATE(W$4,1)),"◆",""))</f>
        <v/>
      </c>
      <c r="X15" s="71" t="str">
        <f aca="false">IF(OR(X$4="",$C15=""),"",IF(AND($C15&gt;=X$4,$C15&lt;EDATE(X$4,1)),"◆",""))</f>
        <v/>
      </c>
      <c r="Y15" s="71" t="str">
        <f aca="false">IF(OR(Y$4="",$C15=""),"",IF(AND($C15&gt;=Y$4,$C15&lt;EDATE(Y$4,1)),"◆",""))</f>
        <v/>
      </c>
      <c r="Z15" s="71" t="str">
        <f aca="false">IF(OR(Z$4="",$C15=""),"",IF(AND($C15&gt;=Z$4,$C15&lt;EDATE(Z$4,1)),"◆",""))</f>
        <v/>
      </c>
      <c r="AA15" s="71" t="str">
        <f aca="false">IF(OR(AA$4="",$C15=""),"",IF(AND($C15&gt;=AA$4,$C15&lt;EDATE(AA$4,1)),"◆",""))</f>
        <v/>
      </c>
      <c r="AB15" s="71" t="str">
        <f aca="false">IF(OR(AB$4="",$C15=""),"",IF(AND($C15&gt;=AB$4,$C15&lt;EDATE(AB$4,1)),"◆",""))</f>
        <v/>
      </c>
      <c r="AC15" s="71" t="str">
        <f aca="false">IF(OR(AC$4="",$C15=""),"",IF(AND($C15&gt;=AC$4,$C15&lt;EDATE(AC$4,1)),"◆",""))</f>
        <v/>
      </c>
      <c r="AD15" s="71" t="str">
        <f aca="false">IF(OR(AD$4="",$C15=""),"",IF(AND($C15&gt;=AD$4,$C15&lt;EDATE(AD$4,1)),"◆",""))</f>
        <v/>
      </c>
      <c r="AE15" s="71" t="str">
        <f aca="false">IF(OR(AE$4="",$C15=""),"",IF(AND($C15&gt;=AE$4,$C15&lt;EDATE(AE$4,1)),"◆",""))</f>
        <v/>
      </c>
      <c r="AF15" s="71" t="str">
        <f aca="false">IF(OR(AF$4="",$C15=""),"",IF(AND($C15&gt;=AF$4,$C15&lt;EDATE(AF$4,1)),"◆",""))</f>
        <v/>
      </c>
      <c r="AG15" s="71" t="str">
        <f aca="false">IF(OR(AG$4="",$C15=""),"",IF(AND($C15&gt;=AG$4,$C15&lt;EDATE(AG$4,1)),"◆",""))</f>
        <v/>
      </c>
      <c r="AH15" s="71" t="str">
        <f aca="false">IF(OR(AH$4="",$C15=""),"",IF(AND($C15&gt;=AH$4,$C15&lt;EDATE(AH$4,1)),"◆",""))</f>
        <v/>
      </c>
      <c r="AI15" s="71" t="str">
        <f aca="false">IF(OR(AI$4="",$C15=""),"",IF(AND($C15&gt;=AI$4,$C15&lt;EDATE(AI$4,1)),"◆",""))</f>
        <v/>
      </c>
      <c r="AJ15" s="71" t="str">
        <f aca="false">IF(OR(AJ$4="",$C15=""),"",IF(AND($C15&gt;=AJ$4,$C15&lt;EDATE(AJ$4,1)),"◆",""))</f>
        <v/>
      </c>
      <c r="AK15" s="71" t="str">
        <f aca="false">IF(OR(AK$4="",$C15=""),"",IF(AND($C15&gt;=AK$4,$C15&lt;EDATE(AK$4,1)),"◆",""))</f>
        <v/>
      </c>
      <c r="AL15" s="71" t="str">
        <f aca="false">IF(OR(AL$4="",$C15=""),"",IF(AND($C15&gt;=AL$4,$C15&lt;EDATE(AL$4,1)),"◆",""))</f>
        <v/>
      </c>
      <c r="AM15" s="71" t="str">
        <f aca="false">IF(OR(AM$4="",$C15=""),"",IF(AND($C15&gt;=AM$4,$C15&lt;EDATE(AM$4,1)),"◆",""))</f>
        <v/>
      </c>
      <c r="AN15" s="71" t="str">
        <f aca="false">IF(OR(AN$4="",$C15=""),"",IF(AND($C15&gt;=AN$4,$C15&lt;EDATE(AN$4,1)),"◆",""))</f>
        <v/>
      </c>
      <c r="AO15" s="71" t="str">
        <f aca="false">IF(OR(AO$4="",$C15=""),"",IF(AND($C15&gt;=AO$4,$C15&lt;EDATE(AO$4,1)),"◆",""))</f>
        <v>◆</v>
      </c>
      <c r="AP15" s="71" t="str">
        <f aca="false">IF(OR(AP$4="",$C15=""),"",IF(AND($C15&gt;=AP$4,$C15&lt;EDATE(AP$4,1)),"◆",""))</f>
        <v/>
      </c>
      <c r="AQ15" s="71" t="str">
        <f aca="false">IF(OR(AQ$4="",$C15=""),"",IF(AND($C15&gt;=AQ$4,$C15&lt;EDATE(AQ$4,1)),"◆",""))</f>
        <v/>
      </c>
      <c r="AR15" s="71" t="str">
        <f aca="false">IF(OR(AR$4="",$C15=""),"",IF(AND($C15&gt;=AR$4,$C15&lt;EDATE(AR$4,1)),"◆",""))</f>
        <v/>
      </c>
      <c r="AS15" s="71" t="str">
        <f aca="false">IF(OR(AS$4="",$C15=""),"",IF(AND($C15&gt;=AS$4,$C15&lt;EDATE(AS$4,1)),"◆",""))</f>
        <v/>
      </c>
      <c r="AT15" s="71" t="str">
        <f aca="false">IF(OR(AT$4="",$C15=""),"",IF(AND($C15&gt;=AT$4,$C15&lt;EDATE(AT$4,1)),"◆",""))</f>
        <v/>
      </c>
      <c r="AU15" s="71" t="str">
        <f aca="false">IF(OR(AU$4="",$C15=""),"",IF(AND($C15&gt;=AU$4,$C15&lt;EDATE(AU$4,1)),"◆",""))</f>
        <v/>
      </c>
      <c r="AV15" s="71" t="str">
        <f aca="false">IF(OR(AV$4="",$C15=""),"",IF(AND($C15&gt;=AV$4,$C15&lt;EDATE(AV$4,1)),"◆",""))</f>
        <v/>
      </c>
      <c r="AW15" s="71" t="str">
        <f aca="false">IF(OR(AW$4="",$C15=""),"",IF(AND($C15&gt;=AW$4,$C15&lt;EDATE(AW$4,1)),"◆",""))</f>
        <v/>
      </c>
      <c r="AX15" s="71" t="str">
        <f aca="false">IF(OR(AX$4="",$C15=""),"",IF(AND($C15&gt;=AX$4,$C15&lt;EDATE(AX$4,1)),"◆",""))</f>
        <v/>
      </c>
      <c r="AY15" s="71" t="str">
        <f aca="false">IF(OR(AY$4="",$C15=""),"",IF(AND($C15&gt;=AY$4,$C15&lt;EDATE(AY$4,1)),"◆",""))</f>
        <v/>
      </c>
      <c r="AZ15" s="71" t="str">
        <f aca="false">IF(OR(AZ$4="",$C15=""),"",IF(AND($C15&gt;=AZ$4,$C15&lt;EDATE(AZ$4,1)),"◆",""))</f>
        <v/>
      </c>
      <c r="BA15" s="71" t="str">
        <f aca="false">IF(OR(BA$4="",$C15=""),"",IF(AND($C15&gt;=BA$4,$C15&lt;EDATE(BA$4,1)),"◆",""))</f>
        <v/>
      </c>
      <c r="BB15" s="71" t="str">
        <f aca="false">IF(OR(BB$4="",$C15=""),"",IF(AND($C15&gt;=BB$4,$C15&lt;EDATE(BB$4,1)),"◆",""))</f>
        <v/>
      </c>
      <c r="BC15" s="71" t="str">
        <f aca="false">IF(OR(BC$4="",$C15=""),"",IF(AND($C15&gt;=BC$4,$C15&lt;EDATE(BC$4,1)),"◆",""))</f>
        <v/>
      </c>
      <c r="BD15" s="71" t="str">
        <f aca="false">IF(OR(BD$4="",$C15=""),"",IF(AND($C15&gt;=BD$4,$C15&lt;EDATE(BD$4,1)),"◆",""))</f>
        <v/>
      </c>
      <c r="BE15" s="71" t="str">
        <f aca="false">IF(OR(BE$4="",$C15=""),"",IF(AND($C15&gt;=BE$4,$C15&lt;EDATE(BE$4,1)),"◆",""))</f>
        <v/>
      </c>
      <c r="BF15" s="71" t="str">
        <f aca="false">IF(OR(BF$4="",$C15=""),"",IF(AND($C15&gt;=BF$4,$C15&lt;EDATE(BF$4,1)),"◆",""))</f>
        <v/>
      </c>
      <c r="BG15" s="71" t="str">
        <f aca="false">IF(OR(BG$4="",$C15=""),"",IF(AND($C15&gt;=BG$4,$C15&lt;EDATE(BG$4,1)),"◆",""))</f>
        <v/>
      </c>
      <c r="BH15" s="71" t="str">
        <f aca="false">IF(OR(BH$4="",$C15=""),"",IF(AND($C15&gt;=BH$4,$C15&lt;EDATE(BH$4,1)),"◆",""))</f>
        <v/>
      </c>
      <c r="BI15" s="71" t="str">
        <f aca="false">IF(OR(BI$4="",$C15=""),"",IF(AND($C15&gt;=BI$4,$C15&lt;EDATE(BI$4,1)),"◆",""))</f>
        <v/>
      </c>
      <c r="BJ15" s="71" t="str">
        <f aca="false">IF(OR(BJ$4="",$C15=""),"",IF(AND($C15&gt;=BJ$4,$C15&lt;EDATE(BJ$4,1)),"◆",""))</f>
        <v/>
      </c>
      <c r="BK15" s="71" t="str">
        <f aca="false">IF(OR(BK$4="",$C15=""),"",IF(AND($C15&gt;=BK$4,$C15&lt;EDATE(BK$4,1)),"◆",""))</f>
        <v/>
      </c>
      <c r="BL15" s="71" t="str">
        <f aca="false">IF(OR(BL$4="",$C15=""),"",IF(AND($C15&gt;=BL$4,$C15&lt;EDATE(BL$4,1)),"◆",""))</f>
        <v/>
      </c>
      <c r="BM15" s="71" t="str">
        <f aca="false">IF(OR(BM$4="",$C15=""),"",IF(AND($C15&gt;=BM$4,$C15&lt;EDATE(BM$4,1)),"◆",""))</f>
        <v/>
      </c>
      <c r="BN15" s="71" t="str">
        <f aca="false">IF(OR(BN$4="",$C15=""),"",IF(AND($C15&gt;=BN$4,$C15&lt;EDATE(BN$4,1)),"◆",""))</f>
        <v/>
      </c>
      <c r="BO15" s="71" t="str">
        <f aca="false">IF(OR(BO$4="",$C15=""),"",IF(AND($C15&gt;=BO$4,$C15&lt;EDATE(BO$4,1)),"◆",""))</f>
        <v/>
      </c>
      <c r="BP15" s="71" t="str">
        <f aca="false">IF(OR(BP$4="",$C15=""),"",IF(AND($C15&gt;=BP$4,$C15&lt;EDATE(BP$4,1)),"◆",""))</f>
        <v/>
      </c>
      <c r="BQ15" s="71" t="str">
        <f aca="false">IF(OR(BQ$4="",$C15=""),"",IF(AND($C15&gt;=BQ$4,$C15&lt;EDATE(BQ$4,1)),"◆",""))</f>
        <v/>
      </c>
      <c r="BR15" s="71" t="str">
        <f aca="false">IF(OR(BR$4="",$C15=""),"",IF(AND($C15&gt;=BR$4,$C15&lt;EDATE(BR$4,1)),"◆",""))</f>
        <v/>
      </c>
      <c r="BS15" s="71" t="str">
        <f aca="false">IF(OR(BS$4="",$C15=""),"",IF(AND($C15&gt;=BS$4,$C15&lt;EDATE(BS$4,1)),"◆",""))</f>
        <v/>
      </c>
      <c r="BT15" s="71" t="str">
        <f aca="false">IF(OR(BT$4="",$C15=""),"",IF(AND($C15&gt;=BT$4,$C15&lt;EDATE(BT$4,1)),"◆",""))</f>
        <v/>
      </c>
      <c r="BU15" s="71" t="str">
        <f aca="false">IF(OR(BU$4="",$C15=""),"",IF(AND($C15&gt;=BU$4,$C15&lt;EDATE(BU$4,1)),"◆",""))</f>
        <v/>
      </c>
      <c r="BV15" s="71" t="str">
        <f aca="false">IF(OR(BV$4="",$C15=""),"",IF(AND($C15&gt;=BV$4,$C15&lt;EDATE(BV$4,1)),"◆",""))</f>
        <v/>
      </c>
      <c r="BW15" s="71" t="str">
        <f aca="false">IF(OR(BW$4="",$C15=""),"",IF(AND($C15&gt;=BW$4,$C15&lt;EDATE(BW$4,1)),"◆",""))</f>
        <v/>
      </c>
      <c r="BX15" s="71" t="str">
        <f aca="false">IF(OR(BX$4="",$C15=""),"",IF(AND($C15&gt;=BX$4,$C15&lt;EDATE(BX$4,1)),"◆",""))</f>
        <v/>
      </c>
      <c r="BY15" s="71" t="str">
        <f aca="false">IF(OR(BY$4="",$C15=""),"",IF(AND($C15&gt;=BY$4,$C15&lt;EDATE(BY$4,1)),"◆",""))</f>
        <v/>
      </c>
    </row>
    <row r="16" customFormat="false" ht="15" hidden="false" customHeight="false" outlineLevel="0" collapsed="false">
      <c r="A16" s="4"/>
      <c r="B16" s="61" t="str">
        <f aca="false">IF(Milestones!$B15="","",Milestones!$B15)</f>
        <v/>
      </c>
      <c r="C16" s="62" t="str">
        <f aca="false">IF(Milestones!$E15="","",Milestones!$E15)</f>
        <v/>
      </c>
      <c r="D16" s="4"/>
      <c r="E16" s="4"/>
      <c r="F16" s="71" t="str">
        <f aca="false">IF(OR(F$4="",$C16=""),"",IF(AND($C16&gt;=F$4,$C16&lt;EDATE(F$4,1)),"◆",""))</f>
        <v/>
      </c>
      <c r="G16" s="71" t="str">
        <f aca="false">IF(OR(G$4="",$C16=""),"",IF(AND($C16&gt;=G$4,$C16&lt;EDATE(G$4,1)),"◆",""))</f>
        <v/>
      </c>
      <c r="H16" s="71" t="str">
        <f aca="false">IF(OR(H$4="",$C16=""),"",IF(AND($C16&gt;=H$4,$C16&lt;EDATE(H$4,1)),"◆",""))</f>
        <v/>
      </c>
      <c r="I16" s="71" t="str">
        <f aca="false">IF(OR(I$4="",$C16=""),"",IF(AND($C16&gt;=I$4,$C16&lt;EDATE(I$4,1)),"◆",""))</f>
        <v/>
      </c>
      <c r="J16" s="71" t="str">
        <f aca="false">IF(OR(J$4="",$C16=""),"",IF(AND($C16&gt;=J$4,$C16&lt;EDATE(J$4,1)),"◆",""))</f>
        <v/>
      </c>
      <c r="K16" s="71" t="str">
        <f aca="false">IF(OR(K$4="",$C16=""),"",IF(AND($C16&gt;=K$4,$C16&lt;EDATE(K$4,1)),"◆",""))</f>
        <v/>
      </c>
      <c r="L16" s="71" t="str">
        <f aca="false">IF(OR(L$4="",$C16=""),"",IF(AND($C16&gt;=L$4,$C16&lt;EDATE(L$4,1)),"◆",""))</f>
        <v/>
      </c>
      <c r="M16" s="71" t="str">
        <f aca="false">IF(OR(M$4="",$C16=""),"",IF(AND($C16&gt;=M$4,$C16&lt;EDATE(M$4,1)),"◆",""))</f>
        <v/>
      </c>
      <c r="N16" s="71" t="str">
        <f aca="false">IF(OR(N$4="",$C16=""),"",IF(AND($C16&gt;=N$4,$C16&lt;EDATE(N$4,1)),"◆",""))</f>
        <v/>
      </c>
      <c r="O16" s="71" t="str">
        <f aca="false">IF(OR(O$4="",$C16=""),"",IF(AND($C16&gt;=O$4,$C16&lt;EDATE(O$4,1)),"◆",""))</f>
        <v/>
      </c>
      <c r="P16" s="71" t="str">
        <f aca="false">IF(OR(P$4="",$C16=""),"",IF(AND($C16&gt;=P$4,$C16&lt;EDATE(P$4,1)),"◆",""))</f>
        <v/>
      </c>
      <c r="Q16" s="71" t="str">
        <f aca="false">IF(OR(Q$4="",$C16=""),"",IF(AND($C16&gt;=Q$4,$C16&lt;EDATE(Q$4,1)),"◆",""))</f>
        <v/>
      </c>
      <c r="R16" s="71" t="str">
        <f aca="false">IF(OR(R$4="",$C16=""),"",IF(AND($C16&gt;=R$4,$C16&lt;EDATE(R$4,1)),"◆",""))</f>
        <v/>
      </c>
      <c r="S16" s="71" t="str">
        <f aca="false">IF(OR(S$4="",$C16=""),"",IF(AND($C16&gt;=S$4,$C16&lt;EDATE(S$4,1)),"◆",""))</f>
        <v/>
      </c>
      <c r="T16" s="71" t="str">
        <f aca="false">IF(OR(T$4="",$C16=""),"",IF(AND($C16&gt;=T$4,$C16&lt;EDATE(T$4,1)),"◆",""))</f>
        <v/>
      </c>
      <c r="U16" s="71" t="str">
        <f aca="false">IF(OR(U$4="",$C16=""),"",IF(AND($C16&gt;=U$4,$C16&lt;EDATE(U$4,1)),"◆",""))</f>
        <v/>
      </c>
      <c r="V16" s="71" t="str">
        <f aca="false">IF(OR(V$4="",$C16=""),"",IF(AND($C16&gt;=V$4,$C16&lt;EDATE(V$4,1)),"◆",""))</f>
        <v/>
      </c>
      <c r="W16" s="71" t="str">
        <f aca="false">IF(OR(W$4="",$C16=""),"",IF(AND($C16&gt;=W$4,$C16&lt;EDATE(W$4,1)),"◆",""))</f>
        <v/>
      </c>
      <c r="X16" s="71" t="str">
        <f aca="false">IF(OR(X$4="",$C16=""),"",IF(AND($C16&gt;=X$4,$C16&lt;EDATE(X$4,1)),"◆",""))</f>
        <v/>
      </c>
      <c r="Y16" s="71" t="str">
        <f aca="false">IF(OR(Y$4="",$C16=""),"",IF(AND($C16&gt;=Y$4,$C16&lt;EDATE(Y$4,1)),"◆",""))</f>
        <v/>
      </c>
      <c r="Z16" s="71" t="str">
        <f aca="false">IF(OR(Z$4="",$C16=""),"",IF(AND($C16&gt;=Z$4,$C16&lt;EDATE(Z$4,1)),"◆",""))</f>
        <v/>
      </c>
      <c r="AA16" s="71" t="str">
        <f aca="false">IF(OR(AA$4="",$C16=""),"",IF(AND($C16&gt;=AA$4,$C16&lt;EDATE(AA$4,1)),"◆",""))</f>
        <v/>
      </c>
      <c r="AB16" s="71" t="str">
        <f aca="false">IF(OR(AB$4="",$C16=""),"",IF(AND($C16&gt;=AB$4,$C16&lt;EDATE(AB$4,1)),"◆",""))</f>
        <v/>
      </c>
      <c r="AC16" s="71" t="str">
        <f aca="false">IF(OR(AC$4="",$C16=""),"",IF(AND($C16&gt;=AC$4,$C16&lt;EDATE(AC$4,1)),"◆",""))</f>
        <v/>
      </c>
      <c r="AD16" s="71" t="str">
        <f aca="false">IF(OR(AD$4="",$C16=""),"",IF(AND($C16&gt;=AD$4,$C16&lt;EDATE(AD$4,1)),"◆",""))</f>
        <v/>
      </c>
      <c r="AE16" s="71" t="str">
        <f aca="false">IF(OR(AE$4="",$C16=""),"",IF(AND($C16&gt;=AE$4,$C16&lt;EDATE(AE$4,1)),"◆",""))</f>
        <v/>
      </c>
      <c r="AF16" s="71" t="str">
        <f aca="false">IF(OR(AF$4="",$C16=""),"",IF(AND($C16&gt;=AF$4,$C16&lt;EDATE(AF$4,1)),"◆",""))</f>
        <v/>
      </c>
      <c r="AG16" s="71" t="str">
        <f aca="false">IF(OR(AG$4="",$C16=""),"",IF(AND($C16&gt;=AG$4,$C16&lt;EDATE(AG$4,1)),"◆",""))</f>
        <v/>
      </c>
      <c r="AH16" s="71" t="str">
        <f aca="false">IF(OR(AH$4="",$C16=""),"",IF(AND($C16&gt;=AH$4,$C16&lt;EDATE(AH$4,1)),"◆",""))</f>
        <v/>
      </c>
      <c r="AI16" s="71" t="str">
        <f aca="false">IF(OR(AI$4="",$C16=""),"",IF(AND($C16&gt;=AI$4,$C16&lt;EDATE(AI$4,1)),"◆",""))</f>
        <v/>
      </c>
      <c r="AJ16" s="71" t="str">
        <f aca="false">IF(OR(AJ$4="",$C16=""),"",IF(AND($C16&gt;=AJ$4,$C16&lt;EDATE(AJ$4,1)),"◆",""))</f>
        <v/>
      </c>
      <c r="AK16" s="71" t="str">
        <f aca="false">IF(OR(AK$4="",$C16=""),"",IF(AND($C16&gt;=AK$4,$C16&lt;EDATE(AK$4,1)),"◆",""))</f>
        <v/>
      </c>
      <c r="AL16" s="71" t="str">
        <f aca="false">IF(OR(AL$4="",$C16=""),"",IF(AND($C16&gt;=AL$4,$C16&lt;EDATE(AL$4,1)),"◆",""))</f>
        <v/>
      </c>
      <c r="AM16" s="71" t="str">
        <f aca="false">IF(OR(AM$4="",$C16=""),"",IF(AND($C16&gt;=AM$4,$C16&lt;EDATE(AM$4,1)),"◆",""))</f>
        <v/>
      </c>
      <c r="AN16" s="71" t="str">
        <f aca="false">IF(OR(AN$4="",$C16=""),"",IF(AND($C16&gt;=AN$4,$C16&lt;EDATE(AN$4,1)),"◆",""))</f>
        <v/>
      </c>
      <c r="AO16" s="71" t="str">
        <f aca="false">IF(OR(AO$4="",$C16=""),"",IF(AND($C16&gt;=AO$4,$C16&lt;EDATE(AO$4,1)),"◆",""))</f>
        <v/>
      </c>
      <c r="AP16" s="71" t="str">
        <f aca="false">IF(OR(AP$4="",$C16=""),"",IF(AND($C16&gt;=AP$4,$C16&lt;EDATE(AP$4,1)),"◆",""))</f>
        <v/>
      </c>
      <c r="AQ16" s="71" t="str">
        <f aca="false">IF(OR(AQ$4="",$C16=""),"",IF(AND($C16&gt;=AQ$4,$C16&lt;EDATE(AQ$4,1)),"◆",""))</f>
        <v/>
      </c>
      <c r="AR16" s="71" t="str">
        <f aca="false">IF(OR(AR$4="",$C16=""),"",IF(AND($C16&gt;=AR$4,$C16&lt;EDATE(AR$4,1)),"◆",""))</f>
        <v/>
      </c>
      <c r="AS16" s="71" t="str">
        <f aca="false">IF(OR(AS$4="",$C16=""),"",IF(AND($C16&gt;=AS$4,$C16&lt;EDATE(AS$4,1)),"◆",""))</f>
        <v/>
      </c>
      <c r="AT16" s="71" t="str">
        <f aca="false">IF(OR(AT$4="",$C16=""),"",IF(AND($C16&gt;=AT$4,$C16&lt;EDATE(AT$4,1)),"◆",""))</f>
        <v/>
      </c>
      <c r="AU16" s="71" t="str">
        <f aca="false">IF(OR(AU$4="",$C16=""),"",IF(AND($C16&gt;=AU$4,$C16&lt;EDATE(AU$4,1)),"◆",""))</f>
        <v/>
      </c>
      <c r="AV16" s="71" t="str">
        <f aca="false">IF(OR(AV$4="",$C16=""),"",IF(AND($C16&gt;=AV$4,$C16&lt;EDATE(AV$4,1)),"◆",""))</f>
        <v/>
      </c>
      <c r="AW16" s="71" t="str">
        <f aca="false">IF(OR(AW$4="",$C16=""),"",IF(AND($C16&gt;=AW$4,$C16&lt;EDATE(AW$4,1)),"◆",""))</f>
        <v/>
      </c>
      <c r="AX16" s="71" t="str">
        <f aca="false">IF(OR(AX$4="",$C16=""),"",IF(AND($C16&gt;=AX$4,$C16&lt;EDATE(AX$4,1)),"◆",""))</f>
        <v/>
      </c>
      <c r="AY16" s="71" t="str">
        <f aca="false">IF(OR(AY$4="",$C16=""),"",IF(AND($C16&gt;=AY$4,$C16&lt;EDATE(AY$4,1)),"◆",""))</f>
        <v/>
      </c>
      <c r="AZ16" s="71" t="str">
        <f aca="false">IF(OR(AZ$4="",$C16=""),"",IF(AND($C16&gt;=AZ$4,$C16&lt;EDATE(AZ$4,1)),"◆",""))</f>
        <v/>
      </c>
      <c r="BA16" s="71" t="str">
        <f aca="false">IF(OR(BA$4="",$C16=""),"",IF(AND($C16&gt;=BA$4,$C16&lt;EDATE(BA$4,1)),"◆",""))</f>
        <v/>
      </c>
      <c r="BB16" s="71" t="str">
        <f aca="false">IF(OR(BB$4="",$C16=""),"",IF(AND($C16&gt;=BB$4,$C16&lt;EDATE(BB$4,1)),"◆",""))</f>
        <v/>
      </c>
      <c r="BC16" s="71" t="str">
        <f aca="false">IF(OR(BC$4="",$C16=""),"",IF(AND($C16&gt;=BC$4,$C16&lt;EDATE(BC$4,1)),"◆",""))</f>
        <v/>
      </c>
      <c r="BD16" s="71" t="str">
        <f aca="false">IF(OR(BD$4="",$C16=""),"",IF(AND($C16&gt;=BD$4,$C16&lt;EDATE(BD$4,1)),"◆",""))</f>
        <v/>
      </c>
      <c r="BE16" s="71" t="str">
        <f aca="false">IF(OR(BE$4="",$C16=""),"",IF(AND($C16&gt;=BE$4,$C16&lt;EDATE(BE$4,1)),"◆",""))</f>
        <v/>
      </c>
      <c r="BF16" s="71" t="str">
        <f aca="false">IF(OR(BF$4="",$C16=""),"",IF(AND($C16&gt;=BF$4,$C16&lt;EDATE(BF$4,1)),"◆",""))</f>
        <v/>
      </c>
      <c r="BG16" s="71" t="str">
        <f aca="false">IF(OR(BG$4="",$C16=""),"",IF(AND($C16&gt;=BG$4,$C16&lt;EDATE(BG$4,1)),"◆",""))</f>
        <v/>
      </c>
      <c r="BH16" s="71" t="str">
        <f aca="false">IF(OR(BH$4="",$C16=""),"",IF(AND($C16&gt;=BH$4,$C16&lt;EDATE(BH$4,1)),"◆",""))</f>
        <v/>
      </c>
      <c r="BI16" s="71" t="str">
        <f aca="false">IF(OR(BI$4="",$C16=""),"",IF(AND($C16&gt;=BI$4,$C16&lt;EDATE(BI$4,1)),"◆",""))</f>
        <v/>
      </c>
      <c r="BJ16" s="71" t="str">
        <f aca="false">IF(OR(BJ$4="",$C16=""),"",IF(AND($C16&gt;=BJ$4,$C16&lt;EDATE(BJ$4,1)),"◆",""))</f>
        <v/>
      </c>
      <c r="BK16" s="71" t="str">
        <f aca="false">IF(OR(BK$4="",$C16=""),"",IF(AND($C16&gt;=BK$4,$C16&lt;EDATE(BK$4,1)),"◆",""))</f>
        <v/>
      </c>
      <c r="BL16" s="71" t="str">
        <f aca="false">IF(OR(BL$4="",$C16=""),"",IF(AND($C16&gt;=BL$4,$C16&lt;EDATE(BL$4,1)),"◆",""))</f>
        <v/>
      </c>
      <c r="BM16" s="71" t="str">
        <f aca="false">IF(OR(BM$4="",$C16=""),"",IF(AND($C16&gt;=BM$4,$C16&lt;EDATE(BM$4,1)),"◆",""))</f>
        <v/>
      </c>
      <c r="BN16" s="71" t="str">
        <f aca="false">IF(OR(BN$4="",$C16=""),"",IF(AND($C16&gt;=BN$4,$C16&lt;EDATE(BN$4,1)),"◆",""))</f>
        <v/>
      </c>
      <c r="BO16" s="71" t="str">
        <f aca="false">IF(OR(BO$4="",$C16=""),"",IF(AND($C16&gt;=BO$4,$C16&lt;EDATE(BO$4,1)),"◆",""))</f>
        <v/>
      </c>
      <c r="BP16" s="71" t="str">
        <f aca="false">IF(OR(BP$4="",$C16=""),"",IF(AND($C16&gt;=BP$4,$C16&lt;EDATE(BP$4,1)),"◆",""))</f>
        <v/>
      </c>
      <c r="BQ16" s="71" t="str">
        <f aca="false">IF(OR(BQ$4="",$C16=""),"",IF(AND($C16&gt;=BQ$4,$C16&lt;EDATE(BQ$4,1)),"◆",""))</f>
        <v/>
      </c>
      <c r="BR16" s="71" t="str">
        <f aca="false">IF(OR(BR$4="",$C16=""),"",IF(AND($C16&gt;=BR$4,$C16&lt;EDATE(BR$4,1)),"◆",""))</f>
        <v/>
      </c>
      <c r="BS16" s="71" t="str">
        <f aca="false">IF(OR(BS$4="",$C16=""),"",IF(AND($C16&gt;=BS$4,$C16&lt;EDATE(BS$4,1)),"◆",""))</f>
        <v/>
      </c>
      <c r="BT16" s="71" t="str">
        <f aca="false">IF(OR(BT$4="",$C16=""),"",IF(AND($C16&gt;=BT$4,$C16&lt;EDATE(BT$4,1)),"◆",""))</f>
        <v/>
      </c>
      <c r="BU16" s="71" t="str">
        <f aca="false">IF(OR(BU$4="",$C16=""),"",IF(AND($C16&gt;=BU$4,$C16&lt;EDATE(BU$4,1)),"◆",""))</f>
        <v/>
      </c>
      <c r="BV16" s="71" t="str">
        <f aca="false">IF(OR(BV$4="",$C16=""),"",IF(AND($C16&gt;=BV$4,$C16&lt;EDATE(BV$4,1)),"◆",""))</f>
        <v/>
      </c>
      <c r="BW16" s="71" t="str">
        <f aca="false">IF(OR(BW$4="",$C16=""),"",IF(AND($C16&gt;=BW$4,$C16&lt;EDATE(BW$4,1)),"◆",""))</f>
        <v/>
      </c>
      <c r="BX16" s="71" t="str">
        <f aca="false">IF(OR(BX$4="",$C16=""),"",IF(AND($C16&gt;=BX$4,$C16&lt;EDATE(BX$4,1)),"◆",""))</f>
        <v/>
      </c>
      <c r="BY16" s="71" t="str">
        <f aca="false">IF(OR(BY$4="",$C16=""),"",IF(AND($C16&gt;=BY$4,$C16&lt;EDATE(BY$4,1)),"◆",""))</f>
        <v/>
      </c>
    </row>
    <row r="17" customFormat="false" ht="15" hidden="false" customHeight="false" outlineLevel="0" collapsed="false">
      <c r="A17" s="4"/>
      <c r="B17" s="61" t="str">
        <f aca="false">IF(Milestones!$B16="","",Milestones!$B16)</f>
        <v/>
      </c>
      <c r="C17" s="62" t="str">
        <f aca="false">IF(Milestones!$E16="","",Milestones!$E16)</f>
        <v/>
      </c>
      <c r="D17" s="4"/>
      <c r="E17" s="4"/>
      <c r="F17" s="71" t="str">
        <f aca="false">IF(OR(F$4="",$C17=""),"",IF(AND($C17&gt;=F$4,$C17&lt;EDATE(F$4,1)),"◆",""))</f>
        <v/>
      </c>
      <c r="G17" s="71" t="str">
        <f aca="false">IF(OR(G$4="",$C17=""),"",IF(AND($C17&gt;=G$4,$C17&lt;EDATE(G$4,1)),"◆",""))</f>
        <v/>
      </c>
      <c r="H17" s="71" t="str">
        <f aca="false">IF(OR(H$4="",$C17=""),"",IF(AND($C17&gt;=H$4,$C17&lt;EDATE(H$4,1)),"◆",""))</f>
        <v/>
      </c>
      <c r="I17" s="71" t="str">
        <f aca="false">IF(OR(I$4="",$C17=""),"",IF(AND($C17&gt;=I$4,$C17&lt;EDATE(I$4,1)),"◆",""))</f>
        <v/>
      </c>
      <c r="J17" s="71" t="str">
        <f aca="false">IF(OR(J$4="",$C17=""),"",IF(AND($C17&gt;=J$4,$C17&lt;EDATE(J$4,1)),"◆",""))</f>
        <v/>
      </c>
      <c r="K17" s="71" t="str">
        <f aca="false">IF(OR(K$4="",$C17=""),"",IF(AND($C17&gt;=K$4,$C17&lt;EDATE(K$4,1)),"◆",""))</f>
        <v/>
      </c>
      <c r="L17" s="71" t="str">
        <f aca="false">IF(OR(L$4="",$C17=""),"",IF(AND($C17&gt;=L$4,$C17&lt;EDATE(L$4,1)),"◆",""))</f>
        <v/>
      </c>
      <c r="M17" s="71" t="str">
        <f aca="false">IF(OR(M$4="",$C17=""),"",IF(AND($C17&gt;=M$4,$C17&lt;EDATE(M$4,1)),"◆",""))</f>
        <v/>
      </c>
      <c r="N17" s="71" t="str">
        <f aca="false">IF(OR(N$4="",$C17=""),"",IF(AND($C17&gt;=N$4,$C17&lt;EDATE(N$4,1)),"◆",""))</f>
        <v/>
      </c>
      <c r="O17" s="71" t="str">
        <f aca="false">IF(OR(O$4="",$C17=""),"",IF(AND($C17&gt;=O$4,$C17&lt;EDATE(O$4,1)),"◆",""))</f>
        <v/>
      </c>
      <c r="P17" s="71" t="str">
        <f aca="false">IF(OR(P$4="",$C17=""),"",IF(AND($C17&gt;=P$4,$C17&lt;EDATE(P$4,1)),"◆",""))</f>
        <v/>
      </c>
      <c r="Q17" s="71" t="str">
        <f aca="false">IF(OR(Q$4="",$C17=""),"",IF(AND($C17&gt;=Q$4,$C17&lt;EDATE(Q$4,1)),"◆",""))</f>
        <v/>
      </c>
      <c r="R17" s="71" t="str">
        <f aca="false">IF(OR(R$4="",$C17=""),"",IF(AND($C17&gt;=R$4,$C17&lt;EDATE(R$4,1)),"◆",""))</f>
        <v/>
      </c>
      <c r="S17" s="71" t="str">
        <f aca="false">IF(OR(S$4="",$C17=""),"",IF(AND($C17&gt;=S$4,$C17&lt;EDATE(S$4,1)),"◆",""))</f>
        <v/>
      </c>
      <c r="T17" s="71" t="str">
        <f aca="false">IF(OR(T$4="",$C17=""),"",IF(AND($C17&gt;=T$4,$C17&lt;EDATE(T$4,1)),"◆",""))</f>
        <v/>
      </c>
      <c r="U17" s="71" t="str">
        <f aca="false">IF(OR(U$4="",$C17=""),"",IF(AND($C17&gt;=U$4,$C17&lt;EDATE(U$4,1)),"◆",""))</f>
        <v/>
      </c>
      <c r="V17" s="71" t="str">
        <f aca="false">IF(OR(V$4="",$C17=""),"",IF(AND($C17&gt;=V$4,$C17&lt;EDATE(V$4,1)),"◆",""))</f>
        <v/>
      </c>
      <c r="W17" s="71" t="str">
        <f aca="false">IF(OR(W$4="",$C17=""),"",IF(AND($C17&gt;=W$4,$C17&lt;EDATE(W$4,1)),"◆",""))</f>
        <v/>
      </c>
      <c r="X17" s="71" t="str">
        <f aca="false">IF(OR(X$4="",$C17=""),"",IF(AND($C17&gt;=X$4,$C17&lt;EDATE(X$4,1)),"◆",""))</f>
        <v/>
      </c>
      <c r="Y17" s="71" t="str">
        <f aca="false">IF(OR(Y$4="",$C17=""),"",IF(AND($C17&gt;=Y$4,$C17&lt;EDATE(Y$4,1)),"◆",""))</f>
        <v/>
      </c>
      <c r="Z17" s="71" t="str">
        <f aca="false">IF(OR(Z$4="",$C17=""),"",IF(AND($C17&gt;=Z$4,$C17&lt;EDATE(Z$4,1)),"◆",""))</f>
        <v/>
      </c>
      <c r="AA17" s="71" t="str">
        <f aca="false">IF(OR(AA$4="",$C17=""),"",IF(AND($C17&gt;=AA$4,$C17&lt;EDATE(AA$4,1)),"◆",""))</f>
        <v/>
      </c>
      <c r="AB17" s="71" t="str">
        <f aca="false">IF(OR(AB$4="",$C17=""),"",IF(AND($C17&gt;=AB$4,$C17&lt;EDATE(AB$4,1)),"◆",""))</f>
        <v/>
      </c>
      <c r="AC17" s="71" t="str">
        <f aca="false">IF(OR(AC$4="",$C17=""),"",IF(AND($C17&gt;=AC$4,$C17&lt;EDATE(AC$4,1)),"◆",""))</f>
        <v/>
      </c>
      <c r="AD17" s="71" t="str">
        <f aca="false">IF(OR(AD$4="",$C17=""),"",IF(AND($C17&gt;=AD$4,$C17&lt;EDATE(AD$4,1)),"◆",""))</f>
        <v/>
      </c>
      <c r="AE17" s="71" t="str">
        <f aca="false">IF(OR(AE$4="",$C17=""),"",IF(AND($C17&gt;=AE$4,$C17&lt;EDATE(AE$4,1)),"◆",""))</f>
        <v/>
      </c>
      <c r="AF17" s="71" t="str">
        <f aca="false">IF(OR(AF$4="",$C17=""),"",IF(AND($C17&gt;=AF$4,$C17&lt;EDATE(AF$4,1)),"◆",""))</f>
        <v/>
      </c>
      <c r="AG17" s="71" t="str">
        <f aca="false">IF(OR(AG$4="",$C17=""),"",IF(AND($C17&gt;=AG$4,$C17&lt;EDATE(AG$4,1)),"◆",""))</f>
        <v/>
      </c>
      <c r="AH17" s="71" t="str">
        <f aca="false">IF(OR(AH$4="",$C17=""),"",IF(AND($C17&gt;=AH$4,$C17&lt;EDATE(AH$4,1)),"◆",""))</f>
        <v/>
      </c>
      <c r="AI17" s="71" t="str">
        <f aca="false">IF(OR(AI$4="",$C17=""),"",IF(AND($C17&gt;=AI$4,$C17&lt;EDATE(AI$4,1)),"◆",""))</f>
        <v/>
      </c>
      <c r="AJ17" s="71" t="str">
        <f aca="false">IF(OR(AJ$4="",$C17=""),"",IF(AND($C17&gt;=AJ$4,$C17&lt;EDATE(AJ$4,1)),"◆",""))</f>
        <v/>
      </c>
      <c r="AK17" s="71" t="str">
        <f aca="false">IF(OR(AK$4="",$C17=""),"",IF(AND($C17&gt;=AK$4,$C17&lt;EDATE(AK$4,1)),"◆",""))</f>
        <v/>
      </c>
      <c r="AL17" s="71" t="str">
        <f aca="false">IF(OR(AL$4="",$C17=""),"",IF(AND($C17&gt;=AL$4,$C17&lt;EDATE(AL$4,1)),"◆",""))</f>
        <v/>
      </c>
      <c r="AM17" s="71" t="str">
        <f aca="false">IF(OR(AM$4="",$C17=""),"",IF(AND($C17&gt;=AM$4,$C17&lt;EDATE(AM$4,1)),"◆",""))</f>
        <v/>
      </c>
      <c r="AN17" s="71" t="str">
        <f aca="false">IF(OR(AN$4="",$C17=""),"",IF(AND($C17&gt;=AN$4,$C17&lt;EDATE(AN$4,1)),"◆",""))</f>
        <v/>
      </c>
      <c r="AO17" s="71" t="str">
        <f aca="false">IF(OR(AO$4="",$C17=""),"",IF(AND($C17&gt;=AO$4,$C17&lt;EDATE(AO$4,1)),"◆",""))</f>
        <v/>
      </c>
      <c r="AP17" s="71" t="str">
        <f aca="false">IF(OR(AP$4="",$C17=""),"",IF(AND($C17&gt;=AP$4,$C17&lt;EDATE(AP$4,1)),"◆",""))</f>
        <v/>
      </c>
      <c r="AQ17" s="71" t="str">
        <f aca="false">IF(OR(AQ$4="",$C17=""),"",IF(AND($C17&gt;=AQ$4,$C17&lt;EDATE(AQ$4,1)),"◆",""))</f>
        <v/>
      </c>
      <c r="AR17" s="71" t="str">
        <f aca="false">IF(OR(AR$4="",$C17=""),"",IF(AND($C17&gt;=AR$4,$C17&lt;EDATE(AR$4,1)),"◆",""))</f>
        <v/>
      </c>
      <c r="AS17" s="71" t="str">
        <f aca="false">IF(OR(AS$4="",$C17=""),"",IF(AND($C17&gt;=AS$4,$C17&lt;EDATE(AS$4,1)),"◆",""))</f>
        <v/>
      </c>
      <c r="AT17" s="71" t="str">
        <f aca="false">IF(OR(AT$4="",$C17=""),"",IF(AND($C17&gt;=AT$4,$C17&lt;EDATE(AT$4,1)),"◆",""))</f>
        <v/>
      </c>
      <c r="AU17" s="71" t="str">
        <f aca="false">IF(OR(AU$4="",$C17=""),"",IF(AND($C17&gt;=AU$4,$C17&lt;EDATE(AU$4,1)),"◆",""))</f>
        <v/>
      </c>
      <c r="AV17" s="71" t="str">
        <f aca="false">IF(OR(AV$4="",$C17=""),"",IF(AND($C17&gt;=AV$4,$C17&lt;EDATE(AV$4,1)),"◆",""))</f>
        <v/>
      </c>
      <c r="AW17" s="71" t="str">
        <f aca="false">IF(OR(AW$4="",$C17=""),"",IF(AND($C17&gt;=AW$4,$C17&lt;EDATE(AW$4,1)),"◆",""))</f>
        <v/>
      </c>
      <c r="AX17" s="71" t="str">
        <f aca="false">IF(OR(AX$4="",$C17=""),"",IF(AND($C17&gt;=AX$4,$C17&lt;EDATE(AX$4,1)),"◆",""))</f>
        <v/>
      </c>
      <c r="AY17" s="71" t="str">
        <f aca="false">IF(OR(AY$4="",$C17=""),"",IF(AND($C17&gt;=AY$4,$C17&lt;EDATE(AY$4,1)),"◆",""))</f>
        <v/>
      </c>
      <c r="AZ17" s="71" t="str">
        <f aca="false">IF(OR(AZ$4="",$C17=""),"",IF(AND($C17&gt;=AZ$4,$C17&lt;EDATE(AZ$4,1)),"◆",""))</f>
        <v/>
      </c>
      <c r="BA17" s="71" t="str">
        <f aca="false">IF(OR(BA$4="",$C17=""),"",IF(AND($C17&gt;=BA$4,$C17&lt;EDATE(BA$4,1)),"◆",""))</f>
        <v/>
      </c>
      <c r="BB17" s="71" t="str">
        <f aca="false">IF(OR(BB$4="",$C17=""),"",IF(AND($C17&gt;=BB$4,$C17&lt;EDATE(BB$4,1)),"◆",""))</f>
        <v/>
      </c>
      <c r="BC17" s="71" t="str">
        <f aca="false">IF(OR(BC$4="",$C17=""),"",IF(AND($C17&gt;=BC$4,$C17&lt;EDATE(BC$4,1)),"◆",""))</f>
        <v/>
      </c>
      <c r="BD17" s="71" t="str">
        <f aca="false">IF(OR(BD$4="",$C17=""),"",IF(AND($C17&gt;=BD$4,$C17&lt;EDATE(BD$4,1)),"◆",""))</f>
        <v/>
      </c>
      <c r="BE17" s="71" t="str">
        <f aca="false">IF(OR(BE$4="",$C17=""),"",IF(AND($C17&gt;=BE$4,$C17&lt;EDATE(BE$4,1)),"◆",""))</f>
        <v/>
      </c>
      <c r="BF17" s="71" t="str">
        <f aca="false">IF(OR(BF$4="",$C17=""),"",IF(AND($C17&gt;=BF$4,$C17&lt;EDATE(BF$4,1)),"◆",""))</f>
        <v/>
      </c>
      <c r="BG17" s="71" t="str">
        <f aca="false">IF(OR(BG$4="",$C17=""),"",IF(AND($C17&gt;=BG$4,$C17&lt;EDATE(BG$4,1)),"◆",""))</f>
        <v/>
      </c>
      <c r="BH17" s="71" t="str">
        <f aca="false">IF(OR(BH$4="",$C17=""),"",IF(AND($C17&gt;=BH$4,$C17&lt;EDATE(BH$4,1)),"◆",""))</f>
        <v/>
      </c>
      <c r="BI17" s="71" t="str">
        <f aca="false">IF(OR(BI$4="",$C17=""),"",IF(AND($C17&gt;=BI$4,$C17&lt;EDATE(BI$4,1)),"◆",""))</f>
        <v/>
      </c>
      <c r="BJ17" s="71" t="str">
        <f aca="false">IF(OR(BJ$4="",$C17=""),"",IF(AND($C17&gt;=BJ$4,$C17&lt;EDATE(BJ$4,1)),"◆",""))</f>
        <v/>
      </c>
      <c r="BK17" s="71" t="str">
        <f aca="false">IF(OR(BK$4="",$C17=""),"",IF(AND($C17&gt;=BK$4,$C17&lt;EDATE(BK$4,1)),"◆",""))</f>
        <v/>
      </c>
      <c r="BL17" s="71" t="str">
        <f aca="false">IF(OR(BL$4="",$C17=""),"",IF(AND($C17&gt;=BL$4,$C17&lt;EDATE(BL$4,1)),"◆",""))</f>
        <v/>
      </c>
      <c r="BM17" s="71" t="str">
        <f aca="false">IF(OR(BM$4="",$C17=""),"",IF(AND($C17&gt;=BM$4,$C17&lt;EDATE(BM$4,1)),"◆",""))</f>
        <v/>
      </c>
      <c r="BN17" s="71" t="str">
        <f aca="false">IF(OR(BN$4="",$C17=""),"",IF(AND($C17&gt;=BN$4,$C17&lt;EDATE(BN$4,1)),"◆",""))</f>
        <v/>
      </c>
      <c r="BO17" s="71" t="str">
        <f aca="false">IF(OR(BO$4="",$C17=""),"",IF(AND($C17&gt;=BO$4,$C17&lt;EDATE(BO$4,1)),"◆",""))</f>
        <v/>
      </c>
      <c r="BP17" s="71" t="str">
        <f aca="false">IF(OR(BP$4="",$C17=""),"",IF(AND($C17&gt;=BP$4,$C17&lt;EDATE(BP$4,1)),"◆",""))</f>
        <v/>
      </c>
      <c r="BQ17" s="71" t="str">
        <f aca="false">IF(OR(BQ$4="",$C17=""),"",IF(AND($C17&gt;=BQ$4,$C17&lt;EDATE(BQ$4,1)),"◆",""))</f>
        <v/>
      </c>
      <c r="BR17" s="71" t="str">
        <f aca="false">IF(OR(BR$4="",$C17=""),"",IF(AND($C17&gt;=BR$4,$C17&lt;EDATE(BR$4,1)),"◆",""))</f>
        <v/>
      </c>
      <c r="BS17" s="71" t="str">
        <f aca="false">IF(OR(BS$4="",$C17=""),"",IF(AND($C17&gt;=BS$4,$C17&lt;EDATE(BS$4,1)),"◆",""))</f>
        <v/>
      </c>
      <c r="BT17" s="71" t="str">
        <f aca="false">IF(OR(BT$4="",$C17=""),"",IF(AND($C17&gt;=BT$4,$C17&lt;EDATE(BT$4,1)),"◆",""))</f>
        <v/>
      </c>
      <c r="BU17" s="71" t="str">
        <f aca="false">IF(OR(BU$4="",$C17=""),"",IF(AND($C17&gt;=BU$4,$C17&lt;EDATE(BU$4,1)),"◆",""))</f>
        <v/>
      </c>
      <c r="BV17" s="71" t="str">
        <f aca="false">IF(OR(BV$4="",$C17=""),"",IF(AND($C17&gt;=BV$4,$C17&lt;EDATE(BV$4,1)),"◆",""))</f>
        <v/>
      </c>
      <c r="BW17" s="71" t="str">
        <f aca="false">IF(OR(BW$4="",$C17=""),"",IF(AND($C17&gt;=BW$4,$C17&lt;EDATE(BW$4,1)),"◆",""))</f>
        <v/>
      </c>
      <c r="BX17" s="71" t="str">
        <f aca="false">IF(OR(BX$4="",$C17=""),"",IF(AND($C17&gt;=BX$4,$C17&lt;EDATE(BX$4,1)),"◆",""))</f>
        <v/>
      </c>
      <c r="BY17" s="71" t="str">
        <f aca="false">IF(OR(BY$4="",$C17=""),"",IF(AND($C17&gt;=BY$4,$C17&lt;EDATE(BY$4,1)),"◆",""))</f>
        <v/>
      </c>
    </row>
    <row r="18" customFormat="false" ht="15" hidden="false" customHeight="false" outlineLevel="0" collapsed="false">
      <c r="A18" s="4"/>
      <c r="B18" s="61" t="str">
        <f aca="false">IF(Milestones!$B17="","",Milestones!$B17)</f>
        <v/>
      </c>
      <c r="C18" s="62" t="str">
        <f aca="false">IF(Milestones!$E17="","",Milestones!$E17)</f>
        <v/>
      </c>
      <c r="D18" s="4"/>
      <c r="E18" s="4"/>
      <c r="F18" s="71" t="str">
        <f aca="false">IF(OR(F$4="",$C18=""),"",IF(AND($C18&gt;=F$4,$C18&lt;EDATE(F$4,1)),"◆",""))</f>
        <v/>
      </c>
      <c r="G18" s="71" t="str">
        <f aca="false">IF(OR(G$4="",$C18=""),"",IF(AND($C18&gt;=G$4,$C18&lt;EDATE(G$4,1)),"◆",""))</f>
        <v/>
      </c>
      <c r="H18" s="71" t="str">
        <f aca="false">IF(OR(H$4="",$C18=""),"",IF(AND($C18&gt;=H$4,$C18&lt;EDATE(H$4,1)),"◆",""))</f>
        <v/>
      </c>
      <c r="I18" s="71" t="str">
        <f aca="false">IF(OR(I$4="",$C18=""),"",IF(AND($C18&gt;=I$4,$C18&lt;EDATE(I$4,1)),"◆",""))</f>
        <v/>
      </c>
      <c r="J18" s="71" t="str">
        <f aca="false">IF(OR(J$4="",$C18=""),"",IF(AND($C18&gt;=J$4,$C18&lt;EDATE(J$4,1)),"◆",""))</f>
        <v/>
      </c>
      <c r="K18" s="71" t="str">
        <f aca="false">IF(OR(K$4="",$C18=""),"",IF(AND($C18&gt;=K$4,$C18&lt;EDATE(K$4,1)),"◆",""))</f>
        <v/>
      </c>
      <c r="L18" s="71" t="str">
        <f aca="false">IF(OR(L$4="",$C18=""),"",IF(AND($C18&gt;=L$4,$C18&lt;EDATE(L$4,1)),"◆",""))</f>
        <v/>
      </c>
      <c r="M18" s="71" t="str">
        <f aca="false">IF(OR(M$4="",$C18=""),"",IF(AND($C18&gt;=M$4,$C18&lt;EDATE(M$4,1)),"◆",""))</f>
        <v/>
      </c>
      <c r="N18" s="71" t="str">
        <f aca="false">IF(OR(N$4="",$C18=""),"",IF(AND($C18&gt;=N$4,$C18&lt;EDATE(N$4,1)),"◆",""))</f>
        <v/>
      </c>
      <c r="O18" s="71" t="str">
        <f aca="false">IF(OR(O$4="",$C18=""),"",IF(AND($C18&gt;=O$4,$C18&lt;EDATE(O$4,1)),"◆",""))</f>
        <v/>
      </c>
      <c r="P18" s="71" t="str">
        <f aca="false">IF(OR(P$4="",$C18=""),"",IF(AND($C18&gt;=P$4,$C18&lt;EDATE(P$4,1)),"◆",""))</f>
        <v/>
      </c>
      <c r="Q18" s="71" t="str">
        <f aca="false">IF(OR(Q$4="",$C18=""),"",IF(AND($C18&gt;=Q$4,$C18&lt;EDATE(Q$4,1)),"◆",""))</f>
        <v/>
      </c>
      <c r="R18" s="71" t="str">
        <f aca="false">IF(OR(R$4="",$C18=""),"",IF(AND($C18&gt;=R$4,$C18&lt;EDATE(R$4,1)),"◆",""))</f>
        <v/>
      </c>
      <c r="S18" s="71" t="str">
        <f aca="false">IF(OR(S$4="",$C18=""),"",IF(AND($C18&gt;=S$4,$C18&lt;EDATE(S$4,1)),"◆",""))</f>
        <v/>
      </c>
      <c r="T18" s="71" t="str">
        <f aca="false">IF(OR(T$4="",$C18=""),"",IF(AND($C18&gt;=T$4,$C18&lt;EDATE(T$4,1)),"◆",""))</f>
        <v/>
      </c>
      <c r="U18" s="71" t="str">
        <f aca="false">IF(OR(U$4="",$C18=""),"",IF(AND($C18&gt;=U$4,$C18&lt;EDATE(U$4,1)),"◆",""))</f>
        <v/>
      </c>
      <c r="V18" s="71" t="str">
        <f aca="false">IF(OR(V$4="",$C18=""),"",IF(AND($C18&gt;=V$4,$C18&lt;EDATE(V$4,1)),"◆",""))</f>
        <v/>
      </c>
      <c r="W18" s="71" t="str">
        <f aca="false">IF(OR(W$4="",$C18=""),"",IF(AND($C18&gt;=W$4,$C18&lt;EDATE(W$4,1)),"◆",""))</f>
        <v/>
      </c>
      <c r="X18" s="71" t="str">
        <f aca="false">IF(OR(X$4="",$C18=""),"",IF(AND($C18&gt;=X$4,$C18&lt;EDATE(X$4,1)),"◆",""))</f>
        <v/>
      </c>
      <c r="Y18" s="71" t="str">
        <f aca="false">IF(OR(Y$4="",$C18=""),"",IF(AND($C18&gt;=Y$4,$C18&lt;EDATE(Y$4,1)),"◆",""))</f>
        <v/>
      </c>
      <c r="Z18" s="71" t="str">
        <f aca="false">IF(OR(Z$4="",$C18=""),"",IF(AND($C18&gt;=Z$4,$C18&lt;EDATE(Z$4,1)),"◆",""))</f>
        <v/>
      </c>
      <c r="AA18" s="71" t="str">
        <f aca="false">IF(OR(AA$4="",$C18=""),"",IF(AND($C18&gt;=AA$4,$C18&lt;EDATE(AA$4,1)),"◆",""))</f>
        <v/>
      </c>
      <c r="AB18" s="71" t="str">
        <f aca="false">IF(OR(AB$4="",$C18=""),"",IF(AND($C18&gt;=AB$4,$C18&lt;EDATE(AB$4,1)),"◆",""))</f>
        <v/>
      </c>
      <c r="AC18" s="71" t="str">
        <f aca="false">IF(OR(AC$4="",$C18=""),"",IF(AND($C18&gt;=AC$4,$C18&lt;EDATE(AC$4,1)),"◆",""))</f>
        <v/>
      </c>
      <c r="AD18" s="71" t="str">
        <f aca="false">IF(OR(AD$4="",$C18=""),"",IF(AND($C18&gt;=AD$4,$C18&lt;EDATE(AD$4,1)),"◆",""))</f>
        <v/>
      </c>
      <c r="AE18" s="71" t="str">
        <f aca="false">IF(OR(AE$4="",$C18=""),"",IF(AND($C18&gt;=AE$4,$C18&lt;EDATE(AE$4,1)),"◆",""))</f>
        <v/>
      </c>
      <c r="AF18" s="71" t="str">
        <f aca="false">IF(OR(AF$4="",$C18=""),"",IF(AND($C18&gt;=AF$4,$C18&lt;EDATE(AF$4,1)),"◆",""))</f>
        <v/>
      </c>
      <c r="AG18" s="71" t="str">
        <f aca="false">IF(OR(AG$4="",$C18=""),"",IF(AND($C18&gt;=AG$4,$C18&lt;EDATE(AG$4,1)),"◆",""))</f>
        <v/>
      </c>
      <c r="AH18" s="71" t="str">
        <f aca="false">IF(OR(AH$4="",$C18=""),"",IF(AND($C18&gt;=AH$4,$C18&lt;EDATE(AH$4,1)),"◆",""))</f>
        <v/>
      </c>
      <c r="AI18" s="71" t="str">
        <f aca="false">IF(OR(AI$4="",$C18=""),"",IF(AND($C18&gt;=AI$4,$C18&lt;EDATE(AI$4,1)),"◆",""))</f>
        <v/>
      </c>
      <c r="AJ18" s="71" t="str">
        <f aca="false">IF(OR(AJ$4="",$C18=""),"",IF(AND($C18&gt;=AJ$4,$C18&lt;EDATE(AJ$4,1)),"◆",""))</f>
        <v/>
      </c>
      <c r="AK18" s="71" t="str">
        <f aca="false">IF(OR(AK$4="",$C18=""),"",IF(AND($C18&gt;=AK$4,$C18&lt;EDATE(AK$4,1)),"◆",""))</f>
        <v/>
      </c>
      <c r="AL18" s="71" t="str">
        <f aca="false">IF(OR(AL$4="",$C18=""),"",IF(AND($C18&gt;=AL$4,$C18&lt;EDATE(AL$4,1)),"◆",""))</f>
        <v/>
      </c>
      <c r="AM18" s="71" t="str">
        <f aca="false">IF(OR(AM$4="",$C18=""),"",IF(AND($C18&gt;=AM$4,$C18&lt;EDATE(AM$4,1)),"◆",""))</f>
        <v/>
      </c>
      <c r="AN18" s="71" t="str">
        <f aca="false">IF(OR(AN$4="",$C18=""),"",IF(AND($C18&gt;=AN$4,$C18&lt;EDATE(AN$4,1)),"◆",""))</f>
        <v/>
      </c>
      <c r="AO18" s="71" t="str">
        <f aca="false">IF(OR(AO$4="",$C18=""),"",IF(AND($C18&gt;=AO$4,$C18&lt;EDATE(AO$4,1)),"◆",""))</f>
        <v/>
      </c>
      <c r="AP18" s="71" t="str">
        <f aca="false">IF(OR(AP$4="",$C18=""),"",IF(AND($C18&gt;=AP$4,$C18&lt;EDATE(AP$4,1)),"◆",""))</f>
        <v/>
      </c>
      <c r="AQ18" s="71" t="str">
        <f aca="false">IF(OR(AQ$4="",$C18=""),"",IF(AND($C18&gt;=AQ$4,$C18&lt;EDATE(AQ$4,1)),"◆",""))</f>
        <v/>
      </c>
      <c r="AR18" s="71" t="str">
        <f aca="false">IF(OR(AR$4="",$C18=""),"",IF(AND($C18&gt;=AR$4,$C18&lt;EDATE(AR$4,1)),"◆",""))</f>
        <v/>
      </c>
      <c r="AS18" s="71" t="str">
        <f aca="false">IF(OR(AS$4="",$C18=""),"",IF(AND($C18&gt;=AS$4,$C18&lt;EDATE(AS$4,1)),"◆",""))</f>
        <v/>
      </c>
      <c r="AT18" s="71" t="str">
        <f aca="false">IF(OR(AT$4="",$C18=""),"",IF(AND($C18&gt;=AT$4,$C18&lt;EDATE(AT$4,1)),"◆",""))</f>
        <v/>
      </c>
      <c r="AU18" s="71" t="str">
        <f aca="false">IF(OR(AU$4="",$C18=""),"",IF(AND($C18&gt;=AU$4,$C18&lt;EDATE(AU$4,1)),"◆",""))</f>
        <v/>
      </c>
      <c r="AV18" s="71" t="str">
        <f aca="false">IF(OR(AV$4="",$C18=""),"",IF(AND($C18&gt;=AV$4,$C18&lt;EDATE(AV$4,1)),"◆",""))</f>
        <v/>
      </c>
      <c r="AW18" s="71" t="str">
        <f aca="false">IF(OR(AW$4="",$C18=""),"",IF(AND($C18&gt;=AW$4,$C18&lt;EDATE(AW$4,1)),"◆",""))</f>
        <v/>
      </c>
      <c r="AX18" s="71" t="str">
        <f aca="false">IF(OR(AX$4="",$C18=""),"",IF(AND($C18&gt;=AX$4,$C18&lt;EDATE(AX$4,1)),"◆",""))</f>
        <v/>
      </c>
      <c r="AY18" s="71" t="str">
        <f aca="false">IF(OR(AY$4="",$C18=""),"",IF(AND($C18&gt;=AY$4,$C18&lt;EDATE(AY$4,1)),"◆",""))</f>
        <v/>
      </c>
      <c r="AZ18" s="71" t="str">
        <f aca="false">IF(OR(AZ$4="",$C18=""),"",IF(AND($C18&gt;=AZ$4,$C18&lt;EDATE(AZ$4,1)),"◆",""))</f>
        <v/>
      </c>
      <c r="BA18" s="71" t="str">
        <f aca="false">IF(OR(BA$4="",$C18=""),"",IF(AND($C18&gt;=BA$4,$C18&lt;EDATE(BA$4,1)),"◆",""))</f>
        <v/>
      </c>
      <c r="BB18" s="71" t="str">
        <f aca="false">IF(OR(BB$4="",$C18=""),"",IF(AND($C18&gt;=BB$4,$C18&lt;EDATE(BB$4,1)),"◆",""))</f>
        <v/>
      </c>
      <c r="BC18" s="71" t="str">
        <f aca="false">IF(OR(BC$4="",$C18=""),"",IF(AND($C18&gt;=BC$4,$C18&lt;EDATE(BC$4,1)),"◆",""))</f>
        <v/>
      </c>
      <c r="BD18" s="71" t="str">
        <f aca="false">IF(OR(BD$4="",$C18=""),"",IF(AND($C18&gt;=BD$4,$C18&lt;EDATE(BD$4,1)),"◆",""))</f>
        <v/>
      </c>
      <c r="BE18" s="71" t="str">
        <f aca="false">IF(OR(BE$4="",$C18=""),"",IF(AND($C18&gt;=BE$4,$C18&lt;EDATE(BE$4,1)),"◆",""))</f>
        <v/>
      </c>
      <c r="BF18" s="71" t="str">
        <f aca="false">IF(OR(BF$4="",$C18=""),"",IF(AND($C18&gt;=BF$4,$C18&lt;EDATE(BF$4,1)),"◆",""))</f>
        <v/>
      </c>
      <c r="BG18" s="71" t="str">
        <f aca="false">IF(OR(BG$4="",$C18=""),"",IF(AND($C18&gt;=BG$4,$C18&lt;EDATE(BG$4,1)),"◆",""))</f>
        <v/>
      </c>
      <c r="BH18" s="71" t="str">
        <f aca="false">IF(OR(BH$4="",$C18=""),"",IF(AND($C18&gt;=BH$4,$C18&lt;EDATE(BH$4,1)),"◆",""))</f>
        <v/>
      </c>
      <c r="BI18" s="71" t="str">
        <f aca="false">IF(OR(BI$4="",$C18=""),"",IF(AND($C18&gt;=BI$4,$C18&lt;EDATE(BI$4,1)),"◆",""))</f>
        <v/>
      </c>
      <c r="BJ18" s="71" t="str">
        <f aca="false">IF(OR(BJ$4="",$C18=""),"",IF(AND($C18&gt;=BJ$4,$C18&lt;EDATE(BJ$4,1)),"◆",""))</f>
        <v/>
      </c>
      <c r="BK18" s="71" t="str">
        <f aca="false">IF(OR(BK$4="",$C18=""),"",IF(AND($C18&gt;=BK$4,$C18&lt;EDATE(BK$4,1)),"◆",""))</f>
        <v/>
      </c>
      <c r="BL18" s="71" t="str">
        <f aca="false">IF(OR(BL$4="",$C18=""),"",IF(AND($C18&gt;=BL$4,$C18&lt;EDATE(BL$4,1)),"◆",""))</f>
        <v/>
      </c>
      <c r="BM18" s="71" t="str">
        <f aca="false">IF(OR(BM$4="",$C18=""),"",IF(AND($C18&gt;=BM$4,$C18&lt;EDATE(BM$4,1)),"◆",""))</f>
        <v/>
      </c>
      <c r="BN18" s="71" t="str">
        <f aca="false">IF(OR(BN$4="",$C18=""),"",IF(AND($C18&gt;=BN$4,$C18&lt;EDATE(BN$4,1)),"◆",""))</f>
        <v/>
      </c>
      <c r="BO18" s="71" t="str">
        <f aca="false">IF(OR(BO$4="",$C18=""),"",IF(AND($C18&gt;=BO$4,$C18&lt;EDATE(BO$4,1)),"◆",""))</f>
        <v/>
      </c>
      <c r="BP18" s="71" t="str">
        <f aca="false">IF(OR(BP$4="",$C18=""),"",IF(AND($C18&gt;=BP$4,$C18&lt;EDATE(BP$4,1)),"◆",""))</f>
        <v/>
      </c>
      <c r="BQ18" s="71" t="str">
        <f aca="false">IF(OR(BQ$4="",$C18=""),"",IF(AND($C18&gt;=BQ$4,$C18&lt;EDATE(BQ$4,1)),"◆",""))</f>
        <v/>
      </c>
      <c r="BR18" s="71" t="str">
        <f aca="false">IF(OR(BR$4="",$C18=""),"",IF(AND($C18&gt;=BR$4,$C18&lt;EDATE(BR$4,1)),"◆",""))</f>
        <v/>
      </c>
      <c r="BS18" s="71" t="str">
        <f aca="false">IF(OR(BS$4="",$C18=""),"",IF(AND($C18&gt;=BS$4,$C18&lt;EDATE(BS$4,1)),"◆",""))</f>
        <v/>
      </c>
      <c r="BT18" s="71" t="str">
        <f aca="false">IF(OR(BT$4="",$C18=""),"",IF(AND($C18&gt;=BT$4,$C18&lt;EDATE(BT$4,1)),"◆",""))</f>
        <v/>
      </c>
      <c r="BU18" s="71" t="str">
        <f aca="false">IF(OR(BU$4="",$C18=""),"",IF(AND($C18&gt;=BU$4,$C18&lt;EDATE(BU$4,1)),"◆",""))</f>
        <v/>
      </c>
      <c r="BV18" s="71" t="str">
        <f aca="false">IF(OR(BV$4="",$C18=""),"",IF(AND($C18&gt;=BV$4,$C18&lt;EDATE(BV$4,1)),"◆",""))</f>
        <v/>
      </c>
      <c r="BW18" s="71" t="str">
        <f aca="false">IF(OR(BW$4="",$C18=""),"",IF(AND($C18&gt;=BW$4,$C18&lt;EDATE(BW$4,1)),"◆",""))</f>
        <v/>
      </c>
      <c r="BX18" s="71" t="str">
        <f aca="false">IF(OR(BX$4="",$C18=""),"",IF(AND($C18&gt;=BX$4,$C18&lt;EDATE(BX$4,1)),"◆",""))</f>
        <v/>
      </c>
      <c r="BY18" s="71" t="str">
        <f aca="false">IF(OR(BY$4="",$C18=""),"",IF(AND($C18&gt;=BY$4,$C18&lt;EDATE(BY$4,1)),"◆",""))</f>
        <v/>
      </c>
    </row>
    <row r="19" customFormat="false" ht="15" hidden="false" customHeight="false" outlineLevel="0" collapsed="false">
      <c r="A19" s="4"/>
      <c r="B19" s="61" t="str">
        <f aca="false">IF(Milestones!$B18="","",Milestones!$B18)</f>
        <v/>
      </c>
      <c r="C19" s="62" t="str">
        <f aca="false">IF(Milestones!$E18="","",Milestones!$E18)</f>
        <v/>
      </c>
      <c r="D19" s="4"/>
      <c r="E19" s="4"/>
      <c r="F19" s="71" t="str">
        <f aca="false">IF(OR(F$4="",$C19=""),"",IF(AND($C19&gt;=F$4,$C19&lt;EDATE(F$4,1)),"◆",""))</f>
        <v/>
      </c>
      <c r="G19" s="71" t="str">
        <f aca="false">IF(OR(G$4="",$C19=""),"",IF(AND($C19&gt;=G$4,$C19&lt;EDATE(G$4,1)),"◆",""))</f>
        <v/>
      </c>
      <c r="H19" s="71" t="str">
        <f aca="false">IF(OR(H$4="",$C19=""),"",IF(AND($C19&gt;=H$4,$C19&lt;EDATE(H$4,1)),"◆",""))</f>
        <v/>
      </c>
      <c r="I19" s="71" t="str">
        <f aca="false">IF(OR(I$4="",$C19=""),"",IF(AND($C19&gt;=I$4,$C19&lt;EDATE(I$4,1)),"◆",""))</f>
        <v/>
      </c>
      <c r="J19" s="71" t="str">
        <f aca="false">IF(OR(J$4="",$C19=""),"",IF(AND($C19&gt;=J$4,$C19&lt;EDATE(J$4,1)),"◆",""))</f>
        <v/>
      </c>
      <c r="K19" s="71" t="str">
        <f aca="false">IF(OR(K$4="",$C19=""),"",IF(AND($C19&gt;=K$4,$C19&lt;EDATE(K$4,1)),"◆",""))</f>
        <v/>
      </c>
      <c r="L19" s="71" t="str">
        <f aca="false">IF(OR(L$4="",$C19=""),"",IF(AND($C19&gt;=L$4,$C19&lt;EDATE(L$4,1)),"◆",""))</f>
        <v/>
      </c>
      <c r="M19" s="71" t="str">
        <f aca="false">IF(OR(M$4="",$C19=""),"",IF(AND($C19&gt;=M$4,$C19&lt;EDATE(M$4,1)),"◆",""))</f>
        <v/>
      </c>
      <c r="N19" s="71" t="str">
        <f aca="false">IF(OR(N$4="",$C19=""),"",IF(AND($C19&gt;=N$4,$C19&lt;EDATE(N$4,1)),"◆",""))</f>
        <v/>
      </c>
      <c r="O19" s="71" t="str">
        <f aca="false">IF(OR(O$4="",$C19=""),"",IF(AND($C19&gt;=O$4,$C19&lt;EDATE(O$4,1)),"◆",""))</f>
        <v/>
      </c>
      <c r="P19" s="71" t="str">
        <f aca="false">IF(OR(P$4="",$C19=""),"",IF(AND($C19&gt;=P$4,$C19&lt;EDATE(P$4,1)),"◆",""))</f>
        <v/>
      </c>
      <c r="Q19" s="71" t="str">
        <f aca="false">IF(OR(Q$4="",$C19=""),"",IF(AND($C19&gt;=Q$4,$C19&lt;EDATE(Q$4,1)),"◆",""))</f>
        <v/>
      </c>
      <c r="R19" s="71" t="str">
        <f aca="false">IF(OR(R$4="",$C19=""),"",IF(AND($C19&gt;=R$4,$C19&lt;EDATE(R$4,1)),"◆",""))</f>
        <v/>
      </c>
      <c r="S19" s="71" t="str">
        <f aca="false">IF(OR(S$4="",$C19=""),"",IF(AND($C19&gt;=S$4,$C19&lt;EDATE(S$4,1)),"◆",""))</f>
        <v/>
      </c>
      <c r="T19" s="71" t="str">
        <f aca="false">IF(OR(T$4="",$C19=""),"",IF(AND($C19&gt;=T$4,$C19&lt;EDATE(T$4,1)),"◆",""))</f>
        <v/>
      </c>
      <c r="U19" s="71" t="str">
        <f aca="false">IF(OR(U$4="",$C19=""),"",IF(AND($C19&gt;=U$4,$C19&lt;EDATE(U$4,1)),"◆",""))</f>
        <v/>
      </c>
      <c r="V19" s="71" t="str">
        <f aca="false">IF(OR(V$4="",$C19=""),"",IF(AND($C19&gt;=V$4,$C19&lt;EDATE(V$4,1)),"◆",""))</f>
        <v/>
      </c>
      <c r="W19" s="71" t="str">
        <f aca="false">IF(OR(W$4="",$C19=""),"",IF(AND($C19&gt;=W$4,$C19&lt;EDATE(W$4,1)),"◆",""))</f>
        <v/>
      </c>
      <c r="X19" s="71" t="str">
        <f aca="false">IF(OR(X$4="",$C19=""),"",IF(AND($C19&gt;=X$4,$C19&lt;EDATE(X$4,1)),"◆",""))</f>
        <v/>
      </c>
      <c r="Y19" s="71" t="str">
        <f aca="false">IF(OR(Y$4="",$C19=""),"",IF(AND($C19&gt;=Y$4,$C19&lt;EDATE(Y$4,1)),"◆",""))</f>
        <v/>
      </c>
      <c r="Z19" s="71" t="str">
        <f aca="false">IF(OR(Z$4="",$C19=""),"",IF(AND($C19&gt;=Z$4,$C19&lt;EDATE(Z$4,1)),"◆",""))</f>
        <v/>
      </c>
      <c r="AA19" s="71" t="str">
        <f aca="false">IF(OR(AA$4="",$C19=""),"",IF(AND($C19&gt;=AA$4,$C19&lt;EDATE(AA$4,1)),"◆",""))</f>
        <v/>
      </c>
      <c r="AB19" s="71" t="str">
        <f aca="false">IF(OR(AB$4="",$C19=""),"",IF(AND($C19&gt;=AB$4,$C19&lt;EDATE(AB$4,1)),"◆",""))</f>
        <v/>
      </c>
      <c r="AC19" s="71" t="str">
        <f aca="false">IF(OR(AC$4="",$C19=""),"",IF(AND($C19&gt;=AC$4,$C19&lt;EDATE(AC$4,1)),"◆",""))</f>
        <v/>
      </c>
      <c r="AD19" s="71" t="str">
        <f aca="false">IF(OR(AD$4="",$C19=""),"",IF(AND($C19&gt;=AD$4,$C19&lt;EDATE(AD$4,1)),"◆",""))</f>
        <v/>
      </c>
      <c r="AE19" s="71" t="str">
        <f aca="false">IF(OR(AE$4="",$C19=""),"",IF(AND($C19&gt;=AE$4,$C19&lt;EDATE(AE$4,1)),"◆",""))</f>
        <v/>
      </c>
      <c r="AF19" s="71" t="str">
        <f aca="false">IF(OR(AF$4="",$C19=""),"",IF(AND($C19&gt;=AF$4,$C19&lt;EDATE(AF$4,1)),"◆",""))</f>
        <v/>
      </c>
      <c r="AG19" s="71" t="str">
        <f aca="false">IF(OR(AG$4="",$C19=""),"",IF(AND($C19&gt;=AG$4,$C19&lt;EDATE(AG$4,1)),"◆",""))</f>
        <v/>
      </c>
      <c r="AH19" s="71" t="str">
        <f aca="false">IF(OR(AH$4="",$C19=""),"",IF(AND($C19&gt;=AH$4,$C19&lt;EDATE(AH$4,1)),"◆",""))</f>
        <v/>
      </c>
      <c r="AI19" s="71" t="str">
        <f aca="false">IF(OR(AI$4="",$C19=""),"",IF(AND($C19&gt;=AI$4,$C19&lt;EDATE(AI$4,1)),"◆",""))</f>
        <v/>
      </c>
      <c r="AJ19" s="71" t="str">
        <f aca="false">IF(OR(AJ$4="",$C19=""),"",IF(AND($C19&gt;=AJ$4,$C19&lt;EDATE(AJ$4,1)),"◆",""))</f>
        <v/>
      </c>
      <c r="AK19" s="71" t="str">
        <f aca="false">IF(OR(AK$4="",$C19=""),"",IF(AND($C19&gt;=AK$4,$C19&lt;EDATE(AK$4,1)),"◆",""))</f>
        <v/>
      </c>
      <c r="AL19" s="71" t="str">
        <f aca="false">IF(OR(AL$4="",$C19=""),"",IF(AND($C19&gt;=AL$4,$C19&lt;EDATE(AL$4,1)),"◆",""))</f>
        <v/>
      </c>
      <c r="AM19" s="71" t="str">
        <f aca="false">IF(OR(AM$4="",$C19=""),"",IF(AND($C19&gt;=AM$4,$C19&lt;EDATE(AM$4,1)),"◆",""))</f>
        <v/>
      </c>
      <c r="AN19" s="71" t="str">
        <f aca="false">IF(OR(AN$4="",$C19=""),"",IF(AND($C19&gt;=AN$4,$C19&lt;EDATE(AN$4,1)),"◆",""))</f>
        <v/>
      </c>
      <c r="AO19" s="71" t="str">
        <f aca="false">IF(OR(AO$4="",$C19=""),"",IF(AND($C19&gt;=AO$4,$C19&lt;EDATE(AO$4,1)),"◆",""))</f>
        <v/>
      </c>
      <c r="AP19" s="71" t="str">
        <f aca="false">IF(OR(AP$4="",$C19=""),"",IF(AND($C19&gt;=AP$4,$C19&lt;EDATE(AP$4,1)),"◆",""))</f>
        <v/>
      </c>
      <c r="AQ19" s="71" t="str">
        <f aca="false">IF(OR(AQ$4="",$C19=""),"",IF(AND($C19&gt;=AQ$4,$C19&lt;EDATE(AQ$4,1)),"◆",""))</f>
        <v/>
      </c>
      <c r="AR19" s="71" t="str">
        <f aca="false">IF(OR(AR$4="",$C19=""),"",IF(AND($C19&gt;=AR$4,$C19&lt;EDATE(AR$4,1)),"◆",""))</f>
        <v/>
      </c>
      <c r="AS19" s="71" t="str">
        <f aca="false">IF(OR(AS$4="",$C19=""),"",IF(AND($C19&gt;=AS$4,$C19&lt;EDATE(AS$4,1)),"◆",""))</f>
        <v/>
      </c>
      <c r="AT19" s="71" t="str">
        <f aca="false">IF(OR(AT$4="",$C19=""),"",IF(AND($C19&gt;=AT$4,$C19&lt;EDATE(AT$4,1)),"◆",""))</f>
        <v/>
      </c>
      <c r="AU19" s="71" t="str">
        <f aca="false">IF(OR(AU$4="",$C19=""),"",IF(AND($C19&gt;=AU$4,$C19&lt;EDATE(AU$4,1)),"◆",""))</f>
        <v/>
      </c>
      <c r="AV19" s="71" t="str">
        <f aca="false">IF(OR(AV$4="",$C19=""),"",IF(AND($C19&gt;=AV$4,$C19&lt;EDATE(AV$4,1)),"◆",""))</f>
        <v/>
      </c>
      <c r="AW19" s="71" t="str">
        <f aca="false">IF(OR(AW$4="",$C19=""),"",IF(AND($C19&gt;=AW$4,$C19&lt;EDATE(AW$4,1)),"◆",""))</f>
        <v/>
      </c>
      <c r="AX19" s="71" t="str">
        <f aca="false">IF(OR(AX$4="",$C19=""),"",IF(AND($C19&gt;=AX$4,$C19&lt;EDATE(AX$4,1)),"◆",""))</f>
        <v/>
      </c>
      <c r="AY19" s="71" t="str">
        <f aca="false">IF(OR(AY$4="",$C19=""),"",IF(AND($C19&gt;=AY$4,$C19&lt;EDATE(AY$4,1)),"◆",""))</f>
        <v/>
      </c>
      <c r="AZ19" s="71" t="str">
        <f aca="false">IF(OR(AZ$4="",$C19=""),"",IF(AND($C19&gt;=AZ$4,$C19&lt;EDATE(AZ$4,1)),"◆",""))</f>
        <v/>
      </c>
      <c r="BA19" s="71" t="str">
        <f aca="false">IF(OR(BA$4="",$C19=""),"",IF(AND($C19&gt;=BA$4,$C19&lt;EDATE(BA$4,1)),"◆",""))</f>
        <v/>
      </c>
      <c r="BB19" s="71" t="str">
        <f aca="false">IF(OR(BB$4="",$C19=""),"",IF(AND($C19&gt;=BB$4,$C19&lt;EDATE(BB$4,1)),"◆",""))</f>
        <v/>
      </c>
      <c r="BC19" s="71" t="str">
        <f aca="false">IF(OR(BC$4="",$C19=""),"",IF(AND($C19&gt;=BC$4,$C19&lt;EDATE(BC$4,1)),"◆",""))</f>
        <v/>
      </c>
      <c r="BD19" s="71" t="str">
        <f aca="false">IF(OR(BD$4="",$C19=""),"",IF(AND($C19&gt;=BD$4,$C19&lt;EDATE(BD$4,1)),"◆",""))</f>
        <v/>
      </c>
      <c r="BE19" s="71" t="str">
        <f aca="false">IF(OR(BE$4="",$C19=""),"",IF(AND($C19&gt;=BE$4,$C19&lt;EDATE(BE$4,1)),"◆",""))</f>
        <v/>
      </c>
      <c r="BF19" s="71" t="str">
        <f aca="false">IF(OR(BF$4="",$C19=""),"",IF(AND($C19&gt;=BF$4,$C19&lt;EDATE(BF$4,1)),"◆",""))</f>
        <v/>
      </c>
      <c r="BG19" s="71" t="str">
        <f aca="false">IF(OR(BG$4="",$C19=""),"",IF(AND($C19&gt;=BG$4,$C19&lt;EDATE(BG$4,1)),"◆",""))</f>
        <v/>
      </c>
      <c r="BH19" s="71" t="str">
        <f aca="false">IF(OR(BH$4="",$C19=""),"",IF(AND($C19&gt;=BH$4,$C19&lt;EDATE(BH$4,1)),"◆",""))</f>
        <v/>
      </c>
      <c r="BI19" s="71" t="str">
        <f aca="false">IF(OR(BI$4="",$C19=""),"",IF(AND($C19&gt;=BI$4,$C19&lt;EDATE(BI$4,1)),"◆",""))</f>
        <v/>
      </c>
      <c r="BJ19" s="71" t="str">
        <f aca="false">IF(OR(BJ$4="",$C19=""),"",IF(AND($C19&gt;=BJ$4,$C19&lt;EDATE(BJ$4,1)),"◆",""))</f>
        <v/>
      </c>
      <c r="BK19" s="71" t="str">
        <f aca="false">IF(OR(BK$4="",$C19=""),"",IF(AND($C19&gt;=BK$4,$C19&lt;EDATE(BK$4,1)),"◆",""))</f>
        <v/>
      </c>
      <c r="BL19" s="71" t="str">
        <f aca="false">IF(OR(BL$4="",$C19=""),"",IF(AND($C19&gt;=BL$4,$C19&lt;EDATE(BL$4,1)),"◆",""))</f>
        <v/>
      </c>
      <c r="BM19" s="71" t="str">
        <f aca="false">IF(OR(BM$4="",$C19=""),"",IF(AND($C19&gt;=BM$4,$C19&lt;EDATE(BM$4,1)),"◆",""))</f>
        <v/>
      </c>
      <c r="BN19" s="71" t="str">
        <f aca="false">IF(OR(BN$4="",$C19=""),"",IF(AND($C19&gt;=BN$4,$C19&lt;EDATE(BN$4,1)),"◆",""))</f>
        <v/>
      </c>
      <c r="BO19" s="71" t="str">
        <f aca="false">IF(OR(BO$4="",$C19=""),"",IF(AND($C19&gt;=BO$4,$C19&lt;EDATE(BO$4,1)),"◆",""))</f>
        <v/>
      </c>
      <c r="BP19" s="71" t="str">
        <f aca="false">IF(OR(BP$4="",$C19=""),"",IF(AND($C19&gt;=BP$4,$C19&lt;EDATE(BP$4,1)),"◆",""))</f>
        <v/>
      </c>
      <c r="BQ19" s="71" t="str">
        <f aca="false">IF(OR(BQ$4="",$C19=""),"",IF(AND($C19&gt;=BQ$4,$C19&lt;EDATE(BQ$4,1)),"◆",""))</f>
        <v/>
      </c>
      <c r="BR19" s="71" t="str">
        <f aca="false">IF(OR(BR$4="",$C19=""),"",IF(AND($C19&gt;=BR$4,$C19&lt;EDATE(BR$4,1)),"◆",""))</f>
        <v/>
      </c>
      <c r="BS19" s="71" t="str">
        <f aca="false">IF(OR(BS$4="",$C19=""),"",IF(AND($C19&gt;=BS$4,$C19&lt;EDATE(BS$4,1)),"◆",""))</f>
        <v/>
      </c>
      <c r="BT19" s="71" t="str">
        <f aca="false">IF(OR(BT$4="",$C19=""),"",IF(AND($C19&gt;=BT$4,$C19&lt;EDATE(BT$4,1)),"◆",""))</f>
        <v/>
      </c>
      <c r="BU19" s="71" t="str">
        <f aca="false">IF(OR(BU$4="",$C19=""),"",IF(AND($C19&gt;=BU$4,$C19&lt;EDATE(BU$4,1)),"◆",""))</f>
        <v/>
      </c>
      <c r="BV19" s="71" t="str">
        <f aca="false">IF(OR(BV$4="",$C19=""),"",IF(AND($C19&gt;=BV$4,$C19&lt;EDATE(BV$4,1)),"◆",""))</f>
        <v/>
      </c>
      <c r="BW19" s="71" t="str">
        <f aca="false">IF(OR(BW$4="",$C19=""),"",IF(AND($C19&gt;=BW$4,$C19&lt;EDATE(BW$4,1)),"◆",""))</f>
        <v/>
      </c>
      <c r="BX19" s="71" t="str">
        <f aca="false">IF(OR(BX$4="",$C19=""),"",IF(AND($C19&gt;=BX$4,$C19&lt;EDATE(BX$4,1)),"◆",""))</f>
        <v/>
      </c>
      <c r="BY19" s="71" t="str">
        <f aca="false">IF(OR(BY$4="",$C19=""),"",IF(AND($C19&gt;=BY$4,$C19&lt;EDATE(BY$4,1)),"◆",""))</f>
        <v/>
      </c>
    </row>
    <row r="20" customFormat="false" ht="15" hidden="false" customHeight="false" outlineLevel="0" collapsed="false">
      <c r="A20" s="4"/>
      <c r="B20" s="61" t="str">
        <f aca="false">IF(Milestones!$B19="","",Milestones!$B19)</f>
        <v/>
      </c>
      <c r="C20" s="62" t="str">
        <f aca="false">IF(Milestones!$E19="","",Milestones!$E19)</f>
        <v/>
      </c>
      <c r="D20" s="4"/>
      <c r="E20" s="4"/>
      <c r="F20" s="71" t="str">
        <f aca="false">IF(OR(F$4="",$C20=""),"",IF(AND($C20&gt;=F$4,$C20&lt;EDATE(F$4,1)),"◆",""))</f>
        <v/>
      </c>
      <c r="G20" s="71" t="str">
        <f aca="false">IF(OR(G$4="",$C20=""),"",IF(AND($C20&gt;=G$4,$C20&lt;EDATE(G$4,1)),"◆",""))</f>
        <v/>
      </c>
      <c r="H20" s="71" t="str">
        <f aca="false">IF(OR(H$4="",$C20=""),"",IF(AND($C20&gt;=H$4,$C20&lt;EDATE(H$4,1)),"◆",""))</f>
        <v/>
      </c>
      <c r="I20" s="71" t="str">
        <f aca="false">IF(OR(I$4="",$C20=""),"",IF(AND($C20&gt;=I$4,$C20&lt;EDATE(I$4,1)),"◆",""))</f>
        <v/>
      </c>
      <c r="J20" s="71" t="str">
        <f aca="false">IF(OR(J$4="",$C20=""),"",IF(AND($C20&gt;=J$4,$C20&lt;EDATE(J$4,1)),"◆",""))</f>
        <v/>
      </c>
      <c r="K20" s="71" t="str">
        <f aca="false">IF(OR(K$4="",$C20=""),"",IF(AND($C20&gt;=K$4,$C20&lt;EDATE(K$4,1)),"◆",""))</f>
        <v/>
      </c>
      <c r="L20" s="71" t="str">
        <f aca="false">IF(OR(L$4="",$C20=""),"",IF(AND($C20&gt;=L$4,$C20&lt;EDATE(L$4,1)),"◆",""))</f>
        <v/>
      </c>
      <c r="M20" s="71" t="str">
        <f aca="false">IF(OR(M$4="",$C20=""),"",IF(AND($C20&gt;=M$4,$C20&lt;EDATE(M$4,1)),"◆",""))</f>
        <v/>
      </c>
      <c r="N20" s="71" t="str">
        <f aca="false">IF(OR(N$4="",$C20=""),"",IF(AND($C20&gt;=N$4,$C20&lt;EDATE(N$4,1)),"◆",""))</f>
        <v/>
      </c>
      <c r="O20" s="71" t="str">
        <f aca="false">IF(OR(O$4="",$C20=""),"",IF(AND($C20&gt;=O$4,$C20&lt;EDATE(O$4,1)),"◆",""))</f>
        <v/>
      </c>
      <c r="P20" s="71" t="str">
        <f aca="false">IF(OR(P$4="",$C20=""),"",IF(AND($C20&gt;=P$4,$C20&lt;EDATE(P$4,1)),"◆",""))</f>
        <v/>
      </c>
      <c r="Q20" s="71" t="str">
        <f aca="false">IF(OR(Q$4="",$C20=""),"",IF(AND($C20&gt;=Q$4,$C20&lt;EDATE(Q$4,1)),"◆",""))</f>
        <v/>
      </c>
      <c r="R20" s="71" t="str">
        <f aca="false">IF(OR(R$4="",$C20=""),"",IF(AND($C20&gt;=R$4,$C20&lt;EDATE(R$4,1)),"◆",""))</f>
        <v/>
      </c>
      <c r="S20" s="71" t="str">
        <f aca="false">IF(OR(S$4="",$C20=""),"",IF(AND($C20&gt;=S$4,$C20&lt;EDATE(S$4,1)),"◆",""))</f>
        <v/>
      </c>
      <c r="T20" s="71" t="str">
        <f aca="false">IF(OR(T$4="",$C20=""),"",IF(AND($C20&gt;=T$4,$C20&lt;EDATE(T$4,1)),"◆",""))</f>
        <v/>
      </c>
      <c r="U20" s="71" t="str">
        <f aca="false">IF(OR(U$4="",$C20=""),"",IF(AND($C20&gt;=U$4,$C20&lt;EDATE(U$4,1)),"◆",""))</f>
        <v/>
      </c>
      <c r="V20" s="71" t="str">
        <f aca="false">IF(OR(V$4="",$C20=""),"",IF(AND($C20&gt;=V$4,$C20&lt;EDATE(V$4,1)),"◆",""))</f>
        <v/>
      </c>
      <c r="W20" s="71" t="str">
        <f aca="false">IF(OR(W$4="",$C20=""),"",IF(AND($C20&gt;=W$4,$C20&lt;EDATE(W$4,1)),"◆",""))</f>
        <v/>
      </c>
      <c r="X20" s="71" t="str">
        <f aca="false">IF(OR(X$4="",$C20=""),"",IF(AND($C20&gt;=X$4,$C20&lt;EDATE(X$4,1)),"◆",""))</f>
        <v/>
      </c>
      <c r="Y20" s="71" t="str">
        <f aca="false">IF(OR(Y$4="",$C20=""),"",IF(AND($C20&gt;=Y$4,$C20&lt;EDATE(Y$4,1)),"◆",""))</f>
        <v/>
      </c>
      <c r="Z20" s="71" t="str">
        <f aca="false">IF(OR(Z$4="",$C20=""),"",IF(AND($C20&gt;=Z$4,$C20&lt;EDATE(Z$4,1)),"◆",""))</f>
        <v/>
      </c>
      <c r="AA20" s="71" t="str">
        <f aca="false">IF(OR(AA$4="",$C20=""),"",IF(AND($C20&gt;=AA$4,$C20&lt;EDATE(AA$4,1)),"◆",""))</f>
        <v/>
      </c>
      <c r="AB20" s="71" t="str">
        <f aca="false">IF(OR(AB$4="",$C20=""),"",IF(AND($C20&gt;=AB$4,$C20&lt;EDATE(AB$4,1)),"◆",""))</f>
        <v/>
      </c>
      <c r="AC20" s="71" t="str">
        <f aca="false">IF(OR(AC$4="",$C20=""),"",IF(AND($C20&gt;=AC$4,$C20&lt;EDATE(AC$4,1)),"◆",""))</f>
        <v/>
      </c>
      <c r="AD20" s="71" t="str">
        <f aca="false">IF(OR(AD$4="",$C20=""),"",IF(AND($C20&gt;=AD$4,$C20&lt;EDATE(AD$4,1)),"◆",""))</f>
        <v/>
      </c>
      <c r="AE20" s="71" t="str">
        <f aca="false">IF(OR(AE$4="",$C20=""),"",IF(AND($C20&gt;=AE$4,$C20&lt;EDATE(AE$4,1)),"◆",""))</f>
        <v/>
      </c>
      <c r="AF20" s="71" t="str">
        <f aca="false">IF(OR(AF$4="",$C20=""),"",IF(AND($C20&gt;=AF$4,$C20&lt;EDATE(AF$4,1)),"◆",""))</f>
        <v/>
      </c>
      <c r="AG20" s="71" t="str">
        <f aca="false">IF(OR(AG$4="",$C20=""),"",IF(AND($C20&gt;=AG$4,$C20&lt;EDATE(AG$4,1)),"◆",""))</f>
        <v/>
      </c>
      <c r="AH20" s="71" t="str">
        <f aca="false">IF(OR(AH$4="",$C20=""),"",IF(AND($C20&gt;=AH$4,$C20&lt;EDATE(AH$4,1)),"◆",""))</f>
        <v/>
      </c>
      <c r="AI20" s="71" t="str">
        <f aca="false">IF(OR(AI$4="",$C20=""),"",IF(AND($C20&gt;=AI$4,$C20&lt;EDATE(AI$4,1)),"◆",""))</f>
        <v/>
      </c>
      <c r="AJ20" s="71" t="str">
        <f aca="false">IF(OR(AJ$4="",$C20=""),"",IF(AND($C20&gt;=AJ$4,$C20&lt;EDATE(AJ$4,1)),"◆",""))</f>
        <v/>
      </c>
      <c r="AK20" s="71" t="str">
        <f aca="false">IF(OR(AK$4="",$C20=""),"",IF(AND($C20&gt;=AK$4,$C20&lt;EDATE(AK$4,1)),"◆",""))</f>
        <v/>
      </c>
      <c r="AL20" s="71" t="str">
        <f aca="false">IF(OR(AL$4="",$C20=""),"",IF(AND($C20&gt;=AL$4,$C20&lt;EDATE(AL$4,1)),"◆",""))</f>
        <v/>
      </c>
      <c r="AM20" s="71" t="str">
        <f aca="false">IF(OR(AM$4="",$C20=""),"",IF(AND($C20&gt;=AM$4,$C20&lt;EDATE(AM$4,1)),"◆",""))</f>
        <v/>
      </c>
      <c r="AN20" s="71" t="str">
        <f aca="false">IF(OR(AN$4="",$C20=""),"",IF(AND($C20&gt;=AN$4,$C20&lt;EDATE(AN$4,1)),"◆",""))</f>
        <v/>
      </c>
      <c r="AO20" s="71" t="str">
        <f aca="false">IF(OR(AO$4="",$C20=""),"",IF(AND($C20&gt;=AO$4,$C20&lt;EDATE(AO$4,1)),"◆",""))</f>
        <v/>
      </c>
      <c r="AP20" s="71" t="str">
        <f aca="false">IF(OR(AP$4="",$C20=""),"",IF(AND($C20&gt;=AP$4,$C20&lt;EDATE(AP$4,1)),"◆",""))</f>
        <v/>
      </c>
      <c r="AQ20" s="71" t="str">
        <f aca="false">IF(OR(AQ$4="",$C20=""),"",IF(AND($C20&gt;=AQ$4,$C20&lt;EDATE(AQ$4,1)),"◆",""))</f>
        <v/>
      </c>
      <c r="AR20" s="71" t="str">
        <f aca="false">IF(OR(AR$4="",$C20=""),"",IF(AND($C20&gt;=AR$4,$C20&lt;EDATE(AR$4,1)),"◆",""))</f>
        <v/>
      </c>
      <c r="AS20" s="71" t="str">
        <f aca="false">IF(OR(AS$4="",$C20=""),"",IF(AND($C20&gt;=AS$4,$C20&lt;EDATE(AS$4,1)),"◆",""))</f>
        <v/>
      </c>
      <c r="AT20" s="71" t="str">
        <f aca="false">IF(OR(AT$4="",$C20=""),"",IF(AND($C20&gt;=AT$4,$C20&lt;EDATE(AT$4,1)),"◆",""))</f>
        <v/>
      </c>
      <c r="AU20" s="71" t="str">
        <f aca="false">IF(OR(AU$4="",$C20=""),"",IF(AND($C20&gt;=AU$4,$C20&lt;EDATE(AU$4,1)),"◆",""))</f>
        <v/>
      </c>
      <c r="AV20" s="71" t="str">
        <f aca="false">IF(OR(AV$4="",$C20=""),"",IF(AND($C20&gt;=AV$4,$C20&lt;EDATE(AV$4,1)),"◆",""))</f>
        <v/>
      </c>
      <c r="AW20" s="71" t="str">
        <f aca="false">IF(OR(AW$4="",$C20=""),"",IF(AND($C20&gt;=AW$4,$C20&lt;EDATE(AW$4,1)),"◆",""))</f>
        <v/>
      </c>
      <c r="AX20" s="71" t="str">
        <f aca="false">IF(OR(AX$4="",$C20=""),"",IF(AND($C20&gt;=AX$4,$C20&lt;EDATE(AX$4,1)),"◆",""))</f>
        <v/>
      </c>
      <c r="AY20" s="71" t="str">
        <f aca="false">IF(OR(AY$4="",$C20=""),"",IF(AND($C20&gt;=AY$4,$C20&lt;EDATE(AY$4,1)),"◆",""))</f>
        <v/>
      </c>
      <c r="AZ20" s="71" t="str">
        <f aca="false">IF(OR(AZ$4="",$C20=""),"",IF(AND($C20&gt;=AZ$4,$C20&lt;EDATE(AZ$4,1)),"◆",""))</f>
        <v/>
      </c>
      <c r="BA20" s="71" t="str">
        <f aca="false">IF(OR(BA$4="",$C20=""),"",IF(AND($C20&gt;=BA$4,$C20&lt;EDATE(BA$4,1)),"◆",""))</f>
        <v/>
      </c>
      <c r="BB20" s="71" t="str">
        <f aca="false">IF(OR(BB$4="",$C20=""),"",IF(AND($C20&gt;=BB$4,$C20&lt;EDATE(BB$4,1)),"◆",""))</f>
        <v/>
      </c>
      <c r="BC20" s="71" t="str">
        <f aca="false">IF(OR(BC$4="",$C20=""),"",IF(AND($C20&gt;=BC$4,$C20&lt;EDATE(BC$4,1)),"◆",""))</f>
        <v/>
      </c>
      <c r="BD20" s="71" t="str">
        <f aca="false">IF(OR(BD$4="",$C20=""),"",IF(AND($C20&gt;=BD$4,$C20&lt;EDATE(BD$4,1)),"◆",""))</f>
        <v/>
      </c>
      <c r="BE20" s="71" t="str">
        <f aca="false">IF(OR(BE$4="",$C20=""),"",IF(AND($C20&gt;=BE$4,$C20&lt;EDATE(BE$4,1)),"◆",""))</f>
        <v/>
      </c>
      <c r="BF20" s="71" t="str">
        <f aca="false">IF(OR(BF$4="",$C20=""),"",IF(AND($C20&gt;=BF$4,$C20&lt;EDATE(BF$4,1)),"◆",""))</f>
        <v/>
      </c>
      <c r="BG20" s="71" t="str">
        <f aca="false">IF(OR(BG$4="",$C20=""),"",IF(AND($C20&gt;=BG$4,$C20&lt;EDATE(BG$4,1)),"◆",""))</f>
        <v/>
      </c>
      <c r="BH20" s="71" t="str">
        <f aca="false">IF(OR(BH$4="",$C20=""),"",IF(AND($C20&gt;=BH$4,$C20&lt;EDATE(BH$4,1)),"◆",""))</f>
        <v/>
      </c>
      <c r="BI20" s="71" t="str">
        <f aca="false">IF(OR(BI$4="",$C20=""),"",IF(AND($C20&gt;=BI$4,$C20&lt;EDATE(BI$4,1)),"◆",""))</f>
        <v/>
      </c>
      <c r="BJ20" s="71" t="str">
        <f aca="false">IF(OR(BJ$4="",$C20=""),"",IF(AND($C20&gt;=BJ$4,$C20&lt;EDATE(BJ$4,1)),"◆",""))</f>
        <v/>
      </c>
      <c r="BK20" s="71" t="str">
        <f aca="false">IF(OR(BK$4="",$C20=""),"",IF(AND($C20&gt;=BK$4,$C20&lt;EDATE(BK$4,1)),"◆",""))</f>
        <v/>
      </c>
      <c r="BL20" s="71" t="str">
        <f aca="false">IF(OR(BL$4="",$C20=""),"",IF(AND($C20&gt;=BL$4,$C20&lt;EDATE(BL$4,1)),"◆",""))</f>
        <v/>
      </c>
      <c r="BM20" s="71" t="str">
        <f aca="false">IF(OR(BM$4="",$C20=""),"",IF(AND($C20&gt;=BM$4,$C20&lt;EDATE(BM$4,1)),"◆",""))</f>
        <v/>
      </c>
      <c r="BN20" s="71" t="str">
        <f aca="false">IF(OR(BN$4="",$C20=""),"",IF(AND($C20&gt;=BN$4,$C20&lt;EDATE(BN$4,1)),"◆",""))</f>
        <v/>
      </c>
      <c r="BO20" s="71" t="str">
        <f aca="false">IF(OR(BO$4="",$C20=""),"",IF(AND($C20&gt;=BO$4,$C20&lt;EDATE(BO$4,1)),"◆",""))</f>
        <v/>
      </c>
      <c r="BP20" s="71" t="str">
        <f aca="false">IF(OR(BP$4="",$C20=""),"",IF(AND($C20&gt;=BP$4,$C20&lt;EDATE(BP$4,1)),"◆",""))</f>
        <v/>
      </c>
      <c r="BQ20" s="71" t="str">
        <f aca="false">IF(OR(BQ$4="",$C20=""),"",IF(AND($C20&gt;=BQ$4,$C20&lt;EDATE(BQ$4,1)),"◆",""))</f>
        <v/>
      </c>
      <c r="BR20" s="71" t="str">
        <f aca="false">IF(OR(BR$4="",$C20=""),"",IF(AND($C20&gt;=BR$4,$C20&lt;EDATE(BR$4,1)),"◆",""))</f>
        <v/>
      </c>
      <c r="BS20" s="71" t="str">
        <f aca="false">IF(OR(BS$4="",$C20=""),"",IF(AND($C20&gt;=BS$4,$C20&lt;EDATE(BS$4,1)),"◆",""))</f>
        <v/>
      </c>
      <c r="BT20" s="71" t="str">
        <f aca="false">IF(OR(BT$4="",$C20=""),"",IF(AND($C20&gt;=BT$4,$C20&lt;EDATE(BT$4,1)),"◆",""))</f>
        <v/>
      </c>
      <c r="BU20" s="71" t="str">
        <f aca="false">IF(OR(BU$4="",$C20=""),"",IF(AND($C20&gt;=BU$4,$C20&lt;EDATE(BU$4,1)),"◆",""))</f>
        <v/>
      </c>
      <c r="BV20" s="71" t="str">
        <f aca="false">IF(OR(BV$4="",$C20=""),"",IF(AND($C20&gt;=BV$4,$C20&lt;EDATE(BV$4,1)),"◆",""))</f>
        <v/>
      </c>
      <c r="BW20" s="71" t="str">
        <f aca="false">IF(OR(BW$4="",$C20=""),"",IF(AND($C20&gt;=BW$4,$C20&lt;EDATE(BW$4,1)),"◆",""))</f>
        <v/>
      </c>
      <c r="BX20" s="71" t="str">
        <f aca="false">IF(OR(BX$4="",$C20=""),"",IF(AND($C20&gt;=BX$4,$C20&lt;EDATE(BX$4,1)),"◆",""))</f>
        <v/>
      </c>
      <c r="BY20" s="71" t="str">
        <f aca="false">IF(OR(BY$4="",$C20=""),"",IF(AND($C20&gt;=BY$4,$C20&lt;EDATE(BY$4,1)),"◆",""))</f>
        <v/>
      </c>
    </row>
    <row r="21" customFormat="false" ht="15" hidden="false" customHeight="false" outlineLevel="0" collapsed="false">
      <c r="A21" s="4"/>
      <c r="B21" s="61" t="str">
        <f aca="false">IF(Milestones!$B20="","",Milestones!$B20)</f>
        <v/>
      </c>
      <c r="C21" s="62" t="str">
        <f aca="false">IF(Milestones!$E20="","",Milestones!$E20)</f>
        <v/>
      </c>
      <c r="D21" s="4"/>
      <c r="E21" s="4"/>
      <c r="F21" s="71" t="str">
        <f aca="false">IF(OR(F$4="",$C21=""),"",IF(AND($C21&gt;=F$4,$C21&lt;EDATE(F$4,1)),"◆",""))</f>
        <v/>
      </c>
      <c r="G21" s="71" t="str">
        <f aca="false">IF(OR(G$4="",$C21=""),"",IF(AND($C21&gt;=G$4,$C21&lt;EDATE(G$4,1)),"◆",""))</f>
        <v/>
      </c>
      <c r="H21" s="71" t="str">
        <f aca="false">IF(OR(H$4="",$C21=""),"",IF(AND($C21&gt;=H$4,$C21&lt;EDATE(H$4,1)),"◆",""))</f>
        <v/>
      </c>
      <c r="I21" s="71" t="str">
        <f aca="false">IF(OR(I$4="",$C21=""),"",IF(AND($C21&gt;=I$4,$C21&lt;EDATE(I$4,1)),"◆",""))</f>
        <v/>
      </c>
      <c r="J21" s="71" t="str">
        <f aca="false">IF(OR(J$4="",$C21=""),"",IF(AND($C21&gt;=J$4,$C21&lt;EDATE(J$4,1)),"◆",""))</f>
        <v/>
      </c>
      <c r="K21" s="71" t="str">
        <f aca="false">IF(OR(K$4="",$C21=""),"",IF(AND($C21&gt;=K$4,$C21&lt;EDATE(K$4,1)),"◆",""))</f>
        <v/>
      </c>
      <c r="L21" s="71" t="str">
        <f aca="false">IF(OR(L$4="",$C21=""),"",IF(AND($C21&gt;=L$4,$C21&lt;EDATE(L$4,1)),"◆",""))</f>
        <v/>
      </c>
      <c r="M21" s="71" t="str">
        <f aca="false">IF(OR(M$4="",$C21=""),"",IF(AND($C21&gt;=M$4,$C21&lt;EDATE(M$4,1)),"◆",""))</f>
        <v/>
      </c>
      <c r="N21" s="71" t="str">
        <f aca="false">IF(OR(N$4="",$C21=""),"",IF(AND($C21&gt;=N$4,$C21&lt;EDATE(N$4,1)),"◆",""))</f>
        <v/>
      </c>
      <c r="O21" s="71" t="str">
        <f aca="false">IF(OR(O$4="",$C21=""),"",IF(AND($C21&gt;=O$4,$C21&lt;EDATE(O$4,1)),"◆",""))</f>
        <v/>
      </c>
      <c r="P21" s="71" t="str">
        <f aca="false">IF(OR(P$4="",$C21=""),"",IF(AND($C21&gt;=P$4,$C21&lt;EDATE(P$4,1)),"◆",""))</f>
        <v/>
      </c>
      <c r="Q21" s="71" t="str">
        <f aca="false">IF(OR(Q$4="",$C21=""),"",IF(AND($C21&gt;=Q$4,$C21&lt;EDATE(Q$4,1)),"◆",""))</f>
        <v/>
      </c>
      <c r="R21" s="71" t="str">
        <f aca="false">IF(OR(R$4="",$C21=""),"",IF(AND($C21&gt;=R$4,$C21&lt;EDATE(R$4,1)),"◆",""))</f>
        <v/>
      </c>
      <c r="S21" s="71" t="str">
        <f aca="false">IF(OR(S$4="",$C21=""),"",IF(AND($C21&gt;=S$4,$C21&lt;EDATE(S$4,1)),"◆",""))</f>
        <v/>
      </c>
      <c r="T21" s="71" t="str">
        <f aca="false">IF(OR(T$4="",$C21=""),"",IF(AND($C21&gt;=T$4,$C21&lt;EDATE(T$4,1)),"◆",""))</f>
        <v/>
      </c>
      <c r="U21" s="71" t="str">
        <f aca="false">IF(OR(U$4="",$C21=""),"",IF(AND($C21&gt;=U$4,$C21&lt;EDATE(U$4,1)),"◆",""))</f>
        <v/>
      </c>
      <c r="V21" s="71" t="str">
        <f aca="false">IF(OR(V$4="",$C21=""),"",IF(AND($C21&gt;=V$4,$C21&lt;EDATE(V$4,1)),"◆",""))</f>
        <v/>
      </c>
      <c r="W21" s="71" t="str">
        <f aca="false">IF(OR(W$4="",$C21=""),"",IF(AND($C21&gt;=W$4,$C21&lt;EDATE(W$4,1)),"◆",""))</f>
        <v/>
      </c>
      <c r="X21" s="71" t="str">
        <f aca="false">IF(OR(X$4="",$C21=""),"",IF(AND($C21&gt;=X$4,$C21&lt;EDATE(X$4,1)),"◆",""))</f>
        <v/>
      </c>
      <c r="Y21" s="71" t="str">
        <f aca="false">IF(OR(Y$4="",$C21=""),"",IF(AND($C21&gt;=Y$4,$C21&lt;EDATE(Y$4,1)),"◆",""))</f>
        <v/>
      </c>
      <c r="Z21" s="71" t="str">
        <f aca="false">IF(OR(Z$4="",$C21=""),"",IF(AND($C21&gt;=Z$4,$C21&lt;EDATE(Z$4,1)),"◆",""))</f>
        <v/>
      </c>
      <c r="AA21" s="71" t="str">
        <f aca="false">IF(OR(AA$4="",$C21=""),"",IF(AND($C21&gt;=AA$4,$C21&lt;EDATE(AA$4,1)),"◆",""))</f>
        <v/>
      </c>
      <c r="AB21" s="71" t="str">
        <f aca="false">IF(OR(AB$4="",$C21=""),"",IF(AND($C21&gt;=AB$4,$C21&lt;EDATE(AB$4,1)),"◆",""))</f>
        <v/>
      </c>
      <c r="AC21" s="71" t="str">
        <f aca="false">IF(OR(AC$4="",$C21=""),"",IF(AND($C21&gt;=AC$4,$C21&lt;EDATE(AC$4,1)),"◆",""))</f>
        <v/>
      </c>
      <c r="AD21" s="71" t="str">
        <f aca="false">IF(OR(AD$4="",$C21=""),"",IF(AND($C21&gt;=AD$4,$C21&lt;EDATE(AD$4,1)),"◆",""))</f>
        <v/>
      </c>
      <c r="AE21" s="71" t="str">
        <f aca="false">IF(OR(AE$4="",$C21=""),"",IF(AND($C21&gt;=AE$4,$C21&lt;EDATE(AE$4,1)),"◆",""))</f>
        <v/>
      </c>
      <c r="AF21" s="71" t="str">
        <f aca="false">IF(OR(AF$4="",$C21=""),"",IF(AND($C21&gt;=AF$4,$C21&lt;EDATE(AF$4,1)),"◆",""))</f>
        <v/>
      </c>
      <c r="AG21" s="71" t="str">
        <f aca="false">IF(OR(AG$4="",$C21=""),"",IF(AND($C21&gt;=AG$4,$C21&lt;EDATE(AG$4,1)),"◆",""))</f>
        <v/>
      </c>
      <c r="AH21" s="71" t="str">
        <f aca="false">IF(OR(AH$4="",$C21=""),"",IF(AND($C21&gt;=AH$4,$C21&lt;EDATE(AH$4,1)),"◆",""))</f>
        <v/>
      </c>
      <c r="AI21" s="71" t="str">
        <f aca="false">IF(OR(AI$4="",$C21=""),"",IF(AND($C21&gt;=AI$4,$C21&lt;EDATE(AI$4,1)),"◆",""))</f>
        <v/>
      </c>
      <c r="AJ21" s="71" t="str">
        <f aca="false">IF(OR(AJ$4="",$C21=""),"",IF(AND($C21&gt;=AJ$4,$C21&lt;EDATE(AJ$4,1)),"◆",""))</f>
        <v/>
      </c>
      <c r="AK21" s="71" t="str">
        <f aca="false">IF(OR(AK$4="",$C21=""),"",IF(AND($C21&gt;=AK$4,$C21&lt;EDATE(AK$4,1)),"◆",""))</f>
        <v/>
      </c>
      <c r="AL21" s="71" t="str">
        <f aca="false">IF(OR(AL$4="",$C21=""),"",IF(AND($C21&gt;=AL$4,$C21&lt;EDATE(AL$4,1)),"◆",""))</f>
        <v/>
      </c>
      <c r="AM21" s="71" t="str">
        <f aca="false">IF(OR(AM$4="",$C21=""),"",IF(AND($C21&gt;=AM$4,$C21&lt;EDATE(AM$4,1)),"◆",""))</f>
        <v/>
      </c>
      <c r="AN21" s="71" t="str">
        <f aca="false">IF(OR(AN$4="",$C21=""),"",IF(AND($C21&gt;=AN$4,$C21&lt;EDATE(AN$4,1)),"◆",""))</f>
        <v/>
      </c>
      <c r="AO21" s="71" t="str">
        <f aca="false">IF(OR(AO$4="",$C21=""),"",IF(AND($C21&gt;=AO$4,$C21&lt;EDATE(AO$4,1)),"◆",""))</f>
        <v/>
      </c>
      <c r="AP21" s="71" t="str">
        <f aca="false">IF(OR(AP$4="",$C21=""),"",IF(AND($C21&gt;=AP$4,$C21&lt;EDATE(AP$4,1)),"◆",""))</f>
        <v/>
      </c>
      <c r="AQ21" s="71" t="str">
        <f aca="false">IF(OR(AQ$4="",$C21=""),"",IF(AND($C21&gt;=AQ$4,$C21&lt;EDATE(AQ$4,1)),"◆",""))</f>
        <v/>
      </c>
      <c r="AR21" s="71" t="str">
        <f aca="false">IF(OR(AR$4="",$C21=""),"",IF(AND($C21&gt;=AR$4,$C21&lt;EDATE(AR$4,1)),"◆",""))</f>
        <v/>
      </c>
      <c r="AS21" s="71" t="str">
        <f aca="false">IF(OR(AS$4="",$C21=""),"",IF(AND($C21&gt;=AS$4,$C21&lt;EDATE(AS$4,1)),"◆",""))</f>
        <v/>
      </c>
      <c r="AT21" s="71" t="str">
        <f aca="false">IF(OR(AT$4="",$C21=""),"",IF(AND($C21&gt;=AT$4,$C21&lt;EDATE(AT$4,1)),"◆",""))</f>
        <v/>
      </c>
      <c r="AU21" s="71" t="str">
        <f aca="false">IF(OR(AU$4="",$C21=""),"",IF(AND($C21&gt;=AU$4,$C21&lt;EDATE(AU$4,1)),"◆",""))</f>
        <v/>
      </c>
      <c r="AV21" s="71" t="str">
        <f aca="false">IF(OR(AV$4="",$C21=""),"",IF(AND($C21&gt;=AV$4,$C21&lt;EDATE(AV$4,1)),"◆",""))</f>
        <v/>
      </c>
      <c r="AW21" s="71" t="str">
        <f aca="false">IF(OR(AW$4="",$C21=""),"",IF(AND($C21&gt;=AW$4,$C21&lt;EDATE(AW$4,1)),"◆",""))</f>
        <v/>
      </c>
      <c r="AX21" s="71" t="str">
        <f aca="false">IF(OR(AX$4="",$C21=""),"",IF(AND($C21&gt;=AX$4,$C21&lt;EDATE(AX$4,1)),"◆",""))</f>
        <v/>
      </c>
      <c r="AY21" s="71" t="str">
        <f aca="false">IF(OR(AY$4="",$C21=""),"",IF(AND($C21&gt;=AY$4,$C21&lt;EDATE(AY$4,1)),"◆",""))</f>
        <v/>
      </c>
      <c r="AZ21" s="71" t="str">
        <f aca="false">IF(OR(AZ$4="",$C21=""),"",IF(AND($C21&gt;=AZ$4,$C21&lt;EDATE(AZ$4,1)),"◆",""))</f>
        <v/>
      </c>
      <c r="BA21" s="71" t="str">
        <f aca="false">IF(OR(BA$4="",$C21=""),"",IF(AND($C21&gt;=BA$4,$C21&lt;EDATE(BA$4,1)),"◆",""))</f>
        <v/>
      </c>
      <c r="BB21" s="71" t="str">
        <f aca="false">IF(OR(BB$4="",$C21=""),"",IF(AND($C21&gt;=BB$4,$C21&lt;EDATE(BB$4,1)),"◆",""))</f>
        <v/>
      </c>
      <c r="BC21" s="71" t="str">
        <f aca="false">IF(OR(BC$4="",$C21=""),"",IF(AND($C21&gt;=BC$4,$C21&lt;EDATE(BC$4,1)),"◆",""))</f>
        <v/>
      </c>
      <c r="BD21" s="71" t="str">
        <f aca="false">IF(OR(BD$4="",$C21=""),"",IF(AND($C21&gt;=BD$4,$C21&lt;EDATE(BD$4,1)),"◆",""))</f>
        <v/>
      </c>
      <c r="BE21" s="71" t="str">
        <f aca="false">IF(OR(BE$4="",$C21=""),"",IF(AND($C21&gt;=BE$4,$C21&lt;EDATE(BE$4,1)),"◆",""))</f>
        <v/>
      </c>
      <c r="BF21" s="71" t="str">
        <f aca="false">IF(OR(BF$4="",$C21=""),"",IF(AND($C21&gt;=BF$4,$C21&lt;EDATE(BF$4,1)),"◆",""))</f>
        <v/>
      </c>
      <c r="BG21" s="71" t="str">
        <f aca="false">IF(OR(BG$4="",$C21=""),"",IF(AND($C21&gt;=BG$4,$C21&lt;EDATE(BG$4,1)),"◆",""))</f>
        <v/>
      </c>
      <c r="BH21" s="71" t="str">
        <f aca="false">IF(OR(BH$4="",$C21=""),"",IF(AND($C21&gt;=BH$4,$C21&lt;EDATE(BH$4,1)),"◆",""))</f>
        <v/>
      </c>
      <c r="BI21" s="71" t="str">
        <f aca="false">IF(OR(BI$4="",$C21=""),"",IF(AND($C21&gt;=BI$4,$C21&lt;EDATE(BI$4,1)),"◆",""))</f>
        <v/>
      </c>
      <c r="BJ21" s="71" t="str">
        <f aca="false">IF(OR(BJ$4="",$C21=""),"",IF(AND($C21&gt;=BJ$4,$C21&lt;EDATE(BJ$4,1)),"◆",""))</f>
        <v/>
      </c>
      <c r="BK21" s="71" t="str">
        <f aca="false">IF(OR(BK$4="",$C21=""),"",IF(AND($C21&gt;=BK$4,$C21&lt;EDATE(BK$4,1)),"◆",""))</f>
        <v/>
      </c>
      <c r="BL21" s="71" t="str">
        <f aca="false">IF(OR(BL$4="",$C21=""),"",IF(AND($C21&gt;=BL$4,$C21&lt;EDATE(BL$4,1)),"◆",""))</f>
        <v/>
      </c>
      <c r="BM21" s="71" t="str">
        <f aca="false">IF(OR(BM$4="",$C21=""),"",IF(AND($C21&gt;=BM$4,$C21&lt;EDATE(BM$4,1)),"◆",""))</f>
        <v/>
      </c>
      <c r="BN21" s="71" t="str">
        <f aca="false">IF(OR(BN$4="",$C21=""),"",IF(AND($C21&gt;=BN$4,$C21&lt;EDATE(BN$4,1)),"◆",""))</f>
        <v/>
      </c>
      <c r="BO21" s="71" t="str">
        <f aca="false">IF(OR(BO$4="",$C21=""),"",IF(AND($C21&gt;=BO$4,$C21&lt;EDATE(BO$4,1)),"◆",""))</f>
        <v/>
      </c>
      <c r="BP21" s="71" t="str">
        <f aca="false">IF(OR(BP$4="",$C21=""),"",IF(AND($C21&gt;=BP$4,$C21&lt;EDATE(BP$4,1)),"◆",""))</f>
        <v/>
      </c>
      <c r="BQ21" s="71" t="str">
        <f aca="false">IF(OR(BQ$4="",$C21=""),"",IF(AND($C21&gt;=BQ$4,$C21&lt;EDATE(BQ$4,1)),"◆",""))</f>
        <v/>
      </c>
      <c r="BR21" s="71" t="str">
        <f aca="false">IF(OR(BR$4="",$C21=""),"",IF(AND($C21&gt;=BR$4,$C21&lt;EDATE(BR$4,1)),"◆",""))</f>
        <v/>
      </c>
      <c r="BS21" s="71" t="str">
        <f aca="false">IF(OR(BS$4="",$C21=""),"",IF(AND($C21&gt;=BS$4,$C21&lt;EDATE(BS$4,1)),"◆",""))</f>
        <v/>
      </c>
      <c r="BT21" s="71" t="str">
        <f aca="false">IF(OR(BT$4="",$C21=""),"",IF(AND($C21&gt;=BT$4,$C21&lt;EDATE(BT$4,1)),"◆",""))</f>
        <v/>
      </c>
      <c r="BU21" s="71" t="str">
        <f aca="false">IF(OR(BU$4="",$C21=""),"",IF(AND($C21&gt;=BU$4,$C21&lt;EDATE(BU$4,1)),"◆",""))</f>
        <v/>
      </c>
      <c r="BV21" s="71" t="str">
        <f aca="false">IF(OR(BV$4="",$C21=""),"",IF(AND($C21&gt;=BV$4,$C21&lt;EDATE(BV$4,1)),"◆",""))</f>
        <v/>
      </c>
      <c r="BW21" s="71" t="str">
        <f aca="false">IF(OR(BW$4="",$C21=""),"",IF(AND($C21&gt;=BW$4,$C21&lt;EDATE(BW$4,1)),"◆",""))</f>
        <v/>
      </c>
      <c r="BX21" s="71" t="str">
        <f aca="false">IF(OR(BX$4="",$C21=""),"",IF(AND($C21&gt;=BX$4,$C21&lt;EDATE(BX$4,1)),"◆",""))</f>
        <v/>
      </c>
      <c r="BY21" s="71" t="str">
        <f aca="false">IF(OR(BY$4="",$C21=""),"",IF(AND($C21&gt;=BY$4,$C21&lt;EDATE(BY$4,1)),"◆",""))</f>
        <v/>
      </c>
    </row>
    <row r="22" customFormat="false" ht="15" hidden="false" customHeight="false" outlineLevel="0" collapsed="false">
      <c r="A22" s="4"/>
      <c r="B22" s="61" t="str">
        <f aca="false">IF(Milestones!$B21="","",Milestones!$B21)</f>
        <v/>
      </c>
      <c r="C22" s="62" t="str">
        <f aca="false">IF(Milestones!$E21="","",Milestones!$E21)</f>
        <v/>
      </c>
      <c r="D22" s="4"/>
      <c r="E22" s="4"/>
      <c r="F22" s="71" t="str">
        <f aca="false">IF(OR(F$4="",$C22=""),"",IF(AND($C22&gt;=F$4,$C22&lt;EDATE(F$4,1)),"◆",""))</f>
        <v/>
      </c>
      <c r="G22" s="71" t="str">
        <f aca="false">IF(OR(G$4="",$C22=""),"",IF(AND($C22&gt;=G$4,$C22&lt;EDATE(G$4,1)),"◆",""))</f>
        <v/>
      </c>
      <c r="H22" s="71" t="str">
        <f aca="false">IF(OR(H$4="",$C22=""),"",IF(AND($C22&gt;=H$4,$C22&lt;EDATE(H$4,1)),"◆",""))</f>
        <v/>
      </c>
      <c r="I22" s="71" t="str">
        <f aca="false">IF(OR(I$4="",$C22=""),"",IF(AND($C22&gt;=I$4,$C22&lt;EDATE(I$4,1)),"◆",""))</f>
        <v/>
      </c>
      <c r="J22" s="71" t="str">
        <f aca="false">IF(OR(J$4="",$C22=""),"",IF(AND($C22&gt;=J$4,$C22&lt;EDATE(J$4,1)),"◆",""))</f>
        <v/>
      </c>
      <c r="K22" s="71" t="str">
        <f aca="false">IF(OR(K$4="",$C22=""),"",IF(AND($C22&gt;=K$4,$C22&lt;EDATE(K$4,1)),"◆",""))</f>
        <v/>
      </c>
      <c r="L22" s="71" t="str">
        <f aca="false">IF(OR(L$4="",$C22=""),"",IF(AND($C22&gt;=L$4,$C22&lt;EDATE(L$4,1)),"◆",""))</f>
        <v/>
      </c>
      <c r="M22" s="71" t="str">
        <f aca="false">IF(OR(M$4="",$C22=""),"",IF(AND($C22&gt;=M$4,$C22&lt;EDATE(M$4,1)),"◆",""))</f>
        <v/>
      </c>
      <c r="N22" s="71" t="str">
        <f aca="false">IF(OR(N$4="",$C22=""),"",IF(AND($C22&gt;=N$4,$C22&lt;EDATE(N$4,1)),"◆",""))</f>
        <v/>
      </c>
      <c r="O22" s="71" t="str">
        <f aca="false">IF(OR(O$4="",$C22=""),"",IF(AND($C22&gt;=O$4,$C22&lt;EDATE(O$4,1)),"◆",""))</f>
        <v/>
      </c>
      <c r="P22" s="71" t="str">
        <f aca="false">IF(OR(P$4="",$C22=""),"",IF(AND($C22&gt;=P$4,$C22&lt;EDATE(P$4,1)),"◆",""))</f>
        <v/>
      </c>
      <c r="Q22" s="71" t="str">
        <f aca="false">IF(OR(Q$4="",$C22=""),"",IF(AND($C22&gt;=Q$4,$C22&lt;EDATE(Q$4,1)),"◆",""))</f>
        <v/>
      </c>
      <c r="R22" s="71" t="str">
        <f aca="false">IF(OR(R$4="",$C22=""),"",IF(AND($C22&gt;=R$4,$C22&lt;EDATE(R$4,1)),"◆",""))</f>
        <v/>
      </c>
      <c r="S22" s="71" t="str">
        <f aca="false">IF(OR(S$4="",$C22=""),"",IF(AND($C22&gt;=S$4,$C22&lt;EDATE(S$4,1)),"◆",""))</f>
        <v/>
      </c>
      <c r="T22" s="71" t="str">
        <f aca="false">IF(OR(T$4="",$C22=""),"",IF(AND($C22&gt;=T$4,$C22&lt;EDATE(T$4,1)),"◆",""))</f>
        <v/>
      </c>
      <c r="U22" s="71" t="str">
        <f aca="false">IF(OR(U$4="",$C22=""),"",IF(AND($C22&gt;=U$4,$C22&lt;EDATE(U$4,1)),"◆",""))</f>
        <v/>
      </c>
      <c r="V22" s="71" t="str">
        <f aca="false">IF(OR(V$4="",$C22=""),"",IF(AND($C22&gt;=V$4,$C22&lt;EDATE(V$4,1)),"◆",""))</f>
        <v/>
      </c>
      <c r="W22" s="71" t="str">
        <f aca="false">IF(OR(W$4="",$C22=""),"",IF(AND($C22&gt;=W$4,$C22&lt;EDATE(W$4,1)),"◆",""))</f>
        <v/>
      </c>
      <c r="X22" s="71" t="str">
        <f aca="false">IF(OR(X$4="",$C22=""),"",IF(AND($C22&gt;=X$4,$C22&lt;EDATE(X$4,1)),"◆",""))</f>
        <v/>
      </c>
      <c r="Y22" s="71" t="str">
        <f aca="false">IF(OR(Y$4="",$C22=""),"",IF(AND($C22&gt;=Y$4,$C22&lt;EDATE(Y$4,1)),"◆",""))</f>
        <v/>
      </c>
      <c r="Z22" s="71" t="str">
        <f aca="false">IF(OR(Z$4="",$C22=""),"",IF(AND($C22&gt;=Z$4,$C22&lt;EDATE(Z$4,1)),"◆",""))</f>
        <v/>
      </c>
      <c r="AA22" s="71" t="str">
        <f aca="false">IF(OR(AA$4="",$C22=""),"",IF(AND($C22&gt;=AA$4,$C22&lt;EDATE(AA$4,1)),"◆",""))</f>
        <v/>
      </c>
      <c r="AB22" s="71" t="str">
        <f aca="false">IF(OR(AB$4="",$C22=""),"",IF(AND($C22&gt;=AB$4,$C22&lt;EDATE(AB$4,1)),"◆",""))</f>
        <v/>
      </c>
      <c r="AC22" s="71" t="str">
        <f aca="false">IF(OR(AC$4="",$C22=""),"",IF(AND($C22&gt;=AC$4,$C22&lt;EDATE(AC$4,1)),"◆",""))</f>
        <v/>
      </c>
      <c r="AD22" s="71" t="str">
        <f aca="false">IF(OR(AD$4="",$C22=""),"",IF(AND($C22&gt;=AD$4,$C22&lt;EDATE(AD$4,1)),"◆",""))</f>
        <v/>
      </c>
      <c r="AE22" s="71" t="str">
        <f aca="false">IF(OR(AE$4="",$C22=""),"",IF(AND($C22&gt;=AE$4,$C22&lt;EDATE(AE$4,1)),"◆",""))</f>
        <v/>
      </c>
      <c r="AF22" s="71" t="str">
        <f aca="false">IF(OR(AF$4="",$C22=""),"",IF(AND($C22&gt;=AF$4,$C22&lt;EDATE(AF$4,1)),"◆",""))</f>
        <v/>
      </c>
      <c r="AG22" s="71" t="str">
        <f aca="false">IF(OR(AG$4="",$C22=""),"",IF(AND($C22&gt;=AG$4,$C22&lt;EDATE(AG$4,1)),"◆",""))</f>
        <v/>
      </c>
      <c r="AH22" s="71" t="str">
        <f aca="false">IF(OR(AH$4="",$C22=""),"",IF(AND($C22&gt;=AH$4,$C22&lt;EDATE(AH$4,1)),"◆",""))</f>
        <v/>
      </c>
      <c r="AI22" s="71" t="str">
        <f aca="false">IF(OR(AI$4="",$C22=""),"",IF(AND($C22&gt;=AI$4,$C22&lt;EDATE(AI$4,1)),"◆",""))</f>
        <v/>
      </c>
      <c r="AJ22" s="71" t="str">
        <f aca="false">IF(OR(AJ$4="",$C22=""),"",IF(AND($C22&gt;=AJ$4,$C22&lt;EDATE(AJ$4,1)),"◆",""))</f>
        <v/>
      </c>
      <c r="AK22" s="71" t="str">
        <f aca="false">IF(OR(AK$4="",$C22=""),"",IF(AND($C22&gt;=AK$4,$C22&lt;EDATE(AK$4,1)),"◆",""))</f>
        <v/>
      </c>
      <c r="AL22" s="71" t="str">
        <f aca="false">IF(OR(AL$4="",$C22=""),"",IF(AND($C22&gt;=AL$4,$C22&lt;EDATE(AL$4,1)),"◆",""))</f>
        <v/>
      </c>
      <c r="AM22" s="71" t="str">
        <f aca="false">IF(OR(AM$4="",$C22=""),"",IF(AND($C22&gt;=AM$4,$C22&lt;EDATE(AM$4,1)),"◆",""))</f>
        <v/>
      </c>
      <c r="AN22" s="71" t="str">
        <f aca="false">IF(OR(AN$4="",$C22=""),"",IF(AND($C22&gt;=AN$4,$C22&lt;EDATE(AN$4,1)),"◆",""))</f>
        <v/>
      </c>
      <c r="AO22" s="71" t="str">
        <f aca="false">IF(OR(AO$4="",$C22=""),"",IF(AND($C22&gt;=AO$4,$C22&lt;EDATE(AO$4,1)),"◆",""))</f>
        <v/>
      </c>
      <c r="AP22" s="71" t="str">
        <f aca="false">IF(OR(AP$4="",$C22=""),"",IF(AND($C22&gt;=AP$4,$C22&lt;EDATE(AP$4,1)),"◆",""))</f>
        <v/>
      </c>
      <c r="AQ22" s="71" t="str">
        <f aca="false">IF(OR(AQ$4="",$C22=""),"",IF(AND($C22&gt;=AQ$4,$C22&lt;EDATE(AQ$4,1)),"◆",""))</f>
        <v/>
      </c>
      <c r="AR22" s="71" t="str">
        <f aca="false">IF(OR(AR$4="",$C22=""),"",IF(AND($C22&gt;=AR$4,$C22&lt;EDATE(AR$4,1)),"◆",""))</f>
        <v/>
      </c>
      <c r="AS22" s="71" t="str">
        <f aca="false">IF(OR(AS$4="",$C22=""),"",IF(AND($C22&gt;=AS$4,$C22&lt;EDATE(AS$4,1)),"◆",""))</f>
        <v/>
      </c>
      <c r="AT22" s="71" t="str">
        <f aca="false">IF(OR(AT$4="",$C22=""),"",IF(AND($C22&gt;=AT$4,$C22&lt;EDATE(AT$4,1)),"◆",""))</f>
        <v/>
      </c>
      <c r="AU22" s="71" t="str">
        <f aca="false">IF(OR(AU$4="",$C22=""),"",IF(AND($C22&gt;=AU$4,$C22&lt;EDATE(AU$4,1)),"◆",""))</f>
        <v/>
      </c>
      <c r="AV22" s="71" t="str">
        <f aca="false">IF(OR(AV$4="",$C22=""),"",IF(AND($C22&gt;=AV$4,$C22&lt;EDATE(AV$4,1)),"◆",""))</f>
        <v/>
      </c>
      <c r="AW22" s="71" t="str">
        <f aca="false">IF(OR(AW$4="",$C22=""),"",IF(AND($C22&gt;=AW$4,$C22&lt;EDATE(AW$4,1)),"◆",""))</f>
        <v/>
      </c>
      <c r="AX22" s="71" t="str">
        <f aca="false">IF(OR(AX$4="",$C22=""),"",IF(AND($C22&gt;=AX$4,$C22&lt;EDATE(AX$4,1)),"◆",""))</f>
        <v/>
      </c>
      <c r="AY22" s="71" t="str">
        <f aca="false">IF(OR(AY$4="",$C22=""),"",IF(AND($C22&gt;=AY$4,$C22&lt;EDATE(AY$4,1)),"◆",""))</f>
        <v/>
      </c>
      <c r="AZ22" s="71" t="str">
        <f aca="false">IF(OR(AZ$4="",$C22=""),"",IF(AND($C22&gt;=AZ$4,$C22&lt;EDATE(AZ$4,1)),"◆",""))</f>
        <v/>
      </c>
      <c r="BA22" s="71" t="str">
        <f aca="false">IF(OR(BA$4="",$C22=""),"",IF(AND($C22&gt;=BA$4,$C22&lt;EDATE(BA$4,1)),"◆",""))</f>
        <v/>
      </c>
      <c r="BB22" s="71" t="str">
        <f aca="false">IF(OR(BB$4="",$C22=""),"",IF(AND($C22&gt;=BB$4,$C22&lt;EDATE(BB$4,1)),"◆",""))</f>
        <v/>
      </c>
      <c r="BC22" s="71" t="str">
        <f aca="false">IF(OR(BC$4="",$C22=""),"",IF(AND($C22&gt;=BC$4,$C22&lt;EDATE(BC$4,1)),"◆",""))</f>
        <v/>
      </c>
      <c r="BD22" s="71" t="str">
        <f aca="false">IF(OR(BD$4="",$C22=""),"",IF(AND($C22&gt;=BD$4,$C22&lt;EDATE(BD$4,1)),"◆",""))</f>
        <v/>
      </c>
      <c r="BE22" s="71" t="str">
        <f aca="false">IF(OR(BE$4="",$C22=""),"",IF(AND($C22&gt;=BE$4,$C22&lt;EDATE(BE$4,1)),"◆",""))</f>
        <v/>
      </c>
      <c r="BF22" s="71" t="str">
        <f aca="false">IF(OR(BF$4="",$C22=""),"",IF(AND($C22&gt;=BF$4,$C22&lt;EDATE(BF$4,1)),"◆",""))</f>
        <v/>
      </c>
      <c r="BG22" s="71" t="str">
        <f aca="false">IF(OR(BG$4="",$C22=""),"",IF(AND($C22&gt;=BG$4,$C22&lt;EDATE(BG$4,1)),"◆",""))</f>
        <v/>
      </c>
      <c r="BH22" s="71" t="str">
        <f aca="false">IF(OR(BH$4="",$C22=""),"",IF(AND($C22&gt;=BH$4,$C22&lt;EDATE(BH$4,1)),"◆",""))</f>
        <v/>
      </c>
      <c r="BI22" s="71" t="str">
        <f aca="false">IF(OR(BI$4="",$C22=""),"",IF(AND($C22&gt;=BI$4,$C22&lt;EDATE(BI$4,1)),"◆",""))</f>
        <v/>
      </c>
      <c r="BJ22" s="71" t="str">
        <f aca="false">IF(OR(BJ$4="",$C22=""),"",IF(AND($C22&gt;=BJ$4,$C22&lt;EDATE(BJ$4,1)),"◆",""))</f>
        <v/>
      </c>
      <c r="BK22" s="71" t="str">
        <f aca="false">IF(OR(BK$4="",$C22=""),"",IF(AND($C22&gt;=BK$4,$C22&lt;EDATE(BK$4,1)),"◆",""))</f>
        <v/>
      </c>
      <c r="BL22" s="71" t="str">
        <f aca="false">IF(OR(BL$4="",$C22=""),"",IF(AND($C22&gt;=BL$4,$C22&lt;EDATE(BL$4,1)),"◆",""))</f>
        <v/>
      </c>
      <c r="BM22" s="71" t="str">
        <f aca="false">IF(OR(BM$4="",$C22=""),"",IF(AND($C22&gt;=BM$4,$C22&lt;EDATE(BM$4,1)),"◆",""))</f>
        <v/>
      </c>
      <c r="BN22" s="71" t="str">
        <f aca="false">IF(OR(BN$4="",$C22=""),"",IF(AND($C22&gt;=BN$4,$C22&lt;EDATE(BN$4,1)),"◆",""))</f>
        <v/>
      </c>
      <c r="BO22" s="71" t="str">
        <f aca="false">IF(OR(BO$4="",$C22=""),"",IF(AND($C22&gt;=BO$4,$C22&lt;EDATE(BO$4,1)),"◆",""))</f>
        <v/>
      </c>
      <c r="BP22" s="71" t="str">
        <f aca="false">IF(OR(BP$4="",$C22=""),"",IF(AND($C22&gt;=BP$4,$C22&lt;EDATE(BP$4,1)),"◆",""))</f>
        <v/>
      </c>
      <c r="BQ22" s="71" t="str">
        <f aca="false">IF(OR(BQ$4="",$C22=""),"",IF(AND($C22&gt;=BQ$4,$C22&lt;EDATE(BQ$4,1)),"◆",""))</f>
        <v/>
      </c>
      <c r="BR22" s="71" t="str">
        <f aca="false">IF(OR(BR$4="",$C22=""),"",IF(AND($C22&gt;=BR$4,$C22&lt;EDATE(BR$4,1)),"◆",""))</f>
        <v/>
      </c>
      <c r="BS22" s="71" t="str">
        <f aca="false">IF(OR(BS$4="",$C22=""),"",IF(AND($C22&gt;=BS$4,$C22&lt;EDATE(BS$4,1)),"◆",""))</f>
        <v/>
      </c>
      <c r="BT22" s="71" t="str">
        <f aca="false">IF(OR(BT$4="",$C22=""),"",IF(AND($C22&gt;=BT$4,$C22&lt;EDATE(BT$4,1)),"◆",""))</f>
        <v/>
      </c>
      <c r="BU22" s="71" t="str">
        <f aca="false">IF(OR(BU$4="",$C22=""),"",IF(AND($C22&gt;=BU$4,$C22&lt;EDATE(BU$4,1)),"◆",""))</f>
        <v/>
      </c>
      <c r="BV22" s="71" t="str">
        <f aca="false">IF(OR(BV$4="",$C22=""),"",IF(AND($C22&gt;=BV$4,$C22&lt;EDATE(BV$4,1)),"◆",""))</f>
        <v/>
      </c>
      <c r="BW22" s="71" t="str">
        <f aca="false">IF(OR(BW$4="",$C22=""),"",IF(AND($C22&gt;=BW$4,$C22&lt;EDATE(BW$4,1)),"◆",""))</f>
        <v/>
      </c>
      <c r="BX22" s="71" t="str">
        <f aca="false">IF(OR(BX$4="",$C22=""),"",IF(AND($C22&gt;=BX$4,$C22&lt;EDATE(BX$4,1)),"◆",""))</f>
        <v/>
      </c>
      <c r="BY22" s="71" t="str">
        <f aca="false">IF(OR(BY$4="",$C22=""),"",IF(AND($C22&gt;=BY$4,$C22&lt;EDATE(BY$4,1)),"◆",""))</f>
        <v/>
      </c>
    </row>
    <row r="23" customFormat="false" ht="15" hidden="false" customHeight="false" outlineLevel="0" collapsed="false">
      <c r="A23" s="4"/>
      <c r="B23" s="61" t="str">
        <f aca="false">IF(Milestones!$B22="","",Milestones!$B22)</f>
        <v/>
      </c>
      <c r="C23" s="62" t="str">
        <f aca="false">IF(Milestones!$E22="","",Milestones!$E22)</f>
        <v/>
      </c>
      <c r="D23" s="4"/>
      <c r="E23" s="4"/>
      <c r="F23" s="71" t="str">
        <f aca="false">IF(OR(F$4="",$C23=""),"",IF(AND($C23&gt;=F$4,$C23&lt;EDATE(F$4,1)),"◆",""))</f>
        <v/>
      </c>
      <c r="G23" s="71" t="str">
        <f aca="false">IF(OR(G$4="",$C23=""),"",IF(AND($C23&gt;=G$4,$C23&lt;EDATE(G$4,1)),"◆",""))</f>
        <v/>
      </c>
      <c r="H23" s="71" t="str">
        <f aca="false">IF(OR(H$4="",$C23=""),"",IF(AND($C23&gt;=H$4,$C23&lt;EDATE(H$4,1)),"◆",""))</f>
        <v/>
      </c>
      <c r="I23" s="71" t="str">
        <f aca="false">IF(OR(I$4="",$C23=""),"",IF(AND($C23&gt;=I$4,$C23&lt;EDATE(I$4,1)),"◆",""))</f>
        <v/>
      </c>
      <c r="J23" s="71" t="str">
        <f aca="false">IF(OR(J$4="",$C23=""),"",IF(AND($C23&gt;=J$4,$C23&lt;EDATE(J$4,1)),"◆",""))</f>
        <v/>
      </c>
      <c r="K23" s="71" t="str">
        <f aca="false">IF(OR(K$4="",$C23=""),"",IF(AND($C23&gt;=K$4,$C23&lt;EDATE(K$4,1)),"◆",""))</f>
        <v/>
      </c>
      <c r="L23" s="71" t="str">
        <f aca="false">IF(OR(L$4="",$C23=""),"",IF(AND($C23&gt;=L$4,$C23&lt;EDATE(L$4,1)),"◆",""))</f>
        <v/>
      </c>
      <c r="M23" s="71" t="str">
        <f aca="false">IF(OR(M$4="",$C23=""),"",IF(AND($C23&gt;=M$4,$C23&lt;EDATE(M$4,1)),"◆",""))</f>
        <v/>
      </c>
      <c r="N23" s="71" t="str">
        <f aca="false">IF(OR(N$4="",$C23=""),"",IF(AND($C23&gt;=N$4,$C23&lt;EDATE(N$4,1)),"◆",""))</f>
        <v/>
      </c>
      <c r="O23" s="71" t="str">
        <f aca="false">IF(OR(O$4="",$C23=""),"",IF(AND($C23&gt;=O$4,$C23&lt;EDATE(O$4,1)),"◆",""))</f>
        <v/>
      </c>
      <c r="P23" s="71" t="str">
        <f aca="false">IF(OR(P$4="",$C23=""),"",IF(AND($C23&gt;=P$4,$C23&lt;EDATE(P$4,1)),"◆",""))</f>
        <v/>
      </c>
      <c r="Q23" s="71" t="str">
        <f aca="false">IF(OR(Q$4="",$C23=""),"",IF(AND($C23&gt;=Q$4,$C23&lt;EDATE(Q$4,1)),"◆",""))</f>
        <v/>
      </c>
      <c r="R23" s="71" t="str">
        <f aca="false">IF(OR(R$4="",$C23=""),"",IF(AND($C23&gt;=R$4,$C23&lt;EDATE(R$4,1)),"◆",""))</f>
        <v/>
      </c>
      <c r="S23" s="71" t="str">
        <f aca="false">IF(OR(S$4="",$C23=""),"",IF(AND($C23&gt;=S$4,$C23&lt;EDATE(S$4,1)),"◆",""))</f>
        <v/>
      </c>
      <c r="T23" s="71" t="str">
        <f aca="false">IF(OR(T$4="",$C23=""),"",IF(AND($C23&gt;=T$4,$C23&lt;EDATE(T$4,1)),"◆",""))</f>
        <v/>
      </c>
      <c r="U23" s="71" t="str">
        <f aca="false">IF(OR(U$4="",$C23=""),"",IF(AND($C23&gt;=U$4,$C23&lt;EDATE(U$4,1)),"◆",""))</f>
        <v/>
      </c>
      <c r="V23" s="71" t="str">
        <f aca="false">IF(OR(V$4="",$C23=""),"",IF(AND($C23&gt;=V$4,$C23&lt;EDATE(V$4,1)),"◆",""))</f>
        <v/>
      </c>
      <c r="W23" s="71" t="str">
        <f aca="false">IF(OR(W$4="",$C23=""),"",IF(AND($C23&gt;=W$4,$C23&lt;EDATE(W$4,1)),"◆",""))</f>
        <v/>
      </c>
      <c r="X23" s="71" t="str">
        <f aca="false">IF(OR(X$4="",$C23=""),"",IF(AND($C23&gt;=X$4,$C23&lt;EDATE(X$4,1)),"◆",""))</f>
        <v/>
      </c>
      <c r="Y23" s="71" t="str">
        <f aca="false">IF(OR(Y$4="",$C23=""),"",IF(AND($C23&gt;=Y$4,$C23&lt;EDATE(Y$4,1)),"◆",""))</f>
        <v/>
      </c>
      <c r="Z23" s="71" t="str">
        <f aca="false">IF(OR(Z$4="",$C23=""),"",IF(AND($C23&gt;=Z$4,$C23&lt;EDATE(Z$4,1)),"◆",""))</f>
        <v/>
      </c>
      <c r="AA23" s="71" t="str">
        <f aca="false">IF(OR(AA$4="",$C23=""),"",IF(AND($C23&gt;=AA$4,$C23&lt;EDATE(AA$4,1)),"◆",""))</f>
        <v/>
      </c>
      <c r="AB23" s="71" t="str">
        <f aca="false">IF(OR(AB$4="",$C23=""),"",IF(AND($C23&gt;=AB$4,$C23&lt;EDATE(AB$4,1)),"◆",""))</f>
        <v/>
      </c>
      <c r="AC23" s="71" t="str">
        <f aca="false">IF(OR(AC$4="",$C23=""),"",IF(AND($C23&gt;=AC$4,$C23&lt;EDATE(AC$4,1)),"◆",""))</f>
        <v/>
      </c>
      <c r="AD23" s="71" t="str">
        <f aca="false">IF(OR(AD$4="",$C23=""),"",IF(AND($C23&gt;=AD$4,$C23&lt;EDATE(AD$4,1)),"◆",""))</f>
        <v/>
      </c>
      <c r="AE23" s="71" t="str">
        <f aca="false">IF(OR(AE$4="",$C23=""),"",IF(AND($C23&gt;=AE$4,$C23&lt;EDATE(AE$4,1)),"◆",""))</f>
        <v/>
      </c>
      <c r="AF23" s="71" t="str">
        <f aca="false">IF(OR(AF$4="",$C23=""),"",IF(AND($C23&gt;=AF$4,$C23&lt;EDATE(AF$4,1)),"◆",""))</f>
        <v/>
      </c>
      <c r="AG23" s="71" t="str">
        <f aca="false">IF(OR(AG$4="",$C23=""),"",IF(AND($C23&gt;=AG$4,$C23&lt;EDATE(AG$4,1)),"◆",""))</f>
        <v/>
      </c>
      <c r="AH23" s="71" t="str">
        <f aca="false">IF(OR(AH$4="",$C23=""),"",IF(AND($C23&gt;=AH$4,$C23&lt;EDATE(AH$4,1)),"◆",""))</f>
        <v/>
      </c>
      <c r="AI23" s="71" t="str">
        <f aca="false">IF(OR(AI$4="",$C23=""),"",IF(AND($C23&gt;=AI$4,$C23&lt;EDATE(AI$4,1)),"◆",""))</f>
        <v/>
      </c>
      <c r="AJ23" s="71" t="str">
        <f aca="false">IF(OR(AJ$4="",$C23=""),"",IF(AND($C23&gt;=AJ$4,$C23&lt;EDATE(AJ$4,1)),"◆",""))</f>
        <v/>
      </c>
      <c r="AK23" s="71" t="str">
        <f aca="false">IF(OR(AK$4="",$C23=""),"",IF(AND($C23&gt;=AK$4,$C23&lt;EDATE(AK$4,1)),"◆",""))</f>
        <v/>
      </c>
      <c r="AL23" s="71" t="str">
        <f aca="false">IF(OR(AL$4="",$C23=""),"",IF(AND($C23&gt;=AL$4,$C23&lt;EDATE(AL$4,1)),"◆",""))</f>
        <v/>
      </c>
      <c r="AM23" s="71" t="str">
        <f aca="false">IF(OR(AM$4="",$C23=""),"",IF(AND($C23&gt;=AM$4,$C23&lt;EDATE(AM$4,1)),"◆",""))</f>
        <v/>
      </c>
      <c r="AN23" s="71" t="str">
        <f aca="false">IF(OR(AN$4="",$C23=""),"",IF(AND($C23&gt;=AN$4,$C23&lt;EDATE(AN$4,1)),"◆",""))</f>
        <v/>
      </c>
      <c r="AO23" s="71" t="str">
        <f aca="false">IF(OR(AO$4="",$C23=""),"",IF(AND($C23&gt;=AO$4,$C23&lt;EDATE(AO$4,1)),"◆",""))</f>
        <v/>
      </c>
      <c r="AP23" s="71" t="str">
        <f aca="false">IF(OR(AP$4="",$C23=""),"",IF(AND($C23&gt;=AP$4,$C23&lt;EDATE(AP$4,1)),"◆",""))</f>
        <v/>
      </c>
      <c r="AQ23" s="71" t="str">
        <f aca="false">IF(OR(AQ$4="",$C23=""),"",IF(AND($C23&gt;=AQ$4,$C23&lt;EDATE(AQ$4,1)),"◆",""))</f>
        <v/>
      </c>
      <c r="AR23" s="71" t="str">
        <f aca="false">IF(OR(AR$4="",$C23=""),"",IF(AND($C23&gt;=AR$4,$C23&lt;EDATE(AR$4,1)),"◆",""))</f>
        <v/>
      </c>
      <c r="AS23" s="71" t="str">
        <f aca="false">IF(OR(AS$4="",$C23=""),"",IF(AND($C23&gt;=AS$4,$C23&lt;EDATE(AS$4,1)),"◆",""))</f>
        <v/>
      </c>
      <c r="AT23" s="71" t="str">
        <f aca="false">IF(OR(AT$4="",$C23=""),"",IF(AND($C23&gt;=AT$4,$C23&lt;EDATE(AT$4,1)),"◆",""))</f>
        <v/>
      </c>
      <c r="AU23" s="71" t="str">
        <f aca="false">IF(OR(AU$4="",$C23=""),"",IF(AND($C23&gt;=AU$4,$C23&lt;EDATE(AU$4,1)),"◆",""))</f>
        <v/>
      </c>
      <c r="AV23" s="71" t="str">
        <f aca="false">IF(OR(AV$4="",$C23=""),"",IF(AND($C23&gt;=AV$4,$C23&lt;EDATE(AV$4,1)),"◆",""))</f>
        <v/>
      </c>
      <c r="AW23" s="71" t="str">
        <f aca="false">IF(OR(AW$4="",$C23=""),"",IF(AND($C23&gt;=AW$4,$C23&lt;EDATE(AW$4,1)),"◆",""))</f>
        <v/>
      </c>
      <c r="AX23" s="71" t="str">
        <f aca="false">IF(OR(AX$4="",$C23=""),"",IF(AND($C23&gt;=AX$4,$C23&lt;EDATE(AX$4,1)),"◆",""))</f>
        <v/>
      </c>
      <c r="AY23" s="71" t="str">
        <f aca="false">IF(OR(AY$4="",$C23=""),"",IF(AND($C23&gt;=AY$4,$C23&lt;EDATE(AY$4,1)),"◆",""))</f>
        <v/>
      </c>
      <c r="AZ23" s="71" t="str">
        <f aca="false">IF(OR(AZ$4="",$C23=""),"",IF(AND($C23&gt;=AZ$4,$C23&lt;EDATE(AZ$4,1)),"◆",""))</f>
        <v/>
      </c>
      <c r="BA23" s="71" t="str">
        <f aca="false">IF(OR(BA$4="",$C23=""),"",IF(AND($C23&gt;=BA$4,$C23&lt;EDATE(BA$4,1)),"◆",""))</f>
        <v/>
      </c>
      <c r="BB23" s="71" t="str">
        <f aca="false">IF(OR(BB$4="",$C23=""),"",IF(AND($C23&gt;=BB$4,$C23&lt;EDATE(BB$4,1)),"◆",""))</f>
        <v/>
      </c>
      <c r="BC23" s="71" t="str">
        <f aca="false">IF(OR(BC$4="",$C23=""),"",IF(AND($C23&gt;=BC$4,$C23&lt;EDATE(BC$4,1)),"◆",""))</f>
        <v/>
      </c>
      <c r="BD23" s="71" t="str">
        <f aca="false">IF(OR(BD$4="",$C23=""),"",IF(AND($C23&gt;=BD$4,$C23&lt;EDATE(BD$4,1)),"◆",""))</f>
        <v/>
      </c>
      <c r="BE23" s="71" t="str">
        <f aca="false">IF(OR(BE$4="",$C23=""),"",IF(AND($C23&gt;=BE$4,$C23&lt;EDATE(BE$4,1)),"◆",""))</f>
        <v/>
      </c>
      <c r="BF23" s="71" t="str">
        <f aca="false">IF(OR(BF$4="",$C23=""),"",IF(AND($C23&gt;=BF$4,$C23&lt;EDATE(BF$4,1)),"◆",""))</f>
        <v/>
      </c>
      <c r="BG23" s="71" t="str">
        <f aca="false">IF(OR(BG$4="",$C23=""),"",IF(AND($C23&gt;=BG$4,$C23&lt;EDATE(BG$4,1)),"◆",""))</f>
        <v/>
      </c>
      <c r="BH23" s="71" t="str">
        <f aca="false">IF(OR(BH$4="",$C23=""),"",IF(AND($C23&gt;=BH$4,$C23&lt;EDATE(BH$4,1)),"◆",""))</f>
        <v/>
      </c>
      <c r="BI23" s="71" t="str">
        <f aca="false">IF(OR(BI$4="",$C23=""),"",IF(AND($C23&gt;=BI$4,$C23&lt;EDATE(BI$4,1)),"◆",""))</f>
        <v/>
      </c>
      <c r="BJ23" s="71" t="str">
        <f aca="false">IF(OR(BJ$4="",$C23=""),"",IF(AND($C23&gt;=BJ$4,$C23&lt;EDATE(BJ$4,1)),"◆",""))</f>
        <v/>
      </c>
      <c r="BK23" s="71" t="str">
        <f aca="false">IF(OR(BK$4="",$C23=""),"",IF(AND($C23&gt;=BK$4,$C23&lt;EDATE(BK$4,1)),"◆",""))</f>
        <v/>
      </c>
      <c r="BL23" s="71" t="str">
        <f aca="false">IF(OR(BL$4="",$C23=""),"",IF(AND($C23&gt;=BL$4,$C23&lt;EDATE(BL$4,1)),"◆",""))</f>
        <v/>
      </c>
      <c r="BM23" s="71" t="str">
        <f aca="false">IF(OR(BM$4="",$C23=""),"",IF(AND($C23&gt;=BM$4,$C23&lt;EDATE(BM$4,1)),"◆",""))</f>
        <v/>
      </c>
      <c r="BN23" s="71" t="str">
        <f aca="false">IF(OR(BN$4="",$C23=""),"",IF(AND($C23&gt;=BN$4,$C23&lt;EDATE(BN$4,1)),"◆",""))</f>
        <v/>
      </c>
      <c r="BO23" s="71" t="str">
        <f aca="false">IF(OR(BO$4="",$C23=""),"",IF(AND($C23&gt;=BO$4,$C23&lt;EDATE(BO$4,1)),"◆",""))</f>
        <v/>
      </c>
      <c r="BP23" s="71" t="str">
        <f aca="false">IF(OR(BP$4="",$C23=""),"",IF(AND($C23&gt;=BP$4,$C23&lt;EDATE(BP$4,1)),"◆",""))</f>
        <v/>
      </c>
      <c r="BQ23" s="71" t="str">
        <f aca="false">IF(OR(BQ$4="",$C23=""),"",IF(AND($C23&gt;=BQ$4,$C23&lt;EDATE(BQ$4,1)),"◆",""))</f>
        <v/>
      </c>
      <c r="BR23" s="71" t="str">
        <f aca="false">IF(OR(BR$4="",$C23=""),"",IF(AND($C23&gt;=BR$4,$C23&lt;EDATE(BR$4,1)),"◆",""))</f>
        <v/>
      </c>
      <c r="BS23" s="71" t="str">
        <f aca="false">IF(OR(BS$4="",$C23=""),"",IF(AND($C23&gt;=BS$4,$C23&lt;EDATE(BS$4,1)),"◆",""))</f>
        <v/>
      </c>
      <c r="BT23" s="71" t="str">
        <f aca="false">IF(OR(BT$4="",$C23=""),"",IF(AND($C23&gt;=BT$4,$C23&lt;EDATE(BT$4,1)),"◆",""))</f>
        <v/>
      </c>
      <c r="BU23" s="71" t="str">
        <f aca="false">IF(OR(BU$4="",$C23=""),"",IF(AND($C23&gt;=BU$4,$C23&lt;EDATE(BU$4,1)),"◆",""))</f>
        <v/>
      </c>
      <c r="BV23" s="71" t="str">
        <f aca="false">IF(OR(BV$4="",$C23=""),"",IF(AND($C23&gt;=BV$4,$C23&lt;EDATE(BV$4,1)),"◆",""))</f>
        <v/>
      </c>
      <c r="BW23" s="71" t="str">
        <f aca="false">IF(OR(BW$4="",$C23=""),"",IF(AND($C23&gt;=BW$4,$C23&lt;EDATE(BW$4,1)),"◆",""))</f>
        <v/>
      </c>
      <c r="BX23" s="71" t="str">
        <f aca="false">IF(OR(BX$4="",$C23=""),"",IF(AND($C23&gt;=BX$4,$C23&lt;EDATE(BX$4,1)),"◆",""))</f>
        <v/>
      </c>
      <c r="BY23" s="71" t="str">
        <f aca="false">IF(OR(BY$4="",$C23=""),"",IF(AND($C23&gt;=BY$4,$C23&lt;EDATE(BY$4,1)),"◆",""))</f>
        <v/>
      </c>
    </row>
    <row r="24" customFormat="false" ht="15" hidden="false" customHeight="false" outlineLevel="0" collapsed="false">
      <c r="A24" s="4"/>
      <c r="B24" s="61" t="str">
        <f aca="false">IF(Milestones!$B23="","",Milestones!$B23)</f>
        <v/>
      </c>
      <c r="C24" s="62" t="str">
        <f aca="false">IF(Milestones!$E23="","",Milestones!$E23)</f>
        <v/>
      </c>
      <c r="D24" s="4"/>
      <c r="E24" s="4"/>
      <c r="F24" s="71" t="str">
        <f aca="false">IF(OR(F$4="",$C24=""),"",IF(AND($C24&gt;=F$4,$C24&lt;EDATE(F$4,1)),"◆",""))</f>
        <v/>
      </c>
      <c r="G24" s="71" t="str">
        <f aca="false">IF(OR(G$4="",$C24=""),"",IF(AND($C24&gt;=G$4,$C24&lt;EDATE(G$4,1)),"◆",""))</f>
        <v/>
      </c>
      <c r="H24" s="71" t="str">
        <f aca="false">IF(OR(H$4="",$C24=""),"",IF(AND($C24&gt;=H$4,$C24&lt;EDATE(H$4,1)),"◆",""))</f>
        <v/>
      </c>
      <c r="I24" s="71" t="str">
        <f aca="false">IF(OR(I$4="",$C24=""),"",IF(AND($C24&gt;=I$4,$C24&lt;EDATE(I$4,1)),"◆",""))</f>
        <v/>
      </c>
      <c r="J24" s="71" t="str">
        <f aca="false">IF(OR(J$4="",$C24=""),"",IF(AND($C24&gt;=J$4,$C24&lt;EDATE(J$4,1)),"◆",""))</f>
        <v/>
      </c>
      <c r="K24" s="71" t="str">
        <f aca="false">IF(OR(K$4="",$C24=""),"",IF(AND($C24&gt;=K$4,$C24&lt;EDATE(K$4,1)),"◆",""))</f>
        <v/>
      </c>
      <c r="L24" s="71" t="str">
        <f aca="false">IF(OR(L$4="",$C24=""),"",IF(AND($C24&gt;=L$4,$C24&lt;EDATE(L$4,1)),"◆",""))</f>
        <v/>
      </c>
      <c r="M24" s="71" t="str">
        <f aca="false">IF(OR(M$4="",$C24=""),"",IF(AND($C24&gt;=M$4,$C24&lt;EDATE(M$4,1)),"◆",""))</f>
        <v/>
      </c>
      <c r="N24" s="71" t="str">
        <f aca="false">IF(OR(N$4="",$C24=""),"",IF(AND($C24&gt;=N$4,$C24&lt;EDATE(N$4,1)),"◆",""))</f>
        <v/>
      </c>
      <c r="O24" s="71" t="str">
        <f aca="false">IF(OR(O$4="",$C24=""),"",IF(AND($C24&gt;=O$4,$C24&lt;EDATE(O$4,1)),"◆",""))</f>
        <v/>
      </c>
      <c r="P24" s="71" t="str">
        <f aca="false">IF(OR(P$4="",$C24=""),"",IF(AND($C24&gt;=P$4,$C24&lt;EDATE(P$4,1)),"◆",""))</f>
        <v/>
      </c>
      <c r="Q24" s="71" t="str">
        <f aca="false">IF(OR(Q$4="",$C24=""),"",IF(AND($C24&gt;=Q$4,$C24&lt;EDATE(Q$4,1)),"◆",""))</f>
        <v/>
      </c>
      <c r="R24" s="71" t="str">
        <f aca="false">IF(OR(R$4="",$C24=""),"",IF(AND($C24&gt;=R$4,$C24&lt;EDATE(R$4,1)),"◆",""))</f>
        <v/>
      </c>
      <c r="S24" s="71" t="str">
        <f aca="false">IF(OR(S$4="",$C24=""),"",IF(AND($C24&gt;=S$4,$C24&lt;EDATE(S$4,1)),"◆",""))</f>
        <v/>
      </c>
      <c r="T24" s="71" t="str">
        <f aca="false">IF(OR(T$4="",$C24=""),"",IF(AND($C24&gt;=T$4,$C24&lt;EDATE(T$4,1)),"◆",""))</f>
        <v/>
      </c>
      <c r="U24" s="71" t="str">
        <f aca="false">IF(OR(U$4="",$C24=""),"",IF(AND($C24&gt;=U$4,$C24&lt;EDATE(U$4,1)),"◆",""))</f>
        <v/>
      </c>
      <c r="V24" s="71" t="str">
        <f aca="false">IF(OR(V$4="",$C24=""),"",IF(AND($C24&gt;=V$4,$C24&lt;EDATE(V$4,1)),"◆",""))</f>
        <v/>
      </c>
      <c r="W24" s="71" t="str">
        <f aca="false">IF(OR(W$4="",$C24=""),"",IF(AND($C24&gt;=W$4,$C24&lt;EDATE(W$4,1)),"◆",""))</f>
        <v/>
      </c>
      <c r="X24" s="71" t="str">
        <f aca="false">IF(OR(X$4="",$C24=""),"",IF(AND($C24&gt;=X$4,$C24&lt;EDATE(X$4,1)),"◆",""))</f>
        <v/>
      </c>
      <c r="Y24" s="71" t="str">
        <f aca="false">IF(OR(Y$4="",$C24=""),"",IF(AND($C24&gt;=Y$4,$C24&lt;EDATE(Y$4,1)),"◆",""))</f>
        <v/>
      </c>
      <c r="Z24" s="71" t="str">
        <f aca="false">IF(OR(Z$4="",$C24=""),"",IF(AND($C24&gt;=Z$4,$C24&lt;EDATE(Z$4,1)),"◆",""))</f>
        <v/>
      </c>
      <c r="AA24" s="71" t="str">
        <f aca="false">IF(OR(AA$4="",$C24=""),"",IF(AND($C24&gt;=AA$4,$C24&lt;EDATE(AA$4,1)),"◆",""))</f>
        <v/>
      </c>
      <c r="AB24" s="71" t="str">
        <f aca="false">IF(OR(AB$4="",$C24=""),"",IF(AND($C24&gt;=AB$4,$C24&lt;EDATE(AB$4,1)),"◆",""))</f>
        <v/>
      </c>
      <c r="AC24" s="71" t="str">
        <f aca="false">IF(OR(AC$4="",$C24=""),"",IF(AND($C24&gt;=AC$4,$C24&lt;EDATE(AC$4,1)),"◆",""))</f>
        <v/>
      </c>
      <c r="AD24" s="71" t="str">
        <f aca="false">IF(OR(AD$4="",$C24=""),"",IF(AND($C24&gt;=AD$4,$C24&lt;EDATE(AD$4,1)),"◆",""))</f>
        <v/>
      </c>
      <c r="AE24" s="71" t="str">
        <f aca="false">IF(OR(AE$4="",$C24=""),"",IF(AND($C24&gt;=AE$4,$C24&lt;EDATE(AE$4,1)),"◆",""))</f>
        <v/>
      </c>
      <c r="AF24" s="71" t="str">
        <f aca="false">IF(OR(AF$4="",$C24=""),"",IF(AND($C24&gt;=AF$4,$C24&lt;EDATE(AF$4,1)),"◆",""))</f>
        <v/>
      </c>
      <c r="AG24" s="71" t="str">
        <f aca="false">IF(OR(AG$4="",$C24=""),"",IF(AND($C24&gt;=AG$4,$C24&lt;EDATE(AG$4,1)),"◆",""))</f>
        <v/>
      </c>
      <c r="AH24" s="71" t="str">
        <f aca="false">IF(OR(AH$4="",$C24=""),"",IF(AND($C24&gt;=AH$4,$C24&lt;EDATE(AH$4,1)),"◆",""))</f>
        <v/>
      </c>
      <c r="AI24" s="71" t="str">
        <f aca="false">IF(OR(AI$4="",$C24=""),"",IF(AND($C24&gt;=AI$4,$C24&lt;EDATE(AI$4,1)),"◆",""))</f>
        <v/>
      </c>
      <c r="AJ24" s="71" t="str">
        <f aca="false">IF(OR(AJ$4="",$C24=""),"",IF(AND($C24&gt;=AJ$4,$C24&lt;EDATE(AJ$4,1)),"◆",""))</f>
        <v/>
      </c>
      <c r="AK24" s="71" t="str">
        <f aca="false">IF(OR(AK$4="",$C24=""),"",IF(AND($C24&gt;=AK$4,$C24&lt;EDATE(AK$4,1)),"◆",""))</f>
        <v/>
      </c>
      <c r="AL24" s="71" t="str">
        <f aca="false">IF(OR(AL$4="",$C24=""),"",IF(AND($C24&gt;=AL$4,$C24&lt;EDATE(AL$4,1)),"◆",""))</f>
        <v/>
      </c>
      <c r="AM24" s="71" t="str">
        <f aca="false">IF(OR(AM$4="",$C24=""),"",IF(AND($C24&gt;=AM$4,$C24&lt;EDATE(AM$4,1)),"◆",""))</f>
        <v/>
      </c>
      <c r="AN24" s="71" t="str">
        <f aca="false">IF(OR(AN$4="",$C24=""),"",IF(AND($C24&gt;=AN$4,$C24&lt;EDATE(AN$4,1)),"◆",""))</f>
        <v/>
      </c>
      <c r="AO24" s="71" t="str">
        <f aca="false">IF(OR(AO$4="",$C24=""),"",IF(AND($C24&gt;=AO$4,$C24&lt;EDATE(AO$4,1)),"◆",""))</f>
        <v/>
      </c>
      <c r="AP24" s="71" t="str">
        <f aca="false">IF(OR(AP$4="",$C24=""),"",IF(AND($C24&gt;=AP$4,$C24&lt;EDATE(AP$4,1)),"◆",""))</f>
        <v/>
      </c>
      <c r="AQ24" s="71" t="str">
        <f aca="false">IF(OR(AQ$4="",$C24=""),"",IF(AND($C24&gt;=AQ$4,$C24&lt;EDATE(AQ$4,1)),"◆",""))</f>
        <v/>
      </c>
      <c r="AR24" s="71" t="str">
        <f aca="false">IF(OR(AR$4="",$C24=""),"",IF(AND($C24&gt;=AR$4,$C24&lt;EDATE(AR$4,1)),"◆",""))</f>
        <v/>
      </c>
      <c r="AS24" s="71" t="str">
        <f aca="false">IF(OR(AS$4="",$C24=""),"",IF(AND($C24&gt;=AS$4,$C24&lt;EDATE(AS$4,1)),"◆",""))</f>
        <v/>
      </c>
      <c r="AT24" s="71" t="str">
        <f aca="false">IF(OR(AT$4="",$C24=""),"",IF(AND($C24&gt;=AT$4,$C24&lt;EDATE(AT$4,1)),"◆",""))</f>
        <v/>
      </c>
      <c r="AU24" s="71" t="str">
        <f aca="false">IF(OR(AU$4="",$C24=""),"",IF(AND($C24&gt;=AU$4,$C24&lt;EDATE(AU$4,1)),"◆",""))</f>
        <v/>
      </c>
      <c r="AV24" s="71" t="str">
        <f aca="false">IF(OR(AV$4="",$C24=""),"",IF(AND($C24&gt;=AV$4,$C24&lt;EDATE(AV$4,1)),"◆",""))</f>
        <v/>
      </c>
      <c r="AW24" s="71" t="str">
        <f aca="false">IF(OR(AW$4="",$C24=""),"",IF(AND($C24&gt;=AW$4,$C24&lt;EDATE(AW$4,1)),"◆",""))</f>
        <v/>
      </c>
      <c r="AX24" s="71" t="str">
        <f aca="false">IF(OR(AX$4="",$C24=""),"",IF(AND($C24&gt;=AX$4,$C24&lt;EDATE(AX$4,1)),"◆",""))</f>
        <v/>
      </c>
      <c r="AY24" s="71" t="str">
        <f aca="false">IF(OR(AY$4="",$C24=""),"",IF(AND($C24&gt;=AY$4,$C24&lt;EDATE(AY$4,1)),"◆",""))</f>
        <v/>
      </c>
      <c r="AZ24" s="71" t="str">
        <f aca="false">IF(OR(AZ$4="",$C24=""),"",IF(AND($C24&gt;=AZ$4,$C24&lt;EDATE(AZ$4,1)),"◆",""))</f>
        <v/>
      </c>
      <c r="BA24" s="71" t="str">
        <f aca="false">IF(OR(BA$4="",$C24=""),"",IF(AND($C24&gt;=BA$4,$C24&lt;EDATE(BA$4,1)),"◆",""))</f>
        <v/>
      </c>
      <c r="BB24" s="71" t="str">
        <f aca="false">IF(OR(BB$4="",$C24=""),"",IF(AND($C24&gt;=BB$4,$C24&lt;EDATE(BB$4,1)),"◆",""))</f>
        <v/>
      </c>
      <c r="BC24" s="71" t="str">
        <f aca="false">IF(OR(BC$4="",$C24=""),"",IF(AND($C24&gt;=BC$4,$C24&lt;EDATE(BC$4,1)),"◆",""))</f>
        <v/>
      </c>
      <c r="BD24" s="71" t="str">
        <f aca="false">IF(OR(BD$4="",$C24=""),"",IF(AND($C24&gt;=BD$4,$C24&lt;EDATE(BD$4,1)),"◆",""))</f>
        <v/>
      </c>
      <c r="BE24" s="71" t="str">
        <f aca="false">IF(OR(BE$4="",$C24=""),"",IF(AND($C24&gt;=BE$4,$C24&lt;EDATE(BE$4,1)),"◆",""))</f>
        <v/>
      </c>
      <c r="BF24" s="71" t="str">
        <f aca="false">IF(OR(BF$4="",$C24=""),"",IF(AND($C24&gt;=BF$4,$C24&lt;EDATE(BF$4,1)),"◆",""))</f>
        <v/>
      </c>
      <c r="BG24" s="71" t="str">
        <f aca="false">IF(OR(BG$4="",$C24=""),"",IF(AND($C24&gt;=BG$4,$C24&lt;EDATE(BG$4,1)),"◆",""))</f>
        <v/>
      </c>
      <c r="BH24" s="71" t="str">
        <f aca="false">IF(OR(BH$4="",$C24=""),"",IF(AND($C24&gt;=BH$4,$C24&lt;EDATE(BH$4,1)),"◆",""))</f>
        <v/>
      </c>
      <c r="BI24" s="71" t="str">
        <f aca="false">IF(OR(BI$4="",$C24=""),"",IF(AND($C24&gt;=BI$4,$C24&lt;EDATE(BI$4,1)),"◆",""))</f>
        <v/>
      </c>
      <c r="BJ24" s="71" t="str">
        <f aca="false">IF(OR(BJ$4="",$C24=""),"",IF(AND($C24&gt;=BJ$4,$C24&lt;EDATE(BJ$4,1)),"◆",""))</f>
        <v/>
      </c>
      <c r="BK24" s="71" t="str">
        <f aca="false">IF(OR(BK$4="",$C24=""),"",IF(AND($C24&gt;=BK$4,$C24&lt;EDATE(BK$4,1)),"◆",""))</f>
        <v/>
      </c>
      <c r="BL24" s="71" t="str">
        <f aca="false">IF(OR(BL$4="",$C24=""),"",IF(AND($C24&gt;=BL$4,$C24&lt;EDATE(BL$4,1)),"◆",""))</f>
        <v/>
      </c>
      <c r="BM24" s="71" t="str">
        <f aca="false">IF(OR(BM$4="",$C24=""),"",IF(AND($C24&gt;=BM$4,$C24&lt;EDATE(BM$4,1)),"◆",""))</f>
        <v/>
      </c>
      <c r="BN24" s="71" t="str">
        <f aca="false">IF(OR(BN$4="",$C24=""),"",IF(AND($C24&gt;=BN$4,$C24&lt;EDATE(BN$4,1)),"◆",""))</f>
        <v/>
      </c>
      <c r="BO24" s="71" t="str">
        <f aca="false">IF(OR(BO$4="",$C24=""),"",IF(AND($C24&gt;=BO$4,$C24&lt;EDATE(BO$4,1)),"◆",""))</f>
        <v/>
      </c>
      <c r="BP24" s="71" t="str">
        <f aca="false">IF(OR(BP$4="",$C24=""),"",IF(AND($C24&gt;=BP$4,$C24&lt;EDATE(BP$4,1)),"◆",""))</f>
        <v/>
      </c>
      <c r="BQ24" s="71" t="str">
        <f aca="false">IF(OR(BQ$4="",$C24=""),"",IF(AND($C24&gt;=BQ$4,$C24&lt;EDATE(BQ$4,1)),"◆",""))</f>
        <v/>
      </c>
      <c r="BR24" s="71" t="str">
        <f aca="false">IF(OR(BR$4="",$C24=""),"",IF(AND($C24&gt;=BR$4,$C24&lt;EDATE(BR$4,1)),"◆",""))</f>
        <v/>
      </c>
      <c r="BS24" s="71" t="str">
        <f aca="false">IF(OR(BS$4="",$C24=""),"",IF(AND($C24&gt;=BS$4,$C24&lt;EDATE(BS$4,1)),"◆",""))</f>
        <v/>
      </c>
      <c r="BT24" s="71" t="str">
        <f aca="false">IF(OR(BT$4="",$C24=""),"",IF(AND($C24&gt;=BT$4,$C24&lt;EDATE(BT$4,1)),"◆",""))</f>
        <v/>
      </c>
      <c r="BU24" s="71" t="str">
        <f aca="false">IF(OR(BU$4="",$C24=""),"",IF(AND($C24&gt;=BU$4,$C24&lt;EDATE(BU$4,1)),"◆",""))</f>
        <v/>
      </c>
      <c r="BV24" s="71" t="str">
        <f aca="false">IF(OR(BV$4="",$C24=""),"",IF(AND($C24&gt;=BV$4,$C24&lt;EDATE(BV$4,1)),"◆",""))</f>
        <v/>
      </c>
      <c r="BW24" s="71" t="str">
        <f aca="false">IF(OR(BW$4="",$C24=""),"",IF(AND($C24&gt;=BW$4,$C24&lt;EDATE(BW$4,1)),"◆",""))</f>
        <v/>
      </c>
      <c r="BX24" s="71" t="str">
        <f aca="false">IF(OR(BX$4="",$C24=""),"",IF(AND($C24&gt;=BX$4,$C24&lt;EDATE(BX$4,1)),"◆",""))</f>
        <v/>
      </c>
      <c r="BY24" s="71" t="str">
        <f aca="false">IF(OR(BY$4="",$C24=""),"",IF(AND($C24&gt;=BY$4,$C24&lt;EDATE(BY$4,1)),"◆",""))</f>
        <v/>
      </c>
    </row>
    <row r="25" customFormat="false" ht="15" hidden="false" customHeight="false" outlineLevel="0" collapsed="false">
      <c r="A25" s="4"/>
      <c r="B25" s="61" t="str">
        <f aca="false">IF(Milestones!$B24="","",Milestones!$B24)</f>
        <v/>
      </c>
      <c r="C25" s="62" t="str">
        <f aca="false">IF(Milestones!$E24="","",Milestones!$E24)</f>
        <v/>
      </c>
      <c r="D25" s="4"/>
      <c r="E25" s="4"/>
      <c r="F25" s="71" t="str">
        <f aca="false">IF(OR(F$4="",$C25=""),"",IF(AND($C25&gt;=F$4,$C25&lt;EDATE(F$4,1)),"◆",""))</f>
        <v/>
      </c>
      <c r="G25" s="71" t="str">
        <f aca="false">IF(OR(G$4="",$C25=""),"",IF(AND($C25&gt;=G$4,$C25&lt;EDATE(G$4,1)),"◆",""))</f>
        <v/>
      </c>
      <c r="H25" s="71" t="str">
        <f aca="false">IF(OR(H$4="",$C25=""),"",IF(AND($C25&gt;=H$4,$C25&lt;EDATE(H$4,1)),"◆",""))</f>
        <v/>
      </c>
      <c r="I25" s="71" t="str">
        <f aca="false">IF(OR(I$4="",$C25=""),"",IF(AND($C25&gt;=I$4,$C25&lt;EDATE(I$4,1)),"◆",""))</f>
        <v/>
      </c>
      <c r="J25" s="71" t="str">
        <f aca="false">IF(OR(J$4="",$C25=""),"",IF(AND($C25&gt;=J$4,$C25&lt;EDATE(J$4,1)),"◆",""))</f>
        <v/>
      </c>
      <c r="K25" s="71" t="str">
        <f aca="false">IF(OR(K$4="",$C25=""),"",IF(AND($C25&gt;=K$4,$C25&lt;EDATE(K$4,1)),"◆",""))</f>
        <v/>
      </c>
      <c r="L25" s="71" t="str">
        <f aca="false">IF(OR(L$4="",$C25=""),"",IF(AND($C25&gt;=L$4,$C25&lt;EDATE(L$4,1)),"◆",""))</f>
        <v/>
      </c>
      <c r="M25" s="71" t="str">
        <f aca="false">IF(OR(M$4="",$C25=""),"",IF(AND($C25&gt;=M$4,$C25&lt;EDATE(M$4,1)),"◆",""))</f>
        <v/>
      </c>
      <c r="N25" s="71" t="str">
        <f aca="false">IF(OR(N$4="",$C25=""),"",IF(AND($C25&gt;=N$4,$C25&lt;EDATE(N$4,1)),"◆",""))</f>
        <v/>
      </c>
      <c r="O25" s="71" t="str">
        <f aca="false">IF(OR(O$4="",$C25=""),"",IF(AND($C25&gt;=O$4,$C25&lt;EDATE(O$4,1)),"◆",""))</f>
        <v/>
      </c>
      <c r="P25" s="71" t="str">
        <f aca="false">IF(OR(P$4="",$C25=""),"",IF(AND($C25&gt;=P$4,$C25&lt;EDATE(P$4,1)),"◆",""))</f>
        <v/>
      </c>
      <c r="Q25" s="71" t="str">
        <f aca="false">IF(OR(Q$4="",$C25=""),"",IF(AND($C25&gt;=Q$4,$C25&lt;EDATE(Q$4,1)),"◆",""))</f>
        <v/>
      </c>
      <c r="R25" s="71" t="str">
        <f aca="false">IF(OR(R$4="",$C25=""),"",IF(AND($C25&gt;=R$4,$C25&lt;EDATE(R$4,1)),"◆",""))</f>
        <v/>
      </c>
      <c r="S25" s="71" t="str">
        <f aca="false">IF(OR(S$4="",$C25=""),"",IF(AND($C25&gt;=S$4,$C25&lt;EDATE(S$4,1)),"◆",""))</f>
        <v/>
      </c>
      <c r="T25" s="71" t="str">
        <f aca="false">IF(OR(T$4="",$C25=""),"",IF(AND($C25&gt;=T$4,$C25&lt;EDATE(T$4,1)),"◆",""))</f>
        <v/>
      </c>
      <c r="U25" s="71" t="str">
        <f aca="false">IF(OR(U$4="",$C25=""),"",IF(AND($C25&gt;=U$4,$C25&lt;EDATE(U$4,1)),"◆",""))</f>
        <v/>
      </c>
      <c r="V25" s="71" t="str">
        <f aca="false">IF(OR(V$4="",$C25=""),"",IF(AND($C25&gt;=V$4,$C25&lt;EDATE(V$4,1)),"◆",""))</f>
        <v/>
      </c>
      <c r="W25" s="71" t="str">
        <f aca="false">IF(OR(W$4="",$C25=""),"",IF(AND($C25&gt;=W$4,$C25&lt;EDATE(W$4,1)),"◆",""))</f>
        <v/>
      </c>
      <c r="X25" s="71" t="str">
        <f aca="false">IF(OR(X$4="",$C25=""),"",IF(AND($C25&gt;=X$4,$C25&lt;EDATE(X$4,1)),"◆",""))</f>
        <v/>
      </c>
      <c r="Y25" s="71" t="str">
        <f aca="false">IF(OR(Y$4="",$C25=""),"",IF(AND($C25&gt;=Y$4,$C25&lt;EDATE(Y$4,1)),"◆",""))</f>
        <v/>
      </c>
      <c r="Z25" s="71" t="str">
        <f aca="false">IF(OR(Z$4="",$C25=""),"",IF(AND($C25&gt;=Z$4,$C25&lt;EDATE(Z$4,1)),"◆",""))</f>
        <v/>
      </c>
      <c r="AA25" s="71" t="str">
        <f aca="false">IF(OR(AA$4="",$C25=""),"",IF(AND($C25&gt;=AA$4,$C25&lt;EDATE(AA$4,1)),"◆",""))</f>
        <v/>
      </c>
      <c r="AB25" s="71" t="str">
        <f aca="false">IF(OR(AB$4="",$C25=""),"",IF(AND($C25&gt;=AB$4,$C25&lt;EDATE(AB$4,1)),"◆",""))</f>
        <v/>
      </c>
      <c r="AC25" s="71" t="str">
        <f aca="false">IF(OR(AC$4="",$C25=""),"",IF(AND($C25&gt;=AC$4,$C25&lt;EDATE(AC$4,1)),"◆",""))</f>
        <v/>
      </c>
      <c r="AD25" s="71" t="str">
        <f aca="false">IF(OR(AD$4="",$C25=""),"",IF(AND($C25&gt;=AD$4,$C25&lt;EDATE(AD$4,1)),"◆",""))</f>
        <v/>
      </c>
      <c r="AE25" s="71" t="str">
        <f aca="false">IF(OR(AE$4="",$C25=""),"",IF(AND($C25&gt;=AE$4,$C25&lt;EDATE(AE$4,1)),"◆",""))</f>
        <v/>
      </c>
      <c r="AF25" s="71" t="str">
        <f aca="false">IF(OR(AF$4="",$C25=""),"",IF(AND($C25&gt;=AF$4,$C25&lt;EDATE(AF$4,1)),"◆",""))</f>
        <v/>
      </c>
      <c r="AG25" s="71" t="str">
        <f aca="false">IF(OR(AG$4="",$C25=""),"",IF(AND($C25&gt;=AG$4,$C25&lt;EDATE(AG$4,1)),"◆",""))</f>
        <v/>
      </c>
      <c r="AH25" s="71" t="str">
        <f aca="false">IF(OR(AH$4="",$C25=""),"",IF(AND($C25&gt;=AH$4,$C25&lt;EDATE(AH$4,1)),"◆",""))</f>
        <v/>
      </c>
      <c r="AI25" s="71" t="str">
        <f aca="false">IF(OR(AI$4="",$C25=""),"",IF(AND($C25&gt;=AI$4,$C25&lt;EDATE(AI$4,1)),"◆",""))</f>
        <v/>
      </c>
      <c r="AJ25" s="71" t="str">
        <f aca="false">IF(OR(AJ$4="",$C25=""),"",IF(AND($C25&gt;=AJ$4,$C25&lt;EDATE(AJ$4,1)),"◆",""))</f>
        <v/>
      </c>
      <c r="AK25" s="71" t="str">
        <f aca="false">IF(OR(AK$4="",$C25=""),"",IF(AND($C25&gt;=AK$4,$C25&lt;EDATE(AK$4,1)),"◆",""))</f>
        <v/>
      </c>
      <c r="AL25" s="71" t="str">
        <f aca="false">IF(OR(AL$4="",$C25=""),"",IF(AND($C25&gt;=AL$4,$C25&lt;EDATE(AL$4,1)),"◆",""))</f>
        <v/>
      </c>
      <c r="AM25" s="71" t="str">
        <f aca="false">IF(OR(AM$4="",$C25=""),"",IF(AND($C25&gt;=AM$4,$C25&lt;EDATE(AM$4,1)),"◆",""))</f>
        <v/>
      </c>
      <c r="AN25" s="71" t="str">
        <f aca="false">IF(OR(AN$4="",$C25=""),"",IF(AND($C25&gt;=AN$4,$C25&lt;EDATE(AN$4,1)),"◆",""))</f>
        <v/>
      </c>
      <c r="AO25" s="71" t="str">
        <f aca="false">IF(OR(AO$4="",$C25=""),"",IF(AND($C25&gt;=AO$4,$C25&lt;EDATE(AO$4,1)),"◆",""))</f>
        <v/>
      </c>
      <c r="AP25" s="71" t="str">
        <f aca="false">IF(OR(AP$4="",$C25=""),"",IF(AND($C25&gt;=AP$4,$C25&lt;EDATE(AP$4,1)),"◆",""))</f>
        <v/>
      </c>
      <c r="AQ25" s="71" t="str">
        <f aca="false">IF(OR(AQ$4="",$C25=""),"",IF(AND($C25&gt;=AQ$4,$C25&lt;EDATE(AQ$4,1)),"◆",""))</f>
        <v/>
      </c>
      <c r="AR25" s="71" t="str">
        <f aca="false">IF(OR(AR$4="",$C25=""),"",IF(AND($C25&gt;=AR$4,$C25&lt;EDATE(AR$4,1)),"◆",""))</f>
        <v/>
      </c>
      <c r="AS25" s="71" t="str">
        <f aca="false">IF(OR(AS$4="",$C25=""),"",IF(AND($C25&gt;=AS$4,$C25&lt;EDATE(AS$4,1)),"◆",""))</f>
        <v/>
      </c>
      <c r="AT25" s="71" t="str">
        <f aca="false">IF(OR(AT$4="",$C25=""),"",IF(AND($C25&gt;=AT$4,$C25&lt;EDATE(AT$4,1)),"◆",""))</f>
        <v/>
      </c>
      <c r="AU25" s="71" t="str">
        <f aca="false">IF(OR(AU$4="",$C25=""),"",IF(AND($C25&gt;=AU$4,$C25&lt;EDATE(AU$4,1)),"◆",""))</f>
        <v/>
      </c>
      <c r="AV25" s="71" t="str">
        <f aca="false">IF(OR(AV$4="",$C25=""),"",IF(AND($C25&gt;=AV$4,$C25&lt;EDATE(AV$4,1)),"◆",""))</f>
        <v/>
      </c>
      <c r="AW25" s="71" t="str">
        <f aca="false">IF(OR(AW$4="",$C25=""),"",IF(AND($C25&gt;=AW$4,$C25&lt;EDATE(AW$4,1)),"◆",""))</f>
        <v/>
      </c>
      <c r="AX25" s="71" t="str">
        <f aca="false">IF(OR(AX$4="",$C25=""),"",IF(AND($C25&gt;=AX$4,$C25&lt;EDATE(AX$4,1)),"◆",""))</f>
        <v/>
      </c>
      <c r="AY25" s="71" t="str">
        <f aca="false">IF(OR(AY$4="",$C25=""),"",IF(AND($C25&gt;=AY$4,$C25&lt;EDATE(AY$4,1)),"◆",""))</f>
        <v/>
      </c>
      <c r="AZ25" s="71" t="str">
        <f aca="false">IF(OR(AZ$4="",$C25=""),"",IF(AND($C25&gt;=AZ$4,$C25&lt;EDATE(AZ$4,1)),"◆",""))</f>
        <v/>
      </c>
      <c r="BA25" s="71" t="str">
        <f aca="false">IF(OR(BA$4="",$C25=""),"",IF(AND($C25&gt;=BA$4,$C25&lt;EDATE(BA$4,1)),"◆",""))</f>
        <v/>
      </c>
      <c r="BB25" s="71" t="str">
        <f aca="false">IF(OR(BB$4="",$C25=""),"",IF(AND($C25&gt;=BB$4,$C25&lt;EDATE(BB$4,1)),"◆",""))</f>
        <v/>
      </c>
      <c r="BC25" s="71" t="str">
        <f aca="false">IF(OR(BC$4="",$C25=""),"",IF(AND($C25&gt;=BC$4,$C25&lt;EDATE(BC$4,1)),"◆",""))</f>
        <v/>
      </c>
      <c r="BD25" s="71" t="str">
        <f aca="false">IF(OR(BD$4="",$C25=""),"",IF(AND($C25&gt;=BD$4,$C25&lt;EDATE(BD$4,1)),"◆",""))</f>
        <v/>
      </c>
      <c r="BE25" s="71" t="str">
        <f aca="false">IF(OR(BE$4="",$C25=""),"",IF(AND($C25&gt;=BE$4,$C25&lt;EDATE(BE$4,1)),"◆",""))</f>
        <v/>
      </c>
      <c r="BF25" s="71" t="str">
        <f aca="false">IF(OR(BF$4="",$C25=""),"",IF(AND($C25&gt;=BF$4,$C25&lt;EDATE(BF$4,1)),"◆",""))</f>
        <v/>
      </c>
      <c r="BG25" s="71" t="str">
        <f aca="false">IF(OR(BG$4="",$C25=""),"",IF(AND($C25&gt;=BG$4,$C25&lt;EDATE(BG$4,1)),"◆",""))</f>
        <v/>
      </c>
      <c r="BH25" s="71" t="str">
        <f aca="false">IF(OR(BH$4="",$C25=""),"",IF(AND($C25&gt;=BH$4,$C25&lt;EDATE(BH$4,1)),"◆",""))</f>
        <v/>
      </c>
      <c r="BI25" s="71" t="str">
        <f aca="false">IF(OR(BI$4="",$C25=""),"",IF(AND($C25&gt;=BI$4,$C25&lt;EDATE(BI$4,1)),"◆",""))</f>
        <v/>
      </c>
      <c r="BJ25" s="71" t="str">
        <f aca="false">IF(OR(BJ$4="",$C25=""),"",IF(AND($C25&gt;=BJ$4,$C25&lt;EDATE(BJ$4,1)),"◆",""))</f>
        <v/>
      </c>
      <c r="BK25" s="71" t="str">
        <f aca="false">IF(OR(BK$4="",$C25=""),"",IF(AND($C25&gt;=BK$4,$C25&lt;EDATE(BK$4,1)),"◆",""))</f>
        <v/>
      </c>
      <c r="BL25" s="71" t="str">
        <f aca="false">IF(OR(BL$4="",$C25=""),"",IF(AND($C25&gt;=BL$4,$C25&lt;EDATE(BL$4,1)),"◆",""))</f>
        <v/>
      </c>
      <c r="BM25" s="71" t="str">
        <f aca="false">IF(OR(BM$4="",$C25=""),"",IF(AND($C25&gt;=BM$4,$C25&lt;EDATE(BM$4,1)),"◆",""))</f>
        <v/>
      </c>
      <c r="BN25" s="71" t="str">
        <f aca="false">IF(OR(BN$4="",$C25=""),"",IF(AND($C25&gt;=BN$4,$C25&lt;EDATE(BN$4,1)),"◆",""))</f>
        <v/>
      </c>
      <c r="BO25" s="71" t="str">
        <f aca="false">IF(OR(BO$4="",$C25=""),"",IF(AND($C25&gt;=BO$4,$C25&lt;EDATE(BO$4,1)),"◆",""))</f>
        <v/>
      </c>
      <c r="BP25" s="71" t="str">
        <f aca="false">IF(OR(BP$4="",$C25=""),"",IF(AND($C25&gt;=BP$4,$C25&lt;EDATE(BP$4,1)),"◆",""))</f>
        <v/>
      </c>
      <c r="BQ25" s="71" t="str">
        <f aca="false">IF(OR(BQ$4="",$C25=""),"",IF(AND($C25&gt;=BQ$4,$C25&lt;EDATE(BQ$4,1)),"◆",""))</f>
        <v/>
      </c>
      <c r="BR25" s="71" t="str">
        <f aca="false">IF(OR(BR$4="",$C25=""),"",IF(AND($C25&gt;=BR$4,$C25&lt;EDATE(BR$4,1)),"◆",""))</f>
        <v/>
      </c>
      <c r="BS25" s="71" t="str">
        <f aca="false">IF(OR(BS$4="",$C25=""),"",IF(AND($C25&gt;=BS$4,$C25&lt;EDATE(BS$4,1)),"◆",""))</f>
        <v/>
      </c>
      <c r="BT25" s="71" t="str">
        <f aca="false">IF(OR(BT$4="",$C25=""),"",IF(AND($C25&gt;=BT$4,$C25&lt;EDATE(BT$4,1)),"◆",""))</f>
        <v/>
      </c>
      <c r="BU25" s="71" t="str">
        <f aca="false">IF(OR(BU$4="",$C25=""),"",IF(AND($C25&gt;=BU$4,$C25&lt;EDATE(BU$4,1)),"◆",""))</f>
        <v/>
      </c>
      <c r="BV25" s="71" t="str">
        <f aca="false">IF(OR(BV$4="",$C25=""),"",IF(AND($C25&gt;=BV$4,$C25&lt;EDATE(BV$4,1)),"◆",""))</f>
        <v/>
      </c>
      <c r="BW25" s="71" t="str">
        <f aca="false">IF(OR(BW$4="",$C25=""),"",IF(AND($C25&gt;=BW$4,$C25&lt;EDATE(BW$4,1)),"◆",""))</f>
        <v/>
      </c>
      <c r="BX25" s="71" t="str">
        <f aca="false">IF(OR(BX$4="",$C25=""),"",IF(AND($C25&gt;=BX$4,$C25&lt;EDATE(BX$4,1)),"◆",""))</f>
        <v/>
      </c>
      <c r="BY25" s="71" t="str">
        <f aca="false">IF(OR(BY$4="",$C25=""),"",IF(AND($C25&gt;=BY$4,$C25&lt;EDATE(BY$4,1)),"◆",""))</f>
        <v/>
      </c>
    </row>
    <row r="26" customFormat="false" ht="15" hidden="false" customHeight="false" outlineLevel="0" collapsed="false">
      <c r="A26" s="4"/>
      <c r="B26" s="61" t="str">
        <f aca="false">IF(Milestones!$B25="","",Milestones!$B25)</f>
        <v/>
      </c>
      <c r="C26" s="62" t="str">
        <f aca="false">IF(Milestones!$E25="","",Milestones!$E25)</f>
        <v/>
      </c>
      <c r="D26" s="4"/>
      <c r="E26" s="4"/>
      <c r="F26" s="71" t="str">
        <f aca="false">IF(OR(F$4="",$C26=""),"",IF(AND($C26&gt;=F$4,$C26&lt;EDATE(F$4,1)),"◆",""))</f>
        <v/>
      </c>
      <c r="G26" s="71" t="str">
        <f aca="false">IF(OR(G$4="",$C26=""),"",IF(AND($C26&gt;=G$4,$C26&lt;EDATE(G$4,1)),"◆",""))</f>
        <v/>
      </c>
      <c r="H26" s="71" t="str">
        <f aca="false">IF(OR(H$4="",$C26=""),"",IF(AND($C26&gt;=H$4,$C26&lt;EDATE(H$4,1)),"◆",""))</f>
        <v/>
      </c>
      <c r="I26" s="71" t="str">
        <f aca="false">IF(OR(I$4="",$C26=""),"",IF(AND($C26&gt;=I$4,$C26&lt;EDATE(I$4,1)),"◆",""))</f>
        <v/>
      </c>
      <c r="J26" s="71" t="str">
        <f aca="false">IF(OR(J$4="",$C26=""),"",IF(AND($C26&gt;=J$4,$C26&lt;EDATE(J$4,1)),"◆",""))</f>
        <v/>
      </c>
      <c r="K26" s="71" t="str">
        <f aca="false">IF(OR(K$4="",$C26=""),"",IF(AND($C26&gt;=K$4,$C26&lt;EDATE(K$4,1)),"◆",""))</f>
        <v/>
      </c>
      <c r="L26" s="71" t="str">
        <f aca="false">IF(OR(L$4="",$C26=""),"",IF(AND($C26&gt;=L$4,$C26&lt;EDATE(L$4,1)),"◆",""))</f>
        <v/>
      </c>
      <c r="M26" s="71" t="str">
        <f aca="false">IF(OR(M$4="",$C26=""),"",IF(AND($C26&gt;=M$4,$C26&lt;EDATE(M$4,1)),"◆",""))</f>
        <v/>
      </c>
      <c r="N26" s="71" t="str">
        <f aca="false">IF(OR(N$4="",$C26=""),"",IF(AND($C26&gt;=N$4,$C26&lt;EDATE(N$4,1)),"◆",""))</f>
        <v/>
      </c>
      <c r="O26" s="71" t="str">
        <f aca="false">IF(OR(O$4="",$C26=""),"",IF(AND($C26&gt;=O$4,$C26&lt;EDATE(O$4,1)),"◆",""))</f>
        <v/>
      </c>
      <c r="P26" s="71" t="str">
        <f aca="false">IF(OR(P$4="",$C26=""),"",IF(AND($C26&gt;=P$4,$C26&lt;EDATE(P$4,1)),"◆",""))</f>
        <v/>
      </c>
      <c r="Q26" s="71" t="str">
        <f aca="false">IF(OR(Q$4="",$C26=""),"",IF(AND($C26&gt;=Q$4,$C26&lt;EDATE(Q$4,1)),"◆",""))</f>
        <v/>
      </c>
      <c r="R26" s="71" t="str">
        <f aca="false">IF(OR(R$4="",$C26=""),"",IF(AND($C26&gt;=R$4,$C26&lt;EDATE(R$4,1)),"◆",""))</f>
        <v/>
      </c>
      <c r="S26" s="71" t="str">
        <f aca="false">IF(OR(S$4="",$C26=""),"",IF(AND($C26&gt;=S$4,$C26&lt;EDATE(S$4,1)),"◆",""))</f>
        <v/>
      </c>
      <c r="T26" s="71" t="str">
        <f aca="false">IF(OR(T$4="",$C26=""),"",IF(AND($C26&gt;=T$4,$C26&lt;EDATE(T$4,1)),"◆",""))</f>
        <v/>
      </c>
      <c r="U26" s="71" t="str">
        <f aca="false">IF(OR(U$4="",$C26=""),"",IF(AND($C26&gt;=U$4,$C26&lt;EDATE(U$4,1)),"◆",""))</f>
        <v/>
      </c>
      <c r="V26" s="71" t="str">
        <f aca="false">IF(OR(V$4="",$C26=""),"",IF(AND($C26&gt;=V$4,$C26&lt;EDATE(V$4,1)),"◆",""))</f>
        <v/>
      </c>
      <c r="W26" s="71" t="str">
        <f aca="false">IF(OR(W$4="",$C26=""),"",IF(AND($C26&gt;=W$4,$C26&lt;EDATE(W$4,1)),"◆",""))</f>
        <v/>
      </c>
      <c r="X26" s="71" t="str">
        <f aca="false">IF(OR(X$4="",$C26=""),"",IF(AND($C26&gt;=X$4,$C26&lt;EDATE(X$4,1)),"◆",""))</f>
        <v/>
      </c>
      <c r="Y26" s="71" t="str">
        <f aca="false">IF(OR(Y$4="",$C26=""),"",IF(AND($C26&gt;=Y$4,$C26&lt;EDATE(Y$4,1)),"◆",""))</f>
        <v/>
      </c>
      <c r="Z26" s="71" t="str">
        <f aca="false">IF(OR(Z$4="",$C26=""),"",IF(AND($C26&gt;=Z$4,$C26&lt;EDATE(Z$4,1)),"◆",""))</f>
        <v/>
      </c>
      <c r="AA26" s="71" t="str">
        <f aca="false">IF(OR(AA$4="",$C26=""),"",IF(AND($C26&gt;=AA$4,$C26&lt;EDATE(AA$4,1)),"◆",""))</f>
        <v/>
      </c>
      <c r="AB26" s="71" t="str">
        <f aca="false">IF(OR(AB$4="",$C26=""),"",IF(AND($C26&gt;=AB$4,$C26&lt;EDATE(AB$4,1)),"◆",""))</f>
        <v/>
      </c>
      <c r="AC26" s="71" t="str">
        <f aca="false">IF(OR(AC$4="",$C26=""),"",IF(AND($C26&gt;=AC$4,$C26&lt;EDATE(AC$4,1)),"◆",""))</f>
        <v/>
      </c>
      <c r="AD26" s="71" t="str">
        <f aca="false">IF(OR(AD$4="",$C26=""),"",IF(AND($C26&gt;=AD$4,$C26&lt;EDATE(AD$4,1)),"◆",""))</f>
        <v/>
      </c>
      <c r="AE26" s="71" t="str">
        <f aca="false">IF(OR(AE$4="",$C26=""),"",IF(AND($C26&gt;=AE$4,$C26&lt;EDATE(AE$4,1)),"◆",""))</f>
        <v/>
      </c>
      <c r="AF26" s="71" t="str">
        <f aca="false">IF(OR(AF$4="",$C26=""),"",IF(AND($C26&gt;=AF$4,$C26&lt;EDATE(AF$4,1)),"◆",""))</f>
        <v/>
      </c>
      <c r="AG26" s="71" t="str">
        <f aca="false">IF(OR(AG$4="",$C26=""),"",IF(AND($C26&gt;=AG$4,$C26&lt;EDATE(AG$4,1)),"◆",""))</f>
        <v/>
      </c>
      <c r="AH26" s="71" t="str">
        <f aca="false">IF(OR(AH$4="",$C26=""),"",IF(AND($C26&gt;=AH$4,$C26&lt;EDATE(AH$4,1)),"◆",""))</f>
        <v/>
      </c>
      <c r="AI26" s="71" t="str">
        <f aca="false">IF(OR(AI$4="",$C26=""),"",IF(AND($C26&gt;=AI$4,$C26&lt;EDATE(AI$4,1)),"◆",""))</f>
        <v/>
      </c>
      <c r="AJ26" s="71" t="str">
        <f aca="false">IF(OR(AJ$4="",$C26=""),"",IF(AND($C26&gt;=AJ$4,$C26&lt;EDATE(AJ$4,1)),"◆",""))</f>
        <v/>
      </c>
      <c r="AK26" s="71" t="str">
        <f aca="false">IF(OR(AK$4="",$C26=""),"",IF(AND($C26&gt;=AK$4,$C26&lt;EDATE(AK$4,1)),"◆",""))</f>
        <v/>
      </c>
      <c r="AL26" s="71" t="str">
        <f aca="false">IF(OR(AL$4="",$C26=""),"",IF(AND($C26&gt;=AL$4,$C26&lt;EDATE(AL$4,1)),"◆",""))</f>
        <v/>
      </c>
      <c r="AM26" s="71" t="str">
        <f aca="false">IF(OR(AM$4="",$C26=""),"",IF(AND($C26&gt;=AM$4,$C26&lt;EDATE(AM$4,1)),"◆",""))</f>
        <v/>
      </c>
      <c r="AN26" s="71" t="str">
        <f aca="false">IF(OR(AN$4="",$C26=""),"",IF(AND($C26&gt;=AN$4,$C26&lt;EDATE(AN$4,1)),"◆",""))</f>
        <v/>
      </c>
      <c r="AO26" s="71" t="str">
        <f aca="false">IF(OR(AO$4="",$C26=""),"",IF(AND($C26&gt;=AO$4,$C26&lt;EDATE(AO$4,1)),"◆",""))</f>
        <v/>
      </c>
      <c r="AP26" s="71" t="str">
        <f aca="false">IF(OR(AP$4="",$C26=""),"",IF(AND($C26&gt;=AP$4,$C26&lt;EDATE(AP$4,1)),"◆",""))</f>
        <v/>
      </c>
      <c r="AQ26" s="71" t="str">
        <f aca="false">IF(OR(AQ$4="",$C26=""),"",IF(AND($C26&gt;=AQ$4,$C26&lt;EDATE(AQ$4,1)),"◆",""))</f>
        <v/>
      </c>
      <c r="AR26" s="71" t="str">
        <f aca="false">IF(OR(AR$4="",$C26=""),"",IF(AND($C26&gt;=AR$4,$C26&lt;EDATE(AR$4,1)),"◆",""))</f>
        <v/>
      </c>
      <c r="AS26" s="71" t="str">
        <f aca="false">IF(OR(AS$4="",$C26=""),"",IF(AND($C26&gt;=AS$4,$C26&lt;EDATE(AS$4,1)),"◆",""))</f>
        <v/>
      </c>
      <c r="AT26" s="71" t="str">
        <f aca="false">IF(OR(AT$4="",$C26=""),"",IF(AND($C26&gt;=AT$4,$C26&lt;EDATE(AT$4,1)),"◆",""))</f>
        <v/>
      </c>
      <c r="AU26" s="71" t="str">
        <f aca="false">IF(OR(AU$4="",$C26=""),"",IF(AND($C26&gt;=AU$4,$C26&lt;EDATE(AU$4,1)),"◆",""))</f>
        <v/>
      </c>
      <c r="AV26" s="71" t="str">
        <f aca="false">IF(OR(AV$4="",$C26=""),"",IF(AND($C26&gt;=AV$4,$C26&lt;EDATE(AV$4,1)),"◆",""))</f>
        <v/>
      </c>
      <c r="AW26" s="71" t="str">
        <f aca="false">IF(OR(AW$4="",$C26=""),"",IF(AND($C26&gt;=AW$4,$C26&lt;EDATE(AW$4,1)),"◆",""))</f>
        <v/>
      </c>
      <c r="AX26" s="71" t="str">
        <f aca="false">IF(OR(AX$4="",$C26=""),"",IF(AND($C26&gt;=AX$4,$C26&lt;EDATE(AX$4,1)),"◆",""))</f>
        <v/>
      </c>
      <c r="AY26" s="71" t="str">
        <f aca="false">IF(OR(AY$4="",$C26=""),"",IF(AND($C26&gt;=AY$4,$C26&lt;EDATE(AY$4,1)),"◆",""))</f>
        <v/>
      </c>
      <c r="AZ26" s="71" t="str">
        <f aca="false">IF(OR(AZ$4="",$C26=""),"",IF(AND($C26&gt;=AZ$4,$C26&lt;EDATE(AZ$4,1)),"◆",""))</f>
        <v/>
      </c>
      <c r="BA26" s="71" t="str">
        <f aca="false">IF(OR(BA$4="",$C26=""),"",IF(AND($C26&gt;=BA$4,$C26&lt;EDATE(BA$4,1)),"◆",""))</f>
        <v/>
      </c>
      <c r="BB26" s="71" t="str">
        <f aca="false">IF(OR(BB$4="",$C26=""),"",IF(AND($C26&gt;=BB$4,$C26&lt;EDATE(BB$4,1)),"◆",""))</f>
        <v/>
      </c>
      <c r="BC26" s="71" t="str">
        <f aca="false">IF(OR(BC$4="",$C26=""),"",IF(AND($C26&gt;=BC$4,$C26&lt;EDATE(BC$4,1)),"◆",""))</f>
        <v/>
      </c>
      <c r="BD26" s="71" t="str">
        <f aca="false">IF(OR(BD$4="",$C26=""),"",IF(AND($C26&gt;=BD$4,$C26&lt;EDATE(BD$4,1)),"◆",""))</f>
        <v/>
      </c>
      <c r="BE26" s="71" t="str">
        <f aca="false">IF(OR(BE$4="",$C26=""),"",IF(AND($C26&gt;=BE$4,$C26&lt;EDATE(BE$4,1)),"◆",""))</f>
        <v/>
      </c>
      <c r="BF26" s="71" t="str">
        <f aca="false">IF(OR(BF$4="",$C26=""),"",IF(AND($C26&gt;=BF$4,$C26&lt;EDATE(BF$4,1)),"◆",""))</f>
        <v/>
      </c>
      <c r="BG26" s="71" t="str">
        <f aca="false">IF(OR(BG$4="",$C26=""),"",IF(AND($C26&gt;=BG$4,$C26&lt;EDATE(BG$4,1)),"◆",""))</f>
        <v/>
      </c>
      <c r="BH26" s="71" t="str">
        <f aca="false">IF(OR(BH$4="",$C26=""),"",IF(AND($C26&gt;=BH$4,$C26&lt;EDATE(BH$4,1)),"◆",""))</f>
        <v/>
      </c>
      <c r="BI26" s="71" t="str">
        <f aca="false">IF(OR(BI$4="",$C26=""),"",IF(AND($C26&gt;=BI$4,$C26&lt;EDATE(BI$4,1)),"◆",""))</f>
        <v/>
      </c>
      <c r="BJ26" s="71" t="str">
        <f aca="false">IF(OR(BJ$4="",$C26=""),"",IF(AND($C26&gt;=BJ$4,$C26&lt;EDATE(BJ$4,1)),"◆",""))</f>
        <v/>
      </c>
      <c r="BK26" s="71" t="str">
        <f aca="false">IF(OR(BK$4="",$C26=""),"",IF(AND($C26&gt;=BK$4,$C26&lt;EDATE(BK$4,1)),"◆",""))</f>
        <v/>
      </c>
      <c r="BL26" s="71" t="str">
        <f aca="false">IF(OR(BL$4="",$C26=""),"",IF(AND($C26&gt;=BL$4,$C26&lt;EDATE(BL$4,1)),"◆",""))</f>
        <v/>
      </c>
      <c r="BM26" s="71" t="str">
        <f aca="false">IF(OR(BM$4="",$C26=""),"",IF(AND($C26&gt;=BM$4,$C26&lt;EDATE(BM$4,1)),"◆",""))</f>
        <v/>
      </c>
      <c r="BN26" s="71" t="str">
        <f aca="false">IF(OR(BN$4="",$C26=""),"",IF(AND($C26&gt;=BN$4,$C26&lt;EDATE(BN$4,1)),"◆",""))</f>
        <v/>
      </c>
      <c r="BO26" s="71" t="str">
        <f aca="false">IF(OR(BO$4="",$C26=""),"",IF(AND($C26&gt;=BO$4,$C26&lt;EDATE(BO$4,1)),"◆",""))</f>
        <v/>
      </c>
      <c r="BP26" s="71" t="str">
        <f aca="false">IF(OR(BP$4="",$C26=""),"",IF(AND($C26&gt;=BP$4,$C26&lt;EDATE(BP$4,1)),"◆",""))</f>
        <v/>
      </c>
      <c r="BQ26" s="71" t="str">
        <f aca="false">IF(OR(BQ$4="",$C26=""),"",IF(AND($C26&gt;=BQ$4,$C26&lt;EDATE(BQ$4,1)),"◆",""))</f>
        <v/>
      </c>
      <c r="BR26" s="71" t="str">
        <f aca="false">IF(OR(BR$4="",$C26=""),"",IF(AND($C26&gt;=BR$4,$C26&lt;EDATE(BR$4,1)),"◆",""))</f>
        <v/>
      </c>
      <c r="BS26" s="71" t="str">
        <f aca="false">IF(OR(BS$4="",$C26=""),"",IF(AND($C26&gt;=BS$4,$C26&lt;EDATE(BS$4,1)),"◆",""))</f>
        <v/>
      </c>
      <c r="BT26" s="71" t="str">
        <f aca="false">IF(OR(BT$4="",$C26=""),"",IF(AND($C26&gt;=BT$4,$C26&lt;EDATE(BT$4,1)),"◆",""))</f>
        <v/>
      </c>
      <c r="BU26" s="71" t="str">
        <f aca="false">IF(OR(BU$4="",$C26=""),"",IF(AND($C26&gt;=BU$4,$C26&lt;EDATE(BU$4,1)),"◆",""))</f>
        <v/>
      </c>
      <c r="BV26" s="71" t="str">
        <f aca="false">IF(OR(BV$4="",$C26=""),"",IF(AND($C26&gt;=BV$4,$C26&lt;EDATE(BV$4,1)),"◆",""))</f>
        <v/>
      </c>
      <c r="BW26" s="71" t="str">
        <f aca="false">IF(OR(BW$4="",$C26=""),"",IF(AND($C26&gt;=BW$4,$C26&lt;EDATE(BW$4,1)),"◆",""))</f>
        <v/>
      </c>
      <c r="BX26" s="71" t="str">
        <f aca="false">IF(OR(BX$4="",$C26=""),"",IF(AND($C26&gt;=BX$4,$C26&lt;EDATE(BX$4,1)),"◆",""))</f>
        <v/>
      </c>
      <c r="BY26" s="71" t="str">
        <f aca="false">IF(OR(BY$4="",$C26=""),"",IF(AND($C26&gt;=BY$4,$C26&lt;EDATE(BY$4,1)),"◆",""))</f>
        <v/>
      </c>
    </row>
    <row r="27" customFormat="false" ht="15" hidden="false" customHeight="false" outlineLevel="0" collapsed="false">
      <c r="A27" s="4"/>
      <c r="B27" s="61" t="str">
        <f aca="false">IF(Milestones!$B26="","",Milestones!$B26)</f>
        <v/>
      </c>
      <c r="C27" s="62" t="str">
        <f aca="false">IF(Milestones!$E26="","",Milestones!$E26)</f>
        <v/>
      </c>
      <c r="D27" s="4"/>
      <c r="E27" s="4"/>
      <c r="F27" s="71" t="str">
        <f aca="false">IF(OR(F$4="",$C27=""),"",IF(AND($C27&gt;=F$4,$C27&lt;EDATE(F$4,1)),"◆",""))</f>
        <v/>
      </c>
      <c r="G27" s="71" t="str">
        <f aca="false">IF(OR(G$4="",$C27=""),"",IF(AND($C27&gt;=G$4,$C27&lt;EDATE(G$4,1)),"◆",""))</f>
        <v/>
      </c>
      <c r="H27" s="71" t="str">
        <f aca="false">IF(OR(H$4="",$C27=""),"",IF(AND($C27&gt;=H$4,$C27&lt;EDATE(H$4,1)),"◆",""))</f>
        <v/>
      </c>
      <c r="I27" s="71" t="str">
        <f aca="false">IF(OR(I$4="",$C27=""),"",IF(AND($C27&gt;=I$4,$C27&lt;EDATE(I$4,1)),"◆",""))</f>
        <v/>
      </c>
      <c r="J27" s="71" t="str">
        <f aca="false">IF(OR(J$4="",$C27=""),"",IF(AND($C27&gt;=J$4,$C27&lt;EDATE(J$4,1)),"◆",""))</f>
        <v/>
      </c>
      <c r="K27" s="71" t="str">
        <f aca="false">IF(OR(K$4="",$C27=""),"",IF(AND($C27&gt;=K$4,$C27&lt;EDATE(K$4,1)),"◆",""))</f>
        <v/>
      </c>
      <c r="L27" s="71" t="str">
        <f aca="false">IF(OR(L$4="",$C27=""),"",IF(AND($C27&gt;=L$4,$C27&lt;EDATE(L$4,1)),"◆",""))</f>
        <v/>
      </c>
      <c r="M27" s="71" t="str">
        <f aca="false">IF(OR(M$4="",$C27=""),"",IF(AND($C27&gt;=M$4,$C27&lt;EDATE(M$4,1)),"◆",""))</f>
        <v/>
      </c>
      <c r="N27" s="71" t="str">
        <f aca="false">IF(OR(N$4="",$C27=""),"",IF(AND($C27&gt;=N$4,$C27&lt;EDATE(N$4,1)),"◆",""))</f>
        <v/>
      </c>
      <c r="O27" s="71" t="str">
        <f aca="false">IF(OR(O$4="",$C27=""),"",IF(AND($C27&gt;=O$4,$C27&lt;EDATE(O$4,1)),"◆",""))</f>
        <v/>
      </c>
      <c r="P27" s="71" t="str">
        <f aca="false">IF(OR(P$4="",$C27=""),"",IF(AND($C27&gt;=P$4,$C27&lt;EDATE(P$4,1)),"◆",""))</f>
        <v/>
      </c>
      <c r="Q27" s="71" t="str">
        <f aca="false">IF(OR(Q$4="",$C27=""),"",IF(AND($C27&gt;=Q$4,$C27&lt;EDATE(Q$4,1)),"◆",""))</f>
        <v/>
      </c>
      <c r="R27" s="71" t="str">
        <f aca="false">IF(OR(R$4="",$C27=""),"",IF(AND($C27&gt;=R$4,$C27&lt;EDATE(R$4,1)),"◆",""))</f>
        <v/>
      </c>
      <c r="S27" s="71" t="str">
        <f aca="false">IF(OR(S$4="",$C27=""),"",IF(AND($C27&gt;=S$4,$C27&lt;EDATE(S$4,1)),"◆",""))</f>
        <v/>
      </c>
      <c r="T27" s="71" t="str">
        <f aca="false">IF(OR(T$4="",$C27=""),"",IF(AND($C27&gt;=T$4,$C27&lt;EDATE(T$4,1)),"◆",""))</f>
        <v/>
      </c>
      <c r="U27" s="71" t="str">
        <f aca="false">IF(OR(U$4="",$C27=""),"",IF(AND($C27&gt;=U$4,$C27&lt;EDATE(U$4,1)),"◆",""))</f>
        <v/>
      </c>
      <c r="V27" s="71" t="str">
        <f aca="false">IF(OR(V$4="",$C27=""),"",IF(AND($C27&gt;=V$4,$C27&lt;EDATE(V$4,1)),"◆",""))</f>
        <v/>
      </c>
      <c r="W27" s="71" t="str">
        <f aca="false">IF(OR(W$4="",$C27=""),"",IF(AND($C27&gt;=W$4,$C27&lt;EDATE(W$4,1)),"◆",""))</f>
        <v/>
      </c>
      <c r="X27" s="71" t="str">
        <f aca="false">IF(OR(X$4="",$C27=""),"",IF(AND($C27&gt;=X$4,$C27&lt;EDATE(X$4,1)),"◆",""))</f>
        <v/>
      </c>
      <c r="Y27" s="71" t="str">
        <f aca="false">IF(OR(Y$4="",$C27=""),"",IF(AND($C27&gt;=Y$4,$C27&lt;EDATE(Y$4,1)),"◆",""))</f>
        <v/>
      </c>
      <c r="Z27" s="71" t="str">
        <f aca="false">IF(OR(Z$4="",$C27=""),"",IF(AND($C27&gt;=Z$4,$C27&lt;EDATE(Z$4,1)),"◆",""))</f>
        <v/>
      </c>
      <c r="AA27" s="71" t="str">
        <f aca="false">IF(OR(AA$4="",$C27=""),"",IF(AND($C27&gt;=AA$4,$C27&lt;EDATE(AA$4,1)),"◆",""))</f>
        <v/>
      </c>
      <c r="AB27" s="71" t="str">
        <f aca="false">IF(OR(AB$4="",$C27=""),"",IF(AND($C27&gt;=AB$4,$C27&lt;EDATE(AB$4,1)),"◆",""))</f>
        <v/>
      </c>
      <c r="AC27" s="71" t="str">
        <f aca="false">IF(OR(AC$4="",$C27=""),"",IF(AND($C27&gt;=AC$4,$C27&lt;EDATE(AC$4,1)),"◆",""))</f>
        <v/>
      </c>
      <c r="AD27" s="71" t="str">
        <f aca="false">IF(OR(AD$4="",$C27=""),"",IF(AND($C27&gt;=AD$4,$C27&lt;EDATE(AD$4,1)),"◆",""))</f>
        <v/>
      </c>
      <c r="AE27" s="71" t="str">
        <f aca="false">IF(OR(AE$4="",$C27=""),"",IF(AND($C27&gt;=AE$4,$C27&lt;EDATE(AE$4,1)),"◆",""))</f>
        <v/>
      </c>
      <c r="AF27" s="71" t="str">
        <f aca="false">IF(OR(AF$4="",$C27=""),"",IF(AND($C27&gt;=AF$4,$C27&lt;EDATE(AF$4,1)),"◆",""))</f>
        <v/>
      </c>
      <c r="AG27" s="71" t="str">
        <f aca="false">IF(OR(AG$4="",$C27=""),"",IF(AND($C27&gt;=AG$4,$C27&lt;EDATE(AG$4,1)),"◆",""))</f>
        <v/>
      </c>
      <c r="AH27" s="71" t="str">
        <f aca="false">IF(OR(AH$4="",$C27=""),"",IF(AND($C27&gt;=AH$4,$C27&lt;EDATE(AH$4,1)),"◆",""))</f>
        <v/>
      </c>
      <c r="AI27" s="71" t="str">
        <f aca="false">IF(OR(AI$4="",$C27=""),"",IF(AND($C27&gt;=AI$4,$C27&lt;EDATE(AI$4,1)),"◆",""))</f>
        <v/>
      </c>
      <c r="AJ27" s="71" t="str">
        <f aca="false">IF(OR(AJ$4="",$C27=""),"",IF(AND($C27&gt;=AJ$4,$C27&lt;EDATE(AJ$4,1)),"◆",""))</f>
        <v/>
      </c>
      <c r="AK27" s="71" t="str">
        <f aca="false">IF(OR(AK$4="",$C27=""),"",IF(AND($C27&gt;=AK$4,$C27&lt;EDATE(AK$4,1)),"◆",""))</f>
        <v/>
      </c>
      <c r="AL27" s="71" t="str">
        <f aca="false">IF(OR(AL$4="",$C27=""),"",IF(AND($C27&gt;=AL$4,$C27&lt;EDATE(AL$4,1)),"◆",""))</f>
        <v/>
      </c>
      <c r="AM27" s="71" t="str">
        <f aca="false">IF(OR(AM$4="",$C27=""),"",IF(AND($C27&gt;=AM$4,$C27&lt;EDATE(AM$4,1)),"◆",""))</f>
        <v/>
      </c>
      <c r="AN27" s="71" t="str">
        <f aca="false">IF(OR(AN$4="",$C27=""),"",IF(AND($C27&gt;=AN$4,$C27&lt;EDATE(AN$4,1)),"◆",""))</f>
        <v/>
      </c>
      <c r="AO27" s="71" t="str">
        <f aca="false">IF(OR(AO$4="",$C27=""),"",IF(AND($C27&gt;=AO$4,$C27&lt;EDATE(AO$4,1)),"◆",""))</f>
        <v/>
      </c>
      <c r="AP27" s="71" t="str">
        <f aca="false">IF(OR(AP$4="",$C27=""),"",IF(AND($C27&gt;=AP$4,$C27&lt;EDATE(AP$4,1)),"◆",""))</f>
        <v/>
      </c>
      <c r="AQ27" s="71" t="str">
        <f aca="false">IF(OR(AQ$4="",$C27=""),"",IF(AND($C27&gt;=AQ$4,$C27&lt;EDATE(AQ$4,1)),"◆",""))</f>
        <v/>
      </c>
      <c r="AR27" s="71" t="str">
        <f aca="false">IF(OR(AR$4="",$C27=""),"",IF(AND($C27&gt;=AR$4,$C27&lt;EDATE(AR$4,1)),"◆",""))</f>
        <v/>
      </c>
      <c r="AS27" s="71" t="str">
        <f aca="false">IF(OR(AS$4="",$C27=""),"",IF(AND($C27&gt;=AS$4,$C27&lt;EDATE(AS$4,1)),"◆",""))</f>
        <v/>
      </c>
      <c r="AT27" s="71" t="str">
        <f aca="false">IF(OR(AT$4="",$C27=""),"",IF(AND($C27&gt;=AT$4,$C27&lt;EDATE(AT$4,1)),"◆",""))</f>
        <v/>
      </c>
      <c r="AU27" s="71" t="str">
        <f aca="false">IF(OR(AU$4="",$C27=""),"",IF(AND($C27&gt;=AU$4,$C27&lt;EDATE(AU$4,1)),"◆",""))</f>
        <v/>
      </c>
      <c r="AV27" s="71" t="str">
        <f aca="false">IF(OR(AV$4="",$C27=""),"",IF(AND($C27&gt;=AV$4,$C27&lt;EDATE(AV$4,1)),"◆",""))</f>
        <v/>
      </c>
      <c r="AW27" s="71" t="str">
        <f aca="false">IF(OR(AW$4="",$C27=""),"",IF(AND($C27&gt;=AW$4,$C27&lt;EDATE(AW$4,1)),"◆",""))</f>
        <v/>
      </c>
      <c r="AX27" s="71" t="str">
        <f aca="false">IF(OR(AX$4="",$C27=""),"",IF(AND($C27&gt;=AX$4,$C27&lt;EDATE(AX$4,1)),"◆",""))</f>
        <v/>
      </c>
      <c r="AY27" s="71" t="str">
        <f aca="false">IF(OR(AY$4="",$C27=""),"",IF(AND($C27&gt;=AY$4,$C27&lt;EDATE(AY$4,1)),"◆",""))</f>
        <v/>
      </c>
      <c r="AZ27" s="71" t="str">
        <f aca="false">IF(OR(AZ$4="",$C27=""),"",IF(AND($C27&gt;=AZ$4,$C27&lt;EDATE(AZ$4,1)),"◆",""))</f>
        <v/>
      </c>
      <c r="BA27" s="71" t="str">
        <f aca="false">IF(OR(BA$4="",$C27=""),"",IF(AND($C27&gt;=BA$4,$C27&lt;EDATE(BA$4,1)),"◆",""))</f>
        <v/>
      </c>
      <c r="BB27" s="71" t="str">
        <f aca="false">IF(OR(BB$4="",$C27=""),"",IF(AND($C27&gt;=BB$4,$C27&lt;EDATE(BB$4,1)),"◆",""))</f>
        <v/>
      </c>
      <c r="BC27" s="71" t="str">
        <f aca="false">IF(OR(BC$4="",$C27=""),"",IF(AND($C27&gt;=BC$4,$C27&lt;EDATE(BC$4,1)),"◆",""))</f>
        <v/>
      </c>
      <c r="BD27" s="71" t="str">
        <f aca="false">IF(OR(BD$4="",$C27=""),"",IF(AND($C27&gt;=BD$4,$C27&lt;EDATE(BD$4,1)),"◆",""))</f>
        <v/>
      </c>
      <c r="BE27" s="71" t="str">
        <f aca="false">IF(OR(BE$4="",$C27=""),"",IF(AND($C27&gt;=BE$4,$C27&lt;EDATE(BE$4,1)),"◆",""))</f>
        <v/>
      </c>
      <c r="BF27" s="71" t="str">
        <f aca="false">IF(OR(BF$4="",$C27=""),"",IF(AND($C27&gt;=BF$4,$C27&lt;EDATE(BF$4,1)),"◆",""))</f>
        <v/>
      </c>
      <c r="BG27" s="71" t="str">
        <f aca="false">IF(OR(BG$4="",$C27=""),"",IF(AND($C27&gt;=BG$4,$C27&lt;EDATE(BG$4,1)),"◆",""))</f>
        <v/>
      </c>
      <c r="BH27" s="71" t="str">
        <f aca="false">IF(OR(BH$4="",$C27=""),"",IF(AND($C27&gt;=BH$4,$C27&lt;EDATE(BH$4,1)),"◆",""))</f>
        <v/>
      </c>
      <c r="BI27" s="71" t="str">
        <f aca="false">IF(OR(BI$4="",$C27=""),"",IF(AND($C27&gt;=BI$4,$C27&lt;EDATE(BI$4,1)),"◆",""))</f>
        <v/>
      </c>
      <c r="BJ27" s="71" t="str">
        <f aca="false">IF(OR(BJ$4="",$C27=""),"",IF(AND($C27&gt;=BJ$4,$C27&lt;EDATE(BJ$4,1)),"◆",""))</f>
        <v/>
      </c>
      <c r="BK27" s="71" t="str">
        <f aca="false">IF(OR(BK$4="",$C27=""),"",IF(AND($C27&gt;=BK$4,$C27&lt;EDATE(BK$4,1)),"◆",""))</f>
        <v/>
      </c>
      <c r="BL27" s="71" t="str">
        <f aca="false">IF(OR(BL$4="",$C27=""),"",IF(AND($C27&gt;=BL$4,$C27&lt;EDATE(BL$4,1)),"◆",""))</f>
        <v/>
      </c>
      <c r="BM27" s="71" t="str">
        <f aca="false">IF(OR(BM$4="",$C27=""),"",IF(AND($C27&gt;=BM$4,$C27&lt;EDATE(BM$4,1)),"◆",""))</f>
        <v/>
      </c>
      <c r="BN27" s="71" t="str">
        <f aca="false">IF(OR(BN$4="",$C27=""),"",IF(AND($C27&gt;=BN$4,$C27&lt;EDATE(BN$4,1)),"◆",""))</f>
        <v/>
      </c>
      <c r="BO27" s="71" t="str">
        <f aca="false">IF(OR(BO$4="",$C27=""),"",IF(AND($C27&gt;=BO$4,$C27&lt;EDATE(BO$4,1)),"◆",""))</f>
        <v/>
      </c>
      <c r="BP27" s="71" t="str">
        <f aca="false">IF(OR(BP$4="",$C27=""),"",IF(AND($C27&gt;=BP$4,$C27&lt;EDATE(BP$4,1)),"◆",""))</f>
        <v/>
      </c>
      <c r="BQ27" s="71" t="str">
        <f aca="false">IF(OR(BQ$4="",$C27=""),"",IF(AND($C27&gt;=BQ$4,$C27&lt;EDATE(BQ$4,1)),"◆",""))</f>
        <v/>
      </c>
      <c r="BR27" s="71" t="str">
        <f aca="false">IF(OR(BR$4="",$C27=""),"",IF(AND($C27&gt;=BR$4,$C27&lt;EDATE(BR$4,1)),"◆",""))</f>
        <v/>
      </c>
      <c r="BS27" s="71" t="str">
        <f aca="false">IF(OR(BS$4="",$C27=""),"",IF(AND($C27&gt;=BS$4,$C27&lt;EDATE(BS$4,1)),"◆",""))</f>
        <v/>
      </c>
      <c r="BT27" s="71" t="str">
        <f aca="false">IF(OR(BT$4="",$C27=""),"",IF(AND($C27&gt;=BT$4,$C27&lt;EDATE(BT$4,1)),"◆",""))</f>
        <v/>
      </c>
      <c r="BU27" s="71" t="str">
        <f aca="false">IF(OR(BU$4="",$C27=""),"",IF(AND($C27&gt;=BU$4,$C27&lt;EDATE(BU$4,1)),"◆",""))</f>
        <v/>
      </c>
      <c r="BV27" s="71" t="str">
        <f aca="false">IF(OR(BV$4="",$C27=""),"",IF(AND($C27&gt;=BV$4,$C27&lt;EDATE(BV$4,1)),"◆",""))</f>
        <v/>
      </c>
      <c r="BW27" s="71" t="str">
        <f aca="false">IF(OR(BW$4="",$C27=""),"",IF(AND($C27&gt;=BW$4,$C27&lt;EDATE(BW$4,1)),"◆",""))</f>
        <v/>
      </c>
      <c r="BX27" s="71" t="str">
        <f aca="false">IF(OR(BX$4="",$C27=""),"",IF(AND($C27&gt;=BX$4,$C27&lt;EDATE(BX$4,1)),"◆",""))</f>
        <v/>
      </c>
      <c r="BY27" s="71" t="str">
        <f aca="false">IF(OR(BY$4="",$C27=""),"",IF(AND($C27&gt;=BY$4,$C27&lt;EDATE(BY$4,1)),"◆",""))</f>
        <v/>
      </c>
    </row>
    <row r="28" customFormat="false" ht="15" hidden="false" customHeight="false" outlineLevel="0" collapsed="false">
      <c r="A28" s="4"/>
      <c r="B28" s="61" t="str">
        <f aca="false">IF(Milestones!$B27="","",Milestones!$B27)</f>
        <v/>
      </c>
      <c r="C28" s="62" t="str">
        <f aca="false">IF(Milestones!$E27="","",Milestones!$E27)</f>
        <v/>
      </c>
      <c r="D28" s="4"/>
      <c r="E28" s="4"/>
      <c r="F28" s="71" t="str">
        <f aca="false">IF(OR(F$4="",$C28=""),"",IF(AND($C28&gt;=F$4,$C28&lt;EDATE(F$4,1)),"◆",""))</f>
        <v/>
      </c>
      <c r="G28" s="71" t="str">
        <f aca="false">IF(OR(G$4="",$C28=""),"",IF(AND($C28&gt;=G$4,$C28&lt;EDATE(G$4,1)),"◆",""))</f>
        <v/>
      </c>
      <c r="H28" s="71" t="str">
        <f aca="false">IF(OR(H$4="",$C28=""),"",IF(AND($C28&gt;=H$4,$C28&lt;EDATE(H$4,1)),"◆",""))</f>
        <v/>
      </c>
      <c r="I28" s="71" t="str">
        <f aca="false">IF(OR(I$4="",$C28=""),"",IF(AND($C28&gt;=I$4,$C28&lt;EDATE(I$4,1)),"◆",""))</f>
        <v/>
      </c>
      <c r="J28" s="71" t="str">
        <f aca="false">IF(OR(J$4="",$C28=""),"",IF(AND($C28&gt;=J$4,$C28&lt;EDATE(J$4,1)),"◆",""))</f>
        <v/>
      </c>
      <c r="K28" s="71" t="str">
        <f aca="false">IF(OR(K$4="",$C28=""),"",IF(AND($C28&gt;=K$4,$C28&lt;EDATE(K$4,1)),"◆",""))</f>
        <v/>
      </c>
      <c r="L28" s="71" t="str">
        <f aca="false">IF(OR(L$4="",$C28=""),"",IF(AND($C28&gt;=L$4,$C28&lt;EDATE(L$4,1)),"◆",""))</f>
        <v/>
      </c>
      <c r="M28" s="71" t="str">
        <f aca="false">IF(OR(M$4="",$C28=""),"",IF(AND($C28&gt;=M$4,$C28&lt;EDATE(M$4,1)),"◆",""))</f>
        <v/>
      </c>
      <c r="N28" s="71" t="str">
        <f aca="false">IF(OR(N$4="",$C28=""),"",IF(AND($C28&gt;=N$4,$C28&lt;EDATE(N$4,1)),"◆",""))</f>
        <v/>
      </c>
      <c r="O28" s="71" t="str">
        <f aca="false">IF(OR(O$4="",$C28=""),"",IF(AND($C28&gt;=O$4,$C28&lt;EDATE(O$4,1)),"◆",""))</f>
        <v/>
      </c>
      <c r="P28" s="71" t="str">
        <f aca="false">IF(OR(P$4="",$C28=""),"",IF(AND($C28&gt;=P$4,$C28&lt;EDATE(P$4,1)),"◆",""))</f>
        <v/>
      </c>
      <c r="Q28" s="71" t="str">
        <f aca="false">IF(OR(Q$4="",$C28=""),"",IF(AND($C28&gt;=Q$4,$C28&lt;EDATE(Q$4,1)),"◆",""))</f>
        <v/>
      </c>
      <c r="R28" s="71" t="str">
        <f aca="false">IF(OR(R$4="",$C28=""),"",IF(AND($C28&gt;=R$4,$C28&lt;EDATE(R$4,1)),"◆",""))</f>
        <v/>
      </c>
      <c r="S28" s="71" t="str">
        <f aca="false">IF(OR(S$4="",$C28=""),"",IF(AND($C28&gt;=S$4,$C28&lt;EDATE(S$4,1)),"◆",""))</f>
        <v/>
      </c>
      <c r="T28" s="71" t="str">
        <f aca="false">IF(OR(T$4="",$C28=""),"",IF(AND($C28&gt;=T$4,$C28&lt;EDATE(T$4,1)),"◆",""))</f>
        <v/>
      </c>
      <c r="U28" s="71" t="str">
        <f aca="false">IF(OR(U$4="",$C28=""),"",IF(AND($C28&gt;=U$4,$C28&lt;EDATE(U$4,1)),"◆",""))</f>
        <v/>
      </c>
      <c r="V28" s="71" t="str">
        <f aca="false">IF(OR(V$4="",$C28=""),"",IF(AND($C28&gt;=V$4,$C28&lt;EDATE(V$4,1)),"◆",""))</f>
        <v/>
      </c>
      <c r="W28" s="71" t="str">
        <f aca="false">IF(OR(W$4="",$C28=""),"",IF(AND($C28&gt;=W$4,$C28&lt;EDATE(W$4,1)),"◆",""))</f>
        <v/>
      </c>
      <c r="X28" s="71" t="str">
        <f aca="false">IF(OR(X$4="",$C28=""),"",IF(AND($C28&gt;=X$4,$C28&lt;EDATE(X$4,1)),"◆",""))</f>
        <v/>
      </c>
      <c r="Y28" s="71" t="str">
        <f aca="false">IF(OR(Y$4="",$C28=""),"",IF(AND($C28&gt;=Y$4,$C28&lt;EDATE(Y$4,1)),"◆",""))</f>
        <v/>
      </c>
      <c r="Z28" s="71" t="str">
        <f aca="false">IF(OR(Z$4="",$C28=""),"",IF(AND($C28&gt;=Z$4,$C28&lt;EDATE(Z$4,1)),"◆",""))</f>
        <v/>
      </c>
      <c r="AA28" s="71" t="str">
        <f aca="false">IF(OR(AA$4="",$C28=""),"",IF(AND($C28&gt;=AA$4,$C28&lt;EDATE(AA$4,1)),"◆",""))</f>
        <v/>
      </c>
      <c r="AB28" s="71" t="str">
        <f aca="false">IF(OR(AB$4="",$C28=""),"",IF(AND($C28&gt;=AB$4,$C28&lt;EDATE(AB$4,1)),"◆",""))</f>
        <v/>
      </c>
      <c r="AC28" s="71" t="str">
        <f aca="false">IF(OR(AC$4="",$C28=""),"",IF(AND($C28&gt;=AC$4,$C28&lt;EDATE(AC$4,1)),"◆",""))</f>
        <v/>
      </c>
      <c r="AD28" s="71" t="str">
        <f aca="false">IF(OR(AD$4="",$C28=""),"",IF(AND($C28&gt;=AD$4,$C28&lt;EDATE(AD$4,1)),"◆",""))</f>
        <v/>
      </c>
      <c r="AE28" s="71" t="str">
        <f aca="false">IF(OR(AE$4="",$C28=""),"",IF(AND($C28&gt;=AE$4,$C28&lt;EDATE(AE$4,1)),"◆",""))</f>
        <v/>
      </c>
      <c r="AF28" s="71" t="str">
        <f aca="false">IF(OR(AF$4="",$C28=""),"",IF(AND($C28&gt;=AF$4,$C28&lt;EDATE(AF$4,1)),"◆",""))</f>
        <v/>
      </c>
      <c r="AG28" s="71" t="str">
        <f aca="false">IF(OR(AG$4="",$C28=""),"",IF(AND($C28&gt;=AG$4,$C28&lt;EDATE(AG$4,1)),"◆",""))</f>
        <v/>
      </c>
      <c r="AH28" s="71" t="str">
        <f aca="false">IF(OR(AH$4="",$C28=""),"",IF(AND($C28&gt;=AH$4,$C28&lt;EDATE(AH$4,1)),"◆",""))</f>
        <v/>
      </c>
      <c r="AI28" s="71" t="str">
        <f aca="false">IF(OR(AI$4="",$C28=""),"",IF(AND($C28&gt;=AI$4,$C28&lt;EDATE(AI$4,1)),"◆",""))</f>
        <v/>
      </c>
      <c r="AJ28" s="71" t="str">
        <f aca="false">IF(OR(AJ$4="",$C28=""),"",IF(AND($C28&gt;=AJ$4,$C28&lt;EDATE(AJ$4,1)),"◆",""))</f>
        <v/>
      </c>
      <c r="AK28" s="71" t="str">
        <f aca="false">IF(OR(AK$4="",$C28=""),"",IF(AND($C28&gt;=AK$4,$C28&lt;EDATE(AK$4,1)),"◆",""))</f>
        <v/>
      </c>
      <c r="AL28" s="71" t="str">
        <f aca="false">IF(OR(AL$4="",$C28=""),"",IF(AND($C28&gt;=AL$4,$C28&lt;EDATE(AL$4,1)),"◆",""))</f>
        <v/>
      </c>
      <c r="AM28" s="71" t="str">
        <f aca="false">IF(OR(AM$4="",$C28=""),"",IF(AND($C28&gt;=AM$4,$C28&lt;EDATE(AM$4,1)),"◆",""))</f>
        <v/>
      </c>
      <c r="AN28" s="71" t="str">
        <f aca="false">IF(OR(AN$4="",$C28=""),"",IF(AND($C28&gt;=AN$4,$C28&lt;EDATE(AN$4,1)),"◆",""))</f>
        <v/>
      </c>
      <c r="AO28" s="71" t="str">
        <f aca="false">IF(OR(AO$4="",$C28=""),"",IF(AND($C28&gt;=AO$4,$C28&lt;EDATE(AO$4,1)),"◆",""))</f>
        <v/>
      </c>
      <c r="AP28" s="71" t="str">
        <f aca="false">IF(OR(AP$4="",$C28=""),"",IF(AND($C28&gt;=AP$4,$C28&lt;EDATE(AP$4,1)),"◆",""))</f>
        <v/>
      </c>
      <c r="AQ28" s="71" t="str">
        <f aca="false">IF(OR(AQ$4="",$C28=""),"",IF(AND($C28&gt;=AQ$4,$C28&lt;EDATE(AQ$4,1)),"◆",""))</f>
        <v/>
      </c>
      <c r="AR28" s="71" t="str">
        <f aca="false">IF(OR(AR$4="",$C28=""),"",IF(AND($C28&gt;=AR$4,$C28&lt;EDATE(AR$4,1)),"◆",""))</f>
        <v/>
      </c>
      <c r="AS28" s="71" t="str">
        <f aca="false">IF(OR(AS$4="",$C28=""),"",IF(AND($C28&gt;=AS$4,$C28&lt;EDATE(AS$4,1)),"◆",""))</f>
        <v/>
      </c>
      <c r="AT28" s="71" t="str">
        <f aca="false">IF(OR(AT$4="",$C28=""),"",IF(AND($C28&gt;=AT$4,$C28&lt;EDATE(AT$4,1)),"◆",""))</f>
        <v/>
      </c>
      <c r="AU28" s="71" t="str">
        <f aca="false">IF(OR(AU$4="",$C28=""),"",IF(AND($C28&gt;=AU$4,$C28&lt;EDATE(AU$4,1)),"◆",""))</f>
        <v/>
      </c>
      <c r="AV28" s="71" t="str">
        <f aca="false">IF(OR(AV$4="",$C28=""),"",IF(AND($C28&gt;=AV$4,$C28&lt;EDATE(AV$4,1)),"◆",""))</f>
        <v/>
      </c>
      <c r="AW28" s="71" t="str">
        <f aca="false">IF(OR(AW$4="",$C28=""),"",IF(AND($C28&gt;=AW$4,$C28&lt;EDATE(AW$4,1)),"◆",""))</f>
        <v/>
      </c>
      <c r="AX28" s="71" t="str">
        <f aca="false">IF(OR(AX$4="",$C28=""),"",IF(AND($C28&gt;=AX$4,$C28&lt;EDATE(AX$4,1)),"◆",""))</f>
        <v/>
      </c>
      <c r="AY28" s="71" t="str">
        <f aca="false">IF(OR(AY$4="",$C28=""),"",IF(AND($C28&gt;=AY$4,$C28&lt;EDATE(AY$4,1)),"◆",""))</f>
        <v/>
      </c>
      <c r="AZ28" s="71" t="str">
        <f aca="false">IF(OR(AZ$4="",$C28=""),"",IF(AND($C28&gt;=AZ$4,$C28&lt;EDATE(AZ$4,1)),"◆",""))</f>
        <v/>
      </c>
      <c r="BA28" s="71" t="str">
        <f aca="false">IF(OR(BA$4="",$C28=""),"",IF(AND($C28&gt;=BA$4,$C28&lt;EDATE(BA$4,1)),"◆",""))</f>
        <v/>
      </c>
      <c r="BB28" s="71" t="str">
        <f aca="false">IF(OR(BB$4="",$C28=""),"",IF(AND($C28&gt;=BB$4,$C28&lt;EDATE(BB$4,1)),"◆",""))</f>
        <v/>
      </c>
      <c r="BC28" s="71" t="str">
        <f aca="false">IF(OR(BC$4="",$C28=""),"",IF(AND($C28&gt;=BC$4,$C28&lt;EDATE(BC$4,1)),"◆",""))</f>
        <v/>
      </c>
      <c r="BD28" s="71" t="str">
        <f aca="false">IF(OR(BD$4="",$C28=""),"",IF(AND($C28&gt;=BD$4,$C28&lt;EDATE(BD$4,1)),"◆",""))</f>
        <v/>
      </c>
      <c r="BE28" s="71" t="str">
        <f aca="false">IF(OR(BE$4="",$C28=""),"",IF(AND($C28&gt;=BE$4,$C28&lt;EDATE(BE$4,1)),"◆",""))</f>
        <v/>
      </c>
      <c r="BF28" s="71" t="str">
        <f aca="false">IF(OR(BF$4="",$C28=""),"",IF(AND($C28&gt;=BF$4,$C28&lt;EDATE(BF$4,1)),"◆",""))</f>
        <v/>
      </c>
      <c r="BG28" s="71" t="str">
        <f aca="false">IF(OR(BG$4="",$C28=""),"",IF(AND($C28&gt;=BG$4,$C28&lt;EDATE(BG$4,1)),"◆",""))</f>
        <v/>
      </c>
      <c r="BH28" s="71" t="str">
        <f aca="false">IF(OR(BH$4="",$C28=""),"",IF(AND($C28&gt;=BH$4,$C28&lt;EDATE(BH$4,1)),"◆",""))</f>
        <v/>
      </c>
      <c r="BI28" s="71" t="str">
        <f aca="false">IF(OR(BI$4="",$C28=""),"",IF(AND($C28&gt;=BI$4,$C28&lt;EDATE(BI$4,1)),"◆",""))</f>
        <v/>
      </c>
      <c r="BJ28" s="71" t="str">
        <f aca="false">IF(OR(BJ$4="",$C28=""),"",IF(AND($C28&gt;=BJ$4,$C28&lt;EDATE(BJ$4,1)),"◆",""))</f>
        <v/>
      </c>
      <c r="BK28" s="71" t="str">
        <f aca="false">IF(OR(BK$4="",$C28=""),"",IF(AND($C28&gt;=BK$4,$C28&lt;EDATE(BK$4,1)),"◆",""))</f>
        <v/>
      </c>
      <c r="BL28" s="71" t="str">
        <f aca="false">IF(OR(BL$4="",$C28=""),"",IF(AND($C28&gt;=BL$4,$C28&lt;EDATE(BL$4,1)),"◆",""))</f>
        <v/>
      </c>
      <c r="BM28" s="71" t="str">
        <f aca="false">IF(OR(BM$4="",$C28=""),"",IF(AND($C28&gt;=BM$4,$C28&lt;EDATE(BM$4,1)),"◆",""))</f>
        <v/>
      </c>
      <c r="BN28" s="71" t="str">
        <f aca="false">IF(OR(BN$4="",$C28=""),"",IF(AND($C28&gt;=BN$4,$C28&lt;EDATE(BN$4,1)),"◆",""))</f>
        <v/>
      </c>
      <c r="BO28" s="71" t="str">
        <f aca="false">IF(OR(BO$4="",$C28=""),"",IF(AND($C28&gt;=BO$4,$C28&lt;EDATE(BO$4,1)),"◆",""))</f>
        <v/>
      </c>
      <c r="BP28" s="71" t="str">
        <f aca="false">IF(OR(BP$4="",$C28=""),"",IF(AND($C28&gt;=BP$4,$C28&lt;EDATE(BP$4,1)),"◆",""))</f>
        <v/>
      </c>
      <c r="BQ28" s="71" t="str">
        <f aca="false">IF(OR(BQ$4="",$C28=""),"",IF(AND($C28&gt;=BQ$4,$C28&lt;EDATE(BQ$4,1)),"◆",""))</f>
        <v/>
      </c>
      <c r="BR28" s="71" t="str">
        <f aca="false">IF(OR(BR$4="",$C28=""),"",IF(AND($C28&gt;=BR$4,$C28&lt;EDATE(BR$4,1)),"◆",""))</f>
        <v/>
      </c>
      <c r="BS28" s="71" t="str">
        <f aca="false">IF(OR(BS$4="",$C28=""),"",IF(AND($C28&gt;=BS$4,$C28&lt;EDATE(BS$4,1)),"◆",""))</f>
        <v/>
      </c>
      <c r="BT28" s="71" t="str">
        <f aca="false">IF(OR(BT$4="",$C28=""),"",IF(AND($C28&gt;=BT$4,$C28&lt;EDATE(BT$4,1)),"◆",""))</f>
        <v/>
      </c>
      <c r="BU28" s="71" t="str">
        <f aca="false">IF(OR(BU$4="",$C28=""),"",IF(AND($C28&gt;=BU$4,$C28&lt;EDATE(BU$4,1)),"◆",""))</f>
        <v/>
      </c>
      <c r="BV28" s="71" t="str">
        <f aca="false">IF(OR(BV$4="",$C28=""),"",IF(AND($C28&gt;=BV$4,$C28&lt;EDATE(BV$4,1)),"◆",""))</f>
        <v/>
      </c>
      <c r="BW28" s="71" t="str">
        <f aca="false">IF(OR(BW$4="",$C28=""),"",IF(AND($C28&gt;=BW$4,$C28&lt;EDATE(BW$4,1)),"◆",""))</f>
        <v/>
      </c>
      <c r="BX28" s="71" t="str">
        <f aca="false">IF(OR(BX$4="",$C28=""),"",IF(AND($C28&gt;=BX$4,$C28&lt;EDATE(BX$4,1)),"◆",""))</f>
        <v/>
      </c>
      <c r="BY28" s="71" t="str">
        <f aca="false">IF(OR(BY$4="",$C28=""),"",IF(AND($C28&gt;=BY$4,$C28&lt;EDATE(BY$4,1)),"◆",""))</f>
        <v/>
      </c>
    </row>
    <row r="29" customFormat="false" ht="15" hidden="false" customHeight="false" outlineLevel="0" collapsed="false">
      <c r="A29" s="4"/>
      <c r="B29" s="61" t="str">
        <f aca="false">IF(Milestones!$B28="","",Milestones!$B28)</f>
        <v/>
      </c>
      <c r="C29" s="62" t="str">
        <f aca="false">IF(Milestones!$E28="","",Milestones!$E28)</f>
        <v/>
      </c>
      <c r="D29" s="4"/>
      <c r="E29" s="4"/>
      <c r="F29" s="71" t="str">
        <f aca="false">IF(OR(F$4="",$C29=""),"",IF(AND($C29&gt;=F$4,$C29&lt;EDATE(F$4,1)),"◆",""))</f>
        <v/>
      </c>
      <c r="G29" s="71" t="str">
        <f aca="false">IF(OR(G$4="",$C29=""),"",IF(AND($C29&gt;=G$4,$C29&lt;EDATE(G$4,1)),"◆",""))</f>
        <v/>
      </c>
      <c r="H29" s="71" t="str">
        <f aca="false">IF(OR(H$4="",$C29=""),"",IF(AND($C29&gt;=H$4,$C29&lt;EDATE(H$4,1)),"◆",""))</f>
        <v/>
      </c>
      <c r="I29" s="71" t="str">
        <f aca="false">IF(OR(I$4="",$C29=""),"",IF(AND($C29&gt;=I$4,$C29&lt;EDATE(I$4,1)),"◆",""))</f>
        <v/>
      </c>
      <c r="J29" s="71" t="str">
        <f aca="false">IF(OR(J$4="",$C29=""),"",IF(AND($C29&gt;=J$4,$C29&lt;EDATE(J$4,1)),"◆",""))</f>
        <v/>
      </c>
      <c r="K29" s="71" t="str">
        <f aca="false">IF(OR(K$4="",$C29=""),"",IF(AND($C29&gt;=K$4,$C29&lt;EDATE(K$4,1)),"◆",""))</f>
        <v/>
      </c>
      <c r="L29" s="71" t="str">
        <f aca="false">IF(OR(L$4="",$C29=""),"",IF(AND($C29&gt;=L$4,$C29&lt;EDATE(L$4,1)),"◆",""))</f>
        <v/>
      </c>
      <c r="M29" s="71" t="str">
        <f aca="false">IF(OR(M$4="",$C29=""),"",IF(AND($C29&gt;=M$4,$C29&lt;EDATE(M$4,1)),"◆",""))</f>
        <v/>
      </c>
      <c r="N29" s="71" t="str">
        <f aca="false">IF(OR(N$4="",$C29=""),"",IF(AND($C29&gt;=N$4,$C29&lt;EDATE(N$4,1)),"◆",""))</f>
        <v/>
      </c>
      <c r="O29" s="71" t="str">
        <f aca="false">IF(OR(O$4="",$C29=""),"",IF(AND($C29&gt;=O$4,$C29&lt;EDATE(O$4,1)),"◆",""))</f>
        <v/>
      </c>
      <c r="P29" s="71" t="str">
        <f aca="false">IF(OR(P$4="",$C29=""),"",IF(AND($C29&gt;=P$4,$C29&lt;EDATE(P$4,1)),"◆",""))</f>
        <v/>
      </c>
      <c r="Q29" s="71" t="str">
        <f aca="false">IF(OR(Q$4="",$C29=""),"",IF(AND($C29&gt;=Q$4,$C29&lt;EDATE(Q$4,1)),"◆",""))</f>
        <v/>
      </c>
      <c r="R29" s="71" t="str">
        <f aca="false">IF(OR(R$4="",$C29=""),"",IF(AND($C29&gt;=R$4,$C29&lt;EDATE(R$4,1)),"◆",""))</f>
        <v/>
      </c>
      <c r="S29" s="71" t="str">
        <f aca="false">IF(OR(S$4="",$C29=""),"",IF(AND($C29&gt;=S$4,$C29&lt;EDATE(S$4,1)),"◆",""))</f>
        <v/>
      </c>
      <c r="T29" s="71" t="str">
        <f aca="false">IF(OR(T$4="",$C29=""),"",IF(AND($C29&gt;=T$4,$C29&lt;EDATE(T$4,1)),"◆",""))</f>
        <v/>
      </c>
      <c r="U29" s="71" t="str">
        <f aca="false">IF(OR(U$4="",$C29=""),"",IF(AND($C29&gt;=U$4,$C29&lt;EDATE(U$4,1)),"◆",""))</f>
        <v/>
      </c>
      <c r="V29" s="71" t="str">
        <f aca="false">IF(OR(V$4="",$C29=""),"",IF(AND($C29&gt;=V$4,$C29&lt;EDATE(V$4,1)),"◆",""))</f>
        <v/>
      </c>
      <c r="W29" s="71" t="str">
        <f aca="false">IF(OR(W$4="",$C29=""),"",IF(AND($C29&gt;=W$4,$C29&lt;EDATE(W$4,1)),"◆",""))</f>
        <v/>
      </c>
      <c r="X29" s="71" t="str">
        <f aca="false">IF(OR(X$4="",$C29=""),"",IF(AND($C29&gt;=X$4,$C29&lt;EDATE(X$4,1)),"◆",""))</f>
        <v/>
      </c>
      <c r="Y29" s="71" t="str">
        <f aca="false">IF(OR(Y$4="",$C29=""),"",IF(AND($C29&gt;=Y$4,$C29&lt;EDATE(Y$4,1)),"◆",""))</f>
        <v/>
      </c>
      <c r="Z29" s="71" t="str">
        <f aca="false">IF(OR(Z$4="",$C29=""),"",IF(AND($C29&gt;=Z$4,$C29&lt;EDATE(Z$4,1)),"◆",""))</f>
        <v/>
      </c>
      <c r="AA29" s="71" t="str">
        <f aca="false">IF(OR(AA$4="",$C29=""),"",IF(AND($C29&gt;=AA$4,$C29&lt;EDATE(AA$4,1)),"◆",""))</f>
        <v/>
      </c>
      <c r="AB29" s="71" t="str">
        <f aca="false">IF(OR(AB$4="",$C29=""),"",IF(AND($C29&gt;=AB$4,$C29&lt;EDATE(AB$4,1)),"◆",""))</f>
        <v/>
      </c>
      <c r="AC29" s="71" t="str">
        <f aca="false">IF(OR(AC$4="",$C29=""),"",IF(AND($C29&gt;=AC$4,$C29&lt;EDATE(AC$4,1)),"◆",""))</f>
        <v/>
      </c>
      <c r="AD29" s="71" t="str">
        <f aca="false">IF(OR(AD$4="",$C29=""),"",IF(AND($C29&gt;=AD$4,$C29&lt;EDATE(AD$4,1)),"◆",""))</f>
        <v/>
      </c>
      <c r="AE29" s="71" t="str">
        <f aca="false">IF(OR(AE$4="",$C29=""),"",IF(AND($C29&gt;=AE$4,$C29&lt;EDATE(AE$4,1)),"◆",""))</f>
        <v/>
      </c>
      <c r="AF29" s="71" t="str">
        <f aca="false">IF(OR(AF$4="",$C29=""),"",IF(AND($C29&gt;=AF$4,$C29&lt;EDATE(AF$4,1)),"◆",""))</f>
        <v/>
      </c>
      <c r="AG29" s="71" t="str">
        <f aca="false">IF(OR(AG$4="",$C29=""),"",IF(AND($C29&gt;=AG$4,$C29&lt;EDATE(AG$4,1)),"◆",""))</f>
        <v/>
      </c>
      <c r="AH29" s="71" t="str">
        <f aca="false">IF(OR(AH$4="",$C29=""),"",IF(AND($C29&gt;=AH$4,$C29&lt;EDATE(AH$4,1)),"◆",""))</f>
        <v/>
      </c>
      <c r="AI29" s="71" t="str">
        <f aca="false">IF(OR(AI$4="",$C29=""),"",IF(AND($C29&gt;=AI$4,$C29&lt;EDATE(AI$4,1)),"◆",""))</f>
        <v/>
      </c>
      <c r="AJ29" s="71" t="str">
        <f aca="false">IF(OR(AJ$4="",$C29=""),"",IF(AND($C29&gt;=AJ$4,$C29&lt;EDATE(AJ$4,1)),"◆",""))</f>
        <v/>
      </c>
      <c r="AK29" s="71" t="str">
        <f aca="false">IF(OR(AK$4="",$C29=""),"",IF(AND($C29&gt;=AK$4,$C29&lt;EDATE(AK$4,1)),"◆",""))</f>
        <v/>
      </c>
      <c r="AL29" s="71" t="str">
        <f aca="false">IF(OR(AL$4="",$C29=""),"",IF(AND($C29&gt;=AL$4,$C29&lt;EDATE(AL$4,1)),"◆",""))</f>
        <v/>
      </c>
      <c r="AM29" s="71" t="str">
        <f aca="false">IF(OR(AM$4="",$C29=""),"",IF(AND($C29&gt;=AM$4,$C29&lt;EDATE(AM$4,1)),"◆",""))</f>
        <v/>
      </c>
      <c r="AN29" s="71" t="str">
        <f aca="false">IF(OR(AN$4="",$C29=""),"",IF(AND($C29&gt;=AN$4,$C29&lt;EDATE(AN$4,1)),"◆",""))</f>
        <v/>
      </c>
      <c r="AO29" s="71" t="str">
        <f aca="false">IF(OR(AO$4="",$C29=""),"",IF(AND($C29&gt;=AO$4,$C29&lt;EDATE(AO$4,1)),"◆",""))</f>
        <v/>
      </c>
      <c r="AP29" s="71" t="str">
        <f aca="false">IF(OR(AP$4="",$C29=""),"",IF(AND($C29&gt;=AP$4,$C29&lt;EDATE(AP$4,1)),"◆",""))</f>
        <v/>
      </c>
      <c r="AQ29" s="71" t="str">
        <f aca="false">IF(OR(AQ$4="",$C29=""),"",IF(AND($C29&gt;=AQ$4,$C29&lt;EDATE(AQ$4,1)),"◆",""))</f>
        <v/>
      </c>
      <c r="AR29" s="71" t="str">
        <f aca="false">IF(OR(AR$4="",$C29=""),"",IF(AND($C29&gt;=AR$4,$C29&lt;EDATE(AR$4,1)),"◆",""))</f>
        <v/>
      </c>
      <c r="AS29" s="71" t="str">
        <f aca="false">IF(OR(AS$4="",$C29=""),"",IF(AND($C29&gt;=AS$4,$C29&lt;EDATE(AS$4,1)),"◆",""))</f>
        <v/>
      </c>
      <c r="AT29" s="71" t="str">
        <f aca="false">IF(OR(AT$4="",$C29=""),"",IF(AND($C29&gt;=AT$4,$C29&lt;EDATE(AT$4,1)),"◆",""))</f>
        <v/>
      </c>
      <c r="AU29" s="71" t="str">
        <f aca="false">IF(OR(AU$4="",$C29=""),"",IF(AND($C29&gt;=AU$4,$C29&lt;EDATE(AU$4,1)),"◆",""))</f>
        <v/>
      </c>
      <c r="AV29" s="71" t="str">
        <f aca="false">IF(OR(AV$4="",$C29=""),"",IF(AND($C29&gt;=AV$4,$C29&lt;EDATE(AV$4,1)),"◆",""))</f>
        <v/>
      </c>
      <c r="AW29" s="71" t="str">
        <f aca="false">IF(OR(AW$4="",$C29=""),"",IF(AND($C29&gt;=AW$4,$C29&lt;EDATE(AW$4,1)),"◆",""))</f>
        <v/>
      </c>
      <c r="AX29" s="71" t="str">
        <f aca="false">IF(OR(AX$4="",$C29=""),"",IF(AND($C29&gt;=AX$4,$C29&lt;EDATE(AX$4,1)),"◆",""))</f>
        <v/>
      </c>
      <c r="AY29" s="71" t="str">
        <f aca="false">IF(OR(AY$4="",$C29=""),"",IF(AND($C29&gt;=AY$4,$C29&lt;EDATE(AY$4,1)),"◆",""))</f>
        <v/>
      </c>
      <c r="AZ29" s="71" t="str">
        <f aca="false">IF(OR(AZ$4="",$C29=""),"",IF(AND($C29&gt;=AZ$4,$C29&lt;EDATE(AZ$4,1)),"◆",""))</f>
        <v/>
      </c>
      <c r="BA29" s="71" t="str">
        <f aca="false">IF(OR(BA$4="",$C29=""),"",IF(AND($C29&gt;=BA$4,$C29&lt;EDATE(BA$4,1)),"◆",""))</f>
        <v/>
      </c>
      <c r="BB29" s="71" t="str">
        <f aca="false">IF(OR(BB$4="",$C29=""),"",IF(AND($C29&gt;=BB$4,$C29&lt;EDATE(BB$4,1)),"◆",""))</f>
        <v/>
      </c>
      <c r="BC29" s="71" t="str">
        <f aca="false">IF(OR(BC$4="",$C29=""),"",IF(AND($C29&gt;=BC$4,$C29&lt;EDATE(BC$4,1)),"◆",""))</f>
        <v/>
      </c>
      <c r="BD29" s="71" t="str">
        <f aca="false">IF(OR(BD$4="",$C29=""),"",IF(AND($C29&gt;=BD$4,$C29&lt;EDATE(BD$4,1)),"◆",""))</f>
        <v/>
      </c>
      <c r="BE29" s="71" t="str">
        <f aca="false">IF(OR(BE$4="",$C29=""),"",IF(AND($C29&gt;=BE$4,$C29&lt;EDATE(BE$4,1)),"◆",""))</f>
        <v/>
      </c>
      <c r="BF29" s="71" t="str">
        <f aca="false">IF(OR(BF$4="",$C29=""),"",IF(AND($C29&gt;=BF$4,$C29&lt;EDATE(BF$4,1)),"◆",""))</f>
        <v/>
      </c>
      <c r="BG29" s="71" t="str">
        <f aca="false">IF(OR(BG$4="",$C29=""),"",IF(AND($C29&gt;=BG$4,$C29&lt;EDATE(BG$4,1)),"◆",""))</f>
        <v/>
      </c>
      <c r="BH29" s="71" t="str">
        <f aca="false">IF(OR(BH$4="",$C29=""),"",IF(AND($C29&gt;=BH$4,$C29&lt;EDATE(BH$4,1)),"◆",""))</f>
        <v/>
      </c>
      <c r="BI29" s="71" t="str">
        <f aca="false">IF(OR(BI$4="",$C29=""),"",IF(AND($C29&gt;=BI$4,$C29&lt;EDATE(BI$4,1)),"◆",""))</f>
        <v/>
      </c>
      <c r="BJ29" s="71" t="str">
        <f aca="false">IF(OR(BJ$4="",$C29=""),"",IF(AND($C29&gt;=BJ$4,$C29&lt;EDATE(BJ$4,1)),"◆",""))</f>
        <v/>
      </c>
      <c r="BK29" s="71" t="str">
        <f aca="false">IF(OR(BK$4="",$C29=""),"",IF(AND($C29&gt;=BK$4,$C29&lt;EDATE(BK$4,1)),"◆",""))</f>
        <v/>
      </c>
      <c r="BL29" s="71" t="str">
        <f aca="false">IF(OR(BL$4="",$C29=""),"",IF(AND($C29&gt;=BL$4,$C29&lt;EDATE(BL$4,1)),"◆",""))</f>
        <v/>
      </c>
      <c r="BM29" s="71" t="str">
        <f aca="false">IF(OR(BM$4="",$C29=""),"",IF(AND($C29&gt;=BM$4,$C29&lt;EDATE(BM$4,1)),"◆",""))</f>
        <v/>
      </c>
      <c r="BN29" s="71" t="str">
        <f aca="false">IF(OR(BN$4="",$C29=""),"",IF(AND($C29&gt;=BN$4,$C29&lt;EDATE(BN$4,1)),"◆",""))</f>
        <v/>
      </c>
      <c r="BO29" s="71" t="str">
        <f aca="false">IF(OR(BO$4="",$C29=""),"",IF(AND($C29&gt;=BO$4,$C29&lt;EDATE(BO$4,1)),"◆",""))</f>
        <v/>
      </c>
      <c r="BP29" s="71" t="str">
        <f aca="false">IF(OR(BP$4="",$C29=""),"",IF(AND($C29&gt;=BP$4,$C29&lt;EDATE(BP$4,1)),"◆",""))</f>
        <v/>
      </c>
      <c r="BQ29" s="71" t="str">
        <f aca="false">IF(OR(BQ$4="",$C29=""),"",IF(AND($C29&gt;=BQ$4,$C29&lt;EDATE(BQ$4,1)),"◆",""))</f>
        <v/>
      </c>
      <c r="BR29" s="71" t="str">
        <f aca="false">IF(OR(BR$4="",$C29=""),"",IF(AND($C29&gt;=BR$4,$C29&lt;EDATE(BR$4,1)),"◆",""))</f>
        <v/>
      </c>
      <c r="BS29" s="71" t="str">
        <f aca="false">IF(OR(BS$4="",$C29=""),"",IF(AND($C29&gt;=BS$4,$C29&lt;EDATE(BS$4,1)),"◆",""))</f>
        <v/>
      </c>
      <c r="BT29" s="71" t="str">
        <f aca="false">IF(OR(BT$4="",$C29=""),"",IF(AND($C29&gt;=BT$4,$C29&lt;EDATE(BT$4,1)),"◆",""))</f>
        <v/>
      </c>
      <c r="BU29" s="71" t="str">
        <f aca="false">IF(OR(BU$4="",$C29=""),"",IF(AND($C29&gt;=BU$4,$C29&lt;EDATE(BU$4,1)),"◆",""))</f>
        <v/>
      </c>
      <c r="BV29" s="71" t="str">
        <f aca="false">IF(OR(BV$4="",$C29=""),"",IF(AND($C29&gt;=BV$4,$C29&lt;EDATE(BV$4,1)),"◆",""))</f>
        <v/>
      </c>
      <c r="BW29" s="71" t="str">
        <f aca="false">IF(OR(BW$4="",$C29=""),"",IF(AND($C29&gt;=BW$4,$C29&lt;EDATE(BW$4,1)),"◆",""))</f>
        <v/>
      </c>
      <c r="BX29" s="71" t="str">
        <f aca="false">IF(OR(BX$4="",$C29=""),"",IF(AND($C29&gt;=BX$4,$C29&lt;EDATE(BX$4,1)),"◆",""))</f>
        <v/>
      </c>
      <c r="BY29" s="71" t="str">
        <f aca="false">IF(OR(BY$4="",$C29=""),"",IF(AND($C29&gt;=BY$4,$C29&lt;EDATE(BY$4,1)),"◆",""))</f>
        <v/>
      </c>
    </row>
    <row r="30" customFormat="false" ht="15" hidden="false" customHeight="false" outlineLevel="0" collapsed="false">
      <c r="A30" s="4"/>
      <c r="B30" s="61" t="str">
        <f aca="false">IF(Milestones!$B29="","",Milestones!$B29)</f>
        <v/>
      </c>
      <c r="C30" s="62" t="str">
        <f aca="false">IF(Milestones!$E29="","",Milestones!$E29)</f>
        <v/>
      </c>
      <c r="D30" s="4"/>
      <c r="E30" s="4"/>
      <c r="F30" s="71" t="str">
        <f aca="false">IF(OR(F$4="",$C30=""),"",IF(AND($C30&gt;=F$4,$C30&lt;EDATE(F$4,1)),"◆",""))</f>
        <v/>
      </c>
      <c r="G30" s="71" t="str">
        <f aca="false">IF(OR(G$4="",$C30=""),"",IF(AND($C30&gt;=G$4,$C30&lt;EDATE(G$4,1)),"◆",""))</f>
        <v/>
      </c>
      <c r="H30" s="71" t="str">
        <f aca="false">IF(OR(H$4="",$C30=""),"",IF(AND($C30&gt;=H$4,$C30&lt;EDATE(H$4,1)),"◆",""))</f>
        <v/>
      </c>
      <c r="I30" s="71" t="str">
        <f aca="false">IF(OR(I$4="",$C30=""),"",IF(AND($C30&gt;=I$4,$C30&lt;EDATE(I$4,1)),"◆",""))</f>
        <v/>
      </c>
      <c r="J30" s="71" t="str">
        <f aca="false">IF(OR(J$4="",$C30=""),"",IF(AND($C30&gt;=J$4,$C30&lt;EDATE(J$4,1)),"◆",""))</f>
        <v/>
      </c>
      <c r="K30" s="71" t="str">
        <f aca="false">IF(OR(K$4="",$C30=""),"",IF(AND($C30&gt;=K$4,$C30&lt;EDATE(K$4,1)),"◆",""))</f>
        <v/>
      </c>
      <c r="L30" s="71" t="str">
        <f aca="false">IF(OR(L$4="",$C30=""),"",IF(AND($C30&gt;=L$4,$C30&lt;EDATE(L$4,1)),"◆",""))</f>
        <v/>
      </c>
      <c r="M30" s="71" t="str">
        <f aca="false">IF(OR(M$4="",$C30=""),"",IF(AND($C30&gt;=M$4,$C30&lt;EDATE(M$4,1)),"◆",""))</f>
        <v/>
      </c>
      <c r="N30" s="71" t="str">
        <f aca="false">IF(OR(N$4="",$C30=""),"",IF(AND($C30&gt;=N$4,$C30&lt;EDATE(N$4,1)),"◆",""))</f>
        <v/>
      </c>
      <c r="O30" s="71" t="str">
        <f aca="false">IF(OR(O$4="",$C30=""),"",IF(AND($C30&gt;=O$4,$C30&lt;EDATE(O$4,1)),"◆",""))</f>
        <v/>
      </c>
      <c r="P30" s="71" t="str">
        <f aca="false">IF(OR(P$4="",$C30=""),"",IF(AND($C30&gt;=P$4,$C30&lt;EDATE(P$4,1)),"◆",""))</f>
        <v/>
      </c>
      <c r="Q30" s="71" t="str">
        <f aca="false">IF(OR(Q$4="",$C30=""),"",IF(AND($C30&gt;=Q$4,$C30&lt;EDATE(Q$4,1)),"◆",""))</f>
        <v/>
      </c>
      <c r="R30" s="71" t="str">
        <f aca="false">IF(OR(R$4="",$C30=""),"",IF(AND($C30&gt;=R$4,$C30&lt;EDATE(R$4,1)),"◆",""))</f>
        <v/>
      </c>
      <c r="S30" s="71" t="str">
        <f aca="false">IF(OR(S$4="",$C30=""),"",IF(AND($C30&gt;=S$4,$C30&lt;EDATE(S$4,1)),"◆",""))</f>
        <v/>
      </c>
      <c r="T30" s="71" t="str">
        <f aca="false">IF(OR(T$4="",$C30=""),"",IF(AND($C30&gt;=T$4,$C30&lt;EDATE(T$4,1)),"◆",""))</f>
        <v/>
      </c>
      <c r="U30" s="71" t="str">
        <f aca="false">IF(OR(U$4="",$C30=""),"",IF(AND($C30&gt;=U$4,$C30&lt;EDATE(U$4,1)),"◆",""))</f>
        <v/>
      </c>
      <c r="V30" s="71" t="str">
        <f aca="false">IF(OR(V$4="",$C30=""),"",IF(AND($C30&gt;=V$4,$C30&lt;EDATE(V$4,1)),"◆",""))</f>
        <v/>
      </c>
      <c r="W30" s="71" t="str">
        <f aca="false">IF(OR(W$4="",$C30=""),"",IF(AND($C30&gt;=W$4,$C30&lt;EDATE(W$4,1)),"◆",""))</f>
        <v/>
      </c>
      <c r="X30" s="71" t="str">
        <f aca="false">IF(OR(X$4="",$C30=""),"",IF(AND($C30&gt;=X$4,$C30&lt;EDATE(X$4,1)),"◆",""))</f>
        <v/>
      </c>
      <c r="Y30" s="71" t="str">
        <f aca="false">IF(OR(Y$4="",$C30=""),"",IF(AND($C30&gt;=Y$4,$C30&lt;EDATE(Y$4,1)),"◆",""))</f>
        <v/>
      </c>
      <c r="Z30" s="71" t="str">
        <f aca="false">IF(OR(Z$4="",$C30=""),"",IF(AND($C30&gt;=Z$4,$C30&lt;EDATE(Z$4,1)),"◆",""))</f>
        <v/>
      </c>
      <c r="AA30" s="71" t="str">
        <f aca="false">IF(OR(AA$4="",$C30=""),"",IF(AND($C30&gt;=AA$4,$C30&lt;EDATE(AA$4,1)),"◆",""))</f>
        <v/>
      </c>
      <c r="AB30" s="71" t="str">
        <f aca="false">IF(OR(AB$4="",$C30=""),"",IF(AND($C30&gt;=AB$4,$C30&lt;EDATE(AB$4,1)),"◆",""))</f>
        <v/>
      </c>
      <c r="AC30" s="71" t="str">
        <f aca="false">IF(OR(AC$4="",$C30=""),"",IF(AND($C30&gt;=AC$4,$C30&lt;EDATE(AC$4,1)),"◆",""))</f>
        <v/>
      </c>
      <c r="AD30" s="71" t="str">
        <f aca="false">IF(OR(AD$4="",$C30=""),"",IF(AND($C30&gt;=AD$4,$C30&lt;EDATE(AD$4,1)),"◆",""))</f>
        <v/>
      </c>
      <c r="AE30" s="71" t="str">
        <f aca="false">IF(OR(AE$4="",$C30=""),"",IF(AND($C30&gt;=AE$4,$C30&lt;EDATE(AE$4,1)),"◆",""))</f>
        <v/>
      </c>
      <c r="AF30" s="71" t="str">
        <f aca="false">IF(OR(AF$4="",$C30=""),"",IF(AND($C30&gt;=AF$4,$C30&lt;EDATE(AF$4,1)),"◆",""))</f>
        <v/>
      </c>
      <c r="AG30" s="71" t="str">
        <f aca="false">IF(OR(AG$4="",$C30=""),"",IF(AND($C30&gt;=AG$4,$C30&lt;EDATE(AG$4,1)),"◆",""))</f>
        <v/>
      </c>
      <c r="AH30" s="71" t="str">
        <f aca="false">IF(OR(AH$4="",$C30=""),"",IF(AND($C30&gt;=AH$4,$C30&lt;EDATE(AH$4,1)),"◆",""))</f>
        <v/>
      </c>
      <c r="AI30" s="71" t="str">
        <f aca="false">IF(OR(AI$4="",$C30=""),"",IF(AND($C30&gt;=AI$4,$C30&lt;EDATE(AI$4,1)),"◆",""))</f>
        <v/>
      </c>
      <c r="AJ30" s="71" t="str">
        <f aca="false">IF(OR(AJ$4="",$C30=""),"",IF(AND($C30&gt;=AJ$4,$C30&lt;EDATE(AJ$4,1)),"◆",""))</f>
        <v/>
      </c>
      <c r="AK30" s="71" t="str">
        <f aca="false">IF(OR(AK$4="",$C30=""),"",IF(AND($C30&gt;=AK$4,$C30&lt;EDATE(AK$4,1)),"◆",""))</f>
        <v/>
      </c>
      <c r="AL30" s="71" t="str">
        <f aca="false">IF(OR(AL$4="",$C30=""),"",IF(AND($C30&gt;=AL$4,$C30&lt;EDATE(AL$4,1)),"◆",""))</f>
        <v/>
      </c>
      <c r="AM30" s="71" t="str">
        <f aca="false">IF(OR(AM$4="",$C30=""),"",IF(AND($C30&gt;=AM$4,$C30&lt;EDATE(AM$4,1)),"◆",""))</f>
        <v/>
      </c>
      <c r="AN30" s="71" t="str">
        <f aca="false">IF(OR(AN$4="",$C30=""),"",IF(AND($C30&gt;=AN$4,$C30&lt;EDATE(AN$4,1)),"◆",""))</f>
        <v/>
      </c>
      <c r="AO30" s="71" t="str">
        <f aca="false">IF(OR(AO$4="",$C30=""),"",IF(AND($C30&gt;=AO$4,$C30&lt;EDATE(AO$4,1)),"◆",""))</f>
        <v/>
      </c>
      <c r="AP30" s="71" t="str">
        <f aca="false">IF(OR(AP$4="",$C30=""),"",IF(AND($C30&gt;=AP$4,$C30&lt;EDATE(AP$4,1)),"◆",""))</f>
        <v/>
      </c>
      <c r="AQ30" s="71" t="str">
        <f aca="false">IF(OR(AQ$4="",$C30=""),"",IF(AND($C30&gt;=AQ$4,$C30&lt;EDATE(AQ$4,1)),"◆",""))</f>
        <v/>
      </c>
      <c r="AR30" s="71" t="str">
        <f aca="false">IF(OR(AR$4="",$C30=""),"",IF(AND($C30&gt;=AR$4,$C30&lt;EDATE(AR$4,1)),"◆",""))</f>
        <v/>
      </c>
      <c r="AS30" s="71" t="str">
        <f aca="false">IF(OR(AS$4="",$C30=""),"",IF(AND($C30&gt;=AS$4,$C30&lt;EDATE(AS$4,1)),"◆",""))</f>
        <v/>
      </c>
      <c r="AT30" s="71" t="str">
        <f aca="false">IF(OR(AT$4="",$C30=""),"",IF(AND($C30&gt;=AT$4,$C30&lt;EDATE(AT$4,1)),"◆",""))</f>
        <v/>
      </c>
      <c r="AU30" s="71" t="str">
        <f aca="false">IF(OR(AU$4="",$C30=""),"",IF(AND($C30&gt;=AU$4,$C30&lt;EDATE(AU$4,1)),"◆",""))</f>
        <v/>
      </c>
      <c r="AV30" s="71" t="str">
        <f aca="false">IF(OR(AV$4="",$C30=""),"",IF(AND($C30&gt;=AV$4,$C30&lt;EDATE(AV$4,1)),"◆",""))</f>
        <v/>
      </c>
      <c r="AW30" s="71" t="str">
        <f aca="false">IF(OR(AW$4="",$C30=""),"",IF(AND($C30&gt;=AW$4,$C30&lt;EDATE(AW$4,1)),"◆",""))</f>
        <v/>
      </c>
      <c r="AX30" s="71" t="str">
        <f aca="false">IF(OR(AX$4="",$C30=""),"",IF(AND($C30&gt;=AX$4,$C30&lt;EDATE(AX$4,1)),"◆",""))</f>
        <v/>
      </c>
      <c r="AY30" s="71" t="str">
        <f aca="false">IF(OR(AY$4="",$C30=""),"",IF(AND($C30&gt;=AY$4,$C30&lt;EDATE(AY$4,1)),"◆",""))</f>
        <v/>
      </c>
      <c r="AZ30" s="71" t="str">
        <f aca="false">IF(OR(AZ$4="",$C30=""),"",IF(AND($C30&gt;=AZ$4,$C30&lt;EDATE(AZ$4,1)),"◆",""))</f>
        <v/>
      </c>
      <c r="BA30" s="71" t="str">
        <f aca="false">IF(OR(BA$4="",$C30=""),"",IF(AND($C30&gt;=BA$4,$C30&lt;EDATE(BA$4,1)),"◆",""))</f>
        <v/>
      </c>
      <c r="BB30" s="71" t="str">
        <f aca="false">IF(OR(BB$4="",$C30=""),"",IF(AND($C30&gt;=BB$4,$C30&lt;EDATE(BB$4,1)),"◆",""))</f>
        <v/>
      </c>
      <c r="BC30" s="71" t="str">
        <f aca="false">IF(OR(BC$4="",$C30=""),"",IF(AND($C30&gt;=BC$4,$C30&lt;EDATE(BC$4,1)),"◆",""))</f>
        <v/>
      </c>
      <c r="BD30" s="71" t="str">
        <f aca="false">IF(OR(BD$4="",$C30=""),"",IF(AND($C30&gt;=BD$4,$C30&lt;EDATE(BD$4,1)),"◆",""))</f>
        <v/>
      </c>
      <c r="BE30" s="71" t="str">
        <f aca="false">IF(OR(BE$4="",$C30=""),"",IF(AND($C30&gt;=BE$4,$C30&lt;EDATE(BE$4,1)),"◆",""))</f>
        <v/>
      </c>
      <c r="BF30" s="71" t="str">
        <f aca="false">IF(OR(BF$4="",$C30=""),"",IF(AND($C30&gt;=BF$4,$C30&lt;EDATE(BF$4,1)),"◆",""))</f>
        <v/>
      </c>
      <c r="BG30" s="71" t="str">
        <f aca="false">IF(OR(BG$4="",$C30=""),"",IF(AND($C30&gt;=BG$4,$C30&lt;EDATE(BG$4,1)),"◆",""))</f>
        <v/>
      </c>
      <c r="BH30" s="71" t="str">
        <f aca="false">IF(OR(BH$4="",$C30=""),"",IF(AND($C30&gt;=BH$4,$C30&lt;EDATE(BH$4,1)),"◆",""))</f>
        <v/>
      </c>
      <c r="BI30" s="71" t="str">
        <f aca="false">IF(OR(BI$4="",$C30=""),"",IF(AND($C30&gt;=BI$4,$C30&lt;EDATE(BI$4,1)),"◆",""))</f>
        <v/>
      </c>
      <c r="BJ30" s="71" t="str">
        <f aca="false">IF(OR(BJ$4="",$C30=""),"",IF(AND($C30&gt;=BJ$4,$C30&lt;EDATE(BJ$4,1)),"◆",""))</f>
        <v/>
      </c>
      <c r="BK30" s="71" t="str">
        <f aca="false">IF(OR(BK$4="",$C30=""),"",IF(AND($C30&gt;=BK$4,$C30&lt;EDATE(BK$4,1)),"◆",""))</f>
        <v/>
      </c>
      <c r="BL30" s="71" t="str">
        <f aca="false">IF(OR(BL$4="",$C30=""),"",IF(AND($C30&gt;=BL$4,$C30&lt;EDATE(BL$4,1)),"◆",""))</f>
        <v/>
      </c>
      <c r="BM30" s="71" t="str">
        <f aca="false">IF(OR(BM$4="",$C30=""),"",IF(AND($C30&gt;=BM$4,$C30&lt;EDATE(BM$4,1)),"◆",""))</f>
        <v/>
      </c>
      <c r="BN30" s="71" t="str">
        <f aca="false">IF(OR(BN$4="",$C30=""),"",IF(AND($C30&gt;=BN$4,$C30&lt;EDATE(BN$4,1)),"◆",""))</f>
        <v/>
      </c>
      <c r="BO30" s="71" t="str">
        <f aca="false">IF(OR(BO$4="",$C30=""),"",IF(AND($C30&gt;=BO$4,$C30&lt;EDATE(BO$4,1)),"◆",""))</f>
        <v/>
      </c>
      <c r="BP30" s="71" t="str">
        <f aca="false">IF(OR(BP$4="",$C30=""),"",IF(AND($C30&gt;=BP$4,$C30&lt;EDATE(BP$4,1)),"◆",""))</f>
        <v/>
      </c>
      <c r="BQ30" s="71" t="str">
        <f aca="false">IF(OR(BQ$4="",$C30=""),"",IF(AND($C30&gt;=BQ$4,$C30&lt;EDATE(BQ$4,1)),"◆",""))</f>
        <v/>
      </c>
      <c r="BR30" s="71" t="str">
        <f aca="false">IF(OR(BR$4="",$C30=""),"",IF(AND($C30&gt;=BR$4,$C30&lt;EDATE(BR$4,1)),"◆",""))</f>
        <v/>
      </c>
      <c r="BS30" s="71" t="str">
        <f aca="false">IF(OR(BS$4="",$C30=""),"",IF(AND($C30&gt;=BS$4,$C30&lt;EDATE(BS$4,1)),"◆",""))</f>
        <v/>
      </c>
      <c r="BT30" s="71" t="str">
        <f aca="false">IF(OR(BT$4="",$C30=""),"",IF(AND($C30&gt;=BT$4,$C30&lt;EDATE(BT$4,1)),"◆",""))</f>
        <v/>
      </c>
      <c r="BU30" s="71" t="str">
        <f aca="false">IF(OR(BU$4="",$C30=""),"",IF(AND($C30&gt;=BU$4,$C30&lt;EDATE(BU$4,1)),"◆",""))</f>
        <v/>
      </c>
      <c r="BV30" s="71" t="str">
        <f aca="false">IF(OR(BV$4="",$C30=""),"",IF(AND($C30&gt;=BV$4,$C30&lt;EDATE(BV$4,1)),"◆",""))</f>
        <v/>
      </c>
      <c r="BW30" s="71" t="str">
        <f aca="false">IF(OR(BW$4="",$C30=""),"",IF(AND($C30&gt;=BW$4,$C30&lt;EDATE(BW$4,1)),"◆",""))</f>
        <v/>
      </c>
      <c r="BX30" s="71" t="str">
        <f aca="false">IF(OR(BX$4="",$C30=""),"",IF(AND($C30&gt;=BX$4,$C30&lt;EDATE(BX$4,1)),"◆",""))</f>
        <v/>
      </c>
      <c r="BY30" s="71" t="str">
        <f aca="false">IF(OR(BY$4="",$C30=""),"",IF(AND($C30&gt;=BY$4,$C30&lt;EDATE(BY$4,1)),"◆",""))</f>
        <v/>
      </c>
    </row>
    <row r="31" customFormat="false" ht="15" hidden="false" customHeight="false" outlineLevel="0" collapsed="false">
      <c r="A31" s="4"/>
      <c r="B31" s="61" t="str">
        <f aca="false">IF(Milestones!$B30="","",Milestones!$B30)</f>
        <v/>
      </c>
      <c r="C31" s="62" t="str">
        <f aca="false">IF(Milestones!$E30="","",Milestones!$E30)</f>
        <v/>
      </c>
      <c r="D31" s="4"/>
      <c r="E31" s="4"/>
      <c r="F31" s="71" t="str">
        <f aca="false">IF(OR(F$4="",$C31=""),"",IF(AND($C31&gt;=F$4,$C31&lt;EDATE(F$4,1)),"◆",""))</f>
        <v/>
      </c>
      <c r="G31" s="71" t="str">
        <f aca="false">IF(OR(G$4="",$C31=""),"",IF(AND($C31&gt;=G$4,$C31&lt;EDATE(G$4,1)),"◆",""))</f>
        <v/>
      </c>
      <c r="H31" s="71" t="str">
        <f aca="false">IF(OR(H$4="",$C31=""),"",IF(AND($C31&gt;=H$4,$C31&lt;EDATE(H$4,1)),"◆",""))</f>
        <v/>
      </c>
      <c r="I31" s="71" t="str">
        <f aca="false">IF(OR(I$4="",$C31=""),"",IF(AND($C31&gt;=I$4,$C31&lt;EDATE(I$4,1)),"◆",""))</f>
        <v/>
      </c>
      <c r="J31" s="71" t="str">
        <f aca="false">IF(OR(J$4="",$C31=""),"",IF(AND($C31&gt;=J$4,$C31&lt;EDATE(J$4,1)),"◆",""))</f>
        <v/>
      </c>
      <c r="K31" s="71" t="str">
        <f aca="false">IF(OR(K$4="",$C31=""),"",IF(AND($C31&gt;=K$4,$C31&lt;EDATE(K$4,1)),"◆",""))</f>
        <v/>
      </c>
      <c r="L31" s="71" t="str">
        <f aca="false">IF(OR(L$4="",$C31=""),"",IF(AND($C31&gt;=L$4,$C31&lt;EDATE(L$4,1)),"◆",""))</f>
        <v/>
      </c>
      <c r="M31" s="71" t="str">
        <f aca="false">IF(OR(M$4="",$C31=""),"",IF(AND($C31&gt;=M$4,$C31&lt;EDATE(M$4,1)),"◆",""))</f>
        <v/>
      </c>
      <c r="N31" s="71" t="str">
        <f aca="false">IF(OR(N$4="",$C31=""),"",IF(AND($C31&gt;=N$4,$C31&lt;EDATE(N$4,1)),"◆",""))</f>
        <v/>
      </c>
      <c r="O31" s="71" t="str">
        <f aca="false">IF(OR(O$4="",$C31=""),"",IF(AND($C31&gt;=O$4,$C31&lt;EDATE(O$4,1)),"◆",""))</f>
        <v/>
      </c>
      <c r="P31" s="71" t="str">
        <f aca="false">IF(OR(P$4="",$C31=""),"",IF(AND($C31&gt;=P$4,$C31&lt;EDATE(P$4,1)),"◆",""))</f>
        <v/>
      </c>
      <c r="Q31" s="71" t="str">
        <f aca="false">IF(OR(Q$4="",$C31=""),"",IF(AND($C31&gt;=Q$4,$C31&lt;EDATE(Q$4,1)),"◆",""))</f>
        <v/>
      </c>
      <c r="R31" s="71" t="str">
        <f aca="false">IF(OR(R$4="",$C31=""),"",IF(AND($C31&gt;=R$4,$C31&lt;EDATE(R$4,1)),"◆",""))</f>
        <v/>
      </c>
      <c r="S31" s="71" t="str">
        <f aca="false">IF(OR(S$4="",$C31=""),"",IF(AND($C31&gt;=S$4,$C31&lt;EDATE(S$4,1)),"◆",""))</f>
        <v/>
      </c>
      <c r="T31" s="71" t="str">
        <f aca="false">IF(OR(T$4="",$C31=""),"",IF(AND($C31&gt;=T$4,$C31&lt;EDATE(T$4,1)),"◆",""))</f>
        <v/>
      </c>
      <c r="U31" s="71" t="str">
        <f aca="false">IF(OR(U$4="",$C31=""),"",IF(AND($C31&gt;=U$4,$C31&lt;EDATE(U$4,1)),"◆",""))</f>
        <v/>
      </c>
      <c r="V31" s="71" t="str">
        <f aca="false">IF(OR(V$4="",$C31=""),"",IF(AND($C31&gt;=V$4,$C31&lt;EDATE(V$4,1)),"◆",""))</f>
        <v/>
      </c>
      <c r="W31" s="71" t="str">
        <f aca="false">IF(OR(W$4="",$C31=""),"",IF(AND($C31&gt;=W$4,$C31&lt;EDATE(W$4,1)),"◆",""))</f>
        <v/>
      </c>
      <c r="X31" s="71" t="str">
        <f aca="false">IF(OR(X$4="",$C31=""),"",IF(AND($C31&gt;=X$4,$C31&lt;EDATE(X$4,1)),"◆",""))</f>
        <v/>
      </c>
      <c r="Y31" s="71" t="str">
        <f aca="false">IF(OR(Y$4="",$C31=""),"",IF(AND($C31&gt;=Y$4,$C31&lt;EDATE(Y$4,1)),"◆",""))</f>
        <v/>
      </c>
      <c r="Z31" s="71" t="str">
        <f aca="false">IF(OR(Z$4="",$C31=""),"",IF(AND($C31&gt;=Z$4,$C31&lt;EDATE(Z$4,1)),"◆",""))</f>
        <v/>
      </c>
      <c r="AA31" s="71" t="str">
        <f aca="false">IF(OR(AA$4="",$C31=""),"",IF(AND($C31&gt;=AA$4,$C31&lt;EDATE(AA$4,1)),"◆",""))</f>
        <v/>
      </c>
      <c r="AB31" s="71" t="str">
        <f aca="false">IF(OR(AB$4="",$C31=""),"",IF(AND($C31&gt;=AB$4,$C31&lt;EDATE(AB$4,1)),"◆",""))</f>
        <v/>
      </c>
      <c r="AC31" s="71" t="str">
        <f aca="false">IF(OR(AC$4="",$C31=""),"",IF(AND($C31&gt;=AC$4,$C31&lt;EDATE(AC$4,1)),"◆",""))</f>
        <v/>
      </c>
      <c r="AD31" s="71" t="str">
        <f aca="false">IF(OR(AD$4="",$C31=""),"",IF(AND($C31&gt;=AD$4,$C31&lt;EDATE(AD$4,1)),"◆",""))</f>
        <v/>
      </c>
      <c r="AE31" s="71" t="str">
        <f aca="false">IF(OR(AE$4="",$C31=""),"",IF(AND($C31&gt;=AE$4,$C31&lt;EDATE(AE$4,1)),"◆",""))</f>
        <v/>
      </c>
      <c r="AF31" s="71" t="str">
        <f aca="false">IF(OR(AF$4="",$C31=""),"",IF(AND($C31&gt;=AF$4,$C31&lt;EDATE(AF$4,1)),"◆",""))</f>
        <v/>
      </c>
      <c r="AG31" s="71" t="str">
        <f aca="false">IF(OR(AG$4="",$C31=""),"",IF(AND($C31&gt;=AG$4,$C31&lt;EDATE(AG$4,1)),"◆",""))</f>
        <v/>
      </c>
      <c r="AH31" s="71" t="str">
        <f aca="false">IF(OR(AH$4="",$C31=""),"",IF(AND($C31&gt;=AH$4,$C31&lt;EDATE(AH$4,1)),"◆",""))</f>
        <v/>
      </c>
      <c r="AI31" s="71" t="str">
        <f aca="false">IF(OR(AI$4="",$C31=""),"",IF(AND($C31&gt;=AI$4,$C31&lt;EDATE(AI$4,1)),"◆",""))</f>
        <v/>
      </c>
      <c r="AJ31" s="71" t="str">
        <f aca="false">IF(OR(AJ$4="",$C31=""),"",IF(AND($C31&gt;=AJ$4,$C31&lt;EDATE(AJ$4,1)),"◆",""))</f>
        <v/>
      </c>
      <c r="AK31" s="71" t="str">
        <f aca="false">IF(OR(AK$4="",$C31=""),"",IF(AND($C31&gt;=AK$4,$C31&lt;EDATE(AK$4,1)),"◆",""))</f>
        <v/>
      </c>
      <c r="AL31" s="71" t="str">
        <f aca="false">IF(OR(AL$4="",$C31=""),"",IF(AND($C31&gt;=AL$4,$C31&lt;EDATE(AL$4,1)),"◆",""))</f>
        <v/>
      </c>
      <c r="AM31" s="71" t="str">
        <f aca="false">IF(OR(AM$4="",$C31=""),"",IF(AND($C31&gt;=AM$4,$C31&lt;EDATE(AM$4,1)),"◆",""))</f>
        <v/>
      </c>
      <c r="AN31" s="71" t="str">
        <f aca="false">IF(OR(AN$4="",$C31=""),"",IF(AND($C31&gt;=AN$4,$C31&lt;EDATE(AN$4,1)),"◆",""))</f>
        <v/>
      </c>
      <c r="AO31" s="71" t="str">
        <f aca="false">IF(OR(AO$4="",$C31=""),"",IF(AND($C31&gt;=AO$4,$C31&lt;EDATE(AO$4,1)),"◆",""))</f>
        <v/>
      </c>
      <c r="AP31" s="71" t="str">
        <f aca="false">IF(OR(AP$4="",$C31=""),"",IF(AND($C31&gt;=AP$4,$C31&lt;EDATE(AP$4,1)),"◆",""))</f>
        <v/>
      </c>
      <c r="AQ31" s="71" t="str">
        <f aca="false">IF(OR(AQ$4="",$C31=""),"",IF(AND($C31&gt;=AQ$4,$C31&lt;EDATE(AQ$4,1)),"◆",""))</f>
        <v/>
      </c>
      <c r="AR31" s="71" t="str">
        <f aca="false">IF(OR(AR$4="",$C31=""),"",IF(AND($C31&gt;=AR$4,$C31&lt;EDATE(AR$4,1)),"◆",""))</f>
        <v/>
      </c>
      <c r="AS31" s="71" t="str">
        <f aca="false">IF(OR(AS$4="",$C31=""),"",IF(AND($C31&gt;=AS$4,$C31&lt;EDATE(AS$4,1)),"◆",""))</f>
        <v/>
      </c>
      <c r="AT31" s="71" t="str">
        <f aca="false">IF(OR(AT$4="",$C31=""),"",IF(AND($C31&gt;=AT$4,$C31&lt;EDATE(AT$4,1)),"◆",""))</f>
        <v/>
      </c>
      <c r="AU31" s="71" t="str">
        <f aca="false">IF(OR(AU$4="",$C31=""),"",IF(AND($C31&gt;=AU$4,$C31&lt;EDATE(AU$4,1)),"◆",""))</f>
        <v/>
      </c>
      <c r="AV31" s="71" t="str">
        <f aca="false">IF(OR(AV$4="",$C31=""),"",IF(AND($C31&gt;=AV$4,$C31&lt;EDATE(AV$4,1)),"◆",""))</f>
        <v/>
      </c>
      <c r="AW31" s="71" t="str">
        <f aca="false">IF(OR(AW$4="",$C31=""),"",IF(AND($C31&gt;=AW$4,$C31&lt;EDATE(AW$4,1)),"◆",""))</f>
        <v/>
      </c>
      <c r="AX31" s="71" t="str">
        <f aca="false">IF(OR(AX$4="",$C31=""),"",IF(AND($C31&gt;=AX$4,$C31&lt;EDATE(AX$4,1)),"◆",""))</f>
        <v/>
      </c>
      <c r="AY31" s="71" t="str">
        <f aca="false">IF(OR(AY$4="",$C31=""),"",IF(AND($C31&gt;=AY$4,$C31&lt;EDATE(AY$4,1)),"◆",""))</f>
        <v/>
      </c>
      <c r="AZ31" s="71" t="str">
        <f aca="false">IF(OR(AZ$4="",$C31=""),"",IF(AND($C31&gt;=AZ$4,$C31&lt;EDATE(AZ$4,1)),"◆",""))</f>
        <v/>
      </c>
      <c r="BA31" s="71" t="str">
        <f aca="false">IF(OR(BA$4="",$C31=""),"",IF(AND($C31&gt;=BA$4,$C31&lt;EDATE(BA$4,1)),"◆",""))</f>
        <v/>
      </c>
      <c r="BB31" s="71" t="str">
        <f aca="false">IF(OR(BB$4="",$C31=""),"",IF(AND($C31&gt;=BB$4,$C31&lt;EDATE(BB$4,1)),"◆",""))</f>
        <v/>
      </c>
      <c r="BC31" s="71" t="str">
        <f aca="false">IF(OR(BC$4="",$C31=""),"",IF(AND($C31&gt;=BC$4,$C31&lt;EDATE(BC$4,1)),"◆",""))</f>
        <v/>
      </c>
      <c r="BD31" s="71" t="str">
        <f aca="false">IF(OR(BD$4="",$C31=""),"",IF(AND($C31&gt;=BD$4,$C31&lt;EDATE(BD$4,1)),"◆",""))</f>
        <v/>
      </c>
      <c r="BE31" s="71" t="str">
        <f aca="false">IF(OR(BE$4="",$C31=""),"",IF(AND($C31&gt;=BE$4,$C31&lt;EDATE(BE$4,1)),"◆",""))</f>
        <v/>
      </c>
      <c r="BF31" s="71" t="str">
        <f aca="false">IF(OR(BF$4="",$C31=""),"",IF(AND($C31&gt;=BF$4,$C31&lt;EDATE(BF$4,1)),"◆",""))</f>
        <v/>
      </c>
      <c r="BG31" s="71" t="str">
        <f aca="false">IF(OR(BG$4="",$C31=""),"",IF(AND($C31&gt;=BG$4,$C31&lt;EDATE(BG$4,1)),"◆",""))</f>
        <v/>
      </c>
      <c r="BH31" s="71" t="str">
        <f aca="false">IF(OR(BH$4="",$C31=""),"",IF(AND($C31&gt;=BH$4,$C31&lt;EDATE(BH$4,1)),"◆",""))</f>
        <v/>
      </c>
      <c r="BI31" s="71" t="str">
        <f aca="false">IF(OR(BI$4="",$C31=""),"",IF(AND($C31&gt;=BI$4,$C31&lt;EDATE(BI$4,1)),"◆",""))</f>
        <v/>
      </c>
      <c r="BJ31" s="71" t="str">
        <f aca="false">IF(OR(BJ$4="",$C31=""),"",IF(AND($C31&gt;=BJ$4,$C31&lt;EDATE(BJ$4,1)),"◆",""))</f>
        <v/>
      </c>
      <c r="BK31" s="71" t="str">
        <f aca="false">IF(OR(BK$4="",$C31=""),"",IF(AND($C31&gt;=BK$4,$C31&lt;EDATE(BK$4,1)),"◆",""))</f>
        <v/>
      </c>
      <c r="BL31" s="71" t="str">
        <f aca="false">IF(OR(BL$4="",$C31=""),"",IF(AND($C31&gt;=BL$4,$C31&lt;EDATE(BL$4,1)),"◆",""))</f>
        <v/>
      </c>
      <c r="BM31" s="71" t="str">
        <f aca="false">IF(OR(BM$4="",$C31=""),"",IF(AND($C31&gt;=BM$4,$C31&lt;EDATE(BM$4,1)),"◆",""))</f>
        <v/>
      </c>
      <c r="BN31" s="71" t="str">
        <f aca="false">IF(OR(BN$4="",$C31=""),"",IF(AND($C31&gt;=BN$4,$C31&lt;EDATE(BN$4,1)),"◆",""))</f>
        <v/>
      </c>
      <c r="BO31" s="71" t="str">
        <f aca="false">IF(OR(BO$4="",$C31=""),"",IF(AND($C31&gt;=BO$4,$C31&lt;EDATE(BO$4,1)),"◆",""))</f>
        <v/>
      </c>
      <c r="BP31" s="71" t="str">
        <f aca="false">IF(OR(BP$4="",$C31=""),"",IF(AND($C31&gt;=BP$4,$C31&lt;EDATE(BP$4,1)),"◆",""))</f>
        <v/>
      </c>
      <c r="BQ31" s="71" t="str">
        <f aca="false">IF(OR(BQ$4="",$C31=""),"",IF(AND($C31&gt;=BQ$4,$C31&lt;EDATE(BQ$4,1)),"◆",""))</f>
        <v/>
      </c>
      <c r="BR31" s="71" t="str">
        <f aca="false">IF(OR(BR$4="",$C31=""),"",IF(AND($C31&gt;=BR$4,$C31&lt;EDATE(BR$4,1)),"◆",""))</f>
        <v/>
      </c>
      <c r="BS31" s="71" t="str">
        <f aca="false">IF(OR(BS$4="",$C31=""),"",IF(AND($C31&gt;=BS$4,$C31&lt;EDATE(BS$4,1)),"◆",""))</f>
        <v/>
      </c>
      <c r="BT31" s="71" t="str">
        <f aca="false">IF(OR(BT$4="",$C31=""),"",IF(AND($C31&gt;=BT$4,$C31&lt;EDATE(BT$4,1)),"◆",""))</f>
        <v/>
      </c>
      <c r="BU31" s="71" t="str">
        <f aca="false">IF(OR(BU$4="",$C31=""),"",IF(AND($C31&gt;=BU$4,$C31&lt;EDATE(BU$4,1)),"◆",""))</f>
        <v/>
      </c>
      <c r="BV31" s="71" t="str">
        <f aca="false">IF(OR(BV$4="",$C31=""),"",IF(AND($C31&gt;=BV$4,$C31&lt;EDATE(BV$4,1)),"◆",""))</f>
        <v/>
      </c>
      <c r="BW31" s="71" t="str">
        <f aca="false">IF(OR(BW$4="",$C31=""),"",IF(AND($C31&gt;=BW$4,$C31&lt;EDATE(BW$4,1)),"◆",""))</f>
        <v/>
      </c>
      <c r="BX31" s="71" t="str">
        <f aca="false">IF(OR(BX$4="",$C31=""),"",IF(AND($C31&gt;=BX$4,$C31&lt;EDATE(BX$4,1)),"◆",""))</f>
        <v/>
      </c>
      <c r="BY31" s="71" t="str">
        <f aca="false">IF(OR(BY$4="",$C31=""),"",IF(AND($C31&gt;=BY$4,$C31&lt;EDATE(BY$4,1)),"◆",""))</f>
        <v/>
      </c>
    </row>
    <row r="32" customFormat="false" ht="15" hidden="false" customHeight="false" outlineLevel="0" collapsed="false">
      <c r="A32" s="4"/>
      <c r="B32" s="61" t="str">
        <f aca="false">IF(Milestones!$B31="","",Milestones!$B31)</f>
        <v/>
      </c>
      <c r="C32" s="62" t="str">
        <f aca="false">IF(Milestones!$E31="","",Milestones!$E31)</f>
        <v/>
      </c>
      <c r="D32" s="4"/>
      <c r="E32" s="4"/>
      <c r="F32" s="71" t="str">
        <f aca="false">IF(OR(F$4="",$C32=""),"",IF(AND($C32&gt;=F$4,$C32&lt;EDATE(F$4,1)),"◆",""))</f>
        <v/>
      </c>
      <c r="G32" s="71" t="str">
        <f aca="false">IF(OR(G$4="",$C32=""),"",IF(AND($C32&gt;=G$4,$C32&lt;EDATE(G$4,1)),"◆",""))</f>
        <v/>
      </c>
      <c r="H32" s="71" t="str">
        <f aca="false">IF(OR(H$4="",$C32=""),"",IF(AND($C32&gt;=H$4,$C32&lt;EDATE(H$4,1)),"◆",""))</f>
        <v/>
      </c>
      <c r="I32" s="71" t="str">
        <f aca="false">IF(OR(I$4="",$C32=""),"",IF(AND($C32&gt;=I$4,$C32&lt;EDATE(I$4,1)),"◆",""))</f>
        <v/>
      </c>
      <c r="J32" s="71" t="str">
        <f aca="false">IF(OR(J$4="",$C32=""),"",IF(AND($C32&gt;=J$4,$C32&lt;EDATE(J$4,1)),"◆",""))</f>
        <v/>
      </c>
      <c r="K32" s="71" t="str">
        <f aca="false">IF(OR(K$4="",$C32=""),"",IF(AND($C32&gt;=K$4,$C32&lt;EDATE(K$4,1)),"◆",""))</f>
        <v/>
      </c>
      <c r="L32" s="71" t="str">
        <f aca="false">IF(OR(L$4="",$C32=""),"",IF(AND($C32&gt;=L$4,$C32&lt;EDATE(L$4,1)),"◆",""))</f>
        <v/>
      </c>
      <c r="M32" s="71" t="str">
        <f aca="false">IF(OR(M$4="",$C32=""),"",IF(AND($C32&gt;=M$4,$C32&lt;EDATE(M$4,1)),"◆",""))</f>
        <v/>
      </c>
      <c r="N32" s="71" t="str">
        <f aca="false">IF(OR(N$4="",$C32=""),"",IF(AND($C32&gt;=N$4,$C32&lt;EDATE(N$4,1)),"◆",""))</f>
        <v/>
      </c>
      <c r="O32" s="71" t="str">
        <f aca="false">IF(OR(O$4="",$C32=""),"",IF(AND($C32&gt;=O$4,$C32&lt;EDATE(O$4,1)),"◆",""))</f>
        <v/>
      </c>
      <c r="P32" s="71" t="str">
        <f aca="false">IF(OR(P$4="",$C32=""),"",IF(AND($C32&gt;=P$4,$C32&lt;EDATE(P$4,1)),"◆",""))</f>
        <v/>
      </c>
      <c r="Q32" s="71" t="str">
        <f aca="false">IF(OR(Q$4="",$C32=""),"",IF(AND($C32&gt;=Q$4,$C32&lt;EDATE(Q$4,1)),"◆",""))</f>
        <v/>
      </c>
      <c r="R32" s="71" t="str">
        <f aca="false">IF(OR(R$4="",$C32=""),"",IF(AND($C32&gt;=R$4,$C32&lt;EDATE(R$4,1)),"◆",""))</f>
        <v/>
      </c>
      <c r="S32" s="71" t="str">
        <f aca="false">IF(OR(S$4="",$C32=""),"",IF(AND($C32&gt;=S$4,$C32&lt;EDATE(S$4,1)),"◆",""))</f>
        <v/>
      </c>
      <c r="T32" s="71" t="str">
        <f aca="false">IF(OR(T$4="",$C32=""),"",IF(AND($C32&gt;=T$4,$C32&lt;EDATE(T$4,1)),"◆",""))</f>
        <v/>
      </c>
      <c r="U32" s="71" t="str">
        <f aca="false">IF(OR(U$4="",$C32=""),"",IF(AND($C32&gt;=U$4,$C32&lt;EDATE(U$4,1)),"◆",""))</f>
        <v/>
      </c>
      <c r="V32" s="71" t="str">
        <f aca="false">IF(OR(V$4="",$C32=""),"",IF(AND($C32&gt;=V$4,$C32&lt;EDATE(V$4,1)),"◆",""))</f>
        <v/>
      </c>
      <c r="W32" s="71" t="str">
        <f aca="false">IF(OR(W$4="",$C32=""),"",IF(AND($C32&gt;=W$4,$C32&lt;EDATE(W$4,1)),"◆",""))</f>
        <v/>
      </c>
      <c r="X32" s="71" t="str">
        <f aca="false">IF(OR(X$4="",$C32=""),"",IF(AND($C32&gt;=X$4,$C32&lt;EDATE(X$4,1)),"◆",""))</f>
        <v/>
      </c>
      <c r="Y32" s="71" t="str">
        <f aca="false">IF(OR(Y$4="",$C32=""),"",IF(AND($C32&gt;=Y$4,$C32&lt;EDATE(Y$4,1)),"◆",""))</f>
        <v/>
      </c>
      <c r="Z32" s="71" t="str">
        <f aca="false">IF(OR(Z$4="",$C32=""),"",IF(AND($C32&gt;=Z$4,$C32&lt;EDATE(Z$4,1)),"◆",""))</f>
        <v/>
      </c>
      <c r="AA32" s="71" t="str">
        <f aca="false">IF(OR(AA$4="",$C32=""),"",IF(AND($C32&gt;=AA$4,$C32&lt;EDATE(AA$4,1)),"◆",""))</f>
        <v/>
      </c>
      <c r="AB32" s="71" t="str">
        <f aca="false">IF(OR(AB$4="",$C32=""),"",IF(AND($C32&gt;=AB$4,$C32&lt;EDATE(AB$4,1)),"◆",""))</f>
        <v/>
      </c>
      <c r="AC32" s="71" t="str">
        <f aca="false">IF(OR(AC$4="",$C32=""),"",IF(AND($C32&gt;=AC$4,$C32&lt;EDATE(AC$4,1)),"◆",""))</f>
        <v/>
      </c>
      <c r="AD32" s="71" t="str">
        <f aca="false">IF(OR(AD$4="",$C32=""),"",IF(AND($C32&gt;=AD$4,$C32&lt;EDATE(AD$4,1)),"◆",""))</f>
        <v/>
      </c>
      <c r="AE32" s="71" t="str">
        <f aca="false">IF(OR(AE$4="",$C32=""),"",IF(AND($C32&gt;=AE$4,$C32&lt;EDATE(AE$4,1)),"◆",""))</f>
        <v/>
      </c>
      <c r="AF32" s="71" t="str">
        <f aca="false">IF(OR(AF$4="",$C32=""),"",IF(AND($C32&gt;=AF$4,$C32&lt;EDATE(AF$4,1)),"◆",""))</f>
        <v/>
      </c>
      <c r="AG32" s="71" t="str">
        <f aca="false">IF(OR(AG$4="",$C32=""),"",IF(AND($C32&gt;=AG$4,$C32&lt;EDATE(AG$4,1)),"◆",""))</f>
        <v/>
      </c>
      <c r="AH32" s="71" t="str">
        <f aca="false">IF(OR(AH$4="",$C32=""),"",IF(AND($C32&gt;=AH$4,$C32&lt;EDATE(AH$4,1)),"◆",""))</f>
        <v/>
      </c>
      <c r="AI32" s="71" t="str">
        <f aca="false">IF(OR(AI$4="",$C32=""),"",IF(AND($C32&gt;=AI$4,$C32&lt;EDATE(AI$4,1)),"◆",""))</f>
        <v/>
      </c>
      <c r="AJ32" s="71" t="str">
        <f aca="false">IF(OR(AJ$4="",$C32=""),"",IF(AND($C32&gt;=AJ$4,$C32&lt;EDATE(AJ$4,1)),"◆",""))</f>
        <v/>
      </c>
      <c r="AK32" s="71" t="str">
        <f aca="false">IF(OR(AK$4="",$C32=""),"",IF(AND($C32&gt;=AK$4,$C32&lt;EDATE(AK$4,1)),"◆",""))</f>
        <v/>
      </c>
      <c r="AL32" s="71" t="str">
        <f aca="false">IF(OR(AL$4="",$C32=""),"",IF(AND($C32&gt;=AL$4,$C32&lt;EDATE(AL$4,1)),"◆",""))</f>
        <v/>
      </c>
      <c r="AM32" s="71" t="str">
        <f aca="false">IF(OR(AM$4="",$C32=""),"",IF(AND($C32&gt;=AM$4,$C32&lt;EDATE(AM$4,1)),"◆",""))</f>
        <v/>
      </c>
      <c r="AN32" s="71" t="str">
        <f aca="false">IF(OR(AN$4="",$C32=""),"",IF(AND($C32&gt;=AN$4,$C32&lt;EDATE(AN$4,1)),"◆",""))</f>
        <v/>
      </c>
      <c r="AO32" s="71" t="str">
        <f aca="false">IF(OR(AO$4="",$C32=""),"",IF(AND($C32&gt;=AO$4,$C32&lt;EDATE(AO$4,1)),"◆",""))</f>
        <v/>
      </c>
      <c r="AP32" s="71" t="str">
        <f aca="false">IF(OR(AP$4="",$C32=""),"",IF(AND($C32&gt;=AP$4,$C32&lt;EDATE(AP$4,1)),"◆",""))</f>
        <v/>
      </c>
      <c r="AQ32" s="71" t="str">
        <f aca="false">IF(OR(AQ$4="",$C32=""),"",IF(AND($C32&gt;=AQ$4,$C32&lt;EDATE(AQ$4,1)),"◆",""))</f>
        <v/>
      </c>
      <c r="AR32" s="71" t="str">
        <f aca="false">IF(OR(AR$4="",$C32=""),"",IF(AND($C32&gt;=AR$4,$C32&lt;EDATE(AR$4,1)),"◆",""))</f>
        <v/>
      </c>
      <c r="AS32" s="71" t="str">
        <f aca="false">IF(OR(AS$4="",$C32=""),"",IF(AND($C32&gt;=AS$4,$C32&lt;EDATE(AS$4,1)),"◆",""))</f>
        <v/>
      </c>
      <c r="AT32" s="71" t="str">
        <f aca="false">IF(OR(AT$4="",$C32=""),"",IF(AND($C32&gt;=AT$4,$C32&lt;EDATE(AT$4,1)),"◆",""))</f>
        <v/>
      </c>
      <c r="AU32" s="71" t="str">
        <f aca="false">IF(OR(AU$4="",$C32=""),"",IF(AND($C32&gt;=AU$4,$C32&lt;EDATE(AU$4,1)),"◆",""))</f>
        <v/>
      </c>
      <c r="AV32" s="71" t="str">
        <f aca="false">IF(OR(AV$4="",$C32=""),"",IF(AND($C32&gt;=AV$4,$C32&lt;EDATE(AV$4,1)),"◆",""))</f>
        <v/>
      </c>
      <c r="AW32" s="71" t="str">
        <f aca="false">IF(OR(AW$4="",$C32=""),"",IF(AND($C32&gt;=AW$4,$C32&lt;EDATE(AW$4,1)),"◆",""))</f>
        <v/>
      </c>
      <c r="AX32" s="71" t="str">
        <f aca="false">IF(OR(AX$4="",$C32=""),"",IF(AND($C32&gt;=AX$4,$C32&lt;EDATE(AX$4,1)),"◆",""))</f>
        <v/>
      </c>
      <c r="AY32" s="71" t="str">
        <f aca="false">IF(OR(AY$4="",$C32=""),"",IF(AND($C32&gt;=AY$4,$C32&lt;EDATE(AY$4,1)),"◆",""))</f>
        <v/>
      </c>
      <c r="AZ32" s="71" t="str">
        <f aca="false">IF(OR(AZ$4="",$C32=""),"",IF(AND($C32&gt;=AZ$4,$C32&lt;EDATE(AZ$4,1)),"◆",""))</f>
        <v/>
      </c>
      <c r="BA32" s="71" t="str">
        <f aca="false">IF(OR(BA$4="",$C32=""),"",IF(AND($C32&gt;=BA$4,$C32&lt;EDATE(BA$4,1)),"◆",""))</f>
        <v/>
      </c>
      <c r="BB32" s="71" t="str">
        <f aca="false">IF(OR(BB$4="",$C32=""),"",IF(AND($C32&gt;=BB$4,$C32&lt;EDATE(BB$4,1)),"◆",""))</f>
        <v/>
      </c>
      <c r="BC32" s="71" t="str">
        <f aca="false">IF(OR(BC$4="",$C32=""),"",IF(AND($C32&gt;=BC$4,$C32&lt;EDATE(BC$4,1)),"◆",""))</f>
        <v/>
      </c>
      <c r="BD32" s="71" t="str">
        <f aca="false">IF(OR(BD$4="",$C32=""),"",IF(AND($C32&gt;=BD$4,$C32&lt;EDATE(BD$4,1)),"◆",""))</f>
        <v/>
      </c>
      <c r="BE32" s="71" t="str">
        <f aca="false">IF(OR(BE$4="",$C32=""),"",IF(AND($C32&gt;=BE$4,$C32&lt;EDATE(BE$4,1)),"◆",""))</f>
        <v/>
      </c>
      <c r="BF32" s="71" t="str">
        <f aca="false">IF(OR(BF$4="",$C32=""),"",IF(AND($C32&gt;=BF$4,$C32&lt;EDATE(BF$4,1)),"◆",""))</f>
        <v/>
      </c>
      <c r="BG32" s="71" t="str">
        <f aca="false">IF(OR(BG$4="",$C32=""),"",IF(AND($C32&gt;=BG$4,$C32&lt;EDATE(BG$4,1)),"◆",""))</f>
        <v/>
      </c>
      <c r="BH32" s="71" t="str">
        <f aca="false">IF(OR(BH$4="",$C32=""),"",IF(AND($C32&gt;=BH$4,$C32&lt;EDATE(BH$4,1)),"◆",""))</f>
        <v/>
      </c>
      <c r="BI32" s="71" t="str">
        <f aca="false">IF(OR(BI$4="",$C32=""),"",IF(AND($C32&gt;=BI$4,$C32&lt;EDATE(BI$4,1)),"◆",""))</f>
        <v/>
      </c>
      <c r="BJ32" s="71" t="str">
        <f aca="false">IF(OR(BJ$4="",$C32=""),"",IF(AND($C32&gt;=BJ$4,$C32&lt;EDATE(BJ$4,1)),"◆",""))</f>
        <v/>
      </c>
      <c r="BK32" s="71" t="str">
        <f aca="false">IF(OR(BK$4="",$C32=""),"",IF(AND($C32&gt;=BK$4,$C32&lt;EDATE(BK$4,1)),"◆",""))</f>
        <v/>
      </c>
      <c r="BL32" s="71" t="str">
        <f aca="false">IF(OR(BL$4="",$C32=""),"",IF(AND($C32&gt;=BL$4,$C32&lt;EDATE(BL$4,1)),"◆",""))</f>
        <v/>
      </c>
      <c r="BM32" s="71" t="str">
        <f aca="false">IF(OR(BM$4="",$C32=""),"",IF(AND($C32&gt;=BM$4,$C32&lt;EDATE(BM$4,1)),"◆",""))</f>
        <v/>
      </c>
      <c r="BN32" s="71" t="str">
        <f aca="false">IF(OR(BN$4="",$C32=""),"",IF(AND($C32&gt;=BN$4,$C32&lt;EDATE(BN$4,1)),"◆",""))</f>
        <v/>
      </c>
      <c r="BO32" s="71" t="str">
        <f aca="false">IF(OR(BO$4="",$C32=""),"",IF(AND($C32&gt;=BO$4,$C32&lt;EDATE(BO$4,1)),"◆",""))</f>
        <v/>
      </c>
      <c r="BP32" s="71" t="str">
        <f aca="false">IF(OR(BP$4="",$C32=""),"",IF(AND($C32&gt;=BP$4,$C32&lt;EDATE(BP$4,1)),"◆",""))</f>
        <v/>
      </c>
      <c r="BQ32" s="71" t="str">
        <f aca="false">IF(OR(BQ$4="",$C32=""),"",IF(AND($C32&gt;=BQ$4,$C32&lt;EDATE(BQ$4,1)),"◆",""))</f>
        <v/>
      </c>
      <c r="BR32" s="71" t="str">
        <f aca="false">IF(OR(BR$4="",$C32=""),"",IF(AND($C32&gt;=BR$4,$C32&lt;EDATE(BR$4,1)),"◆",""))</f>
        <v/>
      </c>
      <c r="BS32" s="71" t="str">
        <f aca="false">IF(OR(BS$4="",$C32=""),"",IF(AND($C32&gt;=BS$4,$C32&lt;EDATE(BS$4,1)),"◆",""))</f>
        <v/>
      </c>
      <c r="BT32" s="71" t="str">
        <f aca="false">IF(OR(BT$4="",$C32=""),"",IF(AND($C32&gt;=BT$4,$C32&lt;EDATE(BT$4,1)),"◆",""))</f>
        <v/>
      </c>
      <c r="BU32" s="71" t="str">
        <f aca="false">IF(OR(BU$4="",$C32=""),"",IF(AND($C32&gt;=BU$4,$C32&lt;EDATE(BU$4,1)),"◆",""))</f>
        <v/>
      </c>
      <c r="BV32" s="71" t="str">
        <f aca="false">IF(OR(BV$4="",$C32=""),"",IF(AND($C32&gt;=BV$4,$C32&lt;EDATE(BV$4,1)),"◆",""))</f>
        <v/>
      </c>
      <c r="BW32" s="71" t="str">
        <f aca="false">IF(OR(BW$4="",$C32=""),"",IF(AND($C32&gt;=BW$4,$C32&lt;EDATE(BW$4,1)),"◆",""))</f>
        <v/>
      </c>
      <c r="BX32" s="71" t="str">
        <f aca="false">IF(OR(BX$4="",$C32=""),"",IF(AND($C32&gt;=BX$4,$C32&lt;EDATE(BX$4,1)),"◆",""))</f>
        <v/>
      </c>
      <c r="BY32" s="71" t="str">
        <f aca="false">IF(OR(BY$4="",$C32=""),"",IF(AND($C32&gt;=BY$4,$C32&lt;EDATE(BY$4,1)),"◆",""))</f>
        <v/>
      </c>
    </row>
    <row r="33" customFormat="false" ht="15" hidden="false" customHeight="false" outlineLevel="0" collapsed="false">
      <c r="A33" s="4"/>
      <c r="B33" s="61" t="str">
        <f aca="false">IF(Milestones!$B32="","",Milestones!$B32)</f>
        <v/>
      </c>
      <c r="C33" s="62" t="str">
        <f aca="false">IF(Milestones!$E32="","",Milestones!$E32)</f>
        <v/>
      </c>
      <c r="D33" s="4"/>
      <c r="E33" s="4"/>
      <c r="F33" s="71" t="str">
        <f aca="false">IF(OR(F$4="",$C33=""),"",IF(AND($C33&gt;=F$4,$C33&lt;EDATE(F$4,1)),"◆",""))</f>
        <v/>
      </c>
      <c r="G33" s="71" t="str">
        <f aca="false">IF(OR(G$4="",$C33=""),"",IF(AND($C33&gt;=G$4,$C33&lt;EDATE(G$4,1)),"◆",""))</f>
        <v/>
      </c>
      <c r="H33" s="71" t="str">
        <f aca="false">IF(OR(H$4="",$C33=""),"",IF(AND($C33&gt;=H$4,$C33&lt;EDATE(H$4,1)),"◆",""))</f>
        <v/>
      </c>
      <c r="I33" s="71" t="str">
        <f aca="false">IF(OR(I$4="",$C33=""),"",IF(AND($C33&gt;=I$4,$C33&lt;EDATE(I$4,1)),"◆",""))</f>
        <v/>
      </c>
      <c r="J33" s="71" t="str">
        <f aca="false">IF(OR(J$4="",$C33=""),"",IF(AND($C33&gt;=J$4,$C33&lt;EDATE(J$4,1)),"◆",""))</f>
        <v/>
      </c>
      <c r="K33" s="71" t="str">
        <f aca="false">IF(OR(K$4="",$C33=""),"",IF(AND($C33&gt;=K$4,$C33&lt;EDATE(K$4,1)),"◆",""))</f>
        <v/>
      </c>
      <c r="L33" s="71" t="str">
        <f aca="false">IF(OR(L$4="",$C33=""),"",IF(AND($C33&gt;=L$4,$C33&lt;EDATE(L$4,1)),"◆",""))</f>
        <v/>
      </c>
      <c r="M33" s="71" t="str">
        <f aca="false">IF(OR(M$4="",$C33=""),"",IF(AND($C33&gt;=M$4,$C33&lt;EDATE(M$4,1)),"◆",""))</f>
        <v/>
      </c>
      <c r="N33" s="71" t="str">
        <f aca="false">IF(OR(N$4="",$C33=""),"",IF(AND($C33&gt;=N$4,$C33&lt;EDATE(N$4,1)),"◆",""))</f>
        <v/>
      </c>
      <c r="O33" s="71" t="str">
        <f aca="false">IF(OR(O$4="",$C33=""),"",IF(AND($C33&gt;=O$4,$C33&lt;EDATE(O$4,1)),"◆",""))</f>
        <v/>
      </c>
      <c r="P33" s="71" t="str">
        <f aca="false">IF(OR(P$4="",$C33=""),"",IF(AND($C33&gt;=P$4,$C33&lt;EDATE(P$4,1)),"◆",""))</f>
        <v/>
      </c>
      <c r="Q33" s="71" t="str">
        <f aca="false">IF(OR(Q$4="",$C33=""),"",IF(AND($C33&gt;=Q$4,$C33&lt;EDATE(Q$4,1)),"◆",""))</f>
        <v/>
      </c>
      <c r="R33" s="71" t="str">
        <f aca="false">IF(OR(R$4="",$C33=""),"",IF(AND($C33&gt;=R$4,$C33&lt;EDATE(R$4,1)),"◆",""))</f>
        <v/>
      </c>
      <c r="S33" s="71" t="str">
        <f aca="false">IF(OR(S$4="",$C33=""),"",IF(AND($C33&gt;=S$4,$C33&lt;EDATE(S$4,1)),"◆",""))</f>
        <v/>
      </c>
      <c r="T33" s="71" t="str">
        <f aca="false">IF(OR(T$4="",$C33=""),"",IF(AND($C33&gt;=T$4,$C33&lt;EDATE(T$4,1)),"◆",""))</f>
        <v/>
      </c>
      <c r="U33" s="71" t="str">
        <f aca="false">IF(OR(U$4="",$C33=""),"",IF(AND($C33&gt;=U$4,$C33&lt;EDATE(U$4,1)),"◆",""))</f>
        <v/>
      </c>
      <c r="V33" s="71" t="str">
        <f aca="false">IF(OR(V$4="",$C33=""),"",IF(AND($C33&gt;=V$4,$C33&lt;EDATE(V$4,1)),"◆",""))</f>
        <v/>
      </c>
      <c r="W33" s="71" t="str">
        <f aca="false">IF(OR(W$4="",$C33=""),"",IF(AND($C33&gt;=W$4,$C33&lt;EDATE(W$4,1)),"◆",""))</f>
        <v/>
      </c>
      <c r="X33" s="71" t="str">
        <f aca="false">IF(OR(X$4="",$C33=""),"",IF(AND($C33&gt;=X$4,$C33&lt;EDATE(X$4,1)),"◆",""))</f>
        <v/>
      </c>
      <c r="Y33" s="71" t="str">
        <f aca="false">IF(OR(Y$4="",$C33=""),"",IF(AND($C33&gt;=Y$4,$C33&lt;EDATE(Y$4,1)),"◆",""))</f>
        <v/>
      </c>
      <c r="Z33" s="71" t="str">
        <f aca="false">IF(OR(Z$4="",$C33=""),"",IF(AND($C33&gt;=Z$4,$C33&lt;EDATE(Z$4,1)),"◆",""))</f>
        <v/>
      </c>
      <c r="AA33" s="71" t="str">
        <f aca="false">IF(OR(AA$4="",$C33=""),"",IF(AND($C33&gt;=AA$4,$C33&lt;EDATE(AA$4,1)),"◆",""))</f>
        <v/>
      </c>
      <c r="AB33" s="71" t="str">
        <f aca="false">IF(OR(AB$4="",$C33=""),"",IF(AND($C33&gt;=AB$4,$C33&lt;EDATE(AB$4,1)),"◆",""))</f>
        <v/>
      </c>
      <c r="AC33" s="71" t="str">
        <f aca="false">IF(OR(AC$4="",$C33=""),"",IF(AND($C33&gt;=AC$4,$C33&lt;EDATE(AC$4,1)),"◆",""))</f>
        <v/>
      </c>
      <c r="AD33" s="71" t="str">
        <f aca="false">IF(OR(AD$4="",$C33=""),"",IF(AND($C33&gt;=AD$4,$C33&lt;EDATE(AD$4,1)),"◆",""))</f>
        <v/>
      </c>
      <c r="AE33" s="71" t="str">
        <f aca="false">IF(OR(AE$4="",$C33=""),"",IF(AND($C33&gt;=AE$4,$C33&lt;EDATE(AE$4,1)),"◆",""))</f>
        <v/>
      </c>
      <c r="AF33" s="71" t="str">
        <f aca="false">IF(OR(AF$4="",$C33=""),"",IF(AND($C33&gt;=AF$4,$C33&lt;EDATE(AF$4,1)),"◆",""))</f>
        <v/>
      </c>
      <c r="AG33" s="71" t="str">
        <f aca="false">IF(OR(AG$4="",$C33=""),"",IF(AND($C33&gt;=AG$4,$C33&lt;EDATE(AG$4,1)),"◆",""))</f>
        <v/>
      </c>
      <c r="AH33" s="71" t="str">
        <f aca="false">IF(OR(AH$4="",$C33=""),"",IF(AND($C33&gt;=AH$4,$C33&lt;EDATE(AH$4,1)),"◆",""))</f>
        <v/>
      </c>
      <c r="AI33" s="71" t="str">
        <f aca="false">IF(OR(AI$4="",$C33=""),"",IF(AND($C33&gt;=AI$4,$C33&lt;EDATE(AI$4,1)),"◆",""))</f>
        <v/>
      </c>
      <c r="AJ33" s="71" t="str">
        <f aca="false">IF(OR(AJ$4="",$C33=""),"",IF(AND($C33&gt;=AJ$4,$C33&lt;EDATE(AJ$4,1)),"◆",""))</f>
        <v/>
      </c>
      <c r="AK33" s="71" t="str">
        <f aca="false">IF(OR(AK$4="",$C33=""),"",IF(AND($C33&gt;=AK$4,$C33&lt;EDATE(AK$4,1)),"◆",""))</f>
        <v/>
      </c>
      <c r="AL33" s="71" t="str">
        <f aca="false">IF(OR(AL$4="",$C33=""),"",IF(AND($C33&gt;=AL$4,$C33&lt;EDATE(AL$4,1)),"◆",""))</f>
        <v/>
      </c>
      <c r="AM33" s="71" t="str">
        <f aca="false">IF(OR(AM$4="",$C33=""),"",IF(AND($C33&gt;=AM$4,$C33&lt;EDATE(AM$4,1)),"◆",""))</f>
        <v/>
      </c>
      <c r="AN33" s="71" t="str">
        <f aca="false">IF(OR(AN$4="",$C33=""),"",IF(AND($C33&gt;=AN$4,$C33&lt;EDATE(AN$4,1)),"◆",""))</f>
        <v/>
      </c>
      <c r="AO33" s="71" t="str">
        <f aca="false">IF(OR(AO$4="",$C33=""),"",IF(AND($C33&gt;=AO$4,$C33&lt;EDATE(AO$4,1)),"◆",""))</f>
        <v/>
      </c>
      <c r="AP33" s="71" t="str">
        <f aca="false">IF(OR(AP$4="",$C33=""),"",IF(AND($C33&gt;=AP$4,$C33&lt;EDATE(AP$4,1)),"◆",""))</f>
        <v/>
      </c>
      <c r="AQ33" s="71" t="str">
        <f aca="false">IF(OR(AQ$4="",$C33=""),"",IF(AND($C33&gt;=AQ$4,$C33&lt;EDATE(AQ$4,1)),"◆",""))</f>
        <v/>
      </c>
      <c r="AR33" s="71" t="str">
        <f aca="false">IF(OR(AR$4="",$C33=""),"",IF(AND($C33&gt;=AR$4,$C33&lt;EDATE(AR$4,1)),"◆",""))</f>
        <v/>
      </c>
      <c r="AS33" s="71" t="str">
        <f aca="false">IF(OR(AS$4="",$C33=""),"",IF(AND($C33&gt;=AS$4,$C33&lt;EDATE(AS$4,1)),"◆",""))</f>
        <v/>
      </c>
      <c r="AT33" s="71" t="str">
        <f aca="false">IF(OR(AT$4="",$C33=""),"",IF(AND($C33&gt;=AT$4,$C33&lt;EDATE(AT$4,1)),"◆",""))</f>
        <v/>
      </c>
      <c r="AU33" s="71" t="str">
        <f aca="false">IF(OR(AU$4="",$C33=""),"",IF(AND($C33&gt;=AU$4,$C33&lt;EDATE(AU$4,1)),"◆",""))</f>
        <v/>
      </c>
      <c r="AV33" s="71" t="str">
        <f aca="false">IF(OR(AV$4="",$C33=""),"",IF(AND($C33&gt;=AV$4,$C33&lt;EDATE(AV$4,1)),"◆",""))</f>
        <v/>
      </c>
      <c r="AW33" s="71" t="str">
        <f aca="false">IF(OR(AW$4="",$C33=""),"",IF(AND($C33&gt;=AW$4,$C33&lt;EDATE(AW$4,1)),"◆",""))</f>
        <v/>
      </c>
      <c r="AX33" s="71" t="str">
        <f aca="false">IF(OR(AX$4="",$C33=""),"",IF(AND($C33&gt;=AX$4,$C33&lt;EDATE(AX$4,1)),"◆",""))</f>
        <v/>
      </c>
      <c r="AY33" s="71" t="str">
        <f aca="false">IF(OR(AY$4="",$C33=""),"",IF(AND($C33&gt;=AY$4,$C33&lt;EDATE(AY$4,1)),"◆",""))</f>
        <v/>
      </c>
      <c r="AZ33" s="71" t="str">
        <f aca="false">IF(OR(AZ$4="",$C33=""),"",IF(AND($C33&gt;=AZ$4,$C33&lt;EDATE(AZ$4,1)),"◆",""))</f>
        <v/>
      </c>
      <c r="BA33" s="71" t="str">
        <f aca="false">IF(OR(BA$4="",$C33=""),"",IF(AND($C33&gt;=BA$4,$C33&lt;EDATE(BA$4,1)),"◆",""))</f>
        <v/>
      </c>
      <c r="BB33" s="71" t="str">
        <f aca="false">IF(OR(BB$4="",$C33=""),"",IF(AND($C33&gt;=BB$4,$C33&lt;EDATE(BB$4,1)),"◆",""))</f>
        <v/>
      </c>
      <c r="BC33" s="71" t="str">
        <f aca="false">IF(OR(BC$4="",$C33=""),"",IF(AND($C33&gt;=BC$4,$C33&lt;EDATE(BC$4,1)),"◆",""))</f>
        <v/>
      </c>
      <c r="BD33" s="71" t="str">
        <f aca="false">IF(OR(BD$4="",$C33=""),"",IF(AND($C33&gt;=BD$4,$C33&lt;EDATE(BD$4,1)),"◆",""))</f>
        <v/>
      </c>
      <c r="BE33" s="71" t="str">
        <f aca="false">IF(OR(BE$4="",$C33=""),"",IF(AND($C33&gt;=BE$4,$C33&lt;EDATE(BE$4,1)),"◆",""))</f>
        <v/>
      </c>
      <c r="BF33" s="71" t="str">
        <f aca="false">IF(OR(BF$4="",$C33=""),"",IF(AND($C33&gt;=BF$4,$C33&lt;EDATE(BF$4,1)),"◆",""))</f>
        <v/>
      </c>
      <c r="BG33" s="71" t="str">
        <f aca="false">IF(OR(BG$4="",$C33=""),"",IF(AND($C33&gt;=BG$4,$C33&lt;EDATE(BG$4,1)),"◆",""))</f>
        <v/>
      </c>
      <c r="BH33" s="71" t="str">
        <f aca="false">IF(OR(BH$4="",$C33=""),"",IF(AND($C33&gt;=BH$4,$C33&lt;EDATE(BH$4,1)),"◆",""))</f>
        <v/>
      </c>
      <c r="BI33" s="71" t="str">
        <f aca="false">IF(OR(BI$4="",$C33=""),"",IF(AND($C33&gt;=BI$4,$C33&lt;EDATE(BI$4,1)),"◆",""))</f>
        <v/>
      </c>
      <c r="BJ33" s="71" t="str">
        <f aca="false">IF(OR(BJ$4="",$C33=""),"",IF(AND($C33&gt;=BJ$4,$C33&lt;EDATE(BJ$4,1)),"◆",""))</f>
        <v/>
      </c>
      <c r="BK33" s="71" t="str">
        <f aca="false">IF(OR(BK$4="",$C33=""),"",IF(AND($C33&gt;=BK$4,$C33&lt;EDATE(BK$4,1)),"◆",""))</f>
        <v/>
      </c>
      <c r="BL33" s="71" t="str">
        <f aca="false">IF(OR(BL$4="",$C33=""),"",IF(AND($C33&gt;=BL$4,$C33&lt;EDATE(BL$4,1)),"◆",""))</f>
        <v/>
      </c>
      <c r="BM33" s="71" t="str">
        <f aca="false">IF(OR(BM$4="",$C33=""),"",IF(AND($C33&gt;=BM$4,$C33&lt;EDATE(BM$4,1)),"◆",""))</f>
        <v/>
      </c>
      <c r="BN33" s="71" t="str">
        <f aca="false">IF(OR(BN$4="",$C33=""),"",IF(AND($C33&gt;=BN$4,$C33&lt;EDATE(BN$4,1)),"◆",""))</f>
        <v/>
      </c>
      <c r="BO33" s="71" t="str">
        <f aca="false">IF(OR(BO$4="",$C33=""),"",IF(AND($C33&gt;=BO$4,$C33&lt;EDATE(BO$4,1)),"◆",""))</f>
        <v/>
      </c>
      <c r="BP33" s="71" t="str">
        <f aca="false">IF(OR(BP$4="",$C33=""),"",IF(AND($C33&gt;=BP$4,$C33&lt;EDATE(BP$4,1)),"◆",""))</f>
        <v/>
      </c>
      <c r="BQ33" s="71" t="str">
        <f aca="false">IF(OR(BQ$4="",$C33=""),"",IF(AND($C33&gt;=BQ$4,$C33&lt;EDATE(BQ$4,1)),"◆",""))</f>
        <v/>
      </c>
      <c r="BR33" s="71" t="str">
        <f aca="false">IF(OR(BR$4="",$C33=""),"",IF(AND($C33&gt;=BR$4,$C33&lt;EDATE(BR$4,1)),"◆",""))</f>
        <v/>
      </c>
      <c r="BS33" s="71" t="str">
        <f aca="false">IF(OR(BS$4="",$C33=""),"",IF(AND($C33&gt;=BS$4,$C33&lt;EDATE(BS$4,1)),"◆",""))</f>
        <v/>
      </c>
      <c r="BT33" s="71" t="str">
        <f aca="false">IF(OR(BT$4="",$C33=""),"",IF(AND($C33&gt;=BT$4,$C33&lt;EDATE(BT$4,1)),"◆",""))</f>
        <v/>
      </c>
      <c r="BU33" s="71" t="str">
        <f aca="false">IF(OR(BU$4="",$C33=""),"",IF(AND($C33&gt;=BU$4,$C33&lt;EDATE(BU$4,1)),"◆",""))</f>
        <v/>
      </c>
      <c r="BV33" s="71" t="str">
        <f aca="false">IF(OR(BV$4="",$C33=""),"",IF(AND($C33&gt;=BV$4,$C33&lt;EDATE(BV$4,1)),"◆",""))</f>
        <v/>
      </c>
      <c r="BW33" s="71" t="str">
        <f aca="false">IF(OR(BW$4="",$C33=""),"",IF(AND($C33&gt;=BW$4,$C33&lt;EDATE(BW$4,1)),"◆",""))</f>
        <v/>
      </c>
      <c r="BX33" s="71" t="str">
        <f aca="false">IF(OR(BX$4="",$C33=""),"",IF(AND($C33&gt;=BX$4,$C33&lt;EDATE(BX$4,1)),"◆",""))</f>
        <v/>
      </c>
      <c r="BY33" s="71" t="str">
        <f aca="false">IF(OR(BY$4="",$C33=""),"",IF(AND($C33&gt;=BY$4,$C33&lt;EDATE(BY$4,1)),"◆",""))</f>
        <v/>
      </c>
    </row>
    <row r="34" customFormat="false" ht="15" hidden="false" customHeight="false" outlineLevel="0" collapsed="false">
      <c r="A34" s="4"/>
      <c r="B34" s="61" t="str">
        <f aca="false">IF(Milestones!$B33="","",Milestones!$B33)</f>
        <v/>
      </c>
      <c r="C34" s="62" t="str">
        <f aca="false">IF(Milestones!$E33="","",Milestones!$E33)</f>
        <v/>
      </c>
      <c r="D34" s="4"/>
      <c r="E34" s="4"/>
      <c r="F34" s="71" t="str">
        <f aca="false">IF(OR(F$4="",$C34=""),"",IF(AND($C34&gt;=F$4,$C34&lt;EDATE(F$4,1)),"◆",""))</f>
        <v/>
      </c>
      <c r="G34" s="71" t="str">
        <f aca="false">IF(OR(G$4="",$C34=""),"",IF(AND($C34&gt;=G$4,$C34&lt;EDATE(G$4,1)),"◆",""))</f>
        <v/>
      </c>
      <c r="H34" s="71" t="str">
        <f aca="false">IF(OR(H$4="",$C34=""),"",IF(AND($C34&gt;=H$4,$C34&lt;EDATE(H$4,1)),"◆",""))</f>
        <v/>
      </c>
      <c r="I34" s="71" t="str">
        <f aca="false">IF(OR(I$4="",$C34=""),"",IF(AND($C34&gt;=I$4,$C34&lt;EDATE(I$4,1)),"◆",""))</f>
        <v/>
      </c>
      <c r="J34" s="71" t="str">
        <f aca="false">IF(OR(J$4="",$C34=""),"",IF(AND($C34&gt;=J$4,$C34&lt;EDATE(J$4,1)),"◆",""))</f>
        <v/>
      </c>
      <c r="K34" s="71" t="str">
        <f aca="false">IF(OR(K$4="",$C34=""),"",IF(AND($C34&gt;=K$4,$C34&lt;EDATE(K$4,1)),"◆",""))</f>
        <v/>
      </c>
      <c r="L34" s="71" t="str">
        <f aca="false">IF(OR(L$4="",$C34=""),"",IF(AND($C34&gt;=L$4,$C34&lt;EDATE(L$4,1)),"◆",""))</f>
        <v/>
      </c>
      <c r="M34" s="71" t="str">
        <f aca="false">IF(OR(M$4="",$C34=""),"",IF(AND($C34&gt;=M$4,$C34&lt;EDATE(M$4,1)),"◆",""))</f>
        <v/>
      </c>
      <c r="N34" s="71" t="str">
        <f aca="false">IF(OR(N$4="",$C34=""),"",IF(AND($C34&gt;=N$4,$C34&lt;EDATE(N$4,1)),"◆",""))</f>
        <v/>
      </c>
      <c r="O34" s="71" t="str">
        <f aca="false">IF(OR(O$4="",$C34=""),"",IF(AND($C34&gt;=O$4,$C34&lt;EDATE(O$4,1)),"◆",""))</f>
        <v/>
      </c>
      <c r="P34" s="71" t="str">
        <f aca="false">IF(OR(P$4="",$C34=""),"",IF(AND($C34&gt;=P$4,$C34&lt;EDATE(P$4,1)),"◆",""))</f>
        <v/>
      </c>
      <c r="Q34" s="71" t="str">
        <f aca="false">IF(OR(Q$4="",$C34=""),"",IF(AND($C34&gt;=Q$4,$C34&lt;EDATE(Q$4,1)),"◆",""))</f>
        <v/>
      </c>
      <c r="R34" s="71" t="str">
        <f aca="false">IF(OR(R$4="",$C34=""),"",IF(AND($C34&gt;=R$4,$C34&lt;EDATE(R$4,1)),"◆",""))</f>
        <v/>
      </c>
      <c r="S34" s="71" t="str">
        <f aca="false">IF(OR(S$4="",$C34=""),"",IF(AND($C34&gt;=S$4,$C34&lt;EDATE(S$4,1)),"◆",""))</f>
        <v/>
      </c>
      <c r="T34" s="71" t="str">
        <f aca="false">IF(OR(T$4="",$C34=""),"",IF(AND($C34&gt;=T$4,$C34&lt;EDATE(T$4,1)),"◆",""))</f>
        <v/>
      </c>
      <c r="U34" s="71" t="str">
        <f aca="false">IF(OR(U$4="",$C34=""),"",IF(AND($C34&gt;=U$4,$C34&lt;EDATE(U$4,1)),"◆",""))</f>
        <v/>
      </c>
      <c r="V34" s="71" t="str">
        <f aca="false">IF(OR(V$4="",$C34=""),"",IF(AND($C34&gt;=V$4,$C34&lt;EDATE(V$4,1)),"◆",""))</f>
        <v/>
      </c>
      <c r="W34" s="71" t="str">
        <f aca="false">IF(OR(W$4="",$C34=""),"",IF(AND($C34&gt;=W$4,$C34&lt;EDATE(W$4,1)),"◆",""))</f>
        <v/>
      </c>
      <c r="X34" s="71" t="str">
        <f aca="false">IF(OR(X$4="",$C34=""),"",IF(AND($C34&gt;=X$4,$C34&lt;EDATE(X$4,1)),"◆",""))</f>
        <v/>
      </c>
      <c r="Y34" s="71" t="str">
        <f aca="false">IF(OR(Y$4="",$C34=""),"",IF(AND($C34&gt;=Y$4,$C34&lt;EDATE(Y$4,1)),"◆",""))</f>
        <v/>
      </c>
      <c r="Z34" s="71" t="str">
        <f aca="false">IF(OR(Z$4="",$C34=""),"",IF(AND($C34&gt;=Z$4,$C34&lt;EDATE(Z$4,1)),"◆",""))</f>
        <v/>
      </c>
      <c r="AA34" s="71" t="str">
        <f aca="false">IF(OR(AA$4="",$C34=""),"",IF(AND($C34&gt;=AA$4,$C34&lt;EDATE(AA$4,1)),"◆",""))</f>
        <v/>
      </c>
      <c r="AB34" s="71" t="str">
        <f aca="false">IF(OR(AB$4="",$C34=""),"",IF(AND($C34&gt;=AB$4,$C34&lt;EDATE(AB$4,1)),"◆",""))</f>
        <v/>
      </c>
      <c r="AC34" s="71" t="str">
        <f aca="false">IF(OR(AC$4="",$C34=""),"",IF(AND($C34&gt;=AC$4,$C34&lt;EDATE(AC$4,1)),"◆",""))</f>
        <v/>
      </c>
      <c r="AD34" s="71" t="str">
        <f aca="false">IF(OR(AD$4="",$C34=""),"",IF(AND($C34&gt;=AD$4,$C34&lt;EDATE(AD$4,1)),"◆",""))</f>
        <v/>
      </c>
      <c r="AE34" s="71" t="str">
        <f aca="false">IF(OR(AE$4="",$C34=""),"",IF(AND($C34&gt;=AE$4,$C34&lt;EDATE(AE$4,1)),"◆",""))</f>
        <v/>
      </c>
      <c r="AF34" s="71" t="str">
        <f aca="false">IF(OR(AF$4="",$C34=""),"",IF(AND($C34&gt;=AF$4,$C34&lt;EDATE(AF$4,1)),"◆",""))</f>
        <v/>
      </c>
      <c r="AG34" s="71" t="str">
        <f aca="false">IF(OR(AG$4="",$C34=""),"",IF(AND($C34&gt;=AG$4,$C34&lt;EDATE(AG$4,1)),"◆",""))</f>
        <v/>
      </c>
      <c r="AH34" s="71" t="str">
        <f aca="false">IF(OR(AH$4="",$C34=""),"",IF(AND($C34&gt;=AH$4,$C34&lt;EDATE(AH$4,1)),"◆",""))</f>
        <v/>
      </c>
      <c r="AI34" s="71" t="str">
        <f aca="false">IF(OR(AI$4="",$C34=""),"",IF(AND($C34&gt;=AI$4,$C34&lt;EDATE(AI$4,1)),"◆",""))</f>
        <v/>
      </c>
      <c r="AJ34" s="71" t="str">
        <f aca="false">IF(OR(AJ$4="",$C34=""),"",IF(AND($C34&gt;=AJ$4,$C34&lt;EDATE(AJ$4,1)),"◆",""))</f>
        <v/>
      </c>
      <c r="AK34" s="71" t="str">
        <f aca="false">IF(OR(AK$4="",$C34=""),"",IF(AND($C34&gt;=AK$4,$C34&lt;EDATE(AK$4,1)),"◆",""))</f>
        <v/>
      </c>
      <c r="AL34" s="71" t="str">
        <f aca="false">IF(OR(AL$4="",$C34=""),"",IF(AND($C34&gt;=AL$4,$C34&lt;EDATE(AL$4,1)),"◆",""))</f>
        <v/>
      </c>
      <c r="AM34" s="71" t="str">
        <f aca="false">IF(OR(AM$4="",$C34=""),"",IF(AND($C34&gt;=AM$4,$C34&lt;EDATE(AM$4,1)),"◆",""))</f>
        <v/>
      </c>
      <c r="AN34" s="71" t="str">
        <f aca="false">IF(OR(AN$4="",$C34=""),"",IF(AND($C34&gt;=AN$4,$C34&lt;EDATE(AN$4,1)),"◆",""))</f>
        <v/>
      </c>
      <c r="AO34" s="71" t="str">
        <f aca="false">IF(OR(AO$4="",$C34=""),"",IF(AND($C34&gt;=AO$4,$C34&lt;EDATE(AO$4,1)),"◆",""))</f>
        <v/>
      </c>
      <c r="AP34" s="71" t="str">
        <f aca="false">IF(OR(AP$4="",$C34=""),"",IF(AND($C34&gt;=AP$4,$C34&lt;EDATE(AP$4,1)),"◆",""))</f>
        <v/>
      </c>
      <c r="AQ34" s="71" t="str">
        <f aca="false">IF(OR(AQ$4="",$C34=""),"",IF(AND($C34&gt;=AQ$4,$C34&lt;EDATE(AQ$4,1)),"◆",""))</f>
        <v/>
      </c>
      <c r="AR34" s="71" t="str">
        <f aca="false">IF(OR(AR$4="",$C34=""),"",IF(AND($C34&gt;=AR$4,$C34&lt;EDATE(AR$4,1)),"◆",""))</f>
        <v/>
      </c>
      <c r="AS34" s="71" t="str">
        <f aca="false">IF(OR(AS$4="",$C34=""),"",IF(AND($C34&gt;=AS$4,$C34&lt;EDATE(AS$4,1)),"◆",""))</f>
        <v/>
      </c>
      <c r="AT34" s="71" t="str">
        <f aca="false">IF(OR(AT$4="",$C34=""),"",IF(AND($C34&gt;=AT$4,$C34&lt;EDATE(AT$4,1)),"◆",""))</f>
        <v/>
      </c>
      <c r="AU34" s="71" t="str">
        <f aca="false">IF(OR(AU$4="",$C34=""),"",IF(AND($C34&gt;=AU$4,$C34&lt;EDATE(AU$4,1)),"◆",""))</f>
        <v/>
      </c>
      <c r="AV34" s="71" t="str">
        <f aca="false">IF(OR(AV$4="",$C34=""),"",IF(AND($C34&gt;=AV$4,$C34&lt;EDATE(AV$4,1)),"◆",""))</f>
        <v/>
      </c>
      <c r="AW34" s="71" t="str">
        <f aca="false">IF(OR(AW$4="",$C34=""),"",IF(AND($C34&gt;=AW$4,$C34&lt;EDATE(AW$4,1)),"◆",""))</f>
        <v/>
      </c>
      <c r="AX34" s="71" t="str">
        <f aca="false">IF(OR(AX$4="",$C34=""),"",IF(AND($C34&gt;=AX$4,$C34&lt;EDATE(AX$4,1)),"◆",""))</f>
        <v/>
      </c>
      <c r="AY34" s="71" t="str">
        <f aca="false">IF(OR(AY$4="",$C34=""),"",IF(AND($C34&gt;=AY$4,$C34&lt;EDATE(AY$4,1)),"◆",""))</f>
        <v/>
      </c>
      <c r="AZ34" s="71" t="str">
        <f aca="false">IF(OR(AZ$4="",$C34=""),"",IF(AND($C34&gt;=AZ$4,$C34&lt;EDATE(AZ$4,1)),"◆",""))</f>
        <v/>
      </c>
      <c r="BA34" s="71" t="str">
        <f aca="false">IF(OR(BA$4="",$C34=""),"",IF(AND($C34&gt;=BA$4,$C34&lt;EDATE(BA$4,1)),"◆",""))</f>
        <v/>
      </c>
      <c r="BB34" s="71" t="str">
        <f aca="false">IF(OR(BB$4="",$C34=""),"",IF(AND($C34&gt;=BB$4,$C34&lt;EDATE(BB$4,1)),"◆",""))</f>
        <v/>
      </c>
      <c r="BC34" s="71" t="str">
        <f aca="false">IF(OR(BC$4="",$C34=""),"",IF(AND($C34&gt;=BC$4,$C34&lt;EDATE(BC$4,1)),"◆",""))</f>
        <v/>
      </c>
      <c r="BD34" s="71" t="str">
        <f aca="false">IF(OR(BD$4="",$C34=""),"",IF(AND($C34&gt;=BD$4,$C34&lt;EDATE(BD$4,1)),"◆",""))</f>
        <v/>
      </c>
      <c r="BE34" s="71" t="str">
        <f aca="false">IF(OR(BE$4="",$C34=""),"",IF(AND($C34&gt;=BE$4,$C34&lt;EDATE(BE$4,1)),"◆",""))</f>
        <v/>
      </c>
      <c r="BF34" s="71" t="str">
        <f aca="false">IF(OR(BF$4="",$C34=""),"",IF(AND($C34&gt;=BF$4,$C34&lt;EDATE(BF$4,1)),"◆",""))</f>
        <v/>
      </c>
      <c r="BG34" s="71" t="str">
        <f aca="false">IF(OR(BG$4="",$C34=""),"",IF(AND($C34&gt;=BG$4,$C34&lt;EDATE(BG$4,1)),"◆",""))</f>
        <v/>
      </c>
      <c r="BH34" s="71" t="str">
        <f aca="false">IF(OR(BH$4="",$C34=""),"",IF(AND($C34&gt;=BH$4,$C34&lt;EDATE(BH$4,1)),"◆",""))</f>
        <v/>
      </c>
      <c r="BI34" s="71" t="str">
        <f aca="false">IF(OR(BI$4="",$C34=""),"",IF(AND($C34&gt;=BI$4,$C34&lt;EDATE(BI$4,1)),"◆",""))</f>
        <v/>
      </c>
      <c r="BJ34" s="71" t="str">
        <f aca="false">IF(OR(BJ$4="",$C34=""),"",IF(AND($C34&gt;=BJ$4,$C34&lt;EDATE(BJ$4,1)),"◆",""))</f>
        <v/>
      </c>
      <c r="BK34" s="71" t="str">
        <f aca="false">IF(OR(BK$4="",$C34=""),"",IF(AND($C34&gt;=BK$4,$C34&lt;EDATE(BK$4,1)),"◆",""))</f>
        <v/>
      </c>
      <c r="BL34" s="71" t="str">
        <f aca="false">IF(OR(BL$4="",$C34=""),"",IF(AND($C34&gt;=BL$4,$C34&lt;EDATE(BL$4,1)),"◆",""))</f>
        <v/>
      </c>
      <c r="BM34" s="71" t="str">
        <f aca="false">IF(OR(BM$4="",$C34=""),"",IF(AND($C34&gt;=BM$4,$C34&lt;EDATE(BM$4,1)),"◆",""))</f>
        <v/>
      </c>
      <c r="BN34" s="71" t="str">
        <f aca="false">IF(OR(BN$4="",$C34=""),"",IF(AND($C34&gt;=BN$4,$C34&lt;EDATE(BN$4,1)),"◆",""))</f>
        <v/>
      </c>
      <c r="BO34" s="71" t="str">
        <f aca="false">IF(OR(BO$4="",$C34=""),"",IF(AND($C34&gt;=BO$4,$C34&lt;EDATE(BO$4,1)),"◆",""))</f>
        <v/>
      </c>
      <c r="BP34" s="71" t="str">
        <f aca="false">IF(OR(BP$4="",$C34=""),"",IF(AND($C34&gt;=BP$4,$C34&lt;EDATE(BP$4,1)),"◆",""))</f>
        <v/>
      </c>
      <c r="BQ34" s="71" t="str">
        <f aca="false">IF(OR(BQ$4="",$C34=""),"",IF(AND($C34&gt;=BQ$4,$C34&lt;EDATE(BQ$4,1)),"◆",""))</f>
        <v/>
      </c>
      <c r="BR34" s="71" t="str">
        <f aca="false">IF(OR(BR$4="",$C34=""),"",IF(AND($C34&gt;=BR$4,$C34&lt;EDATE(BR$4,1)),"◆",""))</f>
        <v/>
      </c>
      <c r="BS34" s="71" t="str">
        <f aca="false">IF(OR(BS$4="",$C34=""),"",IF(AND($C34&gt;=BS$4,$C34&lt;EDATE(BS$4,1)),"◆",""))</f>
        <v/>
      </c>
      <c r="BT34" s="71" t="str">
        <f aca="false">IF(OR(BT$4="",$C34=""),"",IF(AND($C34&gt;=BT$4,$C34&lt;EDATE(BT$4,1)),"◆",""))</f>
        <v/>
      </c>
      <c r="BU34" s="71" t="str">
        <f aca="false">IF(OR(BU$4="",$C34=""),"",IF(AND($C34&gt;=BU$4,$C34&lt;EDATE(BU$4,1)),"◆",""))</f>
        <v/>
      </c>
      <c r="BV34" s="71" t="str">
        <f aca="false">IF(OR(BV$4="",$C34=""),"",IF(AND($C34&gt;=BV$4,$C34&lt;EDATE(BV$4,1)),"◆",""))</f>
        <v/>
      </c>
      <c r="BW34" s="71" t="str">
        <f aca="false">IF(OR(BW$4="",$C34=""),"",IF(AND($C34&gt;=BW$4,$C34&lt;EDATE(BW$4,1)),"◆",""))</f>
        <v/>
      </c>
      <c r="BX34" s="71" t="str">
        <f aca="false">IF(OR(BX$4="",$C34=""),"",IF(AND($C34&gt;=BX$4,$C34&lt;EDATE(BX$4,1)),"◆",""))</f>
        <v/>
      </c>
      <c r="BY34" s="71" t="str">
        <f aca="false">IF(OR(BY$4="",$C34=""),"",IF(AND($C34&gt;=BY$4,$C34&lt;EDATE(BY$4,1)),"◆",""))</f>
        <v/>
      </c>
    </row>
    <row r="35" customFormat="false" ht="15" hidden="false" customHeight="false" outlineLevel="0" collapsed="false">
      <c r="A35" s="4"/>
      <c r="B35" s="61" t="str">
        <f aca="false">IF(Milestones!$B34="","",Milestones!$B34)</f>
        <v/>
      </c>
      <c r="C35" s="62" t="str">
        <f aca="false">IF(Milestones!$E34="","",Milestones!$E34)</f>
        <v/>
      </c>
      <c r="D35" s="4"/>
      <c r="E35" s="4"/>
      <c r="F35" s="71" t="str">
        <f aca="false">IF(OR(F$4="",$C35=""),"",IF(AND($C35&gt;=F$4,$C35&lt;EDATE(F$4,1)),"◆",""))</f>
        <v/>
      </c>
      <c r="G35" s="71" t="str">
        <f aca="false">IF(OR(G$4="",$C35=""),"",IF(AND($C35&gt;=G$4,$C35&lt;EDATE(G$4,1)),"◆",""))</f>
        <v/>
      </c>
      <c r="H35" s="71" t="str">
        <f aca="false">IF(OR(H$4="",$C35=""),"",IF(AND($C35&gt;=H$4,$C35&lt;EDATE(H$4,1)),"◆",""))</f>
        <v/>
      </c>
      <c r="I35" s="71" t="str">
        <f aca="false">IF(OR(I$4="",$C35=""),"",IF(AND($C35&gt;=I$4,$C35&lt;EDATE(I$4,1)),"◆",""))</f>
        <v/>
      </c>
      <c r="J35" s="71" t="str">
        <f aca="false">IF(OR(J$4="",$C35=""),"",IF(AND($C35&gt;=J$4,$C35&lt;EDATE(J$4,1)),"◆",""))</f>
        <v/>
      </c>
      <c r="K35" s="71" t="str">
        <f aca="false">IF(OR(K$4="",$C35=""),"",IF(AND($C35&gt;=K$4,$C35&lt;EDATE(K$4,1)),"◆",""))</f>
        <v/>
      </c>
      <c r="L35" s="71" t="str">
        <f aca="false">IF(OR(L$4="",$C35=""),"",IF(AND($C35&gt;=L$4,$C35&lt;EDATE(L$4,1)),"◆",""))</f>
        <v/>
      </c>
      <c r="M35" s="71" t="str">
        <f aca="false">IF(OR(M$4="",$C35=""),"",IF(AND($C35&gt;=M$4,$C35&lt;EDATE(M$4,1)),"◆",""))</f>
        <v/>
      </c>
      <c r="N35" s="71" t="str">
        <f aca="false">IF(OR(N$4="",$C35=""),"",IF(AND($C35&gt;=N$4,$C35&lt;EDATE(N$4,1)),"◆",""))</f>
        <v/>
      </c>
      <c r="O35" s="71" t="str">
        <f aca="false">IF(OR(O$4="",$C35=""),"",IF(AND($C35&gt;=O$4,$C35&lt;EDATE(O$4,1)),"◆",""))</f>
        <v/>
      </c>
      <c r="P35" s="71" t="str">
        <f aca="false">IF(OR(P$4="",$C35=""),"",IF(AND($C35&gt;=P$4,$C35&lt;EDATE(P$4,1)),"◆",""))</f>
        <v/>
      </c>
      <c r="Q35" s="71" t="str">
        <f aca="false">IF(OR(Q$4="",$C35=""),"",IF(AND($C35&gt;=Q$4,$C35&lt;EDATE(Q$4,1)),"◆",""))</f>
        <v/>
      </c>
      <c r="R35" s="71" t="str">
        <f aca="false">IF(OR(R$4="",$C35=""),"",IF(AND($C35&gt;=R$4,$C35&lt;EDATE(R$4,1)),"◆",""))</f>
        <v/>
      </c>
      <c r="S35" s="71" t="str">
        <f aca="false">IF(OR(S$4="",$C35=""),"",IF(AND($C35&gt;=S$4,$C35&lt;EDATE(S$4,1)),"◆",""))</f>
        <v/>
      </c>
      <c r="T35" s="71" t="str">
        <f aca="false">IF(OR(T$4="",$C35=""),"",IF(AND($C35&gt;=T$4,$C35&lt;EDATE(T$4,1)),"◆",""))</f>
        <v/>
      </c>
      <c r="U35" s="71" t="str">
        <f aca="false">IF(OR(U$4="",$C35=""),"",IF(AND($C35&gt;=U$4,$C35&lt;EDATE(U$4,1)),"◆",""))</f>
        <v/>
      </c>
      <c r="V35" s="71" t="str">
        <f aca="false">IF(OR(V$4="",$C35=""),"",IF(AND($C35&gt;=V$4,$C35&lt;EDATE(V$4,1)),"◆",""))</f>
        <v/>
      </c>
      <c r="W35" s="71" t="str">
        <f aca="false">IF(OR(W$4="",$C35=""),"",IF(AND($C35&gt;=W$4,$C35&lt;EDATE(W$4,1)),"◆",""))</f>
        <v/>
      </c>
      <c r="X35" s="71" t="str">
        <f aca="false">IF(OR(X$4="",$C35=""),"",IF(AND($C35&gt;=X$4,$C35&lt;EDATE(X$4,1)),"◆",""))</f>
        <v/>
      </c>
      <c r="Y35" s="71" t="str">
        <f aca="false">IF(OR(Y$4="",$C35=""),"",IF(AND($C35&gt;=Y$4,$C35&lt;EDATE(Y$4,1)),"◆",""))</f>
        <v/>
      </c>
      <c r="Z35" s="71" t="str">
        <f aca="false">IF(OR(Z$4="",$C35=""),"",IF(AND($C35&gt;=Z$4,$C35&lt;EDATE(Z$4,1)),"◆",""))</f>
        <v/>
      </c>
      <c r="AA35" s="71" t="str">
        <f aca="false">IF(OR(AA$4="",$C35=""),"",IF(AND($C35&gt;=AA$4,$C35&lt;EDATE(AA$4,1)),"◆",""))</f>
        <v/>
      </c>
      <c r="AB35" s="71" t="str">
        <f aca="false">IF(OR(AB$4="",$C35=""),"",IF(AND($C35&gt;=AB$4,$C35&lt;EDATE(AB$4,1)),"◆",""))</f>
        <v/>
      </c>
      <c r="AC35" s="71" t="str">
        <f aca="false">IF(OR(AC$4="",$C35=""),"",IF(AND($C35&gt;=AC$4,$C35&lt;EDATE(AC$4,1)),"◆",""))</f>
        <v/>
      </c>
      <c r="AD35" s="71" t="str">
        <f aca="false">IF(OR(AD$4="",$C35=""),"",IF(AND($C35&gt;=AD$4,$C35&lt;EDATE(AD$4,1)),"◆",""))</f>
        <v/>
      </c>
      <c r="AE35" s="71" t="str">
        <f aca="false">IF(OR(AE$4="",$C35=""),"",IF(AND($C35&gt;=AE$4,$C35&lt;EDATE(AE$4,1)),"◆",""))</f>
        <v/>
      </c>
      <c r="AF35" s="71" t="str">
        <f aca="false">IF(OR(AF$4="",$C35=""),"",IF(AND($C35&gt;=AF$4,$C35&lt;EDATE(AF$4,1)),"◆",""))</f>
        <v/>
      </c>
      <c r="AG35" s="71" t="str">
        <f aca="false">IF(OR(AG$4="",$C35=""),"",IF(AND($C35&gt;=AG$4,$C35&lt;EDATE(AG$4,1)),"◆",""))</f>
        <v/>
      </c>
      <c r="AH35" s="71" t="str">
        <f aca="false">IF(OR(AH$4="",$C35=""),"",IF(AND($C35&gt;=AH$4,$C35&lt;EDATE(AH$4,1)),"◆",""))</f>
        <v/>
      </c>
      <c r="AI35" s="71" t="str">
        <f aca="false">IF(OR(AI$4="",$C35=""),"",IF(AND($C35&gt;=AI$4,$C35&lt;EDATE(AI$4,1)),"◆",""))</f>
        <v/>
      </c>
      <c r="AJ35" s="71" t="str">
        <f aca="false">IF(OR(AJ$4="",$C35=""),"",IF(AND($C35&gt;=AJ$4,$C35&lt;EDATE(AJ$4,1)),"◆",""))</f>
        <v/>
      </c>
      <c r="AK35" s="71" t="str">
        <f aca="false">IF(OR(AK$4="",$C35=""),"",IF(AND($C35&gt;=AK$4,$C35&lt;EDATE(AK$4,1)),"◆",""))</f>
        <v/>
      </c>
      <c r="AL35" s="71" t="str">
        <f aca="false">IF(OR(AL$4="",$C35=""),"",IF(AND($C35&gt;=AL$4,$C35&lt;EDATE(AL$4,1)),"◆",""))</f>
        <v/>
      </c>
      <c r="AM35" s="71" t="str">
        <f aca="false">IF(OR(AM$4="",$C35=""),"",IF(AND($C35&gt;=AM$4,$C35&lt;EDATE(AM$4,1)),"◆",""))</f>
        <v/>
      </c>
      <c r="AN35" s="71" t="str">
        <f aca="false">IF(OR(AN$4="",$C35=""),"",IF(AND($C35&gt;=AN$4,$C35&lt;EDATE(AN$4,1)),"◆",""))</f>
        <v/>
      </c>
      <c r="AO35" s="71" t="str">
        <f aca="false">IF(OR(AO$4="",$C35=""),"",IF(AND($C35&gt;=AO$4,$C35&lt;EDATE(AO$4,1)),"◆",""))</f>
        <v/>
      </c>
      <c r="AP35" s="71" t="str">
        <f aca="false">IF(OR(AP$4="",$C35=""),"",IF(AND($C35&gt;=AP$4,$C35&lt;EDATE(AP$4,1)),"◆",""))</f>
        <v/>
      </c>
      <c r="AQ35" s="71" t="str">
        <f aca="false">IF(OR(AQ$4="",$C35=""),"",IF(AND($C35&gt;=AQ$4,$C35&lt;EDATE(AQ$4,1)),"◆",""))</f>
        <v/>
      </c>
      <c r="AR35" s="71" t="str">
        <f aca="false">IF(OR(AR$4="",$C35=""),"",IF(AND($C35&gt;=AR$4,$C35&lt;EDATE(AR$4,1)),"◆",""))</f>
        <v/>
      </c>
      <c r="AS35" s="71" t="str">
        <f aca="false">IF(OR(AS$4="",$C35=""),"",IF(AND($C35&gt;=AS$4,$C35&lt;EDATE(AS$4,1)),"◆",""))</f>
        <v/>
      </c>
      <c r="AT35" s="71" t="str">
        <f aca="false">IF(OR(AT$4="",$C35=""),"",IF(AND($C35&gt;=AT$4,$C35&lt;EDATE(AT$4,1)),"◆",""))</f>
        <v/>
      </c>
      <c r="AU35" s="71" t="str">
        <f aca="false">IF(OR(AU$4="",$C35=""),"",IF(AND($C35&gt;=AU$4,$C35&lt;EDATE(AU$4,1)),"◆",""))</f>
        <v/>
      </c>
      <c r="AV35" s="71" t="str">
        <f aca="false">IF(OR(AV$4="",$C35=""),"",IF(AND($C35&gt;=AV$4,$C35&lt;EDATE(AV$4,1)),"◆",""))</f>
        <v/>
      </c>
      <c r="AW35" s="71" t="str">
        <f aca="false">IF(OR(AW$4="",$C35=""),"",IF(AND($C35&gt;=AW$4,$C35&lt;EDATE(AW$4,1)),"◆",""))</f>
        <v/>
      </c>
      <c r="AX35" s="71" t="str">
        <f aca="false">IF(OR(AX$4="",$C35=""),"",IF(AND($C35&gt;=AX$4,$C35&lt;EDATE(AX$4,1)),"◆",""))</f>
        <v/>
      </c>
      <c r="AY35" s="71" t="str">
        <f aca="false">IF(OR(AY$4="",$C35=""),"",IF(AND($C35&gt;=AY$4,$C35&lt;EDATE(AY$4,1)),"◆",""))</f>
        <v/>
      </c>
      <c r="AZ35" s="71" t="str">
        <f aca="false">IF(OR(AZ$4="",$C35=""),"",IF(AND($C35&gt;=AZ$4,$C35&lt;EDATE(AZ$4,1)),"◆",""))</f>
        <v/>
      </c>
      <c r="BA35" s="71" t="str">
        <f aca="false">IF(OR(BA$4="",$C35=""),"",IF(AND($C35&gt;=BA$4,$C35&lt;EDATE(BA$4,1)),"◆",""))</f>
        <v/>
      </c>
      <c r="BB35" s="71" t="str">
        <f aca="false">IF(OR(BB$4="",$C35=""),"",IF(AND($C35&gt;=BB$4,$C35&lt;EDATE(BB$4,1)),"◆",""))</f>
        <v/>
      </c>
      <c r="BC35" s="71" t="str">
        <f aca="false">IF(OR(BC$4="",$C35=""),"",IF(AND($C35&gt;=BC$4,$C35&lt;EDATE(BC$4,1)),"◆",""))</f>
        <v/>
      </c>
      <c r="BD35" s="71" t="str">
        <f aca="false">IF(OR(BD$4="",$C35=""),"",IF(AND($C35&gt;=BD$4,$C35&lt;EDATE(BD$4,1)),"◆",""))</f>
        <v/>
      </c>
      <c r="BE35" s="71" t="str">
        <f aca="false">IF(OR(BE$4="",$C35=""),"",IF(AND($C35&gt;=BE$4,$C35&lt;EDATE(BE$4,1)),"◆",""))</f>
        <v/>
      </c>
      <c r="BF35" s="71" t="str">
        <f aca="false">IF(OR(BF$4="",$C35=""),"",IF(AND($C35&gt;=BF$4,$C35&lt;EDATE(BF$4,1)),"◆",""))</f>
        <v/>
      </c>
      <c r="BG35" s="71" t="str">
        <f aca="false">IF(OR(BG$4="",$C35=""),"",IF(AND($C35&gt;=BG$4,$C35&lt;EDATE(BG$4,1)),"◆",""))</f>
        <v/>
      </c>
      <c r="BH35" s="71" t="str">
        <f aca="false">IF(OR(BH$4="",$C35=""),"",IF(AND($C35&gt;=BH$4,$C35&lt;EDATE(BH$4,1)),"◆",""))</f>
        <v/>
      </c>
      <c r="BI35" s="71" t="str">
        <f aca="false">IF(OR(BI$4="",$C35=""),"",IF(AND($C35&gt;=BI$4,$C35&lt;EDATE(BI$4,1)),"◆",""))</f>
        <v/>
      </c>
      <c r="BJ35" s="71" t="str">
        <f aca="false">IF(OR(BJ$4="",$C35=""),"",IF(AND($C35&gt;=BJ$4,$C35&lt;EDATE(BJ$4,1)),"◆",""))</f>
        <v/>
      </c>
      <c r="BK35" s="71" t="str">
        <f aca="false">IF(OR(BK$4="",$C35=""),"",IF(AND($C35&gt;=BK$4,$C35&lt;EDATE(BK$4,1)),"◆",""))</f>
        <v/>
      </c>
      <c r="BL35" s="71" t="str">
        <f aca="false">IF(OR(BL$4="",$C35=""),"",IF(AND($C35&gt;=BL$4,$C35&lt;EDATE(BL$4,1)),"◆",""))</f>
        <v/>
      </c>
      <c r="BM35" s="71" t="str">
        <f aca="false">IF(OR(BM$4="",$C35=""),"",IF(AND($C35&gt;=BM$4,$C35&lt;EDATE(BM$4,1)),"◆",""))</f>
        <v/>
      </c>
      <c r="BN35" s="71" t="str">
        <f aca="false">IF(OR(BN$4="",$C35=""),"",IF(AND($C35&gt;=BN$4,$C35&lt;EDATE(BN$4,1)),"◆",""))</f>
        <v/>
      </c>
      <c r="BO35" s="71" t="str">
        <f aca="false">IF(OR(BO$4="",$C35=""),"",IF(AND($C35&gt;=BO$4,$C35&lt;EDATE(BO$4,1)),"◆",""))</f>
        <v/>
      </c>
      <c r="BP35" s="71" t="str">
        <f aca="false">IF(OR(BP$4="",$C35=""),"",IF(AND($C35&gt;=BP$4,$C35&lt;EDATE(BP$4,1)),"◆",""))</f>
        <v/>
      </c>
      <c r="BQ35" s="71" t="str">
        <f aca="false">IF(OR(BQ$4="",$C35=""),"",IF(AND($C35&gt;=BQ$4,$C35&lt;EDATE(BQ$4,1)),"◆",""))</f>
        <v/>
      </c>
      <c r="BR35" s="71" t="str">
        <f aca="false">IF(OR(BR$4="",$C35=""),"",IF(AND($C35&gt;=BR$4,$C35&lt;EDATE(BR$4,1)),"◆",""))</f>
        <v/>
      </c>
      <c r="BS35" s="71" t="str">
        <f aca="false">IF(OR(BS$4="",$C35=""),"",IF(AND($C35&gt;=BS$4,$C35&lt;EDATE(BS$4,1)),"◆",""))</f>
        <v/>
      </c>
      <c r="BT35" s="71" t="str">
        <f aca="false">IF(OR(BT$4="",$C35=""),"",IF(AND($C35&gt;=BT$4,$C35&lt;EDATE(BT$4,1)),"◆",""))</f>
        <v/>
      </c>
      <c r="BU35" s="71" t="str">
        <f aca="false">IF(OR(BU$4="",$C35=""),"",IF(AND($C35&gt;=BU$4,$C35&lt;EDATE(BU$4,1)),"◆",""))</f>
        <v/>
      </c>
      <c r="BV35" s="71" t="str">
        <f aca="false">IF(OR(BV$4="",$C35=""),"",IF(AND($C35&gt;=BV$4,$C35&lt;EDATE(BV$4,1)),"◆",""))</f>
        <v/>
      </c>
      <c r="BW35" s="71" t="str">
        <f aca="false">IF(OR(BW$4="",$C35=""),"",IF(AND($C35&gt;=BW$4,$C35&lt;EDATE(BW$4,1)),"◆",""))</f>
        <v/>
      </c>
      <c r="BX35" s="71" t="str">
        <f aca="false">IF(OR(BX$4="",$C35=""),"",IF(AND($C35&gt;=BX$4,$C35&lt;EDATE(BX$4,1)),"◆",""))</f>
        <v/>
      </c>
      <c r="BY35" s="71" t="str">
        <f aca="false">IF(OR(BY$4="",$C35=""),"",IF(AND($C35&gt;=BY$4,$C35&lt;EDATE(BY$4,1)),"◆",""))</f>
        <v/>
      </c>
    </row>
    <row r="36" customFormat="false" ht="15" hidden="false" customHeight="false" outlineLevel="0" collapsed="false">
      <c r="A36" s="69" t="s">
        <v>314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</row>
    <row r="37" customFormat="false" ht="15" hidden="false" customHeight="false" outlineLevel="0" collapsed="false">
      <c r="A37" s="61" t="str">
        <f aca="false">IF(BOE!$A6="","",BOE!$A6)</f>
        <v>101</v>
      </c>
      <c r="B37" s="61" t="str">
        <f aca="false">IF(BOE!$A6="","",BOE!$C6)</f>
        <v>Hazard identification &amp; mitigation effort using the system safety methodology (program execution)</v>
      </c>
      <c r="C37" s="62" t="n">
        <f aca="false">IF(OR(BOE!$A6="",BOE!$E6&lt;&gt;"Y"),"",BOE!$O6)</f>
        <v>46391</v>
      </c>
      <c r="D37" s="62" t="n">
        <f aca="false">IF(OR(BOE!$A6="",BOE!$E6&lt;&gt;"Y"),"",BOE!$P6)</f>
        <v>47483</v>
      </c>
      <c r="E37" s="63" t="n">
        <f aca="false">IF(OR(BOE!$A6="",BOE!$E6&lt;&gt;"Y"),"",IF(Inputs!$B$7="P90",BOE!$T6,BOE!$R6))</f>
        <v>717.535934291581</v>
      </c>
      <c r="F37" s="72" t="n">
        <f aca="false">IF(OR(F$4="",$C37="",$D37=""),"",IF(AND($C37&lt;EDATE(F$4,1),$D37&gt;=F$4),1,""))</f>
        <v>1</v>
      </c>
      <c r="G37" s="72" t="n">
        <f aca="false">IF(OR(G$4="",$C37="",$D37=""),"",IF(AND($C37&lt;EDATE(G$4,1),$D37&gt;=G$4),1,""))</f>
        <v>1</v>
      </c>
      <c r="H37" s="72" t="n">
        <f aca="false">IF(OR(H$4="",$C37="",$D37=""),"",IF(AND($C37&lt;EDATE(H$4,1),$D37&gt;=H$4),1,""))</f>
        <v>1</v>
      </c>
      <c r="I37" s="72" t="n">
        <f aca="false">IF(OR(I$4="",$C37="",$D37=""),"",IF(AND($C37&lt;EDATE(I$4,1),$D37&gt;=I$4),1,""))</f>
        <v>1</v>
      </c>
      <c r="J37" s="72" t="n">
        <f aca="false">IF(OR(J$4="",$C37="",$D37=""),"",IF(AND($C37&lt;EDATE(J$4,1),$D37&gt;=J$4),1,""))</f>
        <v>1</v>
      </c>
      <c r="K37" s="72" t="n">
        <f aca="false">IF(OR(K$4="",$C37="",$D37=""),"",IF(AND($C37&lt;EDATE(K$4,1),$D37&gt;=K$4),1,""))</f>
        <v>1</v>
      </c>
      <c r="L37" s="72" t="n">
        <f aca="false">IF(OR(L$4="",$C37="",$D37=""),"",IF(AND($C37&lt;EDATE(L$4,1),$D37&gt;=L$4),1,""))</f>
        <v>1</v>
      </c>
      <c r="M37" s="72" t="n">
        <f aca="false">IF(OR(M$4="",$C37="",$D37=""),"",IF(AND($C37&lt;EDATE(M$4,1),$D37&gt;=M$4),1,""))</f>
        <v>1</v>
      </c>
      <c r="N37" s="72" t="n">
        <f aca="false">IF(OR(N$4="",$C37="",$D37=""),"",IF(AND($C37&lt;EDATE(N$4,1),$D37&gt;=N$4),1,""))</f>
        <v>1</v>
      </c>
      <c r="O37" s="72" t="n">
        <f aca="false">IF(OR(O$4="",$C37="",$D37=""),"",IF(AND($C37&lt;EDATE(O$4,1),$D37&gt;=O$4),1,""))</f>
        <v>1</v>
      </c>
      <c r="P37" s="72" t="n">
        <f aca="false">IF(OR(P$4="",$C37="",$D37=""),"",IF(AND($C37&lt;EDATE(P$4,1),$D37&gt;=P$4),1,""))</f>
        <v>1</v>
      </c>
      <c r="Q37" s="72" t="n">
        <f aca="false">IF(OR(Q$4="",$C37="",$D37=""),"",IF(AND($C37&lt;EDATE(Q$4,1),$D37&gt;=Q$4),1,""))</f>
        <v>1</v>
      </c>
      <c r="R37" s="72" t="n">
        <f aca="false">IF(OR(R$4="",$C37="",$D37=""),"",IF(AND($C37&lt;EDATE(R$4,1),$D37&gt;=R$4),1,""))</f>
        <v>1</v>
      </c>
      <c r="S37" s="72" t="n">
        <f aca="false">IF(OR(S$4="",$C37="",$D37=""),"",IF(AND($C37&lt;EDATE(S$4,1),$D37&gt;=S$4),1,""))</f>
        <v>1</v>
      </c>
      <c r="T37" s="72" t="n">
        <f aca="false">IF(OR(T$4="",$C37="",$D37=""),"",IF(AND($C37&lt;EDATE(T$4,1),$D37&gt;=T$4),1,""))</f>
        <v>1</v>
      </c>
      <c r="U37" s="72" t="n">
        <f aca="false">IF(OR(U$4="",$C37="",$D37=""),"",IF(AND($C37&lt;EDATE(U$4,1),$D37&gt;=U$4),1,""))</f>
        <v>1</v>
      </c>
      <c r="V37" s="72" t="n">
        <f aca="false">IF(OR(V$4="",$C37="",$D37=""),"",IF(AND($C37&lt;EDATE(V$4,1),$D37&gt;=V$4),1,""))</f>
        <v>1</v>
      </c>
      <c r="W37" s="72" t="n">
        <f aca="false">IF(OR(W$4="",$C37="",$D37=""),"",IF(AND($C37&lt;EDATE(W$4,1),$D37&gt;=W$4),1,""))</f>
        <v>1</v>
      </c>
      <c r="X37" s="72" t="n">
        <f aca="false">IF(OR(X$4="",$C37="",$D37=""),"",IF(AND($C37&lt;EDATE(X$4,1),$D37&gt;=X$4),1,""))</f>
        <v>1</v>
      </c>
      <c r="Y37" s="72" t="n">
        <f aca="false">IF(OR(Y$4="",$C37="",$D37=""),"",IF(AND($C37&lt;EDATE(Y$4,1),$D37&gt;=Y$4),1,""))</f>
        <v>1</v>
      </c>
      <c r="Z37" s="72" t="n">
        <f aca="false">IF(OR(Z$4="",$C37="",$D37=""),"",IF(AND($C37&lt;EDATE(Z$4,1),$D37&gt;=Z$4),1,""))</f>
        <v>1</v>
      </c>
      <c r="AA37" s="72" t="n">
        <f aca="false">IF(OR(AA$4="",$C37="",$D37=""),"",IF(AND($C37&lt;EDATE(AA$4,1),$D37&gt;=AA$4),1,""))</f>
        <v>1</v>
      </c>
      <c r="AB37" s="72" t="n">
        <f aca="false">IF(OR(AB$4="",$C37="",$D37=""),"",IF(AND($C37&lt;EDATE(AB$4,1),$D37&gt;=AB$4),1,""))</f>
        <v>1</v>
      </c>
      <c r="AC37" s="72" t="n">
        <f aca="false">IF(OR(AC$4="",$C37="",$D37=""),"",IF(AND($C37&lt;EDATE(AC$4,1),$D37&gt;=AC$4),1,""))</f>
        <v>1</v>
      </c>
      <c r="AD37" s="72" t="n">
        <f aca="false">IF(OR(AD$4="",$C37="",$D37=""),"",IF(AND($C37&lt;EDATE(AD$4,1),$D37&gt;=AD$4),1,""))</f>
        <v>1</v>
      </c>
      <c r="AE37" s="72" t="n">
        <f aca="false">IF(OR(AE$4="",$C37="",$D37=""),"",IF(AND($C37&lt;EDATE(AE$4,1),$D37&gt;=AE$4),1,""))</f>
        <v>1</v>
      </c>
      <c r="AF37" s="72" t="n">
        <f aca="false">IF(OR(AF$4="",$C37="",$D37=""),"",IF(AND($C37&lt;EDATE(AF$4,1),$D37&gt;=AF$4),1,""))</f>
        <v>1</v>
      </c>
      <c r="AG37" s="72" t="n">
        <f aca="false">IF(OR(AG$4="",$C37="",$D37=""),"",IF(AND($C37&lt;EDATE(AG$4,1),$D37&gt;=AG$4),1,""))</f>
        <v>1</v>
      </c>
      <c r="AH37" s="72" t="n">
        <f aca="false">IF(OR(AH$4="",$C37="",$D37=""),"",IF(AND($C37&lt;EDATE(AH$4,1),$D37&gt;=AH$4),1,""))</f>
        <v>1</v>
      </c>
      <c r="AI37" s="72" t="n">
        <f aca="false">IF(OR(AI$4="",$C37="",$D37=""),"",IF(AND($C37&lt;EDATE(AI$4,1),$D37&gt;=AI$4),1,""))</f>
        <v>1</v>
      </c>
      <c r="AJ37" s="72" t="n">
        <f aca="false">IF(OR(AJ$4="",$C37="",$D37=""),"",IF(AND($C37&lt;EDATE(AJ$4,1),$D37&gt;=AJ$4),1,""))</f>
        <v>1</v>
      </c>
      <c r="AK37" s="72" t="n">
        <f aca="false">IF(OR(AK$4="",$C37="",$D37=""),"",IF(AND($C37&lt;EDATE(AK$4,1),$D37&gt;=AK$4),1,""))</f>
        <v>1</v>
      </c>
      <c r="AL37" s="72" t="n">
        <f aca="false">IF(OR(AL$4="",$C37="",$D37=""),"",IF(AND($C37&lt;EDATE(AL$4,1),$D37&gt;=AL$4),1,""))</f>
        <v>1</v>
      </c>
      <c r="AM37" s="72" t="n">
        <f aca="false">IF(OR(AM$4="",$C37="",$D37=""),"",IF(AND($C37&lt;EDATE(AM$4,1),$D37&gt;=AM$4),1,""))</f>
        <v>1</v>
      </c>
      <c r="AN37" s="72" t="n">
        <f aca="false">IF(OR(AN$4="",$C37="",$D37=""),"",IF(AND($C37&lt;EDATE(AN$4,1),$D37&gt;=AN$4),1,""))</f>
        <v>1</v>
      </c>
      <c r="AO37" s="72" t="n">
        <f aca="false">IF(OR(AO$4="",$C37="",$D37=""),"",IF(AND($C37&lt;EDATE(AO$4,1),$D37&gt;=AO$4),1,""))</f>
        <v>1</v>
      </c>
      <c r="AP37" s="72" t="str">
        <f aca="false">IF(OR(AP$4="",$C37="",$D37=""),"",IF(AND($C37&lt;EDATE(AP$4,1),$D37&gt;=AP$4),1,""))</f>
        <v/>
      </c>
      <c r="AQ37" s="72" t="str">
        <f aca="false">IF(OR(AQ$4="",$C37="",$D37=""),"",IF(AND($C37&lt;EDATE(AQ$4,1),$D37&gt;=AQ$4),1,""))</f>
        <v/>
      </c>
      <c r="AR37" s="72" t="str">
        <f aca="false">IF(OR(AR$4="",$C37="",$D37=""),"",IF(AND($C37&lt;EDATE(AR$4,1),$D37&gt;=AR$4),1,""))</f>
        <v/>
      </c>
      <c r="AS37" s="72" t="str">
        <f aca="false">IF(OR(AS$4="",$C37="",$D37=""),"",IF(AND($C37&lt;EDATE(AS$4,1),$D37&gt;=AS$4),1,""))</f>
        <v/>
      </c>
      <c r="AT37" s="72" t="str">
        <f aca="false">IF(OR(AT$4="",$C37="",$D37=""),"",IF(AND($C37&lt;EDATE(AT$4,1),$D37&gt;=AT$4),1,""))</f>
        <v/>
      </c>
      <c r="AU37" s="72" t="str">
        <f aca="false">IF(OR(AU$4="",$C37="",$D37=""),"",IF(AND($C37&lt;EDATE(AU$4,1),$D37&gt;=AU$4),1,""))</f>
        <v/>
      </c>
      <c r="AV37" s="72" t="str">
        <f aca="false">IF(OR(AV$4="",$C37="",$D37=""),"",IF(AND($C37&lt;EDATE(AV$4,1),$D37&gt;=AV$4),1,""))</f>
        <v/>
      </c>
      <c r="AW37" s="72" t="str">
        <f aca="false">IF(OR(AW$4="",$C37="",$D37=""),"",IF(AND($C37&lt;EDATE(AW$4,1),$D37&gt;=AW$4),1,""))</f>
        <v/>
      </c>
      <c r="AX37" s="72" t="str">
        <f aca="false">IF(OR(AX$4="",$C37="",$D37=""),"",IF(AND($C37&lt;EDATE(AX$4,1),$D37&gt;=AX$4),1,""))</f>
        <v/>
      </c>
      <c r="AY37" s="72" t="str">
        <f aca="false">IF(OR(AY$4="",$C37="",$D37=""),"",IF(AND($C37&lt;EDATE(AY$4,1),$D37&gt;=AY$4),1,""))</f>
        <v/>
      </c>
      <c r="AZ37" s="72" t="str">
        <f aca="false">IF(OR(AZ$4="",$C37="",$D37=""),"",IF(AND($C37&lt;EDATE(AZ$4,1),$D37&gt;=AZ$4),1,""))</f>
        <v/>
      </c>
      <c r="BA37" s="72" t="str">
        <f aca="false">IF(OR(BA$4="",$C37="",$D37=""),"",IF(AND($C37&lt;EDATE(BA$4,1),$D37&gt;=BA$4),1,""))</f>
        <v/>
      </c>
      <c r="BB37" s="72" t="str">
        <f aca="false">IF(OR(BB$4="",$C37="",$D37=""),"",IF(AND($C37&lt;EDATE(BB$4,1),$D37&gt;=BB$4),1,""))</f>
        <v/>
      </c>
      <c r="BC37" s="72" t="str">
        <f aca="false">IF(OR(BC$4="",$C37="",$D37=""),"",IF(AND($C37&lt;EDATE(BC$4,1),$D37&gt;=BC$4),1,""))</f>
        <v/>
      </c>
      <c r="BD37" s="72" t="str">
        <f aca="false">IF(OR(BD$4="",$C37="",$D37=""),"",IF(AND($C37&lt;EDATE(BD$4,1),$D37&gt;=BD$4),1,""))</f>
        <v/>
      </c>
      <c r="BE37" s="72" t="str">
        <f aca="false">IF(OR(BE$4="",$C37="",$D37=""),"",IF(AND($C37&lt;EDATE(BE$4,1),$D37&gt;=BE$4),1,""))</f>
        <v/>
      </c>
      <c r="BF37" s="72" t="str">
        <f aca="false">IF(OR(BF$4="",$C37="",$D37=""),"",IF(AND($C37&lt;EDATE(BF$4,1),$D37&gt;=BF$4),1,""))</f>
        <v/>
      </c>
      <c r="BG37" s="72" t="str">
        <f aca="false">IF(OR(BG$4="",$C37="",$D37=""),"",IF(AND($C37&lt;EDATE(BG$4,1),$D37&gt;=BG$4),1,""))</f>
        <v/>
      </c>
      <c r="BH37" s="72" t="str">
        <f aca="false">IF(OR(BH$4="",$C37="",$D37=""),"",IF(AND($C37&lt;EDATE(BH$4,1),$D37&gt;=BH$4),1,""))</f>
        <v/>
      </c>
      <c r="BI37" s="72" t="str">
        <f aca="false">IF(OR(BI$4="",$C37="",$D37=""),"",IF(AND($C37&lt;EDATE(BI$4,1),$D37&gt;=BI$4),1,""))</f>
        <v/>
      </c>
      <c r="BJ37" s="72" t="str">
        <f aca="false">IF(OR(BJ$4="",$C37="",$D37=""),"",IF(AND($C37&lt;EDATE(BJ$4,1),$D37&gt;=BJ$4),1,""))</f>
        <v/>
      </c>
      <c r="BK37" s="72" t="str">
        <f aca="false">IF(OR(BK$4="",$C37="",$D37=""),"",IF(AND($C37&lt;EDATE(BK$4,1),$D37&gt;=BK$4),1,""))</f>
        <v/>
      </c>
      <c r="BL37" s="72" t="str">
        <f aca="false">IF(OR(BL$4="",$C37="",$D37=""),"",IF(AND($C37&lt;EDATE(BL$4,1),$D37&gt;=BL$4),1,""))</f>
        <v/>
      </c>
      <c r="BM37" s="72" t="str">
        <f aca="false">IF(OR(BM$4="",$C37="",$D37=""),"",IF(AND($C37&lt;EDATE(BM$4,1),$D37&gt;=BM$4),1,""))</f>
        <v/>
      </c>
      <c r="BN37" s="72" t="str">
        <f aca="false">IF(OR(BN$4="",$C37="",$D37=""),"",IF(AND($C37&lt;EDATE(BN$4,1),$D37&gt;=BN$4),1,""))</f>
        <v/>
      </c>
      <c r="BO37" s="72" t="str">
        <f aca="false">IF(OR(BO$4="",$C37="",$D37=""),"",IF(AND($C37&lt;EDATE(BO$4,1),$D37&gt;=BO$4),1,""))</f>
        <v/>
      </c>
      <c r="BP37" s="72" t="str">
        <f aca="false">IF(OR(BP$4="",$C37="",$D37=""),"",IF(AND($C37&lt;EDATE(BP$4,1),$D37&gt;=BP$4),1,""))</f>
        <v/>
      </c>
      <c r="BQ37" s="72" t="str">
        <f aca="false">IF(OR(BQ$4="",$C37="",$D37=""),"",IF(AND($C37&lt;EDATE(BQ$4,1),$D37&gt;=BQ$4),1,""))</f>
        <v/>
      </c>
      <c r="BR37" s="72" t="str">
        <f aca="false">IF(OR(BR$4="",$C37="",$D37=""),"",IF(AND($C37&lt;EDATE(BR$4,1),$D37&gt;=BR$4),1,""))</f>
        <v/>
      </c>
      <c r="BS37" s="72" t="str">
        <f aca="false">IF(OR(BS$4="",$C37="",$D37=""),"",IF(AND($C37&lt;EDATE(BS$4,1),$D37&gt;=BS$4),1,""))</f>
        <v/>
      </c>
      <c r="BT37" s="72" t="str">
        <f aca="false">IF(OR(BT$4="",$C37="",$D37=""),"",IF(AND($C37&lt;EDATE(BT$4,1),$D37&gt;=BT$4),1,""))</f>
        <v/>
      </c>
      <c r="BU37" s="72" t="str">
        <f aca="false">IF(OR(BU$4="",$C37="",$D37=""),"",IF(AND($C37&lt;EDATE(BU$4,1),$D37&gt;=BU$4),1,""))</f>
        <v/>
      </c>
      <c r="BV37" s="72" t="str">
        <f aca="false">IF(OR(BV$4="",$C37="",$D37=""),"",IF(AND($C37&lt;EDATE(BV$4,1),$D37&gt;=BV$4),1,""))</f>
        <v/>
      </c>
      <c r="BW37" s="72" t="str">
        <f aca="false">IF(OR(BW$4="",$C37="",$D37=""),"",IF(AND($C37&lt;EDATE(BW$4,1),$D37&gt;=BW$4),1,""))</f>
        <v/>
      </c>
      <c r="BX37" s="72" t="str">
        <f aca="false">IF(OR(BX$4="",$C37="",$D37=""),"",IF(AND($C37&lt;EDATE(BX$4,1),$D37&gt;=BX$4),1,""))</f>
        <v/>
      </c>
      <c r="BY37" s="72" t="str">
        <f aca="false">IF(OR(BY$4="",$C37="",$D37=""),"",IF(AND($C37&lt;EDATE(BY$4,1),$D37&gt;=BY$4),1,""))</f>
        <v/>
      </c>
    </row>
    <row r="38" customFormat="false" ht="15" hidden="false" customHeight="false" outlineLevel="0" collapsed="false">
      <c r="A38" s="61" t="str">
        <f aca="false">IF(BOE!$A7="","",BOE!$A7)</f>
        <v>102</v>
      </c>
      <c r="B38" s="61" t="str">
        <f aca="false">IF(BOE!$A7="","",BOE!$C7)</f>
        <v>System Safety Program Plan (SSPP)</v>
      </c>
      <c r="C38" s="62" t="n">
        <f aca="false">IF(OR(BOE!$A7="",BOE!$E7&lt;&gt;"Y"),"",BOE!$O7)</f>
        <v>46391</v>
      </c>
      <c r="D38" s="62" t="n">
        <f aca="false">IF(OR(BOE!$A7="",BOE!$E7&lt;&gt;"Y"),"",BOE!$P7)</f>
        <v>46481</v>
      </c>
      <c r="E38" s="63" t="n">
        <f aca="false">IF(OR(BOE!$A7="",BOE!$E7&lt;&gt;"Y"),"",IF(Inputs!$B$7="P90",BOE!$T7,BOE!$R7))</f>
        <v>320</v>
      </c>
      <c r="F38" s="72" t="n">
        <f aca="false">IF(OR(F$4="",$C38="",$D38=""),"",IF(AND($C38&lt;EDATE(F$4,1),$D38&gt;=F$4),1,""))</f>
        <v>1</v>
      </c>
      <c r="G38" s="72" t="n">
        <f aca="false">IF(OR(G$4="",$C38="",$D38=""),"",IF(AND($C38&lt;EDATE(G$4,1),$D38&gt;=G$4),1,""))</f>
        <v>1</v>
      </c>
      <c r="H38" s="72" t="n">
        <f aca="false">IF(OR(H$4="",$C38="",$D38=""),"",IF(AND($C38&lt;EDATE(H$4,1),$D38&gt;=H$4),1,""))</f>
        <v>1</v>
      </c>
      <c r="I38" s="72" t="n">
        <f aca="false">IF(OR(I$4="",$C38="",$D38=""),"",IF(AND($C38&lt;EDATE(I$4,1),$D38&gt;=I$4),1,""))</f>
        <v>1</v>
      </c>
      <c r="J38" s="72" t="str">
        <f aca="false">IF(OR(J$4="",$C38="",$D38=""),"",IF(AND($C38&lt;EDATE(J$4,1),$D38&gt;=J$4),1,""))</f>
        <v/>
      </c>
      <c r="K38" s="72" t="str">
        <f aca="false">IF(OR(K$4="",$C38="",$D38=""),"",IF(AND($C38&lt;EDATE(K$4,1),$D38&gt;=K$4),1,""))</f>
        <v/>
      </c>
      <c r="L38" s="72" t="str">
        <f aca="false">IF(OR(L$4="",$C38="",$D38=""),"",IF(AND($C38&lt;EDATE(L$4,1),$D38&gt;=L$4),1,""))</f>
        <v/>
      </c>
      <c r="M38" s="72" t="str">
        <f aca="false">IF(OR(M$4="",$C38="",$D38=""),"",IF(AND($C38&lt;EDATE(M$4,1),$D38&gt;=M$4),1,""))</f>
        <v/>
      </c>
      <c r="N38" s="72" t="str">
        <f aca="false">IF(OR(N$4="",$C38="",$D38=""),"",IF(AND($C38&lt;EDATE(N$4,1),$D38&gt;=N$4),1,""))</f>
        <v/>
      </c>
      <c r="O38" s="72" t="str">
        <f aca="false">IF(OR(O$4="",$C38="",$D38=""),"",IF(AND($C38&lt;EDATE(O$4,1),$D38&gt;=O$4),1,""))</f>
        <v/>
      </c>
      <c r="P38" s="72" t="str">
        <f aca="false">IF(OR(P$4="",$C38="",$D38=""),"",IF(AND($C38&lt;EDATE(P$4,1),$D38&gt;=P$4),1,""))</f>
        <v/>
      </c>
      <c r="Q38" s="72" t="str">
        <f aca="false">IF(OR(Q$4="",$C38="",$D38=""),"",IF(AND($C38&lt;EDATE(Q$4,1),$D38&gt;=Q$4),1,""))</f>
        <v/>
      </c>
      <c r="R38" s="72" t="str">
        <f aca="false">IF(OR(R$4="",$C38="",$D38=""),"",IF(AND($C38&lt;EDATE(R$4,1),$D38&gt;=R$4),1,""))</f>
        <v/>
      </c>
      <c r="S38" s="72" t="str">
        <f aca="false">IF(OR(S$4="",$C38="",$D38=""),"",IF(AND($C38&lt;EDATE(S$4,1),$D38&gt;=S$4),1,""))</f>
        <v/>
      </c>
      <c r="T38" s="72" t="str">
        <f aca="false">IF(OR(T$4="",$C38="",$D38=""),"",IF(AND($C38&lt;EDATE(T$4,1),$D38&gt;=T$4),1,""))</f>
        <v/>
      </c>
      <c r="U38" s="72" t="str">
        <f aca="false">IF(OR(U$4="",$C38="",$D38=""),"",IF(AND($C38&lt;EDATE(U$4,1),$D38&gt;=U$4),1,""))</f>
        <v/>
      </c>
      <c r="V38" s="72" t="str">
        <f aca="false">IF(OR(V$4="",$C38="",$D38=""),"",IF(AND($C38&lt;EDATE(V$4,1),$D38&gt;=V$4),1,""))</f>
        <v/>
      </c>
      <c r="W38" s="72" t="str">
        <f aca="false">IF(OR(W$4="",$C38="",$D38=""),"",IF(AND($C38&lt;EDATE(W$4,1),$D38&gt;=W$4),1,""))</f>
        <v/>
      </c>
      <c r="X38" s="72" t="str">
        <f aca="false">IF(OR(X$4="",$C38="",$D38=""),"",IF(AND($C38&lt;EDATE(X$4,1),$D38&gt;=X$4),1,""))</f>
        <v/>
      </c>
      <c r="Y38" s="72" t="str">
        <f aca="false">IF(OR(Y$4="",$C38="",$D38=""),"",IF(AND($C38&lt;EDATE(Y$4,1),$D38&gt;=Y$4),1,""))</f>
        <v/>
      </c>
      <c r="Z38" s="72" t="str">
        <f aca="false">IF(OR(Z$4="",$C38="",$D38=""),"",IF(AND($C38&lt;EDATE(Z$4,1),$D38&gt;=Z$4),1,""))</f>
        <v/>
      </c>
      <c r="AA38" s="72" t="str">
        <f aca="false">IF(OR(AA$4="",$C38="",$D38=""),"",IF(AND($C38&lt;EDATE(AA$4,1),$D38&gt;=AA$4),1,""))</f>
        <v/>
      </c>
      <c r="AB38" s="72" t="str">
        <f aca="false">IF(OR(AB$4="",$C38="",$D38=""),"",IF(AND($C38&lt;EDATE(AB$4,1),$D38&gt;=AB$4),1,""))</f>
        <v/>
      </c>
      <c r="AC38" s="72" t="str">
        <f aca="false">IF(OR(AC$4="",$C38="",$D38=""),"",IF(AND($C38&lt;EDATE(AC$4,1),$D38&gt;=AC$4),1,""))</f>
        <v/>
      </c>
      <c r="AD38" s="72" t="str">
        <f aca="false">IF(OR(AD$4="",$C38="",$D38=""),"",IF(AND($C38&lt;EDATE(AD$4,1),$D38&gt;=AD$4),1,""))</f>
        <v/>
      </c>
      <c r="AE38" s="72" t="str">
        <f aca="false">IF(OR(AE$4="",$C38="",$D38=""),"",IF(AND($C38&lt;EDATE(AE$4,1),$D38&gt;=AE$4),1,""))</f>
        <v/>
      </c>
      <c r="AF38" s="72" t="str">
        <f aca="false">IF(OR(AF$4="",$C38="",$D38=""),"",IF(AND($C38&lt;EDATE(AF$4,1),$D38&gt;=AF$4),1,""))</f>
        <v/>
      </c>
      <c r="AG38" s="72" t="str">
        <f aca="false">IF(OR(AG$4="",$C38="",$D38=""),"",IF(AND($C38&lt;EDATE(AG$4,1),$D38&gt;=AG$4),1,""))</f>
        <v/>
      </c>
      <c r="AH38" s="72" t="str">
        <f aca="false">IF(OR(AH$4="",$C38="",$D38=""),"",IF(AND($C38&lt;EDATE(AH$4,1),$D38&gt;=AH$4),1,""))</f>
        <v/>
      </c>
      <c r="AI38" s="72" t="str">
        <f aca="false">IF(OR(AI$4="",$C38="",$D38=""),"",IF(AND($C38&lt;EDATE(AI$4,1),$D38&gt;=AI$4),1,""))</f>
        <v/>
      </c>
      <c r="AJ38" s="72" t="str">
        <f aca="false">IF(OR(AJ$4="",$C38="",$D38=""),"",IF(AND($C38&lt;EDATE(AJ$4,1),$D38&gt;=AJ$4),1,""))</f>
        <v/>
      </c>
      <c r="AK38" s="72" t="str">
        <f aca="false">IF(OR(AK$4="",$C38="",$D38=""),"",IF(AND($C38&lt;EDATE(AK$4,1),$D38&gt;=AK$4),1,""))</f>
        <v/>
      </c>
      <c r="AL38" s="72" t="str">
        <f aca="false">IF(OR(AL$4="",$C38="",$D38=""),"",IF(AND($C38&lt;EDATE(AL$4,1),$D38&gt;=AL$4),1,""))</f>
        <v/>
      </c>
      <c r="AM38" s="72" t="str">
        <f aca="false">IF(OR(AM$4="",$C38="",$D38=""),"",IF(AND($C38&lt;EDATE(AM$4,1),$D38&gt;=AM$4),1,""))</f>
        <v/>
      </c>
      <c r="AN38" s="72" t="str">
        <f aca="false">IF(OR(AN$4="",$C38="",$D38=""),"",IF(AND($C38&lt;EDATE(AN$4,1),$D38&gt;=AN$4),1,""))</f>
        <v/>
      </c>
      <c r="AO38" s="72" t="str">
        <f aca="false">IF(OR(AO$4="",$C38="",$D38=""),"",IF(AND($C38&lt;EDATE(AO$4,1),$D38&gt;=AO$4),1,""))</f>
        <v/>
      </c>
      <c r="AP38" s="72" t="str">
        <f aca="false">IF(OR(AP$4="",$C38="",$D38=""),"",IF(AND($C38&lt;EDATE(AP$4,1),$D38&gt;=AP$4),1,""))</f>
        <v/>
      </c>
      <c r="AQ38" s="72" t="str">
        <f aca="false">IF(OR(AQ$4="",$C38="",$D38=""),"",IF(AND($C38&lt;EDATE(AQ$4,1),$D38&gt;=AQ$4),1,""))</f>
        <v/>
      </c>
      <c r="AR38" s="72" t="str">
        <f aca="false">IF(OR(AR$4="",$C38="",$D38=""),"",IF(AND($C38&lt;EDATE(AR$4,1),$D38&gt;=AR$4),1,""))</f>
        <v/>
      </c>
      <c r="AS38" s="72" t="str">
        <f aca="false">IF(OR(AS$4="",$C38="",$D38=""),"",IF(AND($C38&lt;EDATE(AS$4,1),$D38&gt;=AS$4),1,""))</f>
        <v/>
      </c>
      <c r="AT38" s="72" t="str">
        <f aca="false">IF(OR(AT$4="",$C38="",$D38=""),"",IF(AND($C38&lt;EDATE(AT$4,1),$D38&gt;=AT$4),1,""))</f>
        <v/>
      </c>
      <c r="AU38" s="72" t="str">
        <f aca="false">IF(OR(AU$4="",$C38="",$D38=""),"",IF(AND($C38&lt;EDATE(AU$4,1),$D38&gt;=AU$4),1,""))</f>
        <v/>
      </c>
      <c r="AV38" s="72" t="str">
        <f aca="false">IF(OR(AV$4="",$C38="",$D38=""),"",IF(AND($C38&lt;EDATE(AV$4,1),$D38&gt;=AV$4),1,""))</f>
        <v/>
      </c>
      <c r="AW38" s="72" t="str">
        <f aca="false">IF(OR(AW$4="",$C38="",$D38=""),"",IF(AND($C38&lt;EDATE(AW$4,1),$D38&gt;=AW$4),1,""))</f>
        <v/>
      </c>
      <c r="AX38" s="72" t="str">
        <f aca="false">IF(OR(AX$4="",$C38="",$D38=""),"",IF(AND($C38&lt;EDATE(AX$4,1),$D38&gt;=AX$4),1,""))</f>
        <v/>
      </c>
      <c r="AY38" s="72" t="str">
        <f aca="false">IF(OR(AY$4="",$C38="",$D38=""),"",IF(AND($C38&lt;EDATE(AY$4,1),$D38&gt;=AY$4),1,""))</f>
        <v/>
      </c>
      <c r="AZ38" s="72" t="str">
        <f aca="false">IF(OR(AZ$4="",$C38="",$D38=""),"",IF(AND($C38&lt;EDATE(AZ$4,1),$D38&gt;=AZ$4),1,""))</f>
        <v/>
      </c>
      <c r="BA38" s="72" t="str">
        <f aca="false">IF(OR(BA$4="",$C38="",$D38=""),"",IF(AND($C38&lt;EDATE(BA$4,1),$D38&gt;=BA$4),1,""))</f>
        <v/>
      </c>
      <c r="BB38" s="72" t="str">
        <f aca="false">IF(OR(BB$4="",$C38="",$D38=""),"",IF(AND($C38&lt;EDATE(BB$4,1),$D38&gt;=BB$4),1,""))</f>
        <v/>
      </c>
      <c r="BC38" s="72" t="str">
        <f aca="false">IF(OR(BC$4="",$C38="",$D38=""),"",IF(AND($C38&lt;EDATE(BC$4,1),$D38&gt;=BC$4),1,""))</f>
        <v/>
      </c>
      <c r="BD38" s="72" t="str">
        <f aca="false">IF(OR(BD$4="",$C38="",$D38=""),"",IF(AND($C38&lt;EDATE(BD$4,1),$D38&gt;=BD$4),1,""))</f>
        <v/>
      </c>
      <c r="BE38" s="72" t="str">
        <f aca="false">IF(OR(BE$4="",$C38="",$D38=""),"",IF(AND($C38&lt;EDATE(BE$4,1),$D38&gt;=BE$4),1,""))</f>
        <v/>
      </c>
      <c r="BF38" s="72" t="str">
        <f aca="false">IF(OR(BF$4="",$C38="",$D38=""),"",IF(AND($C38&lt;EDATE(BF$4,1),$D38&gt;=BF$4),1,""))</f>
        <v/>
      </c>
      <c r="BG38" s="72" t="str">
        <f aca="false">IF(OR(BG$4="",$C38="",$D38=""),"",IF(AND($C38&lt;EDATE(BG$4,1),$D38&gt;=BG$4),1,""))</f>
        <v/>
      </c>
      <c r="BH38" s="72" t="str">
        <f aca="false">IF(OR(BH$4="",$C38="",$D38=""),"",IF(AND($C38&lt;EDATE(BH$4,1),$D38&gt;=BH$4),1,""))</f>
        <v/>
      </c>
      <c r="BI38" s="72" t="str">
        <f aca="false">IF(OR(BI$4="",$C38="",$D38=""),"",IF(AND($C38&lt;EDATE(BI$4,1),$D38&gt;=BI$4),1,""))</f>
        <v/>
      </c>
      <c r="BJ38" s="72" t="str">
        <f aca="false">IF(OR(BJ$4="",$C38="",$D38=""),"",IF(AND($C38&lt;EDATE(BJ$4,1),$D38&gt;=BJ$4),1,""))</f>
        <v/>
      </c>
      <c r="BK38" s="72" t="str">
        <f aca="false">IF(OR(BK$4="",$C38="",$D38=""),"",IF(AND($C38&lt;EDATE(BK$4,1),$D38&gt;=BK$4),1,""))</f>
        <v/>
      </c>
      <c r="BL38" s="72" t="str">
        <f aca="false">IF(OR(BL$4="",$C38="",$D38=""),"",IF(AND($C38&lt;EDATE(BL$4,1),$D38&gt;=BL$4),1,""))</f>
        <v/>
      </c>
      <c r="BM38" s="72" t="str">
        <f aca="false">IF(OR(BM$4="",$C38="",$D38=""),"",IF(AND($C38&lt;EDATE(BM$4,1),$D38&gt;=BM$4),1,""))</f>
        <v/>
      </c>
      <c r="BN38" s="72" t="str">
        <f aca="false">IF(OR(BN$4="",$C38="",$D38=""),"",IF(AND($C38&lt;EDATE(BN$4,1),$D38&gt;=BN$4),1,""))</f>
        <v/>
      </c>
      <c r="BO38" s="72" t="str">
        <f aca="false">IF(OR(BO$4="",$C38="",$D38=""),"",IF(AND($C38&lt;EDATE(BO$4,1),$D38&gt;=BO$4),1,""))</f>
        <v/>
      </c>
      <c r="BP38" s="72" t="str">
        <f aca="false">IF(OR(BP$4="",$C38="",$D38=""),"",IF(AND($C38&lt;EDATE(BP$4,1),$D38&gt;=BP$4),1,""))</f>
        <v/>
      </c>
      <c r="BQ38" s="72" t="str">
        <f aca="false">IF(OR(BQ$4="",$C38="",$D38=""),"",IF(AND($C38&lt;EDATE(BQ$4,1),$D38&gt;=BQ$4),1,""))</f>
        <v/>
      </c>
      <c r="BR38" s="72" t="str">
        <f aca="false">IF(OR(BR$4="",$C38="",$D38=""),"",IF(AND($C38&lt;EDATE(BR$4,1),$D38&gt;=BR$4),1,""))</f>
        <v/>
      </c>
      <c r="BS38" s="72" t="str">
        <f aca="false">IF(OR(BS$4="",$C38="",$D38=""),"",IF(AND($C38&lt;EDATE(BS$4,1),$D38&gt;=BS$4),1,""))</f>
        <v/>
      </c>
      <c r="BT38" s="72" t="str">
        <f aca="false">IF(OR(BT$4="",$C38="",$D38=""),"",IF(AND($C38&lt;EDATE(BT$4,1),$D38&gt;=BT$4),1,""))</f>
        <v/>
      </c>
      <c r="BU38" s="72" t="str">
        <f aca="false">IF(OR(BU$4="",$C38="",$D38=""),"",IF(AND($C38&lt;EDATE(BU$4,1),$D38&gt;=BU$4),1,""))</f>
        <v/>
      </c>
      <c r="BV38" s="72" t="str">
        <f aca="false">IF(OR(BV$4="",$C38="",$D38=""),"",IF(AND($C38&lt;EDATE(BV$4,1),$D38&gt;=BV$4),1,""))</f>
        <v/>
      </c>
      <c r="BW38" s="72" t="str">
        <f aca="false">IF(OR(BW$4="",$C38="",$D38=""),"",IF(AND($C38&lt;EDATE(BW$4,1),$D38&gt;=BW$4),1,""))</f>
        <v/>
      </c>
      <c r="BX38" s="72" t="str">
        <f aca="false">IF(OR(BX$4="",$C38="",$D38=""),"",IF(AND($C38&lt;EDATE(BX$4,1),$D38&gt;=BX$4),1,""))</f>
        <v/>
      </c>
      <c r="BY38" s="72" t="str">
        <f aca="false">IF(OR(BY$4="",$C38="",$D38=""),"",IF(AND($C38&lt;EDATE(BY$4,1),$D38&gt;=BY$4),1,""))</f>
        <v/>
      </c>
    </row>
    <row r="39" customFormat="false" ht="15" hidden="false" customHeight="false" outlineLevel="0" collapsed="false">
      <c r="A39" s="61" t="str">
        <f aca="false">IF(BOE!$A8="","",BOE!$A8)</f>
        <v>103</v>
      </c>
      <c r="B39" s="61" t="str">
        <f aca="false">IF(BOE!$A8="","",BOE!$C8)</f>
        <v>Hazard Management Plan (HMP) — other functional disciplines</v>
      </c>
      <c r="C39" s="62" t="str">
        <f aca="false">IF(OR(BOE!$A8="",BOE!$E8&lt;&gt;"Y"),"",BOE!$O8)</f>
        <v/>
      </c>
      <c r="D39" s="62" t="str">
        <f aca="false">IF(OR(BOE!$A8="",BOE!$E8&lt;&gt;"Y"),"",BOE!$P8)</f>
        <v/>
      </c>
      <c r="E39" s="63" t="str">
        <f aca="false">IF(OR(BOE!$A8="",BOE!$E8&lt;&gt;"Y"),"",IF(Inputs!$B$7="P90",BOE!$T8,BOE!$R8))</f>
        <v/>
      </c>
      <c r="F39" s="72" t="str">
        <f aca="false">IF(OR(F$4="",$C39="",$D39=""),"",IF(AND($C39&lt;EDATE(F$4,1),$D39&gt;=F$4),1,""))</f>
        <v/>
      </c>
      <c r="G39" s="72" t="str">
        <f aca="false">IF(OR(G$4="",$C39="",$D39=""),"",IF(AND($C39&lt;EDATE(G$4,1),$D39&gt;=G$4),1,""))</f>
        <v/>
      </c>
      <c r="H39" s="72" t="str">
        <f aca="false">IF(OR(H$4="",$C39="",$D39=""),"",IF(AND($C39&lt;EDATE(H$4,1),$D39&gt;=H$4),1,""))</f>
        <v/>
      </c>
      <c r="I39" s="72" t="str">
        <f aca="false">IF(OR(I$4="",$C39="",$D39=""),"",IF(AND($C39&lt;EDATE(I$4,1),$D39&gt;=I$4),1,""))</f>
        <v/>
      </c>
      <c r="J39" s="72" t="str">
        <f aca="false">IF(OR(J$4="",$C39="",$D39=""),"",IF(AND($C39&lt;EDATE(J$4,1),$D39&gt;=J$4),1,""))</f>
        <v/>
      </c>
      <c r="K39" s="72" t="str">
        <f aca="false">IF(OR(K$4="",$C39="",$D39=""),"",IF(AND($C39&lt;EDATE(K$4,1),$D39&gt;=K$4),1,""))</f>
        <v/>
      </c>
      <c r="L39" s="72" t="str">
        <f aca="false">IF(OR(L$4="",$C39="",$D39=""),"",IF(AND($C39&lt;EDATE(L$4,1),$D39&gt;=L$4),1,""))</f>
        <v/>
      </c>
      <c r="M39" s="72" t="str">
        <f aca="false">IF(OR(M$4="",$C39="",$D39=""),"",IF(AND($C39&lt;EDATE(M$4,1),$D39&gt;=M$4),1,""))</f>
        <v/>
      </c>
      <c r="N39" s="72" t="str">
        <f aca="false">IF(OR(N$4="",$C39="",$D39=""),"",IF(AND($C39&lt;EDATE(N$4,1),$D39&gt;=N$4),1,""))</f>
        <v/>
      </c>
      <c r="O39" s="72" t="str">
        <f aca="false">IF(OR(O$4="",$C39="",$D39=""),"",IF(AND($C39&lt;EDATE(O$4,1),$D39&gt;=O$4),1,""))</f>
        <v/>
      </c>
      <c r="P39" s="72" t="str">
        <f aca="false">IF(OR(P$4="",$C39="",$D39=""),"",IF(AND($C39&lt;EDATE(P$4,1),$D39&gt;=P$4),1,""))</f>
        <v/>
      </c>
      <c r="Q39" s="72" t="str">
        <f aca="false">IF(OR(Q$4="",$C39="",$D39=""),"",IF(AND($C39&lt;EDATE(Q$4,1),$D39&gt;=Q$4),1,""))</f>
        <v/>
      </c>
      <c r="R39" s="72" t="str">
        <f aca="false">IF(OR(R$4="",$C39="",$D39=""),"",IF(AND($C39&lt;EDATE(R$4,1),$D39&gt;=R$4),1,""))</f>
        <v/>
      </c>
      <c r="S39" s="72" t="str">
        <f aca="false">IF(OR(S$4="",$C39="",$D39=""),"",IF(AND($C39&lt;EDATE(S$4,1),$D39&gt;=S$4),1,""))</f>
        <v/>
      </c>
      <c r="T39" s="72" t="str">
        <f aca="false">IF(OR(T$4="",$C39="",$D39=""),"",IF(AND($C39&lt;EDATE(T$4,1),$D39&gt;=T$4),1,""))</f>
        <v/>
      </c>
      <c r="U39" s="72" t="str">
        <f aca="false">IF(OR(U$4="",$C39="",$D39=""),"",IF(AND($C39&lt;EDATE(U$4,1),$D39&gt;=U$4),1,""))</f>
        <v/>
      </c>
      <c r="V39" s="72" t="str">
        <f aca="false">IF(OR(V$4="",$C39="",$D39=""),"",IF(AND($C39&lt;EDATE(V$4,1),$D39&gt;=V$4),1,""))</f>
        <v/>
      </c>
      <c r="W39" s="72" t="str">
        <f aca="false">IF(OR(W$4="",$C39="",$D39=""),"",IF(AND($C39&lt;EDATE(W$4,1),$D39&gt;=W$4),1,""))</f>
        <v/>
      </c>
      <c r="X39" s="72" t="str">
        <f aca="false">IF(OR(X$4="",$C39="",$D39=""),"",IF(AND($C39&lt;EDATE(X$4,1),$D39&gt;=X$4),1,""))</f>
        <v/>
      </c>
      <c r="Y39" s="72" t="str">
        <f aca="false">IF(OR(Y$4="",$C39="",$D39=""),"",IF(AND($C39&lt;EDATE(Y$4,1),$D39&gt;=Y$4),1,""))</f>
        <v/>
      </c>
      <c r="Z39" s="72" t="str">
        <f aca="false">IF(OR(Z$4="",$C39="",$D39=""),"",IF(AND($C39&lt;EDATE(Z$4,1),$D39&gt;=Z$4),1,""))</f>
        <v/>
      </c>
      <c r="AA39" s="72" t="str">
        <f aca="false">IF(OR(AA$4="",$C39="",$D39=""),"",IF(AND($C39&lt;EDATE(AA$4,1),$D39&gt;=AA$4),1,""))</f>
        <v/>
      </c>
      <c r="AB39" s="72" t="str">
        <f aca="false">IF(OR(AB$4="",$C39="",$D39=""),"",IF(AND($C39&lt;EDATE(AB$4,1),$D39&gt;=AB$4),1,""))</f>
        <v/>
      </c>
      <c r="AC39" s="72" t="str">
        <f aca="false">IF(OR(AC$4="",$C39="",$D39=""),"",IF(AND($C39&lt;EDATE(AC$4,1),$D39&gt;=AC$4),1,""))</f>
        <v/>
      </c>
      <c r="AD39" s="72" t="str">
        <f aca="false">IF(OR(AD$4="",$C39="",$D39=""),"",IF(AND($C39&lt;EDATE(AD$4,1),$D39&gt;=AD$4),1,""))</f>
        <v/>
      </c>
      <c r="AE39" s="72" t="str">
        <f aca="false">IF(OR(AE$4="",$C39="",$D39=""),"",IF(AND($C39&lt;EDATE(AE$4,1),$D39&gt;=AE$4),1,""))</f>
        <v/>
      </c>
      <c r="AF39" s="72" t="str">
        <f aca="false">IF(OR(AF$4="",$C39="",$D39=""),"",IF(AND($C39&lt;EDATE(AF$4,1),$D39&gt;=AF$4),1,""))</f>
        <v/>
      </c>
      <c r="AG39" s="72" t="str">
        <f aca="false">IF(OR(AG$4="",$C39="",$D39=""),"",IF(AND($C39&lt;EDATE(AG$4,1),$D39&gt;=AG$4),1,""))</f>
        <v/>
      </c>
      <c r="AH39" s="72" t="str">
        <f aca="false">IF(OR(AH$4="",$C39="",$D39=""),"",IF(AND($C39&lt;EDATE(AH$4,1),$D39&gt;=AH$4),1,""))</f>
        <v/>
      </c>
      <c r="AI39" s="72" t="str">
        <f aca="false">IF(OR(AI$4="",$C39="",$D39=""),"",IF(AND($C39&lt;EDATE(AI$4,1),$D39&gt;=AI$4),1,""))</f>
        <v/>
      </c>
      <c r="AJ39" s="72" t="str">
        <f aca="false">IF(OR(AJ$4="",$C39="",$D39=""),"",IF(AND($C39&lt;EDATE(AJ$4,1),$D39&gt;=AJ$4),1,""))</f>
        <v/>
      </c>
      <c r="AK39" s="72" t="str">
        <f aca="false">IF(OR(AK$4="",$C39="",$D39=""),"",IF(AND($C39&lt;EDATE(AK$4,1),$D39&gt;=AK$4),1,""))</f>
        <v/>
      </c>
      <c r="AL39" s="72" t="str">
        <f aca="false">IF(OR(AL$4="",$C39="",$D39=""),"",IF(AND($C39&lt;EDATE(AL$4,1),$D39&gt;=AL$4),1,""))</f>
        <v/>
      </c>
      <c r="AM39" s="72" t="str">
        <f aca="false">IF(OR(AM$4="",$C39="",$D39=""),"",IF(AND($C39&lt;EDATE(AM$4,1),$D39&gt;=AM$4),1,""))</f>
        <v/>
      </c>
      <c r="AN39" s="72" t="str">
        <f aca="false">IF(OR(AN$4="",$C39="",$D39=""),"",IF(AND($C39&lt;EDATE(AN$4,1),$D39&gt;=AN$4),1,""))</f>
        <v/>
      </c>
      <c r="AO39" s="72" t="str">
        <f aca="false">IF(OR(AO$4="",$C39="",$D39=""),"",IF(AND($C39&lt;EDATE(AO$4,1),$D39&gt;=AO$4),1,""))</f>
        <v/>
      </c>
      <c r="AP39" s="72" t="str">
        <f aca="false">IF(OR(AP$4="",$C39="",$D39=""),"",IF(AND($C39&lt;EDATE(AP$4,1),$D39&gt;=AP$4),1,""))</f>
        <v/>
      </c>
      <c r="AQ39" s="72" t="str">
        <f aca="false">IF(OR(AQ$4="",$C39="",$D39=""),"",IF(AND($C39&lt;EDATE(AQ$4,1),$D39&gt;=AQ$4),1,""))</f>
        <v/>
      </c>
      <c r="AR39" s="72" t="str">
        <f aca="false">IF(OR(AR$4="",$C39="",$D39=""),"",IF(AND($C39&lt;EDATE(AR$4,1),$D39&gt;=AR$4),1,""))</f>
        <v/>
      </c>
      <c r="AS39" s="72" t="str">
        <f aca="false">IF(OR(AS$4="",$C39="",$D39=""),"",IF(AND($C39&lt;EDATE(AS$4,1),$D39&gt;=AS$4),1,""))</f>
        <v/>
      </c>
      <c r="AT39" s="72" t="str">
        <f aca="false">IF(OR(AT$4="",$C39="",$D39=""),"",IF(AND($C39&lt;EDATE(AT$4,1),$D39&gt;=AT$4),1,""))</f>
        <v/>
      </c>
      <c r="AU39" s="72" t="str">
        <f aca="false">IF(OR(AU$4="",$C39="",$D39=""),"",IF(AND($C39&lt;EDATE(AU$4,1),$D39&gt;=AU$4),1,""))</f>
        <v/>
      </c>
      <c r="AV39" s="72" t="str">
        <f aca="false">IF(OR(AV$4="",$C39="",$D39=""),"",IF(AND($C39&lt;EDATE(AV$4,1),$D39&gt;=AV$4),1,""))</f>
        <v/>
      </c>
      <c r="AW39" s="72" t="str">
        <f aca="false">IF(OR(AW$4="",$C39="",$D39=""),"",IF(AND($C39&lt;EDATE(AW$4,1),$D39&gt;=AW$4),1,""))</f>
        <v/>
      </c>
      <c r="AX39" s="72" t="str">
        <f aca="false">IF(OR(AX$4="",$C39="",$D39=""),"",IF(AND($C39&lt;EDATE(AX$4,1),$D39&gt;=AX$4),1,""))</f>
        <v/>
      </c>
      <c r="AY39" s="72" t="str">
        <f aca="false">IF(OR(AY$4="",$C39="",$D39=""),"",IF(AND($C39&lt;EDATE(AY$4,1),$D39&gt;=AY$4),1,""))</f>
        <v/>
      </c>
      <c r="AZ39" s="72" t="str">
        <f aca="false">IF(OR(AZ$4="",$C39="",$D39=""),"",IF(AND($C39&lt;EDATE(AZ$4,1),$D39&gt;=AZ$4),1,""))</f>
        <v/>
      </c>
      <c r="BA39" s="72" t="str">
        <f aca="false">IF(OR(BA$4="",$C39="",$D39=""),"",IF(AND($C39&lt;EDATE(BA$4,1),$D39&gt;=BA$4),1,""))</f>
        <v/>
      </c>
      <c r="BB39" s="72" t="str">
        <f aca="false">IF(OR(BB$4="",$C39="",$D39=""),"",IF(AND($C39&lt;EDATE(BB$4,1),$D39&gt;=BB$4),1,""))</f>
        <v/>
      </c>
      <c r="BC39" s="72" t="str">
        <f aca="false">IF(OR(BC$4="",$C39="",$D39=""),"",IF(AND($C39&lt;EDATE(BC$4,1),$D39&gt;=BC$4),1,""))</f>
        <v/>
      </c>
      <c r="BD39" s="72" t="str">
        <f aca="false">IF(OR(BD$4="",$C39="",$D39=""),"",IF(AND($C39&lt;EDATE(BD$4,1),$D39&gt;=BD$4),1,""))</f>
        <v/>
      </c>
      <c r="BE39" s="72" t="str">
        <f aca="false">IF(OR(BE$4="",$C39="",$D39=""),"",IF(AND($C39&lt;EDATE(BE$4,1),$D39&gt;=BE$4),1,""))</f>
        <v/>
      </c>
      <c r="BF39" s="72" t="str">
        <f aca="false">IF(OR(BF$4="",$C39="",$D39=""),"",IF(AND($C39&lt;EDATE(BF$4,1),$D39&gt;=BF$4),1,""))</f>
        <v/>
      </c>
      <c r="BG39" s="72" t="str">
        <f aca="false">IF(OR(BG$4="",$C39="",$D39=""),"",IF(AND($C39&lt;EDATE(BG$4,1),$D39&gt;=BG$4),1,""))</f>
        <v/>
      </c>
      <c r="BH39" s="72" t="str">
        <f aca="false">IF(OR(BH$4="",$C39="",$D39=""),"",IF(AND($C39&lt;EDATE(BH$4,1),$D39&gt;=BH$4),1,""))</f>
        <v/>
      </c>
      <c r="BI39" s="72" t="str">
        <f aca="false">IF(OR(BI$4="",$C39="",$D39=""),"",IF(AND($C39&lt;EDATE(BI$4,1),$D39&gt;=BI$4),1,""))</f>
        <v/>
      </c>
      <c r="BJ39" s="72" t="str">
        <f aca="false">IF(OR(BJ$4="",$C39="",$D39=""),"",IF(AND($C39&lt;EDATE(BJ$4,1),$D39&gt;=BJ$4),1,""))</f>
        <v/>
      </c>
      <c r="BK39" s="72" t="str">
        <f aca="false">IF(OR(BK$4="",$C39="",$D39=""),"",IF(AND($C39&lt;EDATE(BK$4,1),$D39&gt;=BK$4),1,""))</f>
        <v/>
      </c>
      <c r="BL39" s="72" t="str">
        <f aca="false">IF(OR(BL$4="",$C39="",$D39=""),"",IF(AND($C39&lt;EDATE(BL$4,1),$D39&gt;=BL$4),1,""))</f>
        <v/>
      </c>
      <c r="BM39" s="72" t="str">
        <f aca="false">IF(OR(BM$4="",$C39="",$D39=""),"",IF(AND($C39&lt;EDATE(BM$4,1),$D39&gt;=BM$4),1,""))</f>
        <v/>
      </c>
      <c r="BN39" s="72" t="str">
        <f aca="false">IF(OR(BN$4="",$C39="",$D39=""),"",IF(AND($C39&lt;EDATE(BN$4,1),$D39&gt;=BN$4),1,""))</f>
        <v/>
      </c>
      <c r="BO39" s="72" t="str">
        <f aca="false">IF(OR(BO$4="",$C39="",$D39=""),"",IF(AND($C39&lt;EDATE(BO$4,1),$D39&gt;=BO$4),1,""))</f>
        <v/>
      </c>
      <c r="BP39" s="72" t="str">
        <f aca="false">IF(OR(BP$4="",$C39="",$D39=""),"",IF(AND($C39&lt;EDATE(BP$4,1),$D39&gt;=BP$4),1,""))</f>
        <v/>
      </c>
      <c r="BQ39" s="72" t="str">
        <f aca="false">IF(OR(BQ$4="",$C39="",$D39=""),"",IF(AND($C39&lt;EDATE(BQ$4,1),$D39&gt;=BQ$4),1,""))</f>
        <v/>
      </c>
      <c r="BR39" s="72" t="str">
        <f aca="false">IF(OR(BR$4="",$C39="",$D39=""),"",IF(AND($C39&lt;EDATE(BR$4,1),$D39&gt;=BR$4),1,""))</f>
        <v/>
      </c>
      <c r="BS39" s="72" t="str">
        <f aca="false">IF(OR(BS$4="",$C39="",$D39=""),"",IF(AND($C39&lt;EDATE(BS$4,1),$D39&gt;=BS$4),1,""))</f>
        <v/>
      </c>
      <c r="BT39" s="72" t="str">
        <f aca="false">IF(OR(BT$4="",$C39="",$D39=""),"",IF(AND($C39&lt;EDATE(BT$4,1),$D39&gt;=BT$4),1,""))</f>
        <v/>
      </c>
      <c r="BU39" s="72" t="str">
        <f aca="false">IF(OR(BU$4="",$C39="",$D39=""),"",IF(AND($C39&lt;EDATE(BU$4,1),$D39&gt;=BU$4),1,""))</f>
        <v/>
      </c>
      <c r="BV39" s="72" t="str">
        <f aca="false">IF(OR(BV$4="",$C39="",$D39=""),"",IF(AND($C39&lt;EDATE(BV$4,1),$D39&gt;=BV$4),1,""))</f>
        <v/>
      </c>
      <c r="BW39" s="72" t="str">
        <f aca="false">IF(OR(BW$4="",$C39="",$D39=""),"",IF(AND($C39&lt;EDATE(BW$4,1),$D39&gt;=BW$4),1,""))</f>
        <v/>
      </c>
      <c r="BX39" s="72" t="str">
        <f aca="false">IF(OR(BX$4="",$C39="",$D39=""),"",IF(AND($C39&lt;EDATE(BX$4,1),$D39&gt;=BX$4),1,""))</f>
        <v/>
      </c>
      <c r="BY39" s="72" t="str">
        <f aca="false">IF(OR(BY$4="",$C39="",$D39=""),"",IF(AND($C39&lt;EDATE(BY$4,1),$D39&gt;=BY$4),1,""))</f>
        <v/>
      </c>
    </row>
    <row r="40" customFormat="false" ht="15" hidden="false" customHeight="false" outlineLevel="0" collapsed="false">
      <c r="A40" s="61" t="str">
        <f aca="false">IF(BOE!$A9="","",BOE!$A9)</f>
        <v>104</v>
      </c>
      <c r="B40" s="61" t="str">
        <f aca="false">IF(BOE!$A9="","",BOE!$C9)</f>
        <v>Support of Government reviews / audits / boards</v>
      </c>
      <c r="C40" s="62" t="n">
        <f aca="false">IF(OR(BOE!$A9="",BOE!$E9&lt;&gt;"Y"),"",BOE!$O9)</f>
        <v>46453</v>
      </c>
      <c r="D40" s="62" t="n">
        <f aca="false">IF(OR(BOE!$A9="",BOE!$E9&lt;&gt;"Y"),"",BOE!$P9)</f>
        <v>47483</v>
      </c>
      <c r="E40" s="63" t="n">
        <f aca="false">IF(OR(BOE!$A9="",BOE!$E9&lt;&gt;"Y"),"",IF(Inputs!$B$7="P90",BOE!$T9,BOE!$R9))</f>
        <v>240</v>
      </c>
      <c r="F40" s="72" t="str">
        <f aca="false">IF(OR(F$4="",$C40="",$D40=""),"",IF(AND($C40&lt;EDATE(F$4,1),$D40&gt;=F$4),1,""))</f>
        <v/>
      </c>
      <c r="G40" s="72" t="str">
        <f aca="false">IF(OR(G$4="",$C40="",$D40=""),"",IF(AND($C40&lt;EDATE(G$4,1),$D40&gt;=G$4),1,""))</f>
        <v/>
      </c>
      <c r="H40" s="72" t="n">
        <f aca="false">IF(OR(H$4="",$C40="",$D40=""),"",IF(AND($C40&lt;EDATE(H$4,1),$D40&gt;=H$4),1,""))</f>
        <v>1</v>
      </c>
      <c r="I40" s="72" t="n">
        <f aca="false">IF(OR(I$4="",$C40="",$D40=""),"",IF(AND($C40&lt;EDATE(I$4,1),$D40&gt;=I$4),1,""))</f>
        <v>1</v>
      </c>
      <c r="J40" s="72" t="n">
        <f aca="false">IF(OR(J$4="",$C40="",$D40=""),"",IF(AND($C40&lt;EDATE(J$4,1),$D40&gt;=J$4),1,""))</f>
        <v>1</v>
      </c>
      <c r="K40" s="72" t="n">
        <f aca="false">IF(OR(K$4="",$C40="",$D40=""),"",IF(AND($C40&lt;EDATE(K$4,1),$D40&gt;=K$4),1,""))</f>
        <v>1</v>
      </c>
      <c r="L40" s="72" t="n">
        <f aca="false">IF(OR(L$4="",$C40="",$D40=""),"",IF(AND($C40&lt;EDATE(L$4,1),$D40&gt;=L$4),1,""))</f>
        <v>1</v>
      </c>
      <c r="M40" s="72" t="n">
        <f aca="false">IF(OR(M$4="",$C40="",$D40=""),"",IF(AND($C40&lt;EDATE(M$4,1),$D40&gt;=M$4),1,""))</f>
        <v>1</v>
      </c>
      <c r="N40" s="72" t="n">
        <f aca="false">IF(OR(N$4="",$C40="",$D40=""),"",IF(AND($C40&lt;EDATE(N$4,1),$D40&gt;=N$4),1,""))</f>
        <v>1</v>
      </c>
      <c r="O40" s="72" t="n">
        <f aca="false">IF(OR(O$4="",$C40="",$D40=""),"",IF(AND($C40&lt;EDATE(O$4,1),$D40&gt;=O$4),1,""))</f>
        <v>1</v>
      </c>
      <c r="P40" s="72" t="n">
        <f aca="false">IF(OR(P$4="",$C40="",$D40=""),"",IF(AND($C40&lt;EDATE(P$4,1),$D40&gt;=P$4),1,""))</f>
        <v>1</v>
      </c>
      <c r="Q40" s="72" t="n">
        <f aca="false">IF(OR(Q$4="",$C40="",$D40=""),"",IF(AND($C40&lt;EDATE(Q$4,1),$D40&gt;=Q$4),1,""))</f>
        <v>1</v>
      </c>
      <c r="R40" s="72" t="n">
        <f aca="false">IF(OR(R$4="",$C40="",$D40=""),"",IF(AND($C40&lt;EDATE(R$4,1),$D40&gt;=R$4),1,""))</f>
        <v>1</v>
      </c>
      <c r="S40" s="72" t="n">
        <f aca="false">IF(OR(S$4="",$C40="",$D40=""),"",IF(AND($C40&lt;EDATE(S$4,1),$D40&gt;=S$4),1,""))</f>
        <v>1</v>
      </c>
      <c r="T40" s="72" t="n">
        <f aca="false">IF(OR(T$4="",$C40="",$D40=""),"",IF(AND($C40&lt;EDATE(T$4,1),$D40&gt;=T$4),1,""))</f>
        <v>1</v>
      </c>
      <c r="U40" s="72" t="n">
        <f aca="false">IF(OR(U$4="",$C40="",$D40=""),"",IF(AND($C40&lt;EDATE(U$4,1),$D40&gt;=U$4),1,""))</f>
        <v>1</v>
      </c>
      <c r="V40" s="72" t="n">
        <f aca="false">IF(OR(V$4="",$C40="",$D40=""),"",IF(AND($C40&lt;EDATE(V$4,1),$D40&gt;=V$4),1,""))</f>
        <v>1</v>
      </c>
      <c r="W40" s="72" t="n">
        <f aca="false">IF(OR(W$4="",$C40="",$D40=""),"",IF(AND($C40&lt;EDATE(W$4,1),$D40&gt;=W$4),1,""))</f>
        <v>1</v>
      </c>
      <c r="X40" s="72" t="n">
        <f aca="false">IF(OR(X$4="",$C40="",$D40=""),"",IF(AND($C40&lt;EDATE(X$4,1),$D40&gt;=X$4),1,""))</f>
        <v>1</v>
      </c>
      <c r="Y40" s="72" t="n">
        <f aca="false">IF(OR(Y$4="",$C40="",$D40=""),"",IF(AND($C40&lt;EDATE(Y$4,1),$D40&gt;=Y$4),1,""))</f>
        <v>1</v>
      </c>
      <c r="Z40" s="72" t="n">
        <f aca="false">IF(OR(Z$4="",$C40="",$D40=""),"",IF(AND($C40&lt;EDATE(Z$4,1),$D40&gt;=Z$4),1,""))</f>
        <v>1</v>
      </c>
      <c r="AA40" s="72" t="n">
        <f aca="false">IF(OR(AA$4="",$C40="",$D40=""),"",IF(AND($C40&lt;EDATE(AA$4,1),$D40&gt;=AA$4),1,""))</f>
        <v>1</v>
      </c>
      <c r="AB40" s="72" t="n">
        <f aca="false">IF(OR(AB$4="",$C40="",$D40=""),"",IF(AND($C40&lt;EDATE(AB$4,1),$D40&gt;=AB$4),1,""))</f>
        <v>1</v>
      </c>
      <c r="AC40" s="72" t="n">
        <f aca="false">IF(OR(AC$4="",$C40="",$D40=""),"",IF(AND($C40&lt;EDATE(AC$4,1),$D40&gt;=AC$4),1,""))</f>
        <v>1</v>
      </c>
      <c r="AD40" s="72" t="n">
        <f aca="false">IF(OR(AD$4="",$C40="",$D40=""),"",IF(AND($C40&lt;EDATE(AD$4,1),$D40&gt;=AD$4),1,""))</f>
        <v>1</v>
      </c>
      <c r="AE40" s="72" t="n">
        <f aca="false">IF(OR(AE$4="",$C40="",$D40=""),"",IF(AND($C40&lt;EDATE(AE$4,1),$D40&gt;=AE$4),1,""))</f>
        <v>1</v>
      </c>
      <c r="AF40" s="72" t="n">
        <f aca="false">IF(OR(AF$4="",$C40="",$D40=""),"",IF(AND($C40&lt;EDATE(AF$4,1),$D40&gt;=AF$4),1,""))</f>
        <v>1</v>
      </c>
      <c r="AG40" s="72" t="n">
        <f aca="false">IF(OR(AG$4="",$C40="",$D40=""),"",IF(AND($C40&lt;EDATE(AG$4,1),$D40&gt;=AG$4),1,""))</f>
        <v>1</v>
      </c>
      <c r="AH40" s="72" t="n">
        <f aca="false">IF(OR(AH$4="",$C40="",$D40=""),"",IF(AND($C40&lt;EDATE(AH$4,1),$D40&gt;=AH$4),1,""))</f>
        <v>1</v>
      </c>
      <c r="AI40" s="72" t="n">
        <f aca="false">IF(OR(AI$4="",$C40="",$D40=""),"",IF(AND($C40&lt;EDATE(AI$4,1),$D40&gt;=AI$4),1,""))</f>
        <v>1</v>
      </c>
      <c r="AJ40" s="72" t="n">
        <f aca="false">IF(OR(AJ$4="",$C40="",$D40=""),"",IF(AND($C40&lt;EDATE(AJ$4,1),$D40&gt;=AJ$4),1,""))</f>
        <v>1</v>
      </c>
      <c r="AK40" s="72" t="n">
        <f aca="false">IF(OR(AK$4="",$C40="",$D40=""),"",IF(AND($C40&lt;EDATE(AK$4,1),$D40&gt;=AK$4),1,""))</f>
        <v>1</v>
      </c>
      <c r="AL40" s="72" t="n">
        <f aca="false">IF(OR(AL$4="",$C40="",$D40=""),"",IF(AND($C40&lt;EDATE(AL$4,1),$D40&gt;=AL$4),1,""))</f>
        <v>1</v>
      </c>
      <c r="AM40" s="72" t="n">
        <f aca="false">IF(OR(AM$4="",$C40="",$D40=""),"",IF(AND($C40&lt;EDATE(AM$4,1),$D40&gt;=AM$4),1,""))</f>
        <v>1</v>
      </c>
      <c r="AN40" s="72" t="n">
        <f aca="false">IF(OR(AN$4="",$C40="",$D40=""),"",IF(AND($C40&lt;EDATE(AN$4,1),$D40&gt;=AN$4),1,""))</f>
        <v>1</v>
      </c>
      <c r="AO40" s="72" t="n">
        <f aca="false">IF(OR(AO$4="",$C40="",$D40=""),"",IF(AND($C40&lt;EDATE(AO$4,1),$D40&gt;=AO$4),1,""))</f>
        <v>1</v>
      </c>
      <c r="AP40" s="72" t="str">
        <f aca="false">IF(OR(AP$4="",$C40="",$D40=""),"",IF(AND($C40&lt;EDATE(AP$4,1),$D40&gt;=AP$4),1,""))</f>
        <v/>
      </c>
      <c r="AQ40" s="72" t="str">
        <f aca="false">IF(OR(AQ$4="",$C40="",$D40=""),"",IF(AND($C40&lt;EDATE(AQ$4,1),$D40&gt;=AQ$4),1,""))</f>
        <v/>
      </c>
      <c r="AR40" s="72" t="str">
        <f aca="false">IF(OR(AR$4="",$C40="",$D40=""),"",IF(AND($C40&lt;EDATE(AR$4,1),$D40&gt;=AR$4),1,""))</f>
        <v/>
      </c>
      <c r="AS40" s="72" t="str">
        <f aca="false">IF(OR(AS$4="",$C40="",$D40=""),"",IF(AND($C40&lt;EDATE(AS$4,1),$D40&gt;=AS$4),1,""))</f>
        <v/>
      </c>
      <c r="AT40" s="72" t="str">
        <f aca="false">IF(OR(AT$4="",$C40="",$D40=""),"",IF(AND($C40&lt;EDATE(AT$4,1),$D40&gt;=AT$4),1,""))</f>
        <v/>
      </c>
      <c r="AU40" s="72" t="str">
        <f aca="false">IF(OR(AU$4="",$C40="",$D40=""),"",IF(AND($C40&lt;EDATE(AU$4,1),$D40&gt;=AU$4),1,""))</f>
        <v/>
      </c>
      <c r="AV40" s="72" t="str">
        <f aca="false">IF(OR(AV$4="",$C40="",$D40=""),"",IF(AND($C40&lt;EDATE(AV$4,1),$D40&gt;=AV$4),1,""))</f>
        <v/>
      </c>
      <c r="AW40" s="72" t="str">
        <f aca="false">IF(OR(AW$4="",$C40="",$D40=""),"",IF(AND($C40&lt;EDATE(AW$4,1),$D40&gt;=AW$4),1,""))</f>
        <v/>
      </c>
      <c r="AX40" s="72" t="str">
        <f aca="false">IF(OR(AX$4="",$C40="",$D40=""),"",IF(AND($C40&lt;EDATE(AX$4,1),$D40&gt;=AX$4),1,""))</f>
        <v/>
      </c>
      <c r="AY40" s="72" t="str">
        <f aca="false">IF(OR(AY$4="",$C40="",$D40=""),"",IF(AND($C40&lt;EDATE(AY$4,1),$D40&gt;=AY$4),1,""))</f>
        <v/>
      </c>
      <c r="AZ40" s="72" t="str">
        <f aca="false">IF(OR(AZ$4="",$C40="",$D40=""),"",IF(AND($C40&lt;EDATE(AZ$4,1),$D40&gt;=AZ$4),1,""))</f>
        <v/>
      </c>
      <c r="BA40" s="72" t="str">
        <f aca="false">IF(OR(BA$4="",$C40="",$D40=""),"",IF(AND($C40&lt;EDATE(BA$4,1),$D40&gt;=BA$4),1,""))</f>
        <v/>
      </c>
      <c r="BB40" s="72" t="str">
        <f aca="false">IF(OR(BB$4="",$C40="",$D40=""),"",IF(AND($C40&lt;EDATE(BB$4,1),$D40&gt;=BB$4),1,""))</f>
        <v/>
      </c>
      <c r="BC40" s="72" t="str">
        <f aca="false">IF(OR(BC$4="",$C40="",$D40=""),"",IF(AND($C40&lt;EDATE(BC$4,1),$D40&gt;=BC$4),1,""))</f>
        <v/>
      </c>
      <c r="BD40" s="72" t="str">
        <f aca="false">IF(OR(BD$4="",$C40="",$D40=""),"",IF(AND($C40&lt;EDATE(BD$4,1),$D40&gt;=BD$4),1,""))</f>
        <v/>
      </c>
      <c r="BE40" s="72" t="str">
        <f aca="false">IF(OR(BE$4="",$C40="",$D40=""),"",IF(AND($C40&lt;EDATE(BE$4,1),$D40&gt;=BE$4),1,""))</f>
        <v/>
      </c>
      <c r="BF40" s="72" t="str">
        <f aca="false">IF(OR(BF$4="",$C40="",$D40=""),"",IF(AND($C40&lt;EDATE(BF$4,1),$D40&gt;=BF$4),1,""))</f>
        <v/>
      </c>
      <c r="BG40" s="72" t="str">
        <f aca="false">IF(OR(BG$4="",$C40="",$D40=""),"",IF(AND($C40&lt;EDATE(BG$4,1),$D40&gt;=BG$4),1,""))</f>
        <v/>
      </c>
      <c r="BH40" s="72" t="str">
        <f aca="false">IF(OR(BH$4="",$C40="",$D40=""),"",IF(AND($C40&lt;EDATE(BH$4,1),$D40&gt;=BH$4),1,""))</f>
        <v/>
      </c>
      <c r="BI40" s="72" t="str">
        <f aca="false">IF(OR(BI$4="",$C40="",$D40=""),"",IF(AND($C40&lt;EDATE(BI$4,1),$D40&gt;=BI$4),1,""))</f>
        <v/>
      </c>
      <c r="BJ40" s="72" t="str">
        <f aca="false">IF(OR(BJ$4="",$C40="",$D40=""),"",IF(AND($C40&lt;EDATE(BJ$4,1),$D40&gt;=BJ$4),1,""))</f>
        <v/>
      </c>
      <c r="BK40" s="72" t="str">
        <f aca="false">IF(OR(BK$4="",$C40="",$D40=""),"",IF(AND($C40&lt;EDATE(BK$4,1),$D40&gt;=BK$4),1,""))</f>
        <v/>
      </c>
      <c r="BL40" s="72" t="str">
        <f aca="false">IF(OR(BL$4="",$C40="",$D40=""),"",IF(AND($C40&lt;EDATE(BL$4,1),$D40&gt;=BL$4),1,""))</f>
        <v/>
      </c>
      <c r="BM40" s="72" t="str">
        <f aca="false">IF(OR(BM$4="",$C40="",$D40=""),"",IF(AND($C40&lt;EDATE(BM$4,1),$D40&gt;=BM$4),1,""))</f>
        <v/>
      </c>
      <c r="BN40" s="72" t="str">
        <f aca="false">IF(OR(BN$4="",$C40="",$D40=""),"",IF(AND($C40&lt;EDATE(BN$4,1),$D40&gt;=BN$4),1,""))</f>
        <v/>
      </c>
      <c r="BO40" s="72" t="str">
        <f aca="false">IF(OR(BO$4="",$C40="",$D40=""),"",IF(AND($C40&lt;EDATE(BO$4,1),$D40&gt;=BO$4),1,""))</f>
        <v/>
      </c>
      <c r="BP40" s="72" t="str">
        <f aca="false">IF(OR(BP$4="",$C40="",$D40=""),"",IF(AND($C40&lt;EDATE(BP$4,1),$D40&gt;=BP$4),1,""))</f>
        <v/>
      </c>
      <c r="BQ40" s="72" t="str">
        <f aca="false">IF(OR(BQ$4="",$C40="",$D40=""),"",IF(AND($C40&lt;EDATE(BQ$4,1),$D40&gt;=BQ$4),1,""))</f>
        <v/>
      </c>
      <c r="BR40" s="72" t="str">
        <f aca="false">IF(OR(BR$4="",$C40="",$D40=""),"",IF(AND($C40&lt;EDATE(BR$4,1),$D40&gt;=BR$4),1,""))</f>
        <v/>
      </c>
      <c r="BS40" s="72" t="str">
        <f aca="false">IF(OR(BS$4="",$C40="",$D40=""),"",IF(AND($C40&lt;EDATE(BS$4,1),$D40&gt;=BS$4),1,""))</f>
        <v/>
      </c>
      <c r="BT40" s="72" t="str">
        <f aca="false">IF(OR(BT$4="",$C40="",$D40=""),"",IF(AND($C40&lt;EDATE(BT$4,1),$D40&gt;=BT$4),1,""))</f>
        <v/>
      </c>
      <c r="BU40" s="72" t="str">
        <f aca="false">IF(OR(BU$4="",$C40="",$D40=""),"",IF(AND($C40&lt;EDATE(BU$4,1),$D40&gt;=BU$4),1,""))</f>
        <v/>
      </c>
      <c r="BV40" s="72" t="str">
        <f aca="false">IF(OR(BV$4="",$C40="",$D40=""),"",IF(AND($C40&lt;EDATE(BV$4,1),$D40&gt;=BV$4),1,""))</f>
        <v/>
      </c>
      <c r="BW40" s="72" t="str">
        <f aca="false">IF(OR(BW$4="",$C40="",$D40=""),"",IF(AND($C40&lt;EDATE(BW$4,1),$D40&gt;=BW$4),1,""))</f>
        <v/>
      </c>
      <c r="BX40" s="72" t="str">
        <f aca="false">IF(OR(BX$4="",$C40="",$D40=""),"",IF(AND($C40&lt;EDATE(BX$4,1),$D40&gt;=BX$4),1,""))</f>
        <v/>
      </c>
      <c r="BY40" s="72" t="str">
        <f aca="false">IF(OR(BY$4="",$C40="",$D40=""),"",IF(AND($C40&lt;EDATE(BY$4,1),$D40&gt;=BY$4),1,""))</f>
        <v/>
      </c>
    </row>
    <row r="41" customFormat="false" ht="15" hidden="false" customHeight="false" outlineLevel="0" collapsed="false">
      <c r="A41" s="61" t="str">
        <f aca="false">IF(BOE!$A10="","",BOE!$A10)</f>
        <v>105</v>
      </c>
      <c r="B41" s="61" t="str">
        <f aca="false">IF(BOE!$A10="","",BOE!$C10)</f>
        <v>Integrated Product Team / Working Group support</v>
      </c>
      <c r="C41" s="62" t="n">
        <f aca="false">IF(OR(BOE!$A10="",BOE!$E10&lt;&gt;"Y"),"",BOE!$O10)</f>
        <v>46391</v>
      </c>
      <c r="D41" s="62" t="n">
        <f aca="false">IF(OR(BOE!$A10="",BOE!$E10&lt;&gt;"Y"),"",BOE!$P10)</f>
        <v>47483</v>
      </c>
      <c r="E41" s="63" t="n">
        <f aca="false">IF(OR(BOE!$A10="",BOE!$E10&lt;&gt;"Y"),"",IF(Inputs!$B$7="P90",BOE!$T10,BOE!$R10))</f>
        <v>430.521560574949</v>
      </c>
      <c r="F41" s="72" t="n">
        <f aca="false">IF(OR(F$4="",$C41="",$D41=""),"",IF(AND($C41&lt;EDATE(F$4,1),$D41&gt;=F$4),1,""))</f>
        <v>1</v>
      </c>
      <c r="G41" s="72" t="n">
        <f aca="false">IF(OR(G$4="",$C41="",$D41=""),"",IF(AND($C41&lt;EDATE(G$4,1),$D41&gt;=G$4),1,""))</f>
        <v>1</v>
      </c>
      <c r="H41" s="72" t="n">
        <f aca="false">IF(OR(H$4="",$C41="",$D41=""),"",IF(AND($C41&lt;EDATE(H$4,1),$D41&gt;=H$4),1,""))</f>
        <v>1</v>
      </c>
      <c r="I41" s="72" t="n">
        <f aca="false">IF(OR(I$4="",$C41="",$D41=""),"",IF(AND($C41&lt;EDATE(I$4,1),$D41&gt;=I$4),1,""))</f>
        <v>1</v>
      </c>
      <c r="J41" s="72" t="n">
        <f aca="false">IF(OR(J$4="",$C41="",$D41=""),"",IF(AND($C41&lt;EDATE(J$4,1),$D41&gt;=J$4),1,""))</f>
        <v>1</v>
      </c>
      <c r="K41" s="72" t="n">
        <f aca="false">IF(OR(K$4="",$C41="",$D41=""),"",IF(AND($C41&lt;EDATE(K$4,1),$D41&gt;=K$4),1,""))</f>
        <v>1</v>
      </c>
      <c r="L41" s="72" t="n">
        <f aca="false">IF(OR(L$4="",$C41="",$D41=""),"",IF(AND($C41&lt;EDATE(L$4,1),$D41&gt;=L$4),1,""))</f>
        <v>1</v>
      </c>
      <c r="M41" s="72" t="n">
        <f aca="false">IF(OR(M$4="",$C41="",$D41=""),"",IF(AND($C41&lt;EDATE(M$4,1),$D41&gt;=M$4),1,""))</f>
        <v>1</v>
      </c>
      <c r="N41" s="72" t="n">
        <f aca="false">IF(OR(N$4="",$C41="",$D41=""),"",IF(AND($C41&lt;EDATE(N$4,1),$D41&gt;=N$4),1,""))</f>
        <v>1</v>
      </c>
      <c r="O41" s="72" t="n">
        <f aca="false">IF(OR(O$4="",$C41="",$D41=""),"",IF(AND($C41&lt;EDATE(O$4,1),$D41&gt;=O$4),1,""))</f>
        <v>1</v>
      </c>
      <c r="P41" s="72" t="n">
        <f aca="false">IF(OR(P$4="",$C41="",$D41=""),"",IF(AND($C41&lt;EDATE(P$4,1),$D41&gt;=P$4),1,""))</f>
        <v>1</v>
      </c>
      <c r="Q41" s="72" t="n">
        <f aca="false">IF(OR(Q$4="",$C41="",$D41=""),"",IF(AND($C41&lt;EDATE(Q$4,1),$D41&gt;=Q$4),1,""))</f>
        <v>1</v>
      </c>
      <c r="R41" s="72" t="n">
        <f aca="false">IF(OR(R$4="",$C41="",$D41=""),"",IF(AND($C41&lt;EDATE(R$4,1),$D41&gt;=R$4),1,""))</f>
        <v>1</v>
      </c>
      <c r="S41" s="72" t="n">
        <f aca="false">IF(OR(S$4="",$C41="",$D41=""),"",IF(AND($C41&lt;EDATE(S$4,1),$D41&gt;=S$4),1,""))</f>
        <v>1</v>
      </c>
      <c r="T41" s="72" t="n">
        <f aca="false">IF(OR(T$4="",$C41="",$D41=""),"",IF(AND($C41&lt;EDATE(T$4,1),$D41&gt;=T$4),1,""))</f>
        <v>1</v>
      </c>
      <c r="U41" s="72" t="n">
        <f aca="false">IF(OR(U$4="",$C41="",$D41=""),"",IF(AND($C41&lt;EDATE(U$4,1),$D41&gt;=U$4),1,""))</f>
        <v>1</v>
      </c>
      <c r="V41" s="72" t="n">
        <f aca="false">IF(OR(V$4="",$C41="",$D41=""),"",IF(AND($C41&lt;EDATE(V$4,1),$D41&gt;=V$4),1,""))</f>
        <v>1</v>
      </c>
      <c r="W41" s="72" t="n">
        <f aca="false">IF(OR(W$4="",$C41="",$D41=""),"",IF(AND($C41&lt;EDATE(W$4,1),$D41&gt;=W$4),1,""))</f>
        <v>1</v>
      </c>
      <c r="X41" s="72" t="n">
        <f aca="false">IF(OR(X$4="",$C41="",$D41=""),"",IF(AND($C41&lt;EDATE(X$4,1),$D41&gt;=X$4),1,""))</f>
        <v>1</v>
      </c>
      <c r="Y41" s="72" t="n">
        <f aca="false">IF(OR(Y$4="",$C41="",$D41=""),"",IF(AND($C41&lt;EDATE(Y$4,1),$D41&gt;=Y$4),1,""))</f>
        <v>1</v>
      </c>
      <c r="Z41" s="72" t="n">
        <f aca="false">IF(OR(Z$4="",$C41="",$D41=""),"",IF(AND($C41&lt;EDATE(Z$4,1),$D41&gt;=Z$4),1,""))</f>
        <v>1</v>
      </c>
      <c r="AA41" s="72" t="n">
        <f aca="false">IF(OR(AA$4="",$C41="",$D41=""),"",IF(AND($C41&lt;EDATE(AA$4,1),$D41&gt;=AA$4),1,""))</f>
        <v>1</v>
      </c>
      <c r="AB41" s="72" t="n">
        <f aca="false">IF(OR(AB$4="",$C41="",$D41=""),"",IF(AND($C41&lt;EDATE(AB$4,1),$D41&gt;=AB$4),1,""))</f>
        <v>1</v>
      </c>
      <c r="AC41" s="72" t="n">
        <f aca="false">IF(OR(AC$4="",$C41="",$D41=""),"",IF(AND($C41&lt;EDATE(AC$4,1),$D41&gt;=AC$4),1,""))</f>
        <v>1</v>
      </c>
      <c r="AD41" s="72" t="n">
        <f aca="false">IF(OR(AD$4="",$C41="",$D41=""),"",IF(AND($C41&lt;EDATE(AD$4,1),$D41&gt;=AD$4),1,""))</f>
        <v>1</v>
      </c>
      <c r="AE41" s="72" t="n">
        <f aca="false">IF(OR(AE$4="",$C41="",$D41=""),"",IF(AND($C41&lt;EDATE(AE$4,1),$D41&gt;=AE$4),1,""))</f>
        <v>1</v>
      </c>
      <c r="AF41" s="72" t="n">
        <f aca="false">IF(OR(AF$4="",$C41="",$D41=""),"",IF(AND($C41&lt;EDATE(AF$4,1),$D41&gt;=AF$4),1,""))</f>
        <v>1</v>
      </c>
      <c r="AG41" s="72" t="n">
        <f aca="false">IF(OR(AG$4="",$C41="",$D41=""),"",IF(AND($C41&lt;EDATE(AG$4,1),$D41&gt;=AG$4),1,""))</f>
        <v>1</v>
      </c>
      <c r="AH41" s="72" t="n">
        <f aca="false">IF(OR(AH$4="",$C41="",$D41=""),"",IF(AND($C41&lt;EDATE(AH$4,1),$D41&gt;=AH$4),1,""))</f>
        <v>1</v>
      </c>
      <c r="AI41" s="72" t="n">
        <f aca="false">IF(OR(AI$4="",$C41="",$D41=""),"",IF(AND($C41&lt;EDATE(AI$4,1),$D41&gt;=AI$4),1,""))</f>
        <v>1</v>
      </c>
      <c r="AJ41" s="72" t="n">
        <f aca="false">IF(OR(AJ$4="",$C41="",$D41=""),"",IF(AND($C41&lt;EDATE(AJ$4,1),$D41&gt;=AJ$4),1,""))</f>
        <v>1</v>
      </c>
      <c r="AK41" s="72" t="n">
        <f aca="false">IF(OR(AK$4="",$C41="",$D41=""),"",IF(AND($C41&lt;EDATE(AK$4,1),$D41&gt;=AK$4),1,""))</f>
        <v>1</v>
      </c>
      <c r="AL41" s="72" t="n">
        <f aca="false">IF(OR(AL$4="",$C41="",$D41=""),"",IF(AND($C41&lt;EDATE(AL$4,1),$D41&gt;=AL$4),1,""))</f>
        <v>1</v>
      </c>
      <c r="AM41" s="72" t="n">
        <f aca="false">IF(OR(AM$4="",$C41="",$D41=""),"",IF(AND($C41&lt;EDATE(AM$4,1),$D41&gt;=AM$4),1,""))</f>
        <v>1</v>
      </c>
      <c r="AN41" s="72" t="n">
        <f aca="false">IF(OR(AN$4="",$C41="",$D41=""),"",IF(AND($C41&lt;EDATE(AN$4,1),$D41&gt;=AN$4),1,""))</f>
        <v>1</v>
      </c>
      <c r="AO41" s="72" t="n">
        <f aca="false">IF(OR(AO$4="",$C41="",$D41=""),"",IF(AND($C41&lt;EDATE(AO$4,1),$D41&gt;=AO$4),1,""))</f>
        <v>1</v>
      </c>
      <c r="AP41" s="72" t="str">
        <f aca="false">IF(OR(AP$4="",$C41="",$D41=""),"",IF(AND($C41&lt;EDATE(AP$4,1),$D41&gt;=AP$4),1,""))</f>
        <v/>
      </c>
      <c r="AQ41" s="72" t="str">
        <f aca="false">IF(OR(AQ$4="",$C41="",$D41=""),"",IF(AND($C41&lt;EDATE(AQ$4,1),$D41&gt;=AQ$4),1,""))</f>
        <v/>
      </c>
      <c r="AR41" s="72" t="str">
        <f aca="false">IF(OR(AR$4="",$C41="",$D41=""),"",IF(AND($C41&lt;EDATE(AR$4,1),$D41&gt;=AR$4),1,""))</f>
        <v/>
      </c>
      <c r="AS41" s="72" t="str">
        <f aca="false">IF(OR(AS$4="",$C41="",$D41=""),"",IF(AND($C41&lt;EDATE(AS$4,1),$D41&gt;=AS$4),1,""))</f>
        <v/>
      </c>
      <c r="AT41" s="72" t="str">
        <f aca="false">IF(OR(AT$4="",$C41="",$D41=""),"",IF(AND($C41&lt;EDATE(AT$4,1),$D41&gt;=AT$4),1,""))</f>
        <v/>
      </c>
      <c r="AU41" s="72" t="str">
        <f aca="false">IF(OR(AU$4="",$C41="",$D41=""),"",IF(AND($C41&lt;EDATE(AU$4,1),$D41&gt;=AU$4),1,""))</f>
        <v/>
      </c>
      <c r="AV41" s="72" t="str">
        <f aca="false">IF(OR(AV$4="",$C41="",$D41=""),"",IF(AND($C41&lt;EDATE(AV$4,1),$D41&gt;=AV$4),1,""))</f>
        <v/>
      </c>
      <c r="AW41" s="72" t="str">
        <f aca="false">IF(OR(AW$4="",$C41="",$D41=""),"",IF(AND($C41&lt;EDATE(AW$4,1),$D41&gt;=AW$4),1,""))</f>
        <v/>
      </c>
      <c r="AX41" s="72" t="str">
        <f aca="false">IF(OR(AX$4="",$C41="",$D41=""),"",IF(AND($C41&lt;EDATE(AX$4,1),$D41&gt;=AX$4),1,""))</f>
        <v/>
      </c>
      <c r="AY41" s="72" t="str">
        <f aca="false">IF(OR(AY$4="",$C41="",$D41=""),"",IF(AND($C41&lt;EDATE(AY$4,1),$D41&gt;=AY$4),1,""))</f>
        <v/>
      </c>
      <c r="AZ41" s="72" t="str">
        <f aca="false">IF(OR(AZ$4="",$C41="",$D41=""),"",IF(AND($C41&lt;EDATE(AZ$4,1),$D41&gt;=AZ$4),1,""))</f>
        <v/>
      </c>
      <c r="BA41" s="72" t="str">
        <f aca="false">IF(OR(BA$4="",$C41="",$D41=""),"",IF(AND($C41&lt;EDATE(BA$4,1),$D41&gt;=BA$4),1,""))</f>
        <v/>
      </c>
      <c r="BB41" s="72" t="str">
        <f aca="false">IF(OR(BB$4="",$C41="",$D41=""),"",IF(AND($C41&lt;EDATE(BB$4,1),$D41&gt;=BB$4),1,""))</f>
        <v/>
      </c>
      <c r="BC41" s="72" t="str">
        <f aca="false">IF(OR(BC$4="",$C41="",$D41=""),"",IF(AND($C41&lt;EDATE(BC$4,1),$D41&gt;=BC$4),1,""))</f>
        <v/>
      </c>
      <c r="BD41" s="72" t="str">
        <f aca="false">IF(OR(BD$4="",$C41="",$D41=""),"",IF(AND($C41&lt;EDATE(BD$4,1),$D41&gt;=BD$4),1,""))</f>
        <v/>
      </c>
      <c r="BE41" s="72" t="str">
        <f aca="false">IF(OR(BE$4="",$C41="",$D41=""),"",IF(AND($C41&lt;EDATE(BE$4,1),$D41&gt;=BE$4),1,""))</f>
        <v/>
      </c>
      <c r="BF41" s="72" t="str">
        <f aca="false">IF(OR(BF$4="",$C41="",$D41=""),"",IF(AND($C41&lt;EDATE(BF$4,1),$D41&gt;=BF$4),1,""))</f>
        <v/>
      </c>
      <c r="BG41" s="72" t="str">
        <f aca="false">IF(OR(BG$4="",$C41="",$D41=""),"",IF(AND($C41&lt;EDATE(BG$4,1),$D41&gt;=BG$4),1,""))</f>
        <v/>
      </c>
      <c r="BH41" s="72" t="str">
        <f aca="false">IF(OR(BH$4="",$C41="",$D41=""),"",IF(AND($C41&lt;EDATE(BH$4,1),$D41&gt;=BH$4),1,""))</f>
        <v/>
      </c>
      <c r="BI41" s="72" t="str">
        <f aca="false">IF(OR(BI$4="",$C41="",$D41=""),"",IF(AND($C41&lt;EDATE(BI$4,1),$D41&gt;=BI$4),1,""))</f>
        <v/>
      </c>
      <c r="BJ41" s="72" t="str">
        <f aca="false">IF(OR(BJ$4="",$C41="",$D41=""),"",IF(AND($C41&lt;EDATE(BJ$4,1),$D41&gt;=BJ$4),1,""))</f>
        <v/>
      </c>
      <c r="BK41" s="72" t="str">
        <f aca="false">IF(OR(BK$4="",$C41="",$D41=""),"",IF(AND($C41&lt;EDATE(BK$4,1),$D41&gt;=BK$4),1,""))</f>
        <v/>
      </c>
      <c r="BL41" s="72" t="str">
        <f aca="false">IF(OR(BL$4="",$C41="",$D41=""),"",IF(AND($C41&lt;EDATE(BL$4,1),$D41&gt;=BL$4),1,""))</f>
        <v/>
      </c>
      <c r="BM41" s="72" t="str">
        <f aca="false">IF(OR(BM$4="",$C41="",$D41=""),"",IF(AND($C41&lt;EDATE(BM$4,1),$D41&gt;=BM$4),1,""))</f>
        <v/>
      </c>
      <c r="BN41" s="72" t="str">
        <f aca="false">IF(OR(BN$4="",$C41="",$D41=""),"",IF(AND($C41&lt;EDATE(BN$4,1),$D41&gt;=BN$4),1,""))</f>
        <v/>
      </c>
      <c r="BO41" s="72" t="str">
        <f aca="false">IF(OR(BO$4="",$C41="",$D41=""),"",IF(AND($C41&lt;EDATE(BO$4,1),$D41&gt;=BO$4),1,""))</f>
        <v/>
      </c>
      <c r="BP41" s="72" t="str">
        <f aca="false">IF(OR(BP$4="",$C41="",$D41=""),"",IF(AND($C41&lt;EDATE(BP$4,1),$D41&gt;=BP$4),1,""))</f>
        <v/>
      </c>
      <c r="BQ41" s="72" t="str">
        <f aca="false">IF(OR(BQ$4="",$C41="",$D41=""),"",IF(AND($C41&lt;EDATE(BQ$4,1),$D41&gt;=BQ$4),1,""))</f>
        <v/>
      </c>
      <c r="BR41" s="72" t="str">
        <f aca="false">IF(OR(BR$4="",$C41="",$D41=""),"",IF(AND($C41&lt;EDATE(BR$4,1),$D41&gt;=BR$4),1,""))</f>
        <v/>
      </c>
      <c r="BS41" s="72" t="str">
        <f aca="false">IF(OR(BS$4="",$C41="",$D41=""),"",IF(AND($C41&lt;EDATE(BS$4,1),$D41&gt;=BS$4),1,""))</f>
        <v/>
      </c>
      <c r="BT41" s="72" t="str">
        <f aca="false">IF(OR(BT$4="",$C41="",$D41=""),"",IF(AND($C41&lt;EDATE(BT$4,1),$D41&gt;=BT$4),1,""))</f>
        <v/>
      </c>
      <c r="BU41" s="72" t="str">
        <f aca="false">IF(OR(BU$4="",$C41="",$D41=""),"",IF(AND($C41&lt;EDATE(BU$4,1),$D41&gt;=BU$4),1,""))</f>
        <v/>
      </c>
      <c r="BV41" s="72" t="str">
        <f aca="false">IF(OR(BV$4="",$C41="",$D41=""),"",IF(AND($C41&lt;EDATE(BV$4,1),$D41&gt;=BV$4),1,""))</f>
        <v/>
      </c>
      <c r="BW41" s="72" t="str">
        <f aca="false">IF(OR(BW$4="",$C41="",$D41=""),"",IF(AND($C41&lt;EDATE(BW$4,1),$D41&gt;=BW$4),1,""))</f>
        <v/>
      </c>
      <c r="BX41" s="72" t="str">
        <f aca="false">IF(OR(BX$4="",$C41="",$D41=""),"",IF(AND($C41&lt;EDATE(BX$4,1),$D41&gt;=BX$4),1,""))</f>
        <v/>
      </c>
      <c r="BY41" s="72" t="str">
        <f aca="false">IF(OR(BY$4="",$C41="",$D41=""),"",IF(AND($C41&lt;EDATE(BY$4,1),$D41&gt;=BY$4),1,""))</f>
        <v/>
      </c>
    </row>
    <row r="42" customFormat="false" ht="15" hidden="false" customHeight="false" outlineLevel="0" collapsed="false">
      <c r="A42" s="61" t="str">
        <f aca="false">IF(BOE!$A11="","",BOE!$A11)</f>
        <v>106a</v>
      </c>
      <c r="B42" s="61" t="str">
        <f aca="false">IF(BOE!$A11="","",BOE!$C11)</f>
        <v>Hazard Tracking System — establish</v>
      </c>
      <c r="C42" s="62" t="n">
        <f aca="false">IF(OR(BOE!$A11="",BOE!$E11&lt;&gt;"Y"),"",BOE!$O11)</f>
        <v>46391</v>
      </c>
      <c r="D42" s="62" t="n">
        <f aca="false">IF(OR(BOE!$A11="",BOE!$E11&lt;&gt;"Y"),"",BOE!$P11)</f>
        <v>46481</v>
      </c>
      <c r="E42" s="63" t="n">
        <f aca="false">IF(OR(BOE!$A11="",BOE!$E11&lt;&gt;"Y"),"",IF(Inputs!$B$7="P90",BOE!$T11,BOE!$R11))</f>
        <v>120</v>
      </c>
      <c r="F42" s="72" t="n">
        <f aca="false">IF(OR(F$4="",$C42="",$D42=""),"",IF(AND($C42&lt;EDATE(F$4,1),$D42&gt;=F$4),1,""))</f>
        <v>1</v>
      </c>
      <c r="G42" s="72" t="n">
        <f aca="false">IF(OR(G$4="",$C42="",$D42=""),"",IF(AND($C42&lt;EDATE(G$4,1),$D42&gt;=G$4),1,""))</f>
        <v>1</v>
      </c>
      <c r="H42" s="72" t="n">
        <f aca="false">IF(OR(H$4="",$C42="",$D42=""),"",IF(AND($C42&lt;EDATE(H$4,1),$D42&gt;=H$4),1,""))</f>
        <v>1</v>
      </c>
      <c r="I42" s="72" t="n">
        <f aca="false">IF(OR(I$4="",$C42="",$D42=""),"",IF(AND($C42&lt;EDATE(I$4,1),$D42&gt;=I$4),1,""))</f>
        <v>1</v>
      </c>
      <c r="J42" s="72" t="str">
        <f aca="false">IF(OR(J$4="",$C42="",$D42=""),"",IF(AND($C42&lt;EDATE(J$4,1),$D42&gt;=J$4),1,""))</f>
        <v/>
      </c>
      <c r="K42" s="72" t="str">
        <f aca="false">IF(OR(K$4="",$C42="",$D42=""),"",IF(AND($C42&lt;EDATE(K$4,1),$D42&gt;=K$4),1,""))</f>
        <v/>
      </c>
      <c r="L42" s="72" t="str">
        <f aca="false">IF(OR(L$4="",$C42="",$D42=""),"",IF(AND($C42&lt;EDATE(L$4,1),$D42&gt;=L$4),1,""))</f>
        <v/>
      </c>
      <c r="M42" s="72" t="str">
        <f aca="false">IF(OR(M$4="",$C42="",$D42=""),"",IF(AND($C42&lt;EDATE(M$4,1),$D42&gt;=M$4),1,""))</f>
        <v/>
      </c>
      <c r="N42" s="72" t="str">
        <f aca="false">IF(OR(N$4="",$C42="",$D42=""),"",IF(AND($C42&lt;EDATE(N$4,1),$D42&gt;=N$4),1,""))</f>
        <v/>
      </c>
      <c r="O42" s="72" t="str">
        <f aca="false">IF(OR(O$4="",$C42="",$D42=""),"",IF(AND($C42&lt;EDATE(O$4,1),$D42&gt;=O$4),1,""))</f>
        <v/>
      </c>
      <c r="P42" s="72" t="str">
        <f aca="false">IF(OR(P$4="",$C42="",$D42=""),"",IF(AND($C42&lt;EDATE(P$4,1),$D42&gt;=P$4),1,""))</f>
        <v/>
      </c>
      <c r="Q42" s="72" t="str">
        <f aca="false">IF(OR(Q$4="",$C42="",$D42=""),"",IF(AND($C42&lt;EDATE(Q$4,1),$D42&gt;=Q$4),1,""))</f>
        <v/>
      </c>
      <c r="R42" s="72" t="str">
        <f aca="false">IF(OR(R$4="",$C42="",$D42=""),"",IF(AND($C42&lt;EDATE(R$4,1),$D42&gt;=R$4),1,""))</f>
        <v/>
      </c>
      <c r="S42" s="72" t="str">
        <f aca="false">IF(OR(S$4="",$C42="",$D42=""),"",IF(AND($C42&lt;EDATE(S$4,1),$D42&gt;=S$4),1,""))</f>
        <v/>
      </c>
      <c r="T42" s="72" t="str">
        <f aca="false">IF(OR(T$4="",$C42="",$D42=""),"",IF(AND($C42&lt;EDATE(T$4,1),$D42&gt;=T$4),1,""))</f>
        <v/>
      </c>
      <c r="U42" s="72" t="str">
        <f aca="false">IF(OR(U$4="",$C42="",$D42=""),"",IF(AND($C42&lt;EDATE(U$4,1),$D42&gt;=U$4),1,""))</f>
        <v/>
      </c>
      <c r="V42" s="72" t="str">
        <f aca="false">IF(OR(V$4="",$C42="",$D42=""),"",IF(AND($C42&lt;EDATE(V$4,1),$D42&gt;=V$4),1,""))</f>
        <v/>
      </c>
      <c r="W42" s="72" t="str">
        <f aca="false">IF(OR(W$4="",$C42="",$D42=""),"",IF(AND($C42&lt;EDATE(W$4,1),$D42&gt;=W$4),1,""))</f>
        <v/>
      </c>
      <c r="X42" s="72" t="str">
        <f aca="false">IF(OR(X$4="",$C42="",$D42=""),"",IF(AND($C42&lt;EDATE(X$4,1),$D42&gt;=X$4),1,""))</f>
        <v/>
      </c>
      <c r="Y42" s="72" t="str">
        <f aca="false">IF(OR(Y$4="",$C42="",$D42=""),"",IF(AND($C42&lt;EDATE(Y$4,1),$D42&gt;=Y$4),1,""))</f>
        <v/>
      </c>
      <c r="Z42" s="72" t="str">
        <f aca="false">IF(OR(Z$4="",$C42="",$D42=""),"",IF(AND($C42&lt;EDATE(Z$4,1),$D42&gt;=Z$4),1,""))</f>
        <v/>
      </c>
      <c r="AA42" s="72" t="str">
        <f aca="false">IF(OR(AA$4="",$C42="",$D42=""),"",IF(AND($C42&lt;EDATE(AA$4,1),$D42&gt;=AA$4),1,""))</f>
        <v/>
      </c>
      <c r="AB42" s="72" t="str">
        <f aca="false">IF(OR(AB$4="",$C42="",$D42=""),"",IF(AND($C42&lt;EDATE(AB$4,1),$D42&gt;=AB$4),1,""))</f>
        <v/>
      </c>
      <c r="AC42" s="72" t="str">
        <f aca="false">IF(OR(AC$4="",$C42="",$D42=""),"",IF(AND($C42&lt;EDATE(AC$4,1),$D42&gt;=AC$4),1,""))</f>
        <v/>
      </c>
      <c r="AD42" s="72" t="str">
        <f aca="false">IF(OR(AD$4="",$C42="",$D42=""),"",IF(AND($C42&lt;EDATE(AD$4,1),$D42&gt;=AD$4),1,""))</f>
        <v/>
      </c>
      <c r="AE42" s="72" t="str">
        <f aca="false">IF(OR(AE$4="",$C42="",$D42=""),"",IF(AND($C42&lt;EDATE(AE$4,1),$D42&gt;=AE$4),1,""))</f>
        <v/>
      </c>
      <c r="AF42" s="72" t="str">
        <f aca="false">IF(OR(AF$4="",$C42="",$D42=""),"",IF(AND($C42&lt;EDATE(AF$4,1),$D42&gt;=AF$4),1,""))</f>
        <v/>
      </c>
      <c r="AG42" s="72" t="str">
        <f aca="false">IF(OR(AG$4="",$C42="",$D42=""),"",IF(AND($C42&lt;EDATE(AG$4,1),$D42&gt;=AG$4),1,""))</f>
        <v/>
      </c>
      <c r="AH42" s="72" t="str">
        <f aca="false">IF(OR(AH$4="",$C42="",$D42=""),"",IF(AND($C42&lt;EDATE(AH$4,1),$D42&gt;=AH$4),1,""))</f>
        <v/>
      </c>
      <c r="AI42" s="72" t="str">
        <f aca="false">IF(OR(AI$4="",$C42="",$D42=""),"",IF(AND($C42&lt;EDATE(AI$4,1),$D42&gt;=AI$4),1,""))</f>
        <v/>
      </c>
      <c r="AJ42" s="72" t="str">
        <f aca="false">IF(OR(AJ$4="",$C42="",$D42=""),"",IF(AND($C42&lt;EDATE(AJ$4,1),$D42&gt;=AJ$4),1,""))</f>
        <v/>
      </c>
      <c r="AK42" s="72" t="str">
        <f aca="false">IF(OR(AK$4="",$C42="",$D42=""),"",IF(AND($C42&lt;EDATE(AK$4,1),$D42&gt;=AK$4),1,""))</f>
        <v/>
      </c>
      <c r="AL42" s="72" t="str">
        <f aca="false">IF(OR(AL$4="",$C42="",$D42=""),"",IF(AND($C42&lt;EDATE(AL$4,1),$D42&gt;=AL$4),1,""))</f>
        <v/>
      </c>
      <c r="AM42" s="72" t="str">
        <f aca="false">IF(OR(AM$4="",$C42="",$D42=""),"",IF(AND($C42&lt;EDATE(AM$4,1),$D42&gt;=AM$4),1,""))</f>
        <v/>
      </c>
      <c r="AN42" s="72" t="str">
        <f aca="false">IF(OR(AN$4="",$C42="",$D42=""),"",IF(AND($C42&lt;EDATE(AN$4,1),$D42&gt;=AN$4),1,""))</f>
        <v/>
      </c>
      <c r="AO42" s="72" t="str">
        <f aca="false">IF(OR(AO$4="",$C42="",$D42=""),"",IF(AND($C42&lt;EDATE(AO$4,1),$D42&gt;=AO$4),1,""))</f>
        <v/>
      </c>
      <c r="AP42" s="72" t="str">
        <f aca="false">IF(OR(AP$4="",$C42="",$D42=""),"",IF(AND($C42&lt;EDATE(AP$4,1),$D42&gt;=AP$4),1,""))</f>
        <v/>
      </c>
      <c r="AQ42" s="72" t="str">
        <f aca="false">IF(OR(AQ$4="",$C42="",$D42=""),"",IF(AND($C42&lt;EDATE(AQ$4,1),$D42&gt;=AQ$4),1,""))</f>
        <v/>
      </c>
      <c r="AR42" s="72" t="str">
        <f aca="false">IF(OR(AR$4="",$C42="",$D42=""),"",IF(AND($C42&lt;EDATE(AR$4,1),$D42&gt;=AR$4),1,""))</f>
        <v/>
      </c>
      <c r="AS42" s="72" t="str">
        <f aca="false">IF(OR(AS$4="",$C42="",$D42=""),"",IF(AND($C42&lt;EDATE(AS$4,1),$D42&gt;=AS$4),1,""))</f>
        <v/>
      </c>
      <c r="AT42" s="72" t="str">
        <f aca="false">IF(OR(AT$4="",$C42="",$D42=""),"",IF(AND($C42&lt;EDATE(AT$4,1),$D42&gt;=AT$4),1,""))</f>
        <v/>
      </c>
      <c r="AU42" s="72" t="str">
        <f aca="false">IF(OR(AU$4="",$C42="",$D42=""),"",IF(AND($C42&lt;EDATE(AU$4,1),$D42&gt;=AU$4),1,""))</f>
        <v/>
      </c>
      <c r="AV42" s="72" t="str">
        <f aca="false">IF(OR(AV$4="",$C42="",$D42=""),"",IF(AND($C42&lt;EDATE(AV$4,1),$D42&gt;=AV$4),1,""))</f>
        <v/>
      </c>
      <c r="AW42" s="72" t="str">
        <f aca="false">IF(OR(AW$4="",$C42="",$D42=""),"",IF(AND($C42&lt;EDATE(AW$4,1),$D42&gt;=AW$4),1,""))</f>
        <v/>
      </c>
      <c r="AX42" s="72" t="str">
        <f aca="false">IF(OR(AX$4="",$C42="",$D42=""),"",IF(AND($C42&lt;EDATE(AX$4,1),$D42&gt;=AX$4),1,""))</f>
        <v/>
      </c>
      <c r="AY42" s="72" t="str">
        <f aca="false">IF(OR(AY$4="",$C42="",$D42=""),"",IF(AND($C42&lt;EDATE(AY$4,1),$D42&gt;=AY$4),1,""))</f>
        <v/>
      </c>
      <c r="AZ42" s="72" t="str">
        <f aca="false">IF(OR(AZ$4="",$C42="",$D42=""),"",IF(AND($C42&lt;EDATE(AZ$4,1),$D42&gt;=AZ$4),1,""))</f>
        <v/>
      </c>
      <c r="BA42" s="72" t="str">
        <f aca="false">IF(OR(BA$4="",$C42="",$D42=""),"",IF(AND($C42&lt;EDATE(BA$4,1),$D42&gt;=BA$4),1,""))</f>
        <v/>
      </c>
      <c r="BB42" s="72" t="str">
        <f aca="false">IF(OR(BB$4="",$C42="",$D42=""),"",IF(AND($C42&lt;EDATE(BB$4,1),$D42&gt;=BB$4),1,""))</f>
        <v/>
      </c>
      <c r="BC42" s="72" t="str">
        <f aca="false">IF(OR(BC$4="",$C42="",$D42=""),"",IF(AND($C42&lt;EDATE(BC$4,1),$D42&gt;=BC$4),1,""))</f>
        <v/>
      </c>
      <c r="BD42" s="72" t="str">
        <f aca="false">IF(OR(BD$4="",$C42="",$D42=""),"",IF(AND($C42&lt;EDATE(BD$4,1),$D42&gt;=BD$4),1,""))</f>
        <v/>
      </c>
      <c r="BE42" s="72" t="str">
        <f aca="false">IF(OR(BE$4="",$C42="",$D42=""),"",IF(AND($C42&lt;EDATE(BE$4,1),$D42&gt;=BE$4),1,""))</f>
        <v/>
      </c>
      <c r="BF42" s="72" t="str">
        <f aca="false">IF(OR(BF$4="",$C42="",$D42=""),"",IF(AND($C42&lt;EDATE(BF$4,1),$D42&gt;=BF$4),1,""))</f>
        <v/>
      </c>
      <c r="BG42" s="72" t="str">
        <f aca="false">IF(OR(BG$4="",$C42="",$D42=""),"",IF(AND($C42&lt;EDATE(BG$4,1),$D42&gt;=BG$4),1,""))</f>
        <v/>
      </c>
      <c r="BH42" s="72" t="str">
        <f aca="false">IF(OR(BH$4="",$C42="",$D42=""),"",IF(AND($C42&lt;EDATE(BH$4,1),$D42&gt;=BH$4),1,""))</f>
        <v/>
      </c>
      <c r="BI42" s="72" t="str">
        <f aca="false">IF(OR(BI$4="",$C42="",$D42=""),"",IF(AND($C42&lt;EDATE(BI$4,1),$D42&gt;=BI$4),1,""))</f>
        <v/>
      </c>
      <c r="BJ42" s="72" t="str">
        <f aca="false">IF(OR(BJ$4="",$C42="",$D42=""),"",IF(AND($C42&lt;EDATE(BJ$4,1),$D42&gt;=BJ$4),1,""))</f>
        <v/>
      </c>
      <c r="BK42" s="72" t="str">
        <f aca="false">IF(OR(BK$4="",$C42="",$D42=""),"",IF(AND($C42&lt;EDATE(BK$4,1),$D42&gt;=BK$4),1,""))</f>
        <v/>
      </c>
      <c r="BL42" s="72" t="str">
        <f aca="false">IF(OR(BL$4="",$C42="",$D42=""),"",IF(AND($C42&lt;EDATE(BL$4,1),$D42&gt;=BL$4),1,""))</f>
        <v/>
      </c>
      <c r="BM42" s="72" t="str">
        <f aca="false">IF(OR(BM$4="",$C42="",$D42=""),"",IF(AND($C42&lt;EDATE(BM$4,1),$D42&gt;=BM$4),1,""))</f>
        <v/>
      </c>
      <c r="BN42" s="72" t="str">
        <f aca="false">IF(OR(BN$4="",$C42="",$D42=""),"",IF(AND($C42&lt;EDATE(BN$4,1),$D42&gt;=BN$4),1,""))</f>
        <v/>
      </c>
      <c r="BO42" s="72" t="str">
        <f aca="false">IF(OR(BO$4="",$C42="",$D42=""),"",IF(AND($C42&lt;EDATE(BO$4,1),$D42&gt;=BO$4),1,""))</f>
        <v/>
      </c>
      <c r="BP42" s="72" t="str">
        <f aca="false">IF(OR(BP$4="",$C42="",$D42=""),"",IF(AND($C42&lt;EDATE(BP$4,1),$D42&gt;=BP$4),1,""))</f>
        <v/>
      </c>
      <c r="BQ42" s="72" t="str">
        <f aca="false">IF(OR(BQ$4="",$C42="",$D42=""),"",IF(AND($C42&lt;EDATE(BQ$4,1),$D42&gt;=BQ$4),1,""))</f>
        <v/>
      </c>
      <c r="BR42" s="72" t="str">
        <f aca="false">IF(OR(BR$4="",$C42="",$D42=""),"",IF(AND($C42&lt;EDATE(BR$4,1),$D42&gt;=BR$4),1,""))</f>
        <v/>
      </c>
      <c r="BS42" s="72" t="str">
        <f aca="false">IF(OR(BS$4="",$C42="",$D42=""),"",IF(AND($C42&lt;EDATE(BS$4,1),$D42&gt;=BS$4),1,""))</f>
        <v/>
      </c>
      <c r="BT42" s="72" t="str">
        <f aca="false">IF(OR(BT$4="",$C42="",$D42=""),"",IF(AND($C42&lt;EDATE(BT$4,1),$D42&gt;=BT$4),1,""))</f>
        <v/>
      </c>
      <c r="BU42" s="72" t="str">
        <f aca="false">IF(OR(BU$4="",$C42="",$D42=""),"",IF(AND($C42&lt;EDATE(BU$4,1),$D42&gt;=BU$4),1,""))</f>
        <v/>
      </c>
      <c r="BV42" s="72" t="str">
        <f aca="false">IF(OR(BV$4="",$C42="",$D42=""),"",IF(AND($C42&lt;EDATE(BV$4,1),$D42&gt;=BV$4),1,""))</f>
        <v/>
      </c>
      <c r="BW42" s="72" t="str">
        <f aca="false">IF(OR(BW$4="",$C42="",$D42=""),"",IF(AND($C42&lt;EDATE(BW$4,1),$D42&gt;=BW$4),1,""))</f>
        <v/>
      </c>
      <c r="BX42" s="72" t="str">
        <f aca="false">IF(OR(BX$4="",$C42="",$D42=""),"",IF(AND($C42&lt;EDATE(BX$4,1),$D42&gt;=BX$4),1,""))</f>
        <v/>
      </c>
      <c r="BY42" s="72" t="str">
        <f aca="false">IF(OR(BY$4="",$C42="",$D42=""),"",IF(AND($C42&lt;EDATE(BY$4,1),$D42&gt;=BY$4),1,""))</f>
        <v/>
      </c>
    </row>
    <row r="43" customFormat="false" ht="15" hidden="false" customHeight="false" outlineLevel="0" collapsed="false">
      <c r="A43" s="61" t="str">
        <f aca="false">IF(BOE!$A12="","",BOE!$A12)</f>
        <v>106b</v>
      </c>
      <c r="B43" s="61" t="str">
        <f aca="false">IF(BOE!$A12="","",BOE!$C12)</f>
        <v>Hazard Tracking System — maintain</v>
      </c>
      <c r="C43" s="62" t="n">
        <f aca="false">IF(OR(BOE!$A12="",BOE!$E12&lt;&gt;"Y"),"",BOE!$O12)</f>
        <v>46481</v>
      </c>
      <c r="D43" s="62" t="n">
        <f aca="false">IF(OR(BOE!$A12="",BOE!$E12&lt;&gt;"Y"),"",BOE!$P12)</f>
        <v>47483</v>
      </c>
      <c r="E43" s="63" t="n">
        <f aca="false">IF(OR(BOE!$A12="",BOE!$E12&lt;&gt;"Y"),"",IF(Inputs!$B$7="P90",BOE!$T12,BOE!$R12))</f>
        <v>263.359342915811</v>
      </c>
      <c r="F43" s="72" t="str">
        <f aca="false">IF(OR(F$4="",$C43="",$D43=""),"",IF(AND($C43&lt;EDATE(F$4,1),$D43&gt;=F$4),1,""))</f>
        <v/>
      </c>
      <c r="G43" s="72" t="str">
        <f aca="false">IF(OR(G$4="",$C43="",$D43=""),"",IF(AND($C43&lt;EDATE(G$4,1),$D43&gt;=G$4),1,""))</f>
        <v/>
      </c>
      <c r="H43" s="72" t="str">
        <f aca="false">IF(OR(H$4="",$C43="",$D43=""),"",IF(AND($C43&lt;EDATE(H$4,1),$D43&gt;=H$4),1,""))</f>
        <v/>
      </c>
      <c r="I43" s="72" t="n">
        <f aca="false">IF(OR(I$4="",$C43="",$D43=""),"",IF(AND($C43&lt;EDATE(I$4,1),$D43&gt;=I$4),1,""))</f>
        <v>1</v>
      </c>
      <c r="J43" s="72" t="n">
        <f aca="false">IF(OR(J$4="",$C43="",$D43=""),"",IF(AND($C43&lt;EDATE(J$4,1),$D43&gt;=J$4),1,""))</f>
        <v>1</v>
      </c>
      <c r="K43" s="72" t="n">
        <f aca="false">IF(OR(K$4="",$C43="",$D43=""),"",IF(AND($C43&lt;EDATE(K$4,1),$D43&gt;=K$4),1,""))</f>
        <v>1</v>
      </c>
      <c r="L43" s="72" t="n">
        <f aca="false">IF(OR(L$4="",$C43="",$D43=""),"",IF(AND($C43&lt;EDATE(L$4,1),$D43&gt;=L$4),1,""))</f>
        <v>1</v>
      </c>
      <c r="M43" s="72" t="n">
        <f aca="false">IF(OR(M$4="",$C43="",$D43=""),"",IF(AND($C43&lt;EDATE(M$4,1),$D43&gt;=M$4),1,""))</f>
        <v>1</v>
      </c>
      <c r="N43" s="72" t="n">
        <f aca="false">IF(OR(N$4="",$C43="",$D43=""),"",IF(AND($C43&lt;EDATE(N$4,1),$D43&gt;=N$4),1,""))</f>
        <v>1</v>
      </c>
      <c r="O43" s="72" t="n">
        <f aca="false">IF(OR(O$4="",$C43="",$D43=""),"",IF(AND($C43&lt;EDATE(O$4,1),$D43&gt;=O$4),1,""))</f>
        <v>1</v>
      </c>
      <c r="P43" s="72" t="n">
        <f aca="false">IF(OR(P$4="",$C43="",$D43=""),"",IF(AND($C43&lt;EDATE(P$4,1),$D43&gt;=P$4),1,""))</f>
        <v>1</v>
      </c>
      <c r="Q43" s="72" t="n">
        <f aca="false">IF(OR(Q$4="",$C43="",$D43=""),"",IF(AND($C43&lt;EDATE(Q$4,1),$D43&gt;=Q$4),1,""))</f>
        <v>1</v>
      </c>
      <c r="R43" s="72" t="n">
        <f aca="false">IF(OR(R$4="",$C43="",$D43=""),"",IF(AND($C43&lt;EDATE(R$4,1),$D43&gt;=R$4),1,""))</f>
        <v>1</v>
      </c>
      <c r="S43" s="72" t="n">
        <f aca="false">IF(OR(S$4="",$C43="",$D43=""),"",IF(AND($C43&lt;EDATE(S$4,1),$D43&gt;=S$4),1,""))</f>
        <v>1</v>
      </c>
      <c r="T43" s="72" t="n">
        <f aca="false">IF(OR(T$4="",$C43="",$D43=""),"",IF(AND($C43&lt;EDATE(T$4,1),$D43&gt;=T$4),1,""))</f>
        <v>1</v>
      </c>
      <c r="U43" s="72" t="n">
        <f aca="false">IF(OR(U$4="",$C43="",$D43=""),"",IF(AND($C43&lt;EDATE(U$4,1),$D43&gt;=U$4),1,""))</f>
        <v>1</v>
      </c>
      <c r="V43" s="72" t="n">
        <f aca="false">IF(OR(V$4="",$C43="",$D43=""),"",IF(AND($C43&lt;EDATE(V$4,1),$D43&gt;=V$4),1,""))</f>
        <v>1</v>
      </c>
      <c r="W43" s="72" t="n">
        <f aca="false">IF(OR(W$4="",$C43="",$D43=""),"",IF(AND($C43&lt;EDATE(W$4,1),$D43&gt;=W$4),1,""))</f>
        <v>1</v>
      </c>
      <c r="X43" s="72" t="n">
        <f aca="false">IF(OR(X$4="",$C43="",$D43=""),"",IF(AND($C43&lt;EDATE(X$4,1),$D43&gt;=X$4),1,""))</f>
        <v>1</v>
      </c>
      <c r="Y43" s="72" t="n">
        <f aca="false">IF(OR(Y$4="",$C43="",$D43=""),"",IF(AND($C43&lt;EDATE(Y$4,1),$D43&gt;=Y$4),1,""))</f>
        <v>1</v>
      </c>
      <c r="Z43" s="72" t="n">
        <f aca="false">IF(OR(Z$4="",$C43="",$D43=""),"",IF(AND($C43&lt;EDATE(Z$4,1),$D43&gt;=Z$4),1,""))</f>
        <v>1</v>
      </c>
      <c r="AA43" s="72" t="n">
        <f aca="false">IF(OR(AA$4="",$C43="",$D43=""),"",IF(AND($C43&lt;EDATE(AA$4,1),$D43&gt;=AA$4),1,""))</f>
        <v>1</v>
      </c>
      <c r="AB43" s="72" t="n">
        <f aca="false">IF(OR(AB$4="",$C43="",$D43=""),"",IF(AND($C43&lt;EDATE(AB$4,1),$D43&gt;=AB$4),1,""))</f>
        <v>1</v>
      </c>
      <c r="AC43" s="72" t="n">
        <f aca="false">IF(OR(AC$4="",$C43="",$D43=""),"",IF(AND($C43&lt;EDATE(AC$4,1),$D43&gt;=AC$4),1,""))</f>
        <v>1</v>
      </c>
      <c r="AD43" s="72" t="n">
        <f aca="false">IF(OR(AD$4="",$C43="",$D43=""),"",IF(AND($C43&lt;EDATE(AD$4,1),$D43&gt;=AD$4),1,""))</f>
        <v>1</v>
      </c>
      <c r="AE43" s="72" t="n">
        <f aca="false">IF(OR(AE$4="",$C43="",$D43=""),"",IF(AND($C43&lt;EDATE(AE$4,1),$D43&gt;=AE$4),1,""))</f>
        <v>1</v>
      </c>
      <c r="AF43" s="72" t="n">
        <f aca="false">IF(OR(AF$4="",$C43="",$D43=""),"",IF(AND($C43&lt;EDATE(AF$4,1),$D43&gt;=AF$4),1,""))</f>
        <v>1</v>
      </c>
      <c r="AG43" s="72" t="n">
        <f aca="false">IF(OR(AG$4="",$C43="",$D43=""),"",IF(AND($C43&lt;EDATE(AG$4,1),$D43&gt;=AG$4),1,""))</f>
        <v>1</v>
      </c>
      <c r="AH43" s="72" t="n">
        <f aca="false">IF(OR(AH$4="",$C43="",$D43=""),"",IF(AND($C43&lt;EDATE(AH$4,1),$D43&gt;=AH$4),1,""))</f>
        <v>1</v>
      </c>
      <c r="AI43" s="72" t="n">
        <f aca="false">IF(OR(AI$4="",$C43="",$D43=""),"",IF(AND($C43&lt;EDATE(AI$4,1),$D43&gt;=AI$4),1,""))</f>
        <v>1</v>
      </c>
      <c r="AJ43" s="72" t="n">
        <f aca="false">IF(OR(AJ$4="",$C43="",$D43=""),"",IF(AND($C43&lt;EDATE(AJ$4,1),$D43&gt;=AJ$4),1,""))</f>
        <v>1</v>
      </c>
      <c r="AK43" s="72" t="n">
        <f aca="false">IF(OR(AK$4="",$C43="",$D43=""),"",IF(AND($C43&lt;EDATE(AK$4,1),$D43&gt;=AK$4),1,""))</f>
        <v>1</v>
      </c>
      <c r="AL43" s="72" t="n">
        <f aca="false">IF(OR(AL$4="",$C43="",$D43=""),"",IF(AND($C43&lt;EDATE(AL$4,1),$D43&gt;=AL$4),1,""))</f>
        <v>1</v>
      </c>
      <c r="AM43" s="72" t="n">
        <f aca="false">IF(OR(AM$4="",$C43="",$D43=""),"",IF(AND($C43&lt;EDATE(AM$4,1),$D43&gt;=AM$4),1,""))</f>
        <v>1</v>
      </c>
      <c r="AN43" s="72" t="n">
        <f aca="false">IF(OR(AN$4="",$C43="",$D43=""),"",IF(AND($C43&lt;EDATE(AN$4,1),$D43&gt;=AN$4),1,""))</f>
        <v>1</v>
      </c>
      <c r="AO43" s="72" t="n">
        <f aca="false">IF(OR(AO$4="",$C43="",$D43=""),"",IF(AND($C43&lt;EDATE(AO$4,1),$D43&gt;=AO$4),1,""))</f>
        <v>1</v>
      </c>
      <c r="AP43" s="72" t="str">
        <f aca="false">IF(OR(AP$4="",$C43="",$D43=""),"",IF(AND($C43&lt;EDATE(AP$4,1),$D43&gt;=AP$4),1,""))</f>
        <v/>
      </c>
      <c r="AQ43" s="72" t="str">
        <f aca="false">IF(OR(AQ$4="",$C43="",$D43=""),"",IF(AND($C43&lt;EDATE(AQ$4,1),$D43&gt;=AQ$4),1,""))</f>
        <v/>
      </c>
      <c r="AR43" s="72" t="str">
        <f aca="false">IF(OR(AR$4="",$C43="",$D43=""),"",IF(AND($C43&lt;EDATE(AR$4,1),$D43&gt;=AR$4),1,""))</f>
        <v/>
      </c>
      <c r="AS43" s="72" t="str">
        <f aca="false">IF(OR(AS$4="",$C43="",$D43=""),"",IF(AND($C43&lt;EDATE(AS$4,1),$D43&gt;=AS$4),1,""))</f>
        <v/>
      </c>
      <c r="AT43" s="72" t="str">
        <f aca="false">IF(OR(AT$4="",$C43="",$D43=""),"",IF(AND($C43&lt;EDATE(AT$4,1),$D43&gt;=AT$4),1,""))</f>
        <v/>
      </c>
      <c r="AU43" s="72" t="str">
        <f aca="false">IF(OR(AU$4="",$C43="",$D43=""),"",IF(AND($C43&lt;EDATE(AU$4,1),$D43&gt;=AU$4),1,""))</f>
        <v/>
      </c>
      <c r="AV43" s="72" t="str">
        <f aca="false">IF(OR(AV$4="",$C43="",$D43=""),"",IF(AND($C43&lt;EDATE(AV$4,1),$D43&gt;=AV$4),1,""))</f>
        <v/>
      </c>
      <c r="AW43" s="72" t="str">
        <f aca="false">IF(OR(AW$4="",$C43="",$D43=""),"",IF(AND($C43&lt;EDATE(AW$4,1),$D43&gt;=AW$4),1,""))</f>
        <v/>
      </c>
      <c r="AX43" s="72" t="str">
        <f aca="false">IF(OR(AX$4="",$C43="",$D43=""),"",IF(AND($C43&lt;EDATE(AX$4,1),$D43&gt;=AX$4),1,""))</f>
        <v/>
      </c>
      <c r="AY43" s="72" t="str">
        <f aca="false">IF(OR(AY$4="",$C43="",$D43=""),"",IF(AND($C43&lt;EDATE(AY$4,1),$D43&gt;=AY$4),1,""))</f>
        <v/>
      </c>
      <c r="AZ43" s="72" t="str">
        <f aca="false">IF(OR(AZ$4="",$C43="",$D43=""),"",IF(AND($C43&lt;EDATE(AZ$4,1),$D43&gt;=AZ$4),1,""))</f>
        <v/>
      </c>
      <c r="BA43" s="72" t="str">
        <f aca="false">IF(OR(BA$4="",$C43="",$D43=""),"",IF(AND($C43&lt;EDATE(BA$4,1),$D43&gt;=BA$4),1,""))</f>
        <v/>
      </c>
      <c r="BB43" s="72" t="str">
        <f aca="false">IF(OR(BB$4="",$C43="",$D43=""),"",IF(AND($C43&lt;EDATE(BB$4,1),$D43&gt;=BB$4),1,""))</f>
        <v/>
      </c>
      <c r="BC43" s="72" t="str">
        <f aca="false">IF(OR(BC$4="",$C43="",$D43=""),"",IF(AND($C43&lt;EDATE(BC$4,1),$D43&gt;=BC$4),1,""))</f>
        <v/>
      </c>
      <c r="BD43" s="72" t="str">
        <f aca="false">IF(OR(BD$4="",$C43="",$D43=""),"",IF(AND($C43&lt;EDATE(BD$4,1),$D43&gt;=BD$4),1,""))</f>
        <v/>
      </c>
      <c r="BE43" s="72" t="str">
        <f aca="false">IF(OR(BE$4="",$C43="",$D43=""),"",IF(AND($C43&lt;EDATE(BE$4,1),$D43&gt;=BE$4),1,""))</f>
        <v/>
      </c>
      <c r="BF43" s="72" t="str">
        <f aca="false">IF(OR(BF$4="",$C43="",$D43=""),"",IF(AND($C43&lt;EDATE(BF$4,1),$D43&gt;=BF$4),1,""))</f>
        <v/>
      </c>
      <c r="BG43" s="72" t="str">
        <f aca="false">IF(OR(BG$4="",$C43="",$D43=""),"",IF(AND($C43&lt;EDATE(BG$4,1),$D43&gt;=BG$4),1,""))</f>
        <v/>
      </c>
      <c r="BH43" s="72" t="str">
        <f aca="false">IF(OR(BH$4="",$C43="",$D43=""),"",IF(AND($C43&lt;EDATE(BH$4,1),$D43&gt;=BH$4),1,""))</f>
        <v/>
      </c>
      <c r="BI43" s="72" t="str">
        <f aca="false">IF(OR(BI$4="",$C43="",$D43=""),"",IF(AND($C43&lt;EDATE(BI$4,1),$D43&gt;=BI$4),1,""))</f>
        <v/>
      </c>
      <c r="BJ43" s="72" t="str">
        <f aca="false">IF(OR(BJ$4="",$C43="",$D43=""),"",IF(AND($C43&lt;EDATE(BJ$4,1),$D43&gt;=BJ$4),1,""))</f>
        <v/>
      </c>
      <c r="BK43" s="72" t="str">
        <f aca="false">IF(OR(BK$4="",$C43="",$D43=""),"",IF(AND($C43&lt;EDATE(BK$4,1),$D43&gt;=BK$4),1,""))</f>
        <v/>
      </c>
      <c r="BL43" s="72" t="str">
        <f aca="false">IF(OR(BL$4="",$C43="",$D43=""),"",IF(AND($C43&lt;EDATE(BL$4,1),$D43&gt;=BL$4),1,""))</f>
        <v/>
      </c>
      <c r="BM43" s="72" t="str">
        <f aca="false">IF(OR(BM$4="",$C43="",$D43=""),"",IF(AND($C43&lt;EDATE(BM$4,1),$D43&gt;=BM$4),1,""))</f>
        <v/>
      </c>
      <c r="BN43" s="72" t="str">
        <f aca="false">IF(OR(BN$4="",$C43="",$D43=""),"",IF(AND($C43&lt;EDATE(BN$4,1),$D43&gt;=BN$4),1,""))</f>
        <v/>
      </c>
      <c r="BO43" s="72" t="str">
        <f aca="false">IF(OR(BO$4="",$C43="",$D43=""),"",IF(AND($C43&lt;EDATE(BO$4,1),$D43&gt;=BO$4),1,""))</f>
        <v/>
      </c>
      <c r="BP43" s="72" t="str">
        <f aca="false">IF(OR(BP$4="",$C43="",$D43=""),"",IF(AND($C43&lt;EDATE(BP$4,1),$D43&gt;=BP$4),1,""))</f>
        <v/>
      </c>
      <c r="BQ43" s="72" t="str">
        <f aca="false">IF(OR(BQ$4="",$C43="",$D43=""),"",IF(AND($C43&lt;EDATE(BQ$4,1),$D43&gt;=BQ$4),1,""))</f>
        <v/>
      </c>
      <c r="BR43" s="72" t="str">
        <f aca="false">IF(OR(BR$4="",$C43="",$D43=""),"",IF(AND($C43&lt;EDATE(BR$4,1),$D43&gt;=BR$4),1,""))</f>
        <v/>
      </c>
      <c r="BS43" s="72" t="str">
        <f aca="false">IF(OR(BS$4="",$C43="",$D43=""),"",IF(AND($C43&lt;EDATE(BS$4,1),$D43&gt;=BS$4),1,""))</f>
        <v/>
      </c>
      <c r="BT43" s="72" t="str">
        <f aca="false">IF(OR(BT$4="",$C43="",$D43=""),"",IF(AND($C43&lt;EDATE(BT$4,1),$D43&gt;=BT$4),1,""))</f>
        <v/>
      </c>
      <c r="BU43" s="72" t="str">
        <f aca="false">IF(OR(BU$4="",$C43="",$D43=""),"",IF(AND($C43&lt;EDATE(BU$4,1),$D43&gt;=BU$4),1,""))</f>
        <v/>
      </c>
      <c r="BV43" s="72" t="str">
        <f aca="false">IF(OR(BV$4="",$C43="",$D43=""),"",IF(AND($C43&lt;EDATE(BV$4,1),$D43&gt;=BV$4),1,""))</f>
        <v/>
      </c>
      <c r="BW43" s="72" t="str">
        <f aca="false">IF(OR(BW$4="",$C43="",$D43=""),"",IF(AND($C43&lt;EDATE(BW$4,1),$D43&gt;=BW$4),1,""))</f>
        <v/>
      </c>
      <c r="BX43" s="72" t="str">
        <f aca="false">IF(OR(BX$4="",$C43="",$D43=""),"",IF(AND($C43&lt;EDATE(BX$4,1),$D43&gt;=BX$4),1,""))</f>
        <v/>
      </c>
      <c r="BY43" s="72" t="str">
        <f aca="false">IF(OR(BY$4="",$C43="",$D43=""),"",IF(AND($C43&lt;EDATE(BY$4,1),$D43&gt;=BY$4),1,""))</f>
        <v/>
      </c>
    </row>
    <row r="44" customFormat="false" ht="15" hidden="false" customHeight="false" outlineLevel="0" collapsed="false">
      <c r="A44" s="61" t="str">
        <f aca="false">IF(BOE!$A13="","",BOE!$A13)</f>
        <v>107</v>
      </c>
      <c r="B44" s="61" t="str">
        <f aca="false">IF(BOE!$A13="","",BOE!$C13)</f>
        <v>Hazard Management Progress Report</v>
      </c>
      <c r="C44" s="62" t="n">
        <f aca="false">IF(OR(BOE!$A13="",BOE!$E13&lt;&gt;"Y"),"",BOE!$O13)</f>
        <v>46391</v>
      </c>
      <c r="D44" s="62" t="n">
        <f aca="false">IF(OR(BOE!$A13="",BOE!$E13&lt;&gt;"Y"),"",BOE!$P13)</f>
        <v>47483</v>
      </c>
      <c r="E44" s="63" t="n">
        <f aca="false">IF(OR(BOE!$A13="",BOE!$E13&lt;&gt;"Y"),"",IF(Inputs!$B$7="P90",BOE!$T13,BOE!$R13))</f>
        <v>143.507186858316</v>
      </c>
      <c r="F44" s="72" t="n">
        <f aca="false">IF(OR(F$4="",$C44="",$D44=""),"",IF(AND($C44&lt;EDATE(F$4,1),$D44&gt;=F$4),1,""))</f>
        <v>1</v>
      </c>
      <c r="G44" s="72" t="n">
        <f aca="false">IF(OR(G$4="",$C44="",$D44=""),"",IF(AND($C44&lt;EDATE(G$4,1),$D44&gt;=G$4),1,""))</f>
        <v>1</v>
      </c>
      <c r="H44" s="72" t="n">
        <f aca="false">IF(OR(H$4="",$C44="",$D44=""),"",IF(AND($C44&lt;EDATE(H$4,1),$D44&gt;=H$4),1,""))</f>
        <v>1</v>
      </c>
      <c r="I44" s="72" t="n">
        <f aca="false">IF(OR(I$4="",$C44="",$D44=""),"",IF(AND($C44&lt;EDATE(I$4,1),$D44&gt;=I$4),1,""))</f>
        <v>1</v>
      </c>
      <c r="J44" s="72" t="n">
        <f aca="false">IF(OR(J$4="",$C44="",$D44=""),"",IF(AND($C44&lt;EDATE(J$4,1),$D44&gt;=J$4),1,""))</f>
        <v>1</v>
      </c>
      <c r="K44" s="72" t="n">
        <f aca="false">IF(OR(K$4="",$C44="",$D44=""),"",IF(AND($C44&lt;EDATE(K$4,1),$D44&gt;=K$4),1,""))</f>
        <v>1</v>
      </c>
      <c r="L44" s="72" t="n">
        <f aca="false">IF(OR(L$4="",$C44="",$D44=""),"",IF(AND($C44&lt;EDATE(L$4,1),$D44&gt;=L$4),1,""))</f>
        <v>1</v>
      </c>
      <c r="M44" s="72" t="n">
        <f aca="false">IF(OR(M$4="",$C44="",$D44=""),"",IF(AND($C44&lt;EDATE(M$4,1),$D44&gt;=M$4),1,""))</f>
        <v>1</v>
      </c>
      <c r="N44" s="72" t="n">
        <f aca="false">IF(OR(N$4="",$C44="",$D44=""),"",IF(AND($C44&lt;EDATE(N$4,1),$D44&gt;=N$4),1,""))</f>
        <v>1</v>
      </c>
      <c r="O44" s="72" t="n">
        <f aca="false">IF(OR(O$4="",$C44="",$D44=""),"",IF(AND($C44&lt;EDATE(O$4,1),$D44&gt;=O$4),1,""))</f>
        <v>1</v>
      </c>
      <c r="P44" s="72" t="n">
        <f aca="false">IF(OR(P$4="",$C44="",$D44=""),"",IF(AND($C44&lt;EDATE(P$4,1),$D44&gt;=P$4),1,""))</f>
        <v>1</v>
      </c>
      <c r="Q44" s="72" t="n">
        <f aca="false">IF(OR(Q$4="",$C44="",$D44=""),"",IF(AND($C44&lt;EDATE(Q$4,1),$D44&gt;=Q$4),1,""))</f>
        <v>1</v>
      </c>
      <c r="R44" s="72" t="n">
        <f aca="false">IF(OR(R$4="",$C44="",$D44=""),"",IF(AND($C44&lt;EDATE(R$4,1),$D44&gt;=R$4),1,""))</f>
        <v>1</v>
      </c>
      <c r="S44" s="72" t="n">
        <f aca="false">IF(OR(S$4="",$C44="",$D44=""),"",IF(AND($C44&lt;EDATE(S$4,1),$D44&gt;=S$4),1,""))</f>
        <v>1</v>
      </c>
      <c r="T44" s="72" t="n">
        <f aca="false">IF(OR(T$4="",$C44="",$D44=""),"",IF(AND($C44&lt;EDATE(T$4,1),$D44&gt;=T$4),1,""))</f>
        <v>1</v>
      </c>
      <c r="U44" s="72" t="n">
        <f aca="false">IF(OR(U$4="",$C44="",$D44=""),"",IF(AND($C44&lt;EDATE(U$4,1),$D44&gt;=U$4),1,""))</f>
        <v>1</v>
      </c>
      <c r="V44" s="72" t="n">
        <f aca="false">IF(OR(V$4="",$C44="",$D44=""),"",IF(AND($C44&lt;EDATE(V$4,1),$D44&gt;=V$4),1,""))</f>
        <v>1</v>
      </c>
      <c r="W44" s="72" t="n">
        <f aca="false">IF(OR(W$4="",$C44="",$D44=""),"",IF(AND($C44&lt;EDATE(W$4,1),$D44&gt;=W$4),1,""))</f>
        <v>1</v>
      </c>
      <c r="X44" s="72" t="n">
        <f aca="false">IF(OR(X$4="",$C44="",$D44=""),"",IF(AND($C44&lt;EDATE(X$4,1),$D44&gt;=X$4),1,""))</f>
        <v>1</v>
      </c>
      <c r="Y44" s="72" t="n">
        <f aca="false">IF(OR(Y$4="",$C44="",$D44=""),"",IF(AND($C44&lt;EDATE(Y$4,1),$D44&gt;=Y$4),1,""))</f>
        <v>1</v>
      </c>
      <c r="Z44" s="72" t="n">
        <f aca="false">IF(OR(Z$4="",$C44="",$D44=""),"",IF(AND($C44&lt;EDATE(Z$4,1),$D44&gt;=Z$4),1,""))</f>
        <v>1</v>
      </c>
      <c r="AA44" s="72" t="n">
        <f aca="false">IF(OR(AA$4="",$C44="",$D44=""),"",IF(AND($C44&lt;EDATE(AA$4,1),$D44&gt;=AA$4),1,""))</f>
        <v>1</v>
      </c>
      <c r="AB44" s="72" t="n">
        <f aca="false">IF(OR(AB$4="",$C44="",$D44=""),"",IF(AND($C44&lt;EDATE(AB$4,1),$D44&gt;=AB$4),1,""))</f>
        <v>1</v>
      </c>
      <c r="AC44" s="72" t="n">
        <f aca="false">IF(OR(AC$4="",$C44="",$D44=""),"",IF(AND($C44&lt;EDATE(AC$4,1),$D44&gt;=AC$4),1,""))</f>
        <v>1</v>
      </c>
      <c r="AD44" s="72" t="n">
        <f aca="false">IF(OR(AD$4="",$C44="",$D44=""),"",IF(AND($C44&lt;EDATE(AD$4,1),$D44&gt;=AD$4),1,""))</f>
        <v>1</v>
      </c>
      <c r="AE44" s="72" t="n">
        <f aca="false">IF(OR(AE$4="",$C44="",$D44=""),"",IF(AND($C44&lt;EDATE(AE$4,1),$D44&gt;=AE$4),1,""))</f>
        <v>1</v>
      </c>
      <c r="AF44" s="72" t="n">
        <f aca="false">IF(OR(AF$4="",$C44="",$D44=""),"",IF(AND($C44&lt;EDATE(AF$4,1),$D44&gt;=AF$4),1,""))</f>
        <v>1</v>
      </c>
      <c r="AG44" s="72" t="n">
        <f aca="false">IF(OR(AG$4="",$C44="",$D44=""),"",IF(AND($C44&lt;EDATE(AG$4,1),$D44&gt;=AG$4),1,""))</f>
        <v>1</v>
      </c>
      <c r="AH44" s="72" t="n">
        <f aca="false">IF(OR(AH$4="",$C44="",$D44=""),"",IF(AND($C44&lt;EDATE(AH$4,1),$D44&gt;=AH$4),1,""))</f>
        <v>1</v>
      </c>
      <c r="AI44" s="72" t="n">
        <f aca="false">IF(OR(AI$4="",$C44="",$D44=""),"",IF(AND($C44&lt;EDATE(AI$4,1),$D44&gt;=AI$4),1,""))</f>
        <v>1</v>
      </c>
      <c r="AJ44" s="72" t="n">
        <f aca="false">IF(OR(AJ$4="",$C44="",$D44=""),"",IF(AND($C44&lt;EDATE(AJ$4,1),$D44&gt;=AJ$4),1,""))</f>
        <v>1</v>
      </c>
      <c r="AK44" s="72" t="n">
        <f aca="false">IF(OR(AK$4="",$C44="",$D44=""),"",IF(AND($C44&lt;EDATE(AK$4,1),$D44&gt;=AK$4),1,""))</f>
        <v>1</v>
      </c>
      <c r="AL44" s="72" t="n">
        <f aca="false">IF(OR(AL$4="",$C44="",$D44=""),"",IF(AND($C44&lt;EDATE(AL$4,1),$D44&gt;=AL$4),1,""))</f>
        <v>1</v>
      </c>
      <c r="AM44" s="72" t="n">
        <f aca="false">IF(OR(AM$4="",$C44="",$D44=""),"",IF(AND($C44&lt;EDATE(AM$4,1),$D44&gt;=AM$4),1,""))</f>
        <v>1</v>
      </c>
      <c r="AN44" s="72" t="n">
        <f aca="false">IF(OR(AN$4="",$C44="",$D44=""),"",IF(AND($C44&lt;EDATE(AN$4,1),$D44&gt;=AN$4),1,""))</f>
        <v>1</v>
      </c>
      <c r="AO44" s="72" t="n">
        <f aca="false">IF(OR(AO$4="",$C44="",$D44=""),"",IF(AND($C44&lt;EDATE(AO$4,1),$D44&gt;=AO$4),1,""))</f>
        <v>1</v>
      </c>
      <c r="AP44" s="72" t="str">
        <f aca="false">IF(OR(AP$4="",$C44="",$D44=""),"",IF(AND($C44&lt;EDATE(AP$4,1),$D44&gt;=AP$4),1,""))</f>
        <v/>
      </c>
      <c r="AQ44" s="72" t="str">
        <f aca="false">IF(OR(AQ$4="",$C44="",$D44=""),"",IF(AND($C44&lt;EDATE(AQ$4,1),$D44&gt;=AQ$4),1,""))</f>
        <v/>
      </c>
      <c r="AR44" s="72" t="str">
        <f aca="false">IF(OR(AR$4="",$C44="",$D44=""),"",IF(AND($C44&lt;EDATE(AR$4,1),$D44&gt;=AR$4),1,""))</f>
        <v/>
      </c>
      <c r="AS44" s="72" t="str">
        <f aca="false">IF(OR(AS$4="",$C44="",$D44=""),"",IF(AND($C44&lt;EDATE(AS$4,1),$D44&gt;=AS$4),1,""))</f>
        <v/>
      </c>
      <c r="AT44" s="72" t="str">
        <f aca="false">IF(OR(AT$4="",$C44="",$D44=""),"",IF(AND($C44&lt;EDATE(AT$4,1),$D44&gt;=AT$4),1,""))</f>
        <v/>
      </c>
      <c r="AU44" s="72" t="str">
        <f aca="false">IF(OR(AU$4="",$C44="",$D44=""),"",IF(AND($C44&lt;EDATE(AU$4,1),$D44&gt;=AU$4),1,""))</f>
        <v/>
      </c>
      <c r="AV44" s="72" t="str">
        <f aca="false">IF(OR(AV$4="",$C44="",$D44=""),"",IF(AND($C44&lt;EDATE(AV$4,1),$D44&gt;=AV$4),1,""))</f>
        <v/>
      </c>
      <c r="AW44" s="72" t="str">
        <f aca="false">IF(OR(AW$4="",$C44="",$D44=""),"",IF(AND($C44&lt;EDATE(AW$4,1),$D44&gt;=AW$4),1,""))</f>
        <v/>
      </c>
      <c r="AX44" s="72" t="str">
        <f aca="false">IF(OR(AX$4="",$C44="",$D44=""),"",IF(AND($C44&lt;EDATE(AX$4,1),$D44&gt;=AX$4),1,""))</f>
        <v/>
      </c>
      <c r="AY44" s="72" t="str">
        <f aca="false">IF(OR(AY$4="",$C44="",$D44=""),"",IF(AND($C44&lt;EDATE(AY$4,1),$D44&gt;=AY$4),1,""))</f>
        <v/>
      </c>
      <c r="AZ44" s="72" t="str">
        <f aca="false">IF(OR(AZ$4="",$C44="",$D44=""),"",IF(AND($C44&lt;EDATE(AZ$4,1),$D44&gt;=AZ$4),1,""))</f>
        <v/>
      </c>
      <c r="BA44" s="72" t="str">
        <f aca="false">IF(OR(BA$4="",$C44="",$D44=""),"",IF(AND($C44&lt;EDATE(BA$4,1),$D44&gt;=BA$4),1,""))</f>
        <v/>
      </c>
      <c r="BB44" s="72" t="str">
        <f aca="false">IF(OR(BB$4="",$C44="",$D44=""),"",IF(AND($C44&lt;EDATE(BB$4,1),$D44&gt;=BB$4),1,""))</f>
        <v/>
      </c>
      <c r="BC44" s="72" t="str">
        <f aca="false">IF(OR(BC$4="",$C44="",$D44=""),"",IF(AND($C44&lt;EDATE(BC$4,1),$D44&gt;=BC$4),1,""))</f>
        <v/>
      </c>
      <c r="BD44" s="72" t="str">
        <f aca="false">IF(OR(BD$4="",$C44="",$D44=""),"",IF(AND($C44&lt;EDATE(BD$4,1),$D44&gt;=BD$4),1,""))</f>
        <v/>
      </c>
      <c r="BE44" s="72" t="str">
        <f aca="false">IF(OR(BE$4="",$C44="",$D44=""),"",IF(AND($C44&lt;EDATE(BE$4,1),$D44&gt;=BE$4),1,""))</f>
        <v/>
      </c>
      <c r="BF44" s="72" t="str">
        <f aca="false">IF(OR(BF$4="",$C44="",$D44=""),"",IF(AND($C44&lt;EDATE(BF$4,1),$D44&gt;=BF$4),1,""))</f>
        <v/>
      </c>
      <c r="BG44" s="72" t="str">
        <f aca="false">IF(OR(BG$4="",$C44="",$D44=""),"",IF(AND($C44&lt;EDATE(BG$4,1),$D44&gt;=BG$4),1,""))</f>
        <v/>
      </c>
      <c r="BH44" s="72" t="str">
        <f aca="false">IF(OR(BH$4="",$C44="",$D44=""),"",IF(AND($C44&lt;EDATE(BH$4,1),$D44&gt;=BH$4),1,""))</f>
        <v/>
      </c>
      <c r="BI44" s="72" t="str">
        <f aca="false">IF(OR(BI$4="",$C44="",$D44=""),"",IF(AND($C44&lt;EDATE(BI$4,1),$D44&gt;=BI$4),1,""))</f>
        <v/>
      </c>
      <c r="BJ44" s="72" t="str">
        <f aca="false">IF(OR(BJ$4="",$C44="",$D44=""),"",IF(AND($C44&lt;EDATE(BJ$4,1),$D44&gt;=BJ$4),1,""))</f>
        <v/>
      </c>
      <c r="BK44" s="72" t="str">
        <f aca="false">IF(OR(BK$4="",$C44="",$D44=""),"",IF(AND($C44&lt;EDATE(BK$4,1),$D44&gt;=BK$4),1,""))</f>
        <v/>
      </c>
      <c r="BL44" s="72" t="str">
        <f aca="false">IF(OR(BL$4="",$C44="",$D44=""),"",IF(AND($C44&lt;EDATE(BL$4,1),$D44&gt;=BL$4),1,""))</f>
        <v/>
      </c>
      <c r="BM44" s="72" t="str">
        <f aca="false">IF(OR(BM$4="",$C44="",$D44=""),"",IF(AND($C44&lt;EDATE(BM$4,1),$D44&gt;=BM$4),1,""))</f>
        <v/>
      </c>
      <c r="BN44" s="72" t="str">
        <f aca="false">IF(OR(BN$4="",$C44="",$D44=""),"",IF(AND($C44&lt;EDATE(BN$4,1),$D44&gt;=BN$4),1,""))</f>
        <v/>
      </c>
      <c r="BO44" s="72" t="str">
        <f aca="false">IF(OR(BO$4="",$C44="",$D44=""),"",IF(AND($C44&lt;EDATE(BO$4,1),$D44&gt;=BO$4),1,""))</f>
        <v/>
      </c>
      <c r="BP44" s="72" t="str">
        <f aca="false">IF(OR(BP$4="",$C44="",$D44=""),"",IF(AND($C44&lt;EDATE(BP$4,1),$D44&gt;=BP$4),1,""))</f>
        <v/>
      </c>
      <c r="BQ44" s="72" t="str">
        <f aca="false">IF(OR(BQ$4="",$C44="",$D44=""),"",IF(AND($C44&lt;EDATE(BQ$4,1),$D44&gt;=BQ$4),1,""))</f>
        <v/>
      </c>
      <c r="BR44" s="72" t="str">
        <f aca="false">IF(OR(BR$4="",$C44="",$D44=""),"",IF(AND($C44&lt;EDATE(BR$4,1),$D44&gt;=BR$4),1,""))</f>
        <v/>
      </c>
      <c r="BS44" s="72" t="str">
        <f aca="false">IF(OR(BS$4="",$C44="",$D44=""),"",IF(AND($C44&lt;EDATE(BS$4,1),$D44&gt;=BS$4),1,""))</f>
        <v/>
      </c>
      <c r="BT44" s="72" t="str">
        <f aca="false">IF(OR(BT$4="",$C44="",$D44=""),"",IF(AND($C44&lt;EDATE(BT$4,1),$D44&gt;=BT$4),1,""))</f>
        <v/>
      </c>
      <c r="BU44" s="72" t="str">
        <f aca="false">IF(OR(BU$4="",$C44="",$D44=""),"",IF(AND($C44&lt;EDATE(BU$4,1),$D44&gt;=BU$4),1,""))</f>
        <v/>
      </c>
      <c r="BV44" s="72" t="str">
        <f aca="false">IF(OR(BV$4="",$C44="",$D44=""),"",IF(AND($C44&lt;EDATE(BV$4,1),$D44&gt;=BV$4),1,""))</f>
        <v/>
      </c>
      <c r="BW44" s="72" t="str">
        <f aca="false">IF(OR(BW$4="",$C44="",$D44=""),"",IF(AND($C44&lt;EDATE(BW$4,1),$D44&gt;=BW$4),1,""))</f>
        <v/>
      </c>
      <c r="BX44" s="72" t="str">
        <f aca="false">IF(OR(BX$4="",$C44="",$D44=""),"",IF(AND($C44&lt;EDATE(BX$4,1),$D44&gt;=BX$4),1,""))</f>
        <v/>
      </c>
      <c r="BY44" s="72" t="str">
        <f aca="false">IF(OR(BY$4="",$C44="",$D44=""),"",IF(AND($C44&lt;EDATE(BY$4,1),$D44&gt;=BY$4),1,""))</f>
        <v/>
      </c>
    </row>
    <row r="45" customFormat="false" ht="15" hidden="false" customHeight="false" outlineLevel="0" collapsed="false">
      <c r="A45" s="61" t="str">
        <f aca="false">IF(BOE!$A14="","",BOE!$A14)</f>
        <v>108</v>
      </c>
      <c r="B45" s="61" t="str">
        <f aca="false">IF(BOE!$A14="","",BOE!$C14)</f>
        <v>Hazardous Materials Management Plan (HMMP)</v>
      </c>
      <c r="C45" s="62" t="n">
        <f aca="false">IF(OR(BOE!$A14="",BOE!$E14&lt;&gt;"Y"),"",BOE!$O14)</f>
        <v>46391</v>
      </c>
      <c r="D45" s="62" t="n">
        <f aca="false">IF(OR(BOE!$A14="",BOE!$E14&lt;&gt;"Y"),"",BOE!$P14)</f>
        <v>46695</v>
      </c>
      <c r="E45" s="63" t="n">
        <f aca="false">IF(OR(BOE!$A14="",BOE!$E14&lt;&gt;"Y"),"",IF(Inputs!$B$7="P90",BOE!$T14,BOE!$R14))</f>
        <v>200</v>
      </c>
      <c r="F45" s="72" t="n">
        <f aca="false">IF(OR(F$4="",$C45="",$D45=""),"",IF(AND($C45&lt;EDATE(F$4,1),$D45&gt;=F$4),1,""))</f>
        <v>1</v>
      </c>
      <c r="G45" s="72" t="n">
        <f aca="false">IF(OR(G$4="",$C45="",$D45=""),"",IF(AND($C45&lt;EDATE(G$4,1),$D45&gt;=G$4),1,""))</f>
        <v>1</v>
      </c>
      <c r="H45" s="72" t="n">
        <f aca="false">IF(OR(H$4="",$C45="",$D45=""),"",IF(AND($C45&lt;EDATE(H$4,1),$D45&gt;=H$4),1,""))</f>
        <v>1</v>
      </c>
      <c r="I45" s="72" t="n">
        <f aca="false">IF(OR(I$4="",$C45="",$D45=""),"",IF(AND($C45&lt;EDATE(I$4,1),$D45&gt;=I$4),1,""))</f>
        <v>1</v>
      </c>
      <c r="J45" s="72" t="n">
        <f aca="false">IF(OR(J$4="",$C45="",$D45=""),"",IF(AND($C45&lt;EDATE(J$4,1),$D45&gt;=J$4),1,""))</f>
        <v>1</v>
      </c>
      <c r="K45" s="72" t="n">
        <f aca="false">IF(OR(K$4="",$C45="",$D45=""),"",IF(AND($C45&lt;EDATE(K$4,1),$D45&gt;=K$4),1,""))</f>
        <v>1</v>
      </c>
      <c r="L45" s="72" t="n">
        <f aca="false">IF(OR(L$4="",$C45="",$D45=""),"",IF(AND($C45&lt;EDATE(L$4,1),$D45&gt;=L$4),1,""))</f>
        <v>1</v>
      </c>
      <c r="M45" s="72" t="n">
        <f aca="false">IF(OR(M$4="",$C45="",$D45=""),"",IF(AND($C45&lt;EDATE(M$4,1),$D45&gt;=M$4),1,""))</f>
        <v>1</v>
      </c>
      <c r="N45" s="72" t="n">
        <f aca="false">IF(OR(N$4="",$C45="",$D45=""),"",IF(AND($C45&lt;EDATE(N$4,1),$D45&gt;=N$4),1,""))</f>
        <v>1</v>
      </c>
      <c r="O45" s="72" t="n">
        <f aca="false">IF(OR(O$4="",$C45="",$D45=""),"",IF(AND($C45&lt;EDATE(O$4,1),$D45&gt;=O$4),1,""))</f>
        <v>1</v>
      </c>
      <c r="P45" s="72" t="n">
        <f aca="false">IF(OR(P$4="",$C45="",$D45=""),"",IF(AND($C45&lt;EDATE(P$4,1),$D45&gt;=P$4),1,""))</f>
        <v>1</v>
      </c>
      <c r="Q45" s="72" t="str">
        <f aca="false">IF(OR(Q$4="",$C45="",$D45=""),"",IF(AND($C45&lt;EDATE(Q$4,1),$D45&gt;=Q$4),1,""))</f>
        <v/>
      </c>
      <c r="R45" s="72" t="str">
        <f aca="false">IF(OR(R$4="",$C45="",$D45=""),"",IF(AND($C45&lt;EDATE(R$4,1),$D45&gt;=R$4),1,""))</f>
        <v/>
      </c>
      <c r="S45" s="72" t="str">
        <f aca="false">IF(OR(S$4="",$C45="",$D45=""),"",IF(AND($C45&lt;EDATE(S$4,1),$D45&gt;=S$4),1,""))</f>
        <v/>
      </c>
      <c r="T45" s="72" t="str">
        <f aca="false">IF(OR(T$4="",$C45="",$D45=""),"",IF(AND($C45&lt;EDATE(T$4,1),$D45&gt;=T$4),1,""))</f>
        <v/>
      </c>
      <c r="U45" s="72" t="str">
        <f aca="false">IF(OR(U$4="",$C45="",$D45=""),"",IF(AND($C45&lt;EDATE(U$4,1),$D45&gt;=U$4),1,""))</f>
        <v/>
      </c>
      <c r="V45" s="72" t="str">
        <f aca="false">IF(OR(V$4="",$C45="",$D45=""),"",IF(AND($C45&lt;EDATE(V$4,1),$D45&gt;=V$4),1,""))</f>
        <v/>
      </c>
      <c r="W45" s="72" t="str">
        <f aca="false">IF(OR(W$4="",$C45="",$D45=""),"",IF(AND($C45&lt;EDATE(W$4,1),$D45&gt;=W$4),1,""))</f>
        <v/>
      </c>
      <c r="X45" s="72" t="str">
        <f aca="false">IF(OR(X$4="",$C45="",$D45=""),"",IF(AND($C45&lt;EDATE(X$4,1),$D45&gt;=X$4),1,""))</f>
        <v/>
      </c>
      <c r="Y45" s="72" t="str">
        <f aca="false">IF(OR(Y$4="",$C45="",$D45=""),"",IF(AND($C45&lt;EDATE(Y$4,1),$D45&gt;=Y$4),1,""))</f>
        <v/>
      </c>
      <c r="Z45" s="72" t="str">
        <f aca="false">IF(OR(Z$4="",$C45="",$D45=""),"",IF(AND($C45&lt;EDATE(Z$4,1),$D45&gt;=Z$4),1,""))</f>
        <v/>
      </c>
      <c r="AA45" s="72" t="str">
        <f aca="false">IF(OR(AA$4="",$C45="",$D45=""),"",IF(AND($C45&lt;EDATE(AA$4,1),$D45&gt;=AA$4),1,""))</f>
        <v/>
      </c>
      <c r="AB45" s="72" t="str">
        <f aca="false">IF(OR(AB$4="",$C45="",$D45=""),"",IF(AND($C45&lt;EDATE(AB$4,1),$D45&gt;=AB$4),1,""))</f>
        <v/>
      </c>
      <c r="AC45" s="72" t="str">
        <f aca="false">IF(OR(AC$4="",$C45="",$D45=""),"",IF(AND($C45&lt;EDATE(AC$4,1),$D45&gt;=AC$4),1,""))</f>
        <v/>
      </c>
      <c r="AD45" s="72" t="str">
        <f aca="false">IF(OR(AD$4="",$C45="",$D45=""),"",IF(AND($C45&lt;EDATE(AD$4,1),$D45&gt;=AD$4),1,""))</f>
        <v/>
      </c>
      <c r="AE45" s="72" t="str">
        <f aca="false">IF(OR(AE$4="",$C45="",$D45=""),"",IF(AND($C45&lt;EDATE(AE$4,1),$D45&gt;=AE$4),1,""))</f>
        <v/>
      </c>
      <c r="AF45" s="72" t="str">
        <f aca="false">IF(OR(AF$4="",$C45="",$D45=""),"",IF(AND($C45&lt;EDATE(AF$4,1),$D45&gt;=AF$4),1,""))</f>
        <v/>
      </c>
      <c r="AG45" s="72" t="str">
        <f aca="false">IF(OR(AG$4="",$C45="",$D45=""),"",IF(AND($C45&lt;EDATE(AG$4,1),$D45&gt;=AG$4),1,""))</f>
        <v/>
      </c>
      <c r="AH45" s="72" t="str">
        <f aca="false">IF(OR(AH$4="",$C45="",$D45=""),"",IF(AND($C45&lt;EDATE(AH$4,1),$D45&gt;=AH$4),1,""))</f>
        <v/>
      </c>
      <c r="AI45" s="72" t="str">
        <f aca="false">IF(OR(AI$4="",$C45="",$D45=""),"",IF(AND($C45&lt;EDATE(AI$4,1),$D45&gt;=AI$4),1,""))</f>
        <v/>
      </c>
      <c r="AJ45" s="72" t="str">
        <f aca="false">IF(OR(AJ$4="",$C45="",$D45=""),"",IF(AND($C45&lt;EDATE(AJ$4,1),$D45&gt;=AJ$4),1,""))</f>
        <v/>
      </c>
      <c r="AK45" s="72" t="str">
        <f aca="false">IF(OR(AK$4="",$C45="",$D45=""),"",IF(AND($C45&lt;EDATE(AK$4,1),$D45&gt;=AK$4),1,""))</f>
        <v/>
      </c>
      <c r="AL45" s="72" t="str">
        <f aca="false">IF(OR(AL$4="",$C45="",$D45=""),"",IF(AND($C45&lt;EDATE(AL$4,1),$D45&gt;=AL$4),1,""))</f>
        <v/>
      </c>
      <c r="AM45" s="72" t="str">
        <f aca="false">IF(OR(AM$4="",$C45="",$D45=""),"",IF(AND($C45&lt;EDATE(AM$4,1),$D45&gt;=AM$4),1,""))</f>
        <v/>
      </c>
      <c r="AN45" s="72" t="str">
        <f aca="false">IF(OR(AN$4="",$C45="",$D45=""),"",IF(AND($C45&lt;EDATE(AN$4,1),$D45&gt;=AN$4),1,""))</f>
        <v/>
      </c>
      <c r="AO45" s="72" t="str">
        <f aca="false">IF(OR(AO$4="",$C45="",$D45=""),"",IF(AND($C45&lt;EDATE(AO$4,1),$D45&gt;=AO$4),1,""))</f>
        <v/>
      </c>
      <c r="AP45" s="72" t="str">
        <f aca="false">IF(OR(AP$4="",$C45="",$D45=""),"",IF(AND($C45&lt;EDATE(AP$4,1),$D45&gt;=AP$4),1,""))</f>
        <v/>
      </c>
      <c r="AQ45" s="72" t="str">
        <f aca="false">IF(OR(AQ$4="",$C45="",$D45=""),"",IF(AND($C45&lt;EDATE(AQ$4,1),$D45&gt;=AQ$4),1,""))</f>
        <v/>
      </c>
      <c r="AR45" s="72" t="str">
        <f aca="false">IF(OR(AR$4="",$C45="",$D45=""),"",IF(AND($C45&lt;EDATE(AR$4,1),$D45&gt;=AR$4),1,""))</f>
        <v/>
      </c>
      <c r="AS45" s="72" t="str">
        <f aca="false">IF(OR(AS$4="",$C45="",$D45=""),"",IF(AND($C45&lt;EDATE(AS$4,1),$D45&gt;=AS$4),1,""))</f>
        <v/>
      </c>
      <c r="AT45" s="72" t="str">
        <f aca="false">IF(OR(AT$4="",$C45="",$D45=""),"",IF(AND($C45&lt;EDATE(AT$4,1),$D45&gt;=AT$4),1,""))</f>
        <v/>
      </c>
      <c r="AU45" s="72" t="str">
        <f aca="false">IF(OR(AU$4="",$C45="",$D45=""),"",IF(AND($C45&lt;EDATE(AU$4,1),$D45&gt;=AU$4),1,""))</f>
        <v/>
      </c>
      <c r="AV45" s="72" t="str">
        <f aca="false">IF(OR(AV$4="",$C45="",$D45=""),"",IF(AND($C45&lt;EDATE(AV$4,1),$D45&gt;=AV$4),1,""))</f>
        <v/>
      </c>
      <c r="AW45" s="72" t="str">
        <f aca="false">IF(OR(AW$4="",$C45="",$D45=""),"",IF(AND($C45&lt;EDATE(AW$4,1),$D45&gt;=AW$4),1,""))</f>
        <v/>
      </c>
      <c r="AX45" s="72" t="str">
        <f aca="false">IF(OR(AX$4="",$C45="",$D45=""),"",IF(AND($C45&lt;EDATE(AX$4,1),$D45&gt;=AX$4),1,""))</f>
        <v/>
      </c>
      <c r="AY45" s="72" t="str">
        <f aca="false">IF(OR(AY$4="",$C45="",$D45=""),"",IF(AND($C45&lt;EDATE(AY$4,1),$D45&gt;=AY$4),1,""))</f>
        <v/>
      </c>
      <c r="AZ45" s="72" t="str">
        <f aca="false">IF(OR(AZ$4="",$C45="",$D45=""),"",IF(AND($C45&lt;EDATE(AZ$4,1),$D45&gt;=AZ$4),1,""))</f>
        <v/>
      </c>
      <c r="BA45" s="72" t="str">
        <f aca="false">IF(OR(BA$4="",$C45="",$D45=""),"",IF(AND($C45&lt;EDATE(BA$4,1),$D45&gt;=BA$4),1,""))</f>
        <v/>
      </c>
      <c r="BB45" s="72" t="str">
        <f aca="false">IF(OR(BB$4="",$C45="",$D45=""),"",IF(AND($C45&lt;EDATE(BB$4,1),$D45&gt;=BB$4),1,""))</f>
        <v/>
      </c>
      <c r="BC45" s="72" t="str">
        <f aca="false">IF(OR(BC$4="",$C45="",$D45=""),"",IF(AND($C45&lt;EDATE(BC$4,1),$D45&gt;=BC$4),1,""))</f>
        <v/>
      </c>
      <c r="BD45" s="72" t="str">
        <f aca="false">IF(OR(BD$4="",$C45="",$D45=""),"",IF(AND($C45&lt;EDATE(BD$4,1),$D45&gt;=BD$4),1,""))</f>
        <v/>
      </c>
      <c r="BE45" s="72" t="str">
        <f aca="false">IF(OR(BE$4="",$C45="",$D45=""),"",IF(AND($C45&lt;EDATE(BE$4,1),$D45&gt;=BE$4),1,""))</f>
        <v/>
      </c>
      <c r="BF45" s="72" t="str">
        <f aca="false">IF(OR(BF$4="",$C45="",$D45=""),"",IF(AND($C45&lt;EDATE(BF$4,1),$D45&gt;=BF$4),1,""))</f>
        <v/>
      </c>
      <c r="BG45" s="72" t="str">
        <f aca="false">IF(OR(BG$4="",$C45="",$D45=""),"",IF(AND($C45&lt;EDATE(BG$4,1),$D45&gt;=BG$4),1,""))</f>
        <v/>
      </c>
      <c r="BH45" s="72" t="str">
        <f aca="false">IF(OR(BH$4="",$C45="",$D45=""),"",IF(AND($C45&lt;EDATE(BH$4,1),$D45&gt;=BH$4),1,""))</f>
        <v/>
      </c>
      <c r="BI45" s="72" t="str">
        <f aca="false">IF(OR(BI$4="",$C45="",$D45=""),"",IF(AND($C45&lt;EDATE(BI$4,1),$D45&gt;=BI$4),1,""))</f>
        <v/>
      </c>
      <c r="BJ45" s="72" t="str">
        <f aca="false">IF(OR(BJ$4="",$C45="",$D45=""),"",IF(AND($C45&lt;EDATE(BJ$4,1),$D45&gt;=BJ$4),1,""))</f>
        <v/>
      </c>
      <c r="BK45" s="72" t="str">
        <f aca="false">IF(OR(BK$4="",$C45="",$D45=""),"",IF(AND($C45&lt;EDATE(BK$4,1),$D45&gt;=BK$4),1,""))</f>
        <v/>
      </c>
      <c r="BL45" s="72" t="str">
        <f aca="false">IF(OR(BL$4="",$C45="",$D45=""),"",IF(AND($C45&lt;EDATE(BL$4,1),$D45&gt;=BL$4),1,""))</f>
        <v/>
      </c>
      <c r="BM45" s="72" t="str">
        <f aca="false">IF(OR(BM$4="",$C45="",$D45=""),"",IF(AND($C45&lt;EDATE(BM$4,1),$D45&gt;=BM$4),1,""))</f>
        <v/>
      </c>
      <c r="BN45" s="72" t="str">
        <f aca="false">IF(OR(BN$4="",$C45="",$D45=""),"",IF(AND($C45&lt;EDATE(BN$4,1),$D45&gt;=BN$4),1,""))</f>
        <v/>
      </c>
      <c r="BO45" s="72" t="str">
        <f aca="false">IF(OR(BO$4="",$C45="",$D45=""),"",IF(AND($C45&lt;EDATE(BO$4,1),$D45&gt;=BO$4),1,""))</f>
        <v/>
      </c>
      <c r="BP45" s="72" t="str">
        <f aca="false">IF(OR(BP$4="",$C45="",$D45=""),"",IF(AND($C45&lt;EDATE(BP$4,1),$D45&gt;=BP$4),1,""))</f>
        <v/>
      </c>
      <c r="BQ45" s="72" t="str">
        <f aca="false">IF(OR(BQ$4="",$C45="",$D45=""),"",IF(AND($C45&lt;EDATE(BQ$4,1),$D45&gt;=BQ$4),1,""))</f>
        <v/>
      </c>
      <c r="BR45" s="72" t="str">
        <f aca="false">IF(OR(BR$4="",$C45="",$D45=""),"",IF(AND($C45&lt;EDATE(BR$4,1),$D45&gt;=BR$4),1,""))</f>
        <v/>
      </c>
      <c r="BS45" s="72" t="str">
        <f aca="false">IF(OR(BS$4="",$C45="",$D45=""),"",IF(AND($C45&lt;EDATE(BS$4,1),$D45&gt;=BS$4),1,""))</f>
        <v/>
      </c>
      <c r="BT45" s="72" t="str">
        <f aca="false">IF(OR(BT$4="",$C45="",$D45=""),"",IF(AND($C45&lt;EDATE(BT$4,1),$D45&gt;=BT$4),1,""))</f>
        <v/>
      </c>
      <c r="BU45" s="72" t="str">
        <f aca="false">IF(OR(BU$4="",$C45="",$D45=""),"",IF(AND($C45&lt;EDATE(BU$4,1),$D45&gt;=BU$4),1,""))</f>
        <v/>
      </c>
      <c r="BV45" s="72" t="str">
        <f aca="false">IF(OR(BV$4="",$C45="",$D45=""),"",IF(AND($C45&lt;EDATE(BV$4,1),$D45&gt;=BV$4),1,""))</f>
        <v/>
      </c>
      <c r="BW45" s="72" t="str">
        <f aca="false">IF(OR(BW$4="",$C45="",$D45=""),"",IF(AND($C45&lt;EDATE(BW$4,1),$D45&gt;=BW$4),1,""))</f>
        <v/>
      </c>
      <c r="BX45" s="72" t="str">
        <f aca="false">IF(OR(BX$4="",$C45="",$D45=""),"",IF(AND($C45&lt;EDATE(BX$4,1),$D45&gt;=BX$4),1,""))</f>
        <v/>
      </c>
      <c r="BY45" s="72" t="str">
        <f aca="false">IF(OR(BY$4="",$C45="",$D45=""),"",IF(AND($C45&lt;EDATE(BY$4,1),$D45&gt;=BY$4),1,""))</f>
        <v/>
      </c>
    </row>
    <row r="46" customFormat="false" ht="15" hidden="false" customHeight="false" outlineLevel="0" collapsed="false">
      <c r="A46" s="61" t="str">
        <f aca="false">IF(BOE!$A15="","",BOE!$A15)</f>
        <v>201</v>
      </c>
      <c r="B46" s="61" t="str">
        <f aca="false">IF(BOE!$A15="","",BOE!$C15)</f>
        <v>Preliminary Hazard List (PHL)</v>
      </c>
      <c r="C46" s="62" t="n">
        <f aca="false">IF(OR(BOE!$A15="",BOE!$E15&lt;&gt;"Y"),"",BOE!$O15)</f>
        <v>46391</v>
      </c>
      <c r="D46" s="62" t="n">
        <f aca="false">IF(OR(BOE!$A15="",BOE!$E15&lt;&gt;"Y"),"",BOE!$P15)</f>
        <v>46481</v>
      </c>
      <c r="E46" s="63" t="n">
        <f aca="false">IF(OR(BOE!$A15="",BOE!$E15&lt;&gt;"Y"),"",IF(Inputs!$B$7="P90",BOE!$T15,BOE!$R15))</f>
        <v>160</v>
      </c>
      <c r="F46" s="72" t="n">
        <f aca="false">IF(OR(F$4="",$C46="",$D46=""),"",IF(AND($C46&lt;EDATE(F$4,1),$D46&gt;=F$4),1,""))</f>
        <v>1</v>
      </c>
      <c r="G46" s="72" t="n">
        <f aca="false">IF(OR(G$4="",$C46="",$D46=""),"",IF(AND($C46&lt;EDATE(G$4,1),$D46&gt;=G$4),1,""))</f>
        <v>1</v>
      </c>
      <c r="H46" s="72" t="n">
        <f aca="false">IF(OR(H$4="",$C46="",$D46=""),"",IF(AND($C46&lt;EDATE(H$4,1),$D46&gt;=H$4),1,""))</f>
        <v>1</v>
      </c>
      <c r="I46" s="72" t="n">
        <f aca="false">IF(OR(I$4="",$C46="",$D46=""),"",IF(AND($C46&lt;EDATE(I$4,1),$D46&gt;=I$4),1,""))</f>
        <v>1</v>
      </c>
      <c r="J46" s="72" t="str">
        <f aca="false">IF(OR(J$4="",$C46="",$D46=""),"",IF(AND($C46&lt;EDATE(J$4,1),$D46&gt;=J$4),1,""))</f>
        <v/>
      </c>
      <c r="K46" s="72" t="str">
        <f aca="false">IF(OR(K$4="",$C46="",$D46=""),"",IF(AND($C46&lt;EDATE(K$4,1),$D46&gt;=K$4),1,""))</f>
        <v/>
      </c>
      <c r="L46" s="72" t="str">
        <f aca="false">IF(OR(L$4="",$C46="",$D46=""),"",IF(AND($C46&lt;EDATE(L$4,1),$D46&gt;=L$4),1,""))</f>
        <v/>
      </c>
      <c r="M46" s="72" t="str">
        <f aca="false">IF(OR(M$4="",$C46="",$D46=""),"",IF(AND($C46&lt;EDATE(M$4,1),$D46&gt;=M$4),1,""))</f>
        <v/>
      </c>
      <c r="N46" s="72" t="str">
        <f aca="false">IF(OR(N$4="",$C46="",$D46=""),"",IF(AND($C46&lt;EDATE(N$4,1),$D46&gt;=N$4),1,""))</f>
        <v/>
      </c>
      <c r="O46" s="72" t="str">
        <f aca="false">IF(OR(O$4="",$C46="",$D46=""),"",IF(AND($C46&lt;EDATE(O$4,1),$D46&gt;=O$4),1,""))</f>
        <v/>
      </c>
      <c r="P46" s="72" t="str">
        <f aca="false">IF(OR(P$4="",$C46="",$D46=""),"",IF(AND($C46&lt;EDATE(P$4,1),$D46&gt;=P$4),1,""))</f>
        <v/>
      </c>
      <c r="Q46" s="72" t="str">
        <f aca="false">IF(OR(Q$4="",$C46="",$D46=""),"",IF(AND($C46&lt;EDATE(Q$4,1),$D46&gt;=Q$4),1,""))</f>
        <v/>
      </c>
      <c r="R46" s="72" t="str">
        <f aca="false">IF(OR(R$4="",$C46="",$D46=""),"",IF(AND($C46&lt;EDATE(R$4,1),$D46&gt;=R$4),1,""))</f>
        <v/>
      </c>
      <c r="S46" s="72" t="str">
        <f aca="false">IF(OR(S$4="",$C46="",$D46=""),"",IF(AND($C46&lt;EDATE(S$4,1),$D46&gt;=S$4),1,""))</f>
        <v/>
      </c>
      <c r="T46" s="72" t="str">
        <f aca="false">IF(OR(T$4="",$C46="",$D46=""),"",IF(AND($C46&lt;EDATE(T$4,1),$D46&gt;=T$4),1,""))</f>
        <v/>
      </c>
      <c r="U46" s="72" t="str">
        <f aca="false">IF(OR(U$4="",$C46="",$D46=""),"",IF(AND($C46&lt;EDATE(U$4,1),$D46&gt;=U$4),1,""))</f>
        <v/>
      </c>
      <c r="V46" s="72" t="str">
        <f aca="false">IF(OR(V$4="",$C46="",$D46=""),"",IF(AND($C46&lt;EDATE(V$4,1),$D46&gt;=V$4),1,""))</f>
        <v/>
      </c>
      <c r="W46" s="72" t="str">
        <f aca="false">IF(OR(W$4="",$C46="",$D46=""),"",IF(AND($C46&lt;EDATE(W$4,1),$D46&gt;=W$4),1,""))</f>
        <v/>
      </c>
      <c r="X46" s="72" t="str">
        <f aca="false">IF(OR(X$4="",$C46="",$D46=""),"",IF(AND($C46&lt;EDATE(X$4,1),$D46&gt;=X$4),1,""))</f>
        <v/>
      </c>
      <c r="Y46" s="72" t="str">
        <f aca="false">IF(OR(Y$4="",$C46="",$D46=""),"",IF(AND($C46&lt;EDATE(Y$4,1),$D46&gt;=Y$4),1,""))</f>
        <v/>
      </c>
      <c r="Z46" s="72" t="str">
        <f aca="false">IF(OR(Z$4="",$C46="",$D46=""),"",IF(AND($C46&lt;EDATE(Z$4,1),$D46&gt;=Z$4),1,""))</f>
        <v/>
      </c>
      <c r="AA46" s="72" t="str">
        <f aca="false">IF(OR(AA$4="",$C46="",$D46=""),"",IF(AND($C46&lt;EDATE(AA$4,1),$D46&gt;=AA$4),1,""))</f>
        <v/>
      </c>
      <c r="AB46" s="72" t="str">
        <f aca="false">IF(OR(AB$4="",$C46="",$D46=""),"",IF(AND($C46&lt;EDATE(AB$4,1),$D46&gt;=AB$4),1,""))</f>
        <v/>
      </c>
      <c r="AC46" s="72" t="str">
        <f aca="false">IF(OR(AC$4="",$C46="",$D46=""),"",IF(AND($C46&lt;EDATE(AC$4,1),$D46&gt;=AC$4),1,""))</f>
        <v/>
      </c>
      <c r="AD46" s="72" t="str">
        <f aca="false">IF(OR(AD$4="",$C46="",$D46=""),"",IF(AND($C46&lt;EDATE(AD$4,1),$D46&gt;=AD$4),1,""))</f>
        <v/>
      </c>
      <c r="AE46" s="72" t="str">
        <f aca="false">IF(OR(AE$4="",$C46="",$D46=""),"",IF(AND($C46&lt;EDATE(AE$4,1),$D46&gt;=AE$4),1,""))</f>
        <v/>
      </c>
      <c r="AF46" s="72" t="str">
        <f aca="false">IF(OR(AF$4="",$C46="",$D46=""),"",IF(AND($C46&lt;EDATE(AF$4,1),$D46&gt;=AF$4),1,""))</f>
        <v/>
      </c>
      <c r="AG46" s="72" t="str">
        <f aca="false">IF(OR(AG$4="",$C46="",$D46=""),"",IF(AND($C46&lt;EDATE(AG$4,1),$D46&gt;=AG$4),1,""))</f>
        <v/>
      </c>
      <c r="AH46" s="72" t="str">
        <f aca="false">IF(OR(AH$4="",$C46="",$D46=""),"",IF(AND($C46&lt;EDATE(AH$4,1),$D46&gt;=AH$4),1,""))</f>
        <v/>
      </c>
      <c r="AI46" s="72" t="str">
        <f aca="false">IF(OR(AI$4="",$C46="",$D46=""),"",IF(AND($C46&lt;EDATE(AI$4,1),$D46&gt;=AI$4),1,""))</f>
        <v/>
      </c>
      <c r="AJ46" s="72" t="str">
        <f aca="false">IF(OR(AJ$4="",$C46="",$D46=""),"",IF(AND($C46&lt;EDATE(AJ$4,1),$D46&gt;=AJ$4),1,""))</f>
        <v/>
      </c>
      <c r="AK46" s="72" t="str">
        <f aca="false">IF(OR(AK$4="",$C46="",$D46=""),"",IF(AND($C46&lt;EDATE(AK$4,1),$D46&gt;=AK$4),1,""))</f>
        <v/>
      </c>
      <c r="AL46" s="72" t="str">
        <f aca="false">IF(OR(AL$4="",$C46="",$D46=""),"",IF(AND($C46&lt;EDATE(AL$4,1),$D46&gt;=AL$4),1,""))</f>
        <v/>
      </c>
      <c r="AM46" s="72" t="str">
        <f aca="false">IF(OR(AM$4="",$C46="",$D46=""),"",IF(AND($C46&lt;EDATE(AM$4,1),$D46&gt;=AM$4),1,""))</f>
        <v/>
      </c>
      <c r="AN46" s="72" t="str">
        <f aca="false">IF(OR(AN$4="",$C46="",$D46=""),"",IF(AND($C46&lt;EDATE(AN$4,1),$D46&gt;=AN$4),1,""))</f>
        <v/>
      </c>
      <c r="AO46" s="72" t="str">
        <f aca="false">IF(OR(AO$4="",$C46="",$D46=""),"",IF(AND($C46&lt;EDATE(AO$4,1),$D46&gt;=AO$4),1,""))</f>
        <v/>
      </c>
      <c r="AP46" s="72" t="str">
        <f aca="false">IF(OR(AP$4="",$C46="",$D46=""),"",IF(AND($C46&lt;EDATE(AP$4,1),$D46&gt;=AP$4),1,""))</f>
        <v/>
      </c>
      <c r="AQ46" s="72" t="str">
        <f aca="false">IF(OR(AQ$4="",$C46="",$D46=""),"",IF(AND($C46&lt;EDATE(AQ$4,1),$D46&gt;=AQ$4),1,""))</f>
        <v/>
      </c>
      <c r="AR46" s="72" t="str">
        <f aca="false">IF(OR(AR$4="",$C46="",$D46=""),"",IF(AND($C46&lt;EDATE(AR$4,1),$D46&gt;=AR$4),1,""))</f>
        <v/>
      </c>
      <c r="AS46" s="72" t="str">
        <f aca="false">IF(OR(AS$4="",$C46="",$D46=""),"",IF(AND($C46&lt;EDATE(AS$4,1),$D46&gt;=AS$4),1,""))</f>
        <v/>
      </c>
      <c r="AT46" s="72" t="str">
        <f aca="false">IF(OR(AT$4="",$C46="",$D46=""),"",IF(AND($C46&lt;EDATE(AT$4,1),$D46&gt;=AT$4),1,""))</f>
        <v/>
      </c>
      <c r="AU46" s="72" t="str">
        <f aca="false">IF(OR(AU$4="",$C46="",$D46=""),"",IF(AND($C46&lt;EDATE(AU$4,1),$D46&gt;=AU$4),1,""))</f>
        <v/>
      </c>
      <c r="AV46" s="72" t="str">
        <f aca="false">IF(OR(AV$4="",$C46="",$D46=""),"",IF(AND($C46&lt;EDATE(AV$4,1),$D46&gt;=AV$4),1,""))</f>
        <v/>
      </c>
      <c r="AW46" s="72" t="str">
        <f aca="false">IF(OR(AW$4="",$C46="",$D46=""),"",IF(AND($C46&lt;EDATE(AW$4,1),$D46&gt;=AW$4),1,""))</f>
        <v/>
      </c>
      <c r="AX46" s="72" t="str">
        <f aca="false">IF(OR(AX$4="",$C46="",$D46=""),"",IF(AND($C46&lt;EDATE(AX$4,1),$D46&gt;=AX$4),1,""))</f>
        <v/>
      </c>
      <c r="AY46" s="72" t="str">
        <f aca="false">IF(OR(AY$4="",$C46="",$D46=""),"",IF(AND($C46&lt;EDATE(AY$4,1),$D46&gt;=AY$4),1,""))</f>
        <v/>
      </c>
      <c r="AZ46" s="72" t="str">
        <f aca="false">IF(OR(AZ$4="",$C46="",$D46=""),"",IF(AND($C46&lt;EDATE(AZ$4,1),$D46&gt;=AZ$4),1,""))</f>
        <v/>
      </c>
      <c r="BA46" s="72" t="str">
        <f aca="false">IF(OR(BA$4="",$C46="",$D46=""),"",IF(AND($C46&lt;EDATE(BA$4,1),$D46&gt;=BA$4),1,""))</f>
        <v/>
      </c>
      <c r="BB46" s="72" t="str">
        <f aca="false">IF(OR(BB$4="",$C46="",$D46=""),"",IF(AND($C46&lt;EDATE(BB$4,1),$D46&gt;=BB$4),1,""))</f>
        <v/>
      </c>
      <c r="BC46" s="72" t="str">
        <f aca="false">IF(OR(BC$4="",$C46="",$D46=""),"",IF(AND($C46&lt;EDATE(BC$4,1),$D46&gt;=BC$4),1,""))</f>
        <v/>
      </c>
      <c r="BD46" s="72" t="str">
        <f aca="false">IF(OR(BD$4="",$C46="",$D46=""),"",IF(AND($C46&lt;EDATE(BD$4,1),$D46&gt;=BD$4),1,""))</f>
        <v/>
      </c>
      <c r="BE46" s="72" t="str">
        <f aca="false">IF(OR(BE$4="",$C46="",$D46=""),"",IF(AND($C46&lt;EDATE(BE$4,1),$D46&gt;=BE$4),1,""))</f>
        <v/>
      </c>
      <c r="BF46" s="72" t="str">
        <f aca="false">IF(OR(BF$4="",$C46="",$D46=""),"",IF(AND($C46&lt;EDATE(BF$4,1),$D46&gt;=BF$4),1,""))</f>
        <v/>
      </c>
      <c r="BG46" s="72" t="str">
        <f aca="false">IF(OR(BG$4="",$C46="",$D46=""),"",IF(AND($C46&lt;EDATE(BG$4,1),$D46&gt;=BG$4),1,""))</f>
        <v/>
      </c>
      <c r="BH46" s="72" t="str">
        <f aca="false">IF(OR(BH$4="",$C46="",$D46=""),"",IF(AND($C46&lt;EDATE(BH$4,1),$D46&gt;=BH$4),1,""))</f>
        <v/>
      </c>
      <c r="BI46" s="72" t="str">
        <f aca="false">IF(OR(BI$4="",$C46="",$D46=""),"",IF(AND($C46&lt;EDATE(BI$4,1),$D46&gt;=BI$4),1,""))</f>
        <v/>
      </c>
      <c r="BJ46" s="72" t="str">
        <f aca="false">IF(OR(BJ$4="",$C46="",$D46=""),"",IF(AND($C46&lt;EDATE(BJ$4,1),$D46&gt;=BJ$4),1,""))</f>
        <v/>
      </c>
      <c r="BK46" s="72" t="str">
        <f aca="false">IF(OR(BK$4="",$C46="",$D46=""),"",IF(AND($C46&lt;EDATE(BK$4,1),$D46&gt;=BK$4),1,""))</f>
        <v/>
      </c>
      <c r="BL46" s="72" t="str">
        <f aca="false">IF(OR(BL$4="",$C46="",$D46=""),"",IF(AND($C46&lt;EDATE(BL$4,1),$D46&gt;=BL$4),1,""))</f>
        <v/>
      </c>
      <c r="BM46" s="72" t="str">
        <f aca="false">IF(OR(BM$4="",$C46="",$D46=""),"",IF(AND($C46&lt;EDATE(BM$4,1),$D46&gt;=BM$4),1,""))</f>
        <v/>
      </c>
      <c r="BN46" s="72" t="str">
        <f aca="false">IF(OR(BN$4="",$C46="",$D46=""),"",IF(AND($C46&lt;EDATE(BN$4,1),$D46&gt;=BN$4),1,""))</f>
        <v/>
      </c>
      <c r="BO46" s="72" t="str">
        <f aca="false">IF(OR(BO$4="",$C46="",$D46=""),"",IF(AND($C46&lt;EDATE(BO$4,1),$D46&gt;=BO$4),1,""))</f>
        <v/>
      </c>
      <c r="BP46" s="72" t="str">
        <f aca="false">IF(OR(BP$4="",$C46="",$D46=""),"",IF(AND($C46&lt;EDATE(BP$4,1),$D46&gt;=BP$4),1,""))</f>
        <v/>
      </c>
      <c r="BQ46" s="72" t="str">
        <f aca="false">IF(OR(BQ$4="",$C46="",$D46=""),"",IF(AND($C46&lt;EDATE(BQ$4,1),$D46&gt;=BQ$4),1,""))</f>
        <v/>
      </c>
      <c r="BR46" s="72" t="str">
        <f aca="false">IF(OR(BR$4="",$C46="",$D46=""),"",IF(AND($C46&lt;EDATE(BR$4,1),$D46&gt;=BR$4),1,""))</f>
        <v/>
      </c>
      <c r="BS46" s="72" t="str">
        <f aca="false">IF(OR(BS$4="",$C46="",$D46=""),"",IF(AND($C46&lt;EDATE(BS$4,1),$D46&gt;=BS$4),1,""))</f>
        <v/>
      </c>
      <c r="BT46" s="72" t="str">
        <f aca="false">IF(OR(BT$4="",$C46="",$D46=""),"",IF(AND($C46&lt;EDATE(BT$4,1),$D46&gt;=BT$4),1,""))</f>
        <v/>
      </c>
      <c r="BU46" s="72" t="str">
        <f aca="false">IF(OR(BU$4="",$C46="",$D46=""),"",IF(AND($C46&lt;EDATE(BU$4,1),$D46&gt;=BU$4),1,""))</f>
        <v/>
      </c>
      <c r="BV46" s="72" t="str">
        <f aca="false">IF(OR(BV$4="",$C46="",$D46=""),"",IF(AND($C46&lt;EDATE(BV$4,1),$D46&gt;=BV$4),1,""))</f>
        <v/>
      </c>
      <c r="BW46" s="72" t="str">
        <f aca="false">IF(OR(BW$4="",$C46="",$D46=""),"",IF(AND($C46&lt;EDATE(BW$4,1),$D46&gt;=BW$4),1,""))</f>
        <v/>
      </c>
      <c r="BX46" s="72" t="str">
        <f aca="false">IF(OR(BX$4="",$C46="",$D46=""),"",IF(AND($C46&lt;EDATE(BX$4,1),$D46&gt;=BX$4),1,""))</f>
        <v/>
      </c>
      <c r="BY46" s="72" t="str">
        <f aca="false">IF(OR(BY$4="",$C46="",$D46=""),"",IF(AND($C46&lt;EDATE(BY$4,1),$D46&gt;=BY$4),1,""))</f>
        <v/>
      </c>
    </row>
    <row r="47" customFormat="false" ht="15" hidden="false" customHeight="false" outlineLevel="0" collapsed="false">
      <c r="A47" s="61" t="str">
        <f aca="false">IF(BOE!$A16="","",BOE!$A16)</f>
        <v>202</v>
      </c>
      <c r="B47" s="61" t="str">
        <f aca="false">IF(BOE!$A16="","",BOE!$C16)</f>
        <v>Preliminary Hazard Analysis (PHA)</v>
      </c>
      <c r="C47" s="62" t="n">
        <f aca="false">IF(OR(BOE!$A16="",BOE!$E16&lt;&gt;"Y"),"",BOE!$O16)</f>
        <v>46481</v>
      </c>
      <c r="D47" s="62" t="n">
        <f aca="false">IF(OR(BOE!$A16="",BOE!$E16&lt;&gt;"Y"),"",BOE!$P16)</f>
        <v>46600</v>
      </c>
      <c r="E47" s="63" t="n">
        <f aca="false">IF(OR(BOE!$A16="",BOE!$E16&lt;&gt;"Y"),"",IF(Inputs!$B$7="P90",BOE!$T16,BOE!$R16))</f>
        <v>480</v>
      </c>
      <c r="F47" s="72" t="str">
        <f aca="false">IF(OR(F$4="",$C47="",$D47=""),"",IF(AND($C47&lt;EDATE(F$4,1),$D47&gt;=F$4),1,""))</f>
        <v/>
      </c>
      <c r="G47" s="72" t="str">
        <f aca="false">IF(OR(G$4="",$C47="",$D47=""),"",IF(AND($C47&lt;EDATE(G$4,1),$D47&gt;=G$4),1,""))</f>
        <v/>
      </c>
      <c r="H47" s="72" t="str">
        <f aca="false">IF(OR(H$4="",$C47="",$D47=""),"",IF(AND($C47&lt;EDATE(H$4,1),$D47&gt;=H$4),1,""))</f>
        <v/>
      </c>
      <c r="I47" s="72" t="n">
        <f aca="false">IF(OR(I$4="",$C47="",$D47=""),"",IF(AND($C47&lt;EDATE(I$4,1),$D47&gt;=I$4),1,""))</f>
        <v>1</v>
      </c>
      <c r="J47" s="72" t="n">
        <f aca="false">IF(OR(J$4="",$C47="",$D47=""),"",IF(AND($C47&lt;EDATE(J$4,1),$D47&gt;=J$4),1,""))</f>
        <v>1</v>
      </c>
      <c r="K47" s="72" t="n">
        <f aca="false">IF(OR(K$4="",$C47="",$D47=""),"",IF(AND($C47&lt;EDATE(K$4,1),$D47&gt;=K$4),1,""))</f>
        <v>1</v>
      </c>
      <c r="L47" s="72" t="n">
        <f aca="false">IF(OR(L$4="",$C47="",$D47=""),"",IF(AND($C47&lt;EDATE(L$4,1),$D47&gt;=L$4),1,""))</f>
        <v>1</v>
      </c>
      <c r="M47" s="72" t="str">
        <f aca="false">IF(OR(M$4="",$C47="",$D47=""),"",IF(AND($C47&lt;EDATE(M$4,1),$D47&gt;=M$4),1,""))</f>
        <v/>
      </c>
      <c r="N47" s="72" t="str">
        <f aca="false">IF(OR(N$4="",$C47="",$D47=""),"",IF(AND($C47&lt;EDATE(N$4,1),$D47&gt;=N$4),1,""))</f>
        <v/>
      </c>
      <c r="O47" s="72" t="str">
        <f aca="false">IF(OR(O$4="",$C47="",$D47=""),"",IF(AND($C47&lt;EDATE(O$4,1),$D47&gt;=O$4),1,""))</f>
        <v/>
      </c>
      <c r="P47" s="72" t="str">
        <f aca="false">IF(OR(P$4="",$C47="",$D47=""),"",IF(AND($C47&lt;EDATE(P$4,1),$D47&gt;=P$4),1,""))</f>
        <v/>
      </c>
      <c r="Q47" s="72" t="str">
        <f aca="false">IF(OR(Q$4="",$C47="",$D47=""),"",IF(AND($C47&lt;EDATE(Q$4,1),$D47&gt;=Q$4),1,""))</f>
        <v/>
      </c>
      <c r="R47" s="72" t="str">
        <f aca="false">IF(OR(R$4="",$C47="",$D47=""),"",IF(AND($C47&lt;EDATE(R$4,1),$D47&gt;=R$4),1,""))</f>
        <v/>
      </c>
      <c r="S47" s="72" t="str">
        <f aca="false">IF(OR(S$4="",$C47="",$D47=""),"",IF(AND($C47&lt;EDATE(S$4,1),$D47&gt;=S$4),1,""))</f>
        <v/>
      </c>
      <c r="T47" s="72" t="str">
        <f aca="false">IF(OR(T$4="",$C47="",$D47=""),"",IF(AND($C47&lt;EDATE(T$4,1),$D47&gt;=T$4),1,""))</f>
        <v/>
      </c>
      <c r="U47" s="72" t="str">
        <f aca="false">IF(OR(U$4="",$C47="",$D47=""),"",IF(AND($C47&lt;EDATE(U$4,1),$D47&gt;=U$4),1,""))</f>
        <v/>
      </c>
      <c r="V47" s="72" t="str">
        <f aca="false">IF(OR(V$4="",$C47="",$D47=""),"",IF(AND($C47&lt;EDATE(V$4,1),$D47&gt;=V$4),1,""))</f>
        <v/>
      </c>
      <c r="W47" s="72" t="str">
        <f aca="false">IF(OR(W$4="",$C47="",$D47=""),"",IF(AND($C47&lt;EDATE(W$4,1),$D47&gt;=W$4),1,""))</f>
        <v/>
      </c>
      <c r="X47" s="72" t="str">
        <f aca="false">IF(OR(X$4="",$C47="",$D47=""),"",IF(AND($C47&lt;EDATE(X$4,1),$D47&gt;=X$4),1,""))</f>
        <v/>
      </c>
      <c r="Y47" s="72" t="str">
        <f aca="false">IF(OR(Y$4="",$C47="",$D47=""),"",IF(AND($C47&lt;EDATE(Y$4,1),$D47&gt;=Y$4),1,""))</f>
        <v/>
      </c>
      <c r="Z47" s="72" t="str">
        <f aca="false">IF(OR(Z$4="",$C47="",$D47=""),"",IF(AND($C47&lt;EDATE(Z$4,1),$D47&gt;=Z$4),1,""))</f>
        <v/>
      </c>
      <c r="AA47" s="72" t="str">
        <f aca="false">IF(OR(AA$4="",$C47="",$D47=""),"",IF(AND($C47&lt;EDATE(AA$4,1),$D47&gt;=AA$4),1,""))</f>
        <v/>
      </c>
      <c r="AB47" s="72" t="str">
        <f aca="false">IF(OR(AB$4="",$C47="",$D47=""),"",IF(AND($C47&lt;EDATE(AB$4,1),$D47&gt;=AB$4),1,""))</f>
        <v/>
      </c>
      <c r="AC47" s="72" t="str">
        <f aca="false">IF(OR(AC$4="",$C47="",$D47=""),"",IF(AND($C47&lt;EDATE(AC$4,1),$D47&gt;=AC$4),1,""))</f>
        <v/>
      </c>
      <c r="AD47" s="72" t="str">
        <f aca="false">IF(OR(AD$4="",$C47="",$D47=""),"",IF(AND($C47&lt;EDATE(AD$4,1),$D47&gt;=AD$4),1,""))</f>
        <v/>
      </c>
      <c r="AE47" s="72" t="str">
        <f aca="false">IF(OR(AE$4="",$C47="",$D47=""),"",IF(AND($C47&lt;EDATE(AE$4,1),$D47&gt;=AE$4),1,""))</f>
        <v/>
      </c>
      <c r="AF47" s="72" t="str">
        <f aca="false">IF(OR(AF$4="",$C47="",$D47=""),"",IF(AND($C47&lt;EDATE(AF$4,1),$D47&gt;=AF$4),1,""))</f>
        <v/>
      </c>
      <c r="AG47" s="72" t="str">
        <f aca="false">IF(OR(AG$4="",$C47="",$D47=""),"",IF(AND($C47&lt;EDATE(AG$4,1),$D47&gt;=AG$4),1,""))</f>
        <v/>
      </c>
      <c r="AH47" s="72" t="str">
        <f aca="false">IF(OR(AH$4="",$C47="",$D47=""),"",IF(AND($C47&lt;EDATE(AH$4,1),$D47&gt;=AH$4),1,""))</f>
        <v/>
      </c>
      <c r="AI47" s="72" t="str">
        <f aca="false">IF(OR(AI$4="",$C47="",$D47=""),"",IF(AND($C47&lt;EDATE(AI$4,1),$D47&gt;=AI$4),1,""))</f>
        <v/>
      </c>
      <c r="AJ47" s="72" t="str">
        <f aca="false">IF(OR(AJ$4="",$C47="",$D47=""),"",IF(AND($C47&lt;EDATE(AJ$4,1),$D47&gt;=AJ$4),1,""))</f>
        <v/>
      </c>
      <c r="AK47" s="72" t="str">
        <f aca="false">IF(OR(AK$4="",$C47="",$D47=""),"",IF(AND($C47&lt;EDATE(AK$4,1),$D47&gt;=AK$4),1,""))</f>
        <v/>
      </c>
      <c r="AL47" s="72" t="str">
        <f aca="false">IF(OR(AL$4="",$C47="",$D47=""),"",IF(AND($C47&lt;EDATE(AL$4,1),$D47&gt;=AL$4),1,""))</f>
        <v/>
      </c>
      <c r="AM47" s="72" t="str">
        <f aca="false">IF(OR(AM$4="",$C47="",$D47=""),"",IF(AND($C47&lt;EDATE(AM$4,1),$D47&gt;=AM$4),1,""))</f>
        <v/>
      </c>
      <c r="AN47" s="72" t="str">
        <f aca="false">IF(OR(AN$4="",$C47="",$D47=""),"",IF(AND($C47&lt;EDATE(AN$4,1),$D47&gt;=AN$4),1,""))</f>
        <v/>
      </c>
      <c r="AO47" s="72" t="str">
        <f aca="false">IF(OR(AO$4="",$C47="",$D47=""),"",IF(AND($C47&lt;EDATE(AO$4,1),$D47&gt;=AO$4),1,""))</f>
        <v/>
      </c>
      <c r="AP47" s="72" t="str">
        <f aca="false">IF(OR(AP$4="",$C47="",$D47=""),"",IF(AND($C47&lt;EDATE(AP$4,1),$D47&gt;=AP$4),1,""))</f>
        <v/>
      </c>
      <c r="AQ47" s="72" t="str">
        <f aca="false">IF(OR(AQ$4="",$C47="",$D47=""),"",IF(AND($C47&lt;EDATE(AQ$4,1),$D47&gt;=AQ$4),1,""))</f>
        <v/>
      </c>
      <c r="AR47" s="72" t="str">
        <f aca="false">IF(OR(AR$4="",$C47="",$D47=""),"",IF(AND($C47&lt;EDATE(AR$4,1),$D47&gt;=AR$4),1,""))</f>
        <v/>
      </c>
      <c r="AS47" s="72" t="str">
        <f aca="false">IF(OR(AS$4="",$C47="",$D47=""),"",IF(AND($C47&lt;EDATE(AS$4,1),$D47&gt;=AS$4),1,""))</f>
        <v/>
      </c>
      <c r="AT47" s="72" t="str">
        <f aca="false">IF(OR(AT$4="",$C47="",$D47=""),"",IF(AND($C47&lt;EDATE(AT$4,1),$D47&gt;=AT$4),1,""))</f>
        <v/>
      </c>
      <c r="AU47" s="72" t="str">
        <f aca="false">IF(OR(AU$4="",$C47="",$D47=""),"",IF(AND($C47&lt;EDATE(AU$4,1),$D47&gt;=AU$4),1,""))</f>
        <v/>
      </c>
      <c r="AV47" s="72" t="str">
        <f aca="false">IF(OR(AV$4="",$C47="",$D47=""),"",IF(AND($C47&lt;EDATE(AV$4,1),$D47&gt;=AV$4),1,""))</f>
        <v/>
      </c>
      <c r="AW47" s="72" t="str">
        <f aca="false">IF(OR(AW$4="",$C47="",$D47=""),"",IF(AND($C47&lt;EDATE(AW$4,1),$D47&gt;=AW$4),1,""))</f>
        <v/>
      </c>
      <c r="AX47" s="72" t="str">
        <f aca="false">IF(OR(AX$4="",$C47="",$D47=""),"",IF(AND($C47&lt;EDATE(AX$4,1),$D47&gt;=AX$4),1,""))</f>
        <v/>
      </c>
      <c r="AY47" s="72" t="str">
        <f aca="false">IF(OR(AY$4="",$C47="",$D47=""),"",IF(AND($C47&lt;EDATE(AY$4,1),$D47&gt;=AY$4),1,""))</f>
        <v/>
      </c>
      <c r="AZ47" s="72" t="str">
        <f aca="false">IF(OR(AZ$4="",$C47="",$D47=""),"",IF(AND($C47&lt;EDATE(AZ$4,1),$D47&gt;=AZ$4),1,""))</f>
        <v/>
      </c>
      <c r="BA47" s="72" t="str">
        <f aca="false">IF(OR(BA$4="",$C47="",$D47=""),"",IF(AND($C47&lt;EDATE(BA$4,1),$D47&gt;=BA$4),1,""))</f>
        <v/>
      </c>
      <c r="BB47" s="72" t="str">
        <f aca="false">IF(OR(BB$4="",$C47="",$D47=""),"",IF(AND($C47&lt;EDATE(BB$4,1),$D47&gt;=BB$4),1,""))</f>
        <v/>
      </c>
      <c r="BC47" s="72" t="str">
        <f aca="false">IF(OR(BC$4="",$C47="",$D47=""),"",IF(AND($C47&lt;EDATE(BC$4,1),$D47&gt;=BC$4),1,""))</f>
        <v/>
      </c>
      <c r="BD47" s="72" t="str">
        <f aca="false">IF(OR(BD$4="",$C47="",$D47=""),"",IF(AND($C47&lt;EDATE(BD$4,1),$D47&gt;=BD$4),1,""))</f>
        <v/>
      </c>
      <c r="BE47" s="72" t="str">
        <f aca="false">IF(OR(BE$4="",$C47="",$D47=""),"",IF(AND($C47&lt;EDATE(BE$4,1),$D47&gt;=BE$4),1,""))</f>
        <v/>
      </c>
      <c r="BF47" s="72" t="str">
        <f aca="false">IF(OR(BF$4="",$C47="",$D47=""),"",IF(AND($C47&lt;EDATE(BF$4,1),$D47&gt;=BF$4),1,""))</f>
        <v/>
      </c>
      <c r="BG47" s="72" t="str">
        <f aca="false">IF(OR(BG$4="",$C47="",$D47=""),"",IF(AND($C47&lt;EDATE(BG$4,1),$D47&gt;=BG$4),1,""))</f>
        <v/>
      </c>
      <c r="BH47" s="72" t="str">
        <f aca="false">IF(OR(BH$4="",$C47="",$D47=""),"",IF(AND($C47&lt;EDATE(BH$4,1),$D47&gt;=BH$4),1,""))</f>
        <v/>
      </c>
      <c r="BI47" s="72" t="str">
        <f aca="false">IF(OR(BI$4="",$C47="",$D47=""),"",IF(AND($C47&lt;EDATE(BI$4,1),$D47&gt;=BI$4),1,""))</f>
        <v/>
      </c>
      <c r="BJ47" s="72" t="str">
        <f aca="false">IF(OR(BJ$4="",$C47="",$D47=""),"",IF(AND($C47&lt;EDATE(BJ$4,1),$D47&gt;=BJ$4),1,""))</f>
        <v/>
      </c>
      <c r="BK47" s="72" t="str">
        <f aca="false">IF(OR(BK$4="",$C47="",$D47=""),"",IF(AND($C47&lt;EDATE(BK$4,1),$D47&gt;=BK$4),1,""))</f>
        <v/>
      </c>
      <c r="BL47" s="72" t="str">
        <f aca="false">IF(OR(BL$4="",$C47="",$D47=""),"",IF(AND($C47&lt;EDATE(BL$4,1),$D47&gt;=BL$4),1,""))</f>
        <v/>
      </c>
      <c r="BM47" s="72" t="str">
        <f aca="false">IF(OR(BM$4="",$C47="",$D47=""),"",IF(AND($C47&lt;EDATE(BM$4,1),$D47&gt;=BM$4),1,""))</f>
        <v/>
      </c>
      <c r="BN47" s="72" t="str">
        <f aca="false">IF(OR(BN$4="",$C47="",$D47=""),"",IF(AND($C47&lt;EDATE(BN$4,1),$D47&gt;=BN$4),1,""))</f>
        <v/>
      </c>
      <c r="BO47" s="72" t="str">
        <f aca="false">IF(OR(BO$4="",$C47="",$D47=""),"",IF(AND($C47&lt;EDATE(BO$4,1),$D47&gt;=BO$4),1,""))</f>
        <v/>
      </c>
      <c r="BP47" s="72" t="str">
        <f aca="false">IF(OR(BP$4="",$C47="",$D47=""),"",IF(AND($C47&lt;EDATE(BP$4,1),$D47&gt;=BP$4),1,""))</f>
        <v/>
      </c>
      <c r="BQ47" s="72" t="str">
        <f aca="false">IF(OR(BQ$4="",$C47="",$D47=""),"",IF(AND($C47&lt;EDATE(BQ$4,1),$D47&gt;=BQ$4),1,""))</f>
        <v/>
      </c>
      <c r="BR47" s="72" t="str">
        <f aca="false">IF(OR(BR$4="",$C47="",$D47=""),"",IF(AND($C47&lt;EDATE(BR$4,1),$D47&gt;=BR$4),1,""))</f>
        <v/>
      </c>
      <c r="BS47" s="72" t="str">
        <f aca="false">IF(OR(BS$4="",$C47="",$D47=""),"",IF(AND($C47&lt;EDATE(BS$4,1),$D47&gt;=BS$4),1,""))</f>
        <v/>
      </c>
      <c r="BT47" s="72" t="str">
        <f aca="false">IF(OR(BT$4="",$C47="",$D47=""),"",IF(AND($C47&lt;EDATE(BT$4,1),$D47&gt;=BT$4),1,""))</f>
        <v/>
      </c>
      <c r="BU47" s="72" t="str">
        <f aca="false">IF(OR(BU$4="",$C47="",$D47=""),"",IF(AND($C47&lt;EDATE(BU$4,1),$D47&gt;=BU$4),1,""))</f>
        <v/>
      </c>
      <c r="BV47" s="72" t="str">
        <f aca="false">IF(OR(BV$4="",$C47="",$D47=""),"",IF(AND($C47&lt;EDATE(BV$4,1),$D47&gt;=BV$4),1,""))</f>
        <v/>
      </c>
      <c r="BW47" s="72" t="str">
        <f aca="false">IF(OR(BW$4="",$C47="",$D47=""),"",IF(AND($C47&lt;EDATE(BW$4,1),$D47&gt;=BW$4),1,""))</f>
        <v/>
      </c>
      <c r="BX47" s="72" t="str">
        <f aca="false">IF(OR(BX$4="",$C47="",$D47=""),"",IF(AND($C47&lt;EDATE(BX$4,1),$D47&gt;=BX$4),1,""))</f>
        <v/>
      </c>
      <c r="BY47" s="72" t="str">
        <f aca="false">IF(OR(BY$4="",$C47="",$D47=""),"",IF(AND($C47&lt;EDATE(BY$4,1),$D47&gt;=BY$4),1,""))</f>
        <v/>
      </c>
    </row>
    <row r="48" customFormat="false" ht="15" hidden="false" customHeight="false" outlineLevel="0" collapsed="false">
      <c r="A48" s="61" t="str">
        <f aca="false">IF(BOE!$A17="","",BOE!$A17)</f>
        <v>203</v>
      </c>
      <c r="B48" s="61" t="str">
        <f aca="false">IF(BOE!$A17="","",BOE!$C17)</f>
        <v>System Requirements Hazard Analysis (SRHA)</v>
      </c>
      <c r="C48" s="62" t="n">
        <f aca="false">IF(OR(BOE!$A17="",BOE!$E17&lt;&gt;"Y"),"",BOE!$O17)</f>
        <v>46481</v>
      </c>
      <c r="D48" s="62" t="n">
        <f aca="false">IF(OR(BOE!$A17="",BOE!$E17&lt;&gt;"Y"),"",BOE!$P17)</f>
        <v>46877</v>
      </c>
      <c r="E48" s="63" t="n">
        <f aca="false">IF(OR(BOE!$A17="",BOE!$E17&lt;&gt;"Y"),"",IF(Inputs!$B$7="P90",BOE!$T17,BOE!$R17))</f>
        <v>520</v>
      </c>
      <c r="F48" s="72" t="str">
        <f aca="false">IF(OR(F$4="",$C48="",$D48=""),"",IF(AND($C48&lt;EDATE(F$4,1),$D48&gt;=F$4),1,""))</f>
        <v/>
      </c>
      <c r="G48" s="72" t="str">
        <f aca="false">IF(OR(G$4="",$C48="",$D48=""),"",IF(AND($C48&lt;EDATE(G$4,1),$D48&gt;=G$4),1,""))</f>
        <v/>
      </c>
      <c r="H48" s="72" t="str">
        <f aca="false">IF(OR(H$4="",$C48="",$D48=""),"",IF(AND($C48&lt;EDATE(H$4,1),$D48&gt;=H$4),1,""))</f>
        <v/>
      </c>
      <c r="I48" s="72" t="n">
        <f aca="false">IF(OR(I$4="",$C48="",$D48=""),"",IF(AND($C48&lt;EDATE(I$4,1),$D48&gt;=I$4),1,""))</f>
        <v>1</v>
      </c>
      <c r="J48" s="72" t="n">
        <f aca="false">IF(OR(J$4="",$C48="",$D48=""),"",IF(AND($C48&lt;EDATE(J$4,1),$D48&gt;=J$4),1,""))</f>
        <v>1</v>
      </c>
      <c r="K48" s="72" t="n">
        <f aca="false">IF(OR(K$4="",$C48="",$D48=""),"",IF(AND($C48&lt;EDATE(K$4,1),$D48&gt;=K$4),1,""))</f>
        <v>1</v>
      </c>
      <c r="L48" s="72" t="n">
        <f aca="false">IF(OR(L$4="",$C48="",$D48=""),"",IF(AND($C48&lt;EDATE(L$4,1),$D48&gt;=L$4),1,""))</f>
        <v>1</v>
      </c>
      <c r="M48" s="72" t="n">
        <f aca="false">IF(OR(M$4="",$C48="",$D48=""),"",IF(AND($C48&lt;EDATE(M$4,1),$D48&gt;=M$4),1,""))</f>
        <v>1</v>
      </c>
      <c r="N48" s="72" t="n">
        <f aca="false">IF(OR(N$4="",$C48="",$D48=""),"",IF(AND($C48&lt;EDATE(N$4,1),$D48&gt;=N$4),1,""))</f>
        <v>1</v>
      </c>
      <c r="O48" s="72" t="n">
        <f aca="false">IF(OR(O$4="",$C48="",$D48=""),"",IF(AND($C48&lt;EDATE(O$4,1),$D48&gt;=O$4),1,""))</f>
        <v>1</v>
      </c>
      <c r="P48" s="72" t="n">
        <f aca="false">IF(OR(P$4="",$C48="",$D48=""),"",IF(AND($C48&lt;EDATE(P$4,1),$D48&gt;=P$4),1,""))</f>
        <v>1</v>
      </c>
      <c r="Q48" s="72" t="n">
        <f aca="false">IF(OR(Q$4="",$C48="",$D48=""),"",IF(AND($C48&lt;EDATE(Q$4,1),$D48&gt;=Q$4),1,""))</f>
        <v>1</v>
      </c>
      <c r="R48" s="72" t="n">
        <f aca="false">IF(OR(R$4="",$C48="",$D48=""),"",IF(AND($C48&lt;EDATE(R$4,1),$D48&gt;=R$4),1,""))</f>
        <v>1</v>
      </c>
      <c r="S48" s="72" t="n">
        <f aca="false">IF(OR(S$4="",$C48="",$D48=""),"",IF(AND($C48&lt;EDATE(S$4,1),$D48&gt;=S$4),1,""))</f>
        <v>1</v>
      </c>
      <c r="T48" s="72" t="n">
        <f aca="false">IF(OR(T$4="",$C48="",$D48=""),"",IF(AND($C48&lt;EDATE(T$4,1),$D48&gt;=T$4),1,""))</f>
        <v>1</v>
      </c>
      <c r="U48" s="72" t="n">
        <f aca="false">IF(OR(U$4="",$C48="",$D48=""),"",IF(AND($C48&lt;EDATE(U$4,1),$D48&gt;=U$4),1,""))</f>
        <v>1</v>
      </c>
      <c r="V48" s="72" t="n">
        <f aca="false">IF(OR(V$4="",$C48="",$D48=""),"",IF(AND($C48&lt;EDATE(V$4,1),$D48&gt;=V$4),1,""))</f>
        <v>1</v>
      </c>
      <c r="W48" s="72" t="str">
        <f aca="false">IF(OR(W$4="",$C48="",$D48=""),"",IF(AND($C48&lt;EDATE(W$4,1),$D48&gt;=W$4),1,""))</f>
        <v/>
      </c>
      <c r="X48" s="72" t="str">
        <f aca="false">IF(OR(X$4="",$C48="",$D48=""),"",IF(AND($C48&lt;EDATE(X$4,1),$D48&gt;=X$4),1,""))</f>
        <v/>
      </c>
      <c r="Y48" s="72" t="str">
        <f aca="false">IF(OR(Y$4="",$C48="",$D48=""),"",IF(AND($C48&lt;EDATE(Y$4,1),$D48&gt;=Y$4),1,""))</f>
        <v/>
      </c>
      <c r="Z48" s="72" t="str">
        <f aca="false">IF(OR(Z$4="",$C48="",$D48=""),"",IF(AND($C48&lt;EDATE(Z$4,1),$D48&gt;=Z$4),1,""))</f>
        <v/>
      </c>
      <c r="AA48" s="72" t="str">
        <f aca="false">IF(OR(AA$4="",$C48="",$D48=""),"",IF(AND($C48&lt;EDATE(AA$4,1),$D48&gt;=AA$4),1,""))</f>
        <v/>
      </c>
      <c r="AB48" s="72" t="str">
        <f aca="false">IF(OR(AB$4="",$C48="",$D48=""),"",IF(AND($C48&lt;EDATE(AB$4,1),$D48&gt;=AB$4),1,""))</f>
        <v/>
      </c>
      <c r="AC48" s="72" t="str">
        <f aca="false">IF(OR(AC$4="",$C48="",$D48=""),"",IF(AND($C48&lt;EDATE(AC$4,1),$D48&gt;=AC$4),1,""))</f>
        <v/>
      </c>
      <c r="AD48" s="72" t="str">
        <f aca="false">IF(OR(AD$4="",$C48="",$D48=""),"",IF(AND($C48&lt;EDATE(AD$4,1),$D48&gt;=AD$4),1,""))</f>
        <v/>
      </c>
      <c r="AE48" s="72" t="str">
        <f aca="false">IF(OR(AE$4="",$C48="",$D48=""),"",IF(AND($C48&lt;EDATE(AE$4,1),$D48&gt;=AE$4),1,""))</f>
        <v/>
      </c>
      <c r="AF48" s="72" t="str">
        <f aca="false">IF(OR(AF$4="",$C48="",$D48=""),"",IF(AND($C48&lt;EDATE(AF$4,1),$D48&gt;=AF$4),1,""))</f>
        <v/>
      </c>
      <c r="AG48" s="72" t="str">
        <f aca="false">IF(OR(AG$4="",$C48="",$D48=""),"",IF(AND($C48&lt;EDATE(AG$4,1),$D48&gt;=AG$4),1,""))</f>
        <v/>
      </c>
      <c r="AH48" s="72" t="str">
        <f aca="false">IF(OR(AH$4="",$C48="",$D48=""),"",IF(AND($C48&lt;EDATE(AH$4,1),$D48&gt;=AH$4),1,""))</f>
        <v/>
      </c>
      <c r="AI48" s="72" t="str">
        <f aca="false">IF(OR(AI$4="",$C48="",$D48=""),"",IF(AND($C48&lt;EDATE(AI$4,1),$D48&gt;=AI$4),1,""))</f>
        <v/>
      </c>
      <c r="AJ48" s="72" t="str">
        <f aca="false">IF(OR(AJ$4="",$C48="",$D48=""),"",IF(AND($C48&lt;EDATE(AJ$4,1),$D48&gt;=AJ$4),1,""))</f>
        <v/>
      </c>
      <c r="AK48" s="72" t="str">
        <f aca="false">IF(OR(AK$4="",$C48="",$D48=""),"",IF(AND($C48&lt;EDATE(AK$4,1),$D48&gt;=AK$4),1,""))</f>
        <v/>
      </c>
      <c r="AL48" s="72" t="str">
        <f aca="false">IF(OR(AL$4="",$C48="",$D48=""),"",IF(AND($C48&lt;EDATE(AL$4,1),$D48&gt;=AL$4),1,""))</f>
        <v/>
      </c>
      <c r="AM48" s="72" t="str">
        <f aca="false">IF(OR(AM$4="",$C48="",$D48=""),"",IF(AND($C48&lt;EDATE(AM$4,1),$D48&gt;=AM$4),1,""))</f>
        <v/>
      </c>
      <c r="AN48" s="72" t="str">
        <f aca="false">IF(OR(AN$4="",$C48="",$D48=""),"",IF(AND($C48&lt;EDATE(AN$4,1),$D48&gt;=AN$4),1,""))</f>
        <v/>
      </c>
      <c r="AO48" s="72" t="str">
        <f aca="false">IF(OR(AO$4="",$C48="",$D48=""),"",IF(AND($C48&lt;EDATE(AO$4,1),$D48&gt;=AO$4),1,""))</f>
        <v/>
      </c>
      <c r="AP48" s="72" t="str">
        <f aca="false">IF(OR(AP$4="",$C48="",$D48=""),"",IF(AND($C48&lt;EDATE(AP$4,1),$D48&gt;=AP$4),1,""))</f>
        <v/>
      </c>
      <c r="AQ48" s="72" t="str">
        <f aca="false">IF(OR(AQ$4="",$C48="",$D48=""),"",IF(AND($C48&lt;EDATE(AQ$4,1),$D48&gt;=AQ$4),1,""))</f>
        <v/>
      </c>
      <c r="AR48" s="72" t="str">
        <f aca="false">IF(OR(AR$4="",$C48="",$D48=""),"",IF(AND($C48&lt;EDATE(AR$4,1),$D48&gt;=AR$4),1,""))</f>
        <v/>
      </c>
      <c r="AS48" s="72" t="str">
        <f aca="false">IF(OR(AS$4="",$C48="",$D48=""),"",IF(AND($C48&lt;EDATE(AS$4,1),$D48&gt;=AS$4),1,""))</f>
        <v/>
      </c>
      <c r="AT48" s="72" t="str">
        <f aca="false">IF(OR(AT$4="",$C48="",$D48=""),"",IF(AND($C48&lt;EDATE(AT$4,1),$D48&gt;=AT$4),1,""))</f>
        <v/>
      </c>
      <c r="AU48" s="72" t="str">
        <f aca="false">IF(OR(AU$4="",$C48="",$D48=""),"",IF(AND($C48&lt;EDATE(AU$4,1),$D48&gt;=AU$4),1,""))</f>
        <v/>
      </c>
      <c r="AV48" s="72" t="str">
        <f aca="false">IF(OR(AV$4="",$C48="",$D48=""),"",IF(AND($C48&lt;EDATE(AV$4,1),$D48&gt;=AV$4),1,""))</f>
        <v/>
      </c>
      <c r="AW48" s="72" t="str">
        <f aca="false">IF(OR(AW$4="",$C48="",$D48=""),"",IF(AND($C48&lt;EDATE(AW$4,1),$D48&gt;=AW$4),1,""))</f>
        <v/>
      </c>
      <c r="AX48" s="72" t="str">
        <f aca="false">IF(OR(AX$4="",$C48="",$D48=""),"",IF(AND($C48&lt;EDATE(AX$4,1),$D48&gt;=AX$4),1,""))</f>
        <v/>
      </c>
      <c r="AY48" s="72" t="str">
        <f aca="false">IF(OR(AY$4="",$C48="",$D48=""),"",IF(AND($C48&lt;EDATE(AY$4,1),$D48&gt;=AY$4),1,""))</f>
        <v/>
      </c>
      <c r="AZ48" s="72" t="str">
        <f aca="false">IF(OR(AZ$4="",$C48="",$D48=""),"",IF(AND($C48&lt;EDATE(AZ$4,1),$D48&gt;=AZ$4),1,""))</f>
        <v/>
      </c>
      <c r="BA48" s="72" t="str">
        <f aca="false">IF(OR(BA$4="",$C48="",$D48=""),"",IF(AND($C48&lt;EDATE(BA$4,1),$D48&gt;=BA$4),1,""))</f>
        <v/>
      </c>
      <c r="BB48" s="72" t="str">
        <f aca="false">IF(OR(BB$4="",$C48="",$D48=""),"",IF(AND($C48&lt;EDATE(BB$4,1),$D48&gt;=BB$4),1,""))</f>
        <v/>
      </c>
      <c r="BC48" s="72" t="str">
        <f aca="false">IF(OR(BC$4="",$C48="",$D48=""),"",IF(AND($C48&lt;EDATE(BC$4,1),$D48&gt;=BC$4),1,""))</f>
        <v/>
      </c>
      <c r="BD48" s="72" t="str">
        <f aca="false">IF(OR(BD$4="",$C48="",$D48=""),"",IF(AND($C48&lt;EDATE(BD$4,1),$D48&gt;=BD$4),1,""))</f>
        <v/>
      </c>
      <c r="BE48" s="72" t="str">
        <f aca="false">IF(OR(BE$4="",$C48="",$D48=""),"",IF(AND($C48&lt;EDATE(BE$4,1),$D48&gt;=BE$4),1,""))</f>
        <v/>
      </c>
      <c r="BF48" s="72" t="str">
        <f aca="false">IF(OR(BF$4="",$C48="",$D48=""),"",IF(AND($C48&lt;EDATE(BF$4,1),$D48&gt;=BF$4),1,""))</f>
        <v/>
      </c>
      <c r="BG48" s="72" t="str">
        <f aca="false">IF(OR(BG$4="",$C48="",$D48=""),"",IF(AND($C48&lt;EDATE(BG$4,1),$D48&gt;=BG$4),1,""))</f>
        <v/>
      </c>
      <c r="BH48" s="72" t="str">
        <f aca="false">IF(OR(BH$4="",$C48="",$D48=""),"",IF(AND($C48&lt;EDATE(BH$4,1),$D48&gt;=BH$4),1,""))</f>
        <v/>
      </c>
      <c r="BI48" s="72" t="str">
        <f aca="false">IF(OR(BI$4="",$C48="",$D48=""),"",IF(AND($C48&lt;EDATE(BI$4,1),$D48&gt;=BI$4),1,""))</f>
        <v/>
      </c>
      <c r="BJ48" s="72" t="str">
        <f aca="false">IF(OR(BJ$4="",$C48="",$D48=""),"",IF(AND($C48&lt;EDATE(BJ$4,1),$D48&gt;=BJ$4),1,""))</f>
        <v/>
      </c>
      <c r="BK48" s="72" t="str">
        <f aca="false">IF(OR(BK$4="",$C48="",$D48=""),"",IF(AND($C48&lt;EDATE(BK$4,1),$D48&gt;=BK$4),1,""))</f>
        <v/>
      </c>
      <c r="BL48" s="72" t="str">
        <f aca="false">IF(OR(BL$4="",$C48="",$D48=""),"",IF(AND($C48&lt;EDATE(BL$4,1),$D48&gt;=BL$4),1,""))</f>
        <v/>
      </c>
      <c r="BM48" s="72" t="str">
        <f aca="false">IF(OR(BM$4="",$C48="",$D48=""),"",IF(AND($C48&lt;EDATE(BM$4,1),$D48&gt;=BM$4),1,""))</f>
        <v/>
      </c>
      <c r="BN48" s="72" t="str">
        <f aca="false">IF(OR(BN$4="",$C48="",$D48=""),"",IF(AND($C48&lt;EDATE(BN$4,1),$D48&gt;=BN$4),1,""))</f>
        <v/>
      </c>
      <c r="BO48" s="72" t="str">
        <f aca="false">IF(OR(BO$4="",$C48="",$D48=""),"",IF(AND($C48&lt;EDATE(BO$4,1),$D48&gt;=BO$4),1,""))</f>
        <v/>
      </c>
      <c r="BP48" s="72" t="str">
        <f aca="false">IF(OR(BP$4="",$C48="",$D48=""),"",IF(AND($C48&lt;EDATE(BP$4,1),$D48&gt;=BP$4),1,""))</f>
        <v/>
      </c>
      <c r="BQ48" s="72" t="str">
        <f aca="false">IF(OR(BQ$4="",$C48="",$D48=""),"",IF(AND($C48&lt;EDATE(BQ$4,1),$D48&gt;=BQ$4),1,""))</f>
        <v/>
      </c>
      <c r="BR48" s="72" t="str">
        <f aca="false">IF(OR(BR$4="",$C48="",$D48=""),"",IF(AND($C48&lt;EDATE(BR$4,1),$D48&gt;=BR$4),1,""))</f>
        <v/>
      </c>
      <c r="BS48" s="72" t="str">
        <f aca="false">IF(OR(BS$4="",$C48="",$D48=""),"",IF(AND($C48&lt;EDATE(BS$4,1),$D48&gt;=BS$4),1,""))</f>
        <v/>
      </c>
      <c r="BT48" s="72" t="str">
        <f aca="false">IF(OR(BT$4="",$C48="",$D48=""),"",IF(AND($C48&lt;EDATE(BT$4,1),$D48&gt;=BT$4),1,""))</f>
        <v/>
      </c>
      <c r="BU48" s="72" t="str">
        <f aca="false">IF(OR(BU$4="",$C48="",$D48=""),"",IF(AND($C48&lt;EDATE(BU$4,1),$D48&gt;=BU$4),1,""))</f>
        <v/>
      </c>
      <c r="BV48" s="72" t="str">
        <f aca="false">IF(OR(BV$4="",$C48="",$D48=""),"",IF(AND($C48&lt;EDATE(BV$4,1),$D48&gt;=BV$4),1,""))</f>
        <v/>
      </c>
      <c r="BW48" s="72" t="str">
        <f aca="false">IF(OR(BW$4="",$C48="",$D48=""),"",IF(AND($C48&lt;EDATE(BW$4,1),$D48&gt;=BW$4),1,""))</f>
        <v/>
      </c>
      <c r="BX48" s="72" t="str">
        <f aca="false">IF(OR(BX$4="",$C48="",$D48=""),"",IF(AND($C48&lt;EDATE(BX$4,1),$D48&gt;=BX$4),1,""))</f>
        <v/>
      </c>
      <c r="BY48" s="72" t="str">
        <f aca="false">IF(OR(BY$4="",$C48="",$D48=""),"",IF(AND($C48&lt;EDATE(BY$4,1),$D48&gt;=BY$4),1,""))</f>
        <v/>
      </c>
    </row>
    <row r="49" customFormat="false" ht="15" hidden="false" customHeight="false" outlineLevel="0" collapsed="false">
      <c r="A49" s="61" t="str">
        <f aca="false">IF(BOE!$A18="","",BOE!$A18)</f>
        <v>204</v>
      </c>
      <c r="B49" s="61" t="str">
        <f aca="false">IF(BOE!$A18="","",BOE!$C18)</f>
        <v>Subsystem Hazard Analysis (SSHA)</v>
      </c>
      <c r="C49" s="62" t="n">
        <f aca="false">IF(OR(BOE!$A18="",BOE!$E18&lt;&gt;"Y"),"",BOE!$O18)</f>
        <v>46695</v>
      </c>
      <c r="D49" s="62" t="n">
        <f aca="false">IF(OR(BOE!$A18="",BOE!$E18&lt;&gt;"Y"),"",BOE!$P18)</f>
        <v>46905</v>
      </c>
      <c r="E49" s="63" t="n">
        <f aca="false">IF(OR(BOE!$A18="",BOE!$E18&lt;&gt;"Y"),"",IF(Inputs!$B$7="P90",BOE!$T18,BOE!$R18))</f>
        <v>1872</v>
      </c>
      <c r="F49" s="72" t="str">
        <f aca="false">IF(OR(F$4="",$C49="",$D49=""),"",IF(AND($C49&lt;EDATE(F$4,1),$D49&gt;=F$4),1,""))</f>
        <v/>
      </c>
      <c r="G49" s="72" t="str">
        <f aca="false">IF(OR(G$4="",$C49="",$D49=""),"",IF(AND($C49&lt;EDATE(G$4,1),$D49&gt;=G$4),1,""))</f>
        <v/>
      </c>
      <c r="H49" s="72" t="str">
        <f aca="false">IF(OR(H$4="",$C49="",$D49=""),"",IF(AND($C49&lt;EDATE(H$4,1),$D49&gt;=H$4),1,""))</f>
        <v/>
      </c>
      <c r="I49" s="72" t="str">
        <f aca="false">IF(OR(I$4="",$C49="",$D49=""),"",IF(AND($C49&lt;EDATE(I$4,1),$D49&gt;=I$4),1,""))</f>
        <v/>
      </c>
      <c r="J49" s="72" t="str">
        <f aca="false">IF(OR(J$4="",$C49="",$D49=""),"",IF(AND($C49&lt;EDATE(J$4,1),$D49&gt;=J$4),1,""))</f>
        <v/>
      </c>
      <c r="K49" s="72" t="str">
        <f aca="false">IF(OR(K$4="",$C49="",$D49=""),"",IF(AND($C49&lt;EDATE(K$4,1),$D49&gt;=K$4),1,""))</f>
        <v/>
      </c>
      <c r="L49" s="72" t="str">
        <f aca="false">IF(OR(L$4="",$C49="",$D49=""),"",IF(AND($C49&lt;EDATE(L$4,1),$D49&gt;=L$4),1,""))</f>
        <v/>
      </c>
      <c r="M49" s="72" t="str">
        <f aca="false">IF(OR(M$4="",$C49="",$D49=""),"",IF(AND($C49&lt;EDATE(M$4,1),$D49&gt;=M$4),1,""))</f>
        <v/>
      </c>
      <c r="N49" s="72" t="str">
        <f aca="false">IF(OR(N$4="",$C49="",$D49=""),"",IF(AND($C49&lt;EDATE(N$4,1),$D49&gt;=N$4),1,""))</f>
        <v/>
      </c>
      <c r="O49" s="72" t="str">
        <f aca="false">IF(OR(O$4="",$C49="",$D49=""),"",IF(AND($C49&lt;EDATE(O$4,1),$D49&gt;=O$4),1,""))</f>
        <v/>
      </c>
      <c r="P49" s="72" t="n">
        <f aca="false">IF(OR(P$4="",$C49="",$D49=""),"",IF(AND($C49&lt;EDATE(P$4,1),$D49&gt;=P$4),1,""))</f>
        <v>1</v>
      </c>
      <c r="Q49" s="72" t="n">
        <f aca="false">IF(OR(Q$4="",$C49="",$D49=""),"",IF(AND($C49&lt;EDATE(Q$4,1),$D49&gt;=Q$4),1,""))</f>
        <v>1</v>
      </c>
      <c r="R49" s="72" t="n">
        <f aca="false">IF(OR(R$4="",$C49="",$D49=""),"",IF(AND($C49&lt;EDATE(R$4,1),$D49&gt;=R$4),1,""))</f>
        <v>1</v>
      </c>
      <c r="S49" s="72" t="n">
        <f aca="false">IF(OR(S$4="",$C49="",$D49=""),"",IF(AND($C49&lt;EDATE(S$4,1),$D49&gt;=S$4),1,""))</f>
        <v>1</v>
      </c>
      <c r="T49" s="72" t="n">
        <f aca="false">IF(OR(T$4="",$C49="",$D49=""),"",IF(AND($C49&lt;EDATE(T$4,1),$D49&gt;=T$4),1,""))</f>
        <v>1</v>
      </c>
      <c r="U49" s="72" t="n">
        <f aca="false">IF(OR(U$4="",$C49="",$D49=""),"",IF(AND($C49&lt;EDATE(U$4,1),$D49&gt;=U$4),1,""))</f>
        <v>1</v>
      </c>
      <c r="V49" s="72" t="n">
        <f aca="false">IF(OR(V$4="",$C49="",$D49=""),"",IF(AND($C49&lt;EDATE(V$4,1),$D49&gt;=V$4),1,""))</f>
        <v>1</v>
      </c>
      <c r="W49" s="72" t="str">
        <f aca="false">IF(OR(W$4="",$C49="",$D49=""),"",IF(AND($C49&lt;EDATE(W$4,1),$D49&gt;=W$4),1,""))</f>
        <v/>
      </c>
      <c r="X49" s="72" t="str">
        <f aca="false">IF(OR(X$4="",$C49="",$D49=""),"",IF(AND($C49&lt;EDATE(X$4,1),$D49&gt;=X$4),1,""))</f>
        <v/>
      </c>
      <c r="Y49" s="72" t="str">
        <f aca="false">IF(OR(Y$4="",$C49="",$D49=""),"",IF(AND($C49&lt;EDATE(Y$4,1),$D49&gt;=Y$4),1,""))</f>
        <v/>
      </c>
      <c r="Z49" s="72" t="str">
        <f aca="false">IF(OR(Z$4="",$C49="",$D49=""),"",IF(AND($C49&lt;EDATE(Z$4,1),$D49&gt;=Z$4),1,""))</f>
        <v/>
      </c>
      <c r="AA49" s="72" t="str">
        <f aca="false">IF(OR(AA$4="",$C49="",$D49=""),"",IF(AND($C49&lt;EDATE(AA$4,1),$D49&gt;=AA$4),1,""))</f>
        <v/>
      </c>
      <c r="AB49" s="72" t="str">
        <f aca="false">IF(OR(AB$4="",$C49="",$D49=""),"",IF(AND($C49&lt;EDATE(AB$4,1),$D49&gt;=AB$4),1,""))</f>
        <v/>
      </c>
      <c r="AC49" s="72" t="str">
        <f aca="false">IF(OR(AC$4="",$C49="",$D49=""),"",IF(AND($C49&lt;EDATE(AC$4,1),$D49&gt;=AC$4),1,""))</f>
        <v/>
      </c>
      <c r="AD49" s="72" t="str">
        <f aca="false">IF(OR(AD$4="",$C49="",$D49=""),"",IF(AND($C49&lt;EDATE(AD$4,1),$D49&gt;=AD$4),1,""))</f>
        <v/>
      </c>
      <c r="AE49" s="72" t="str">
        <f aca="false">IF(OR(AE$4="",$C49="",$D49=""),"",IF(AND($C49&lt;EDATE(AE$4,1),$D49&gt;=AE$4),1,""))</f>
        <v/>
      </c>
      <c r="AF49" s="72" t="str">
        <f aca="false">IF(OR(AF$4="",$C49="",$D49=""),"",IF(AND($C49&lt;EDATE(AF$4,1),$D49&gt;=AF$4),1,""))</f>
        <v/>
      </c>
      <c r="AG49" s="72" t="str">
        <f aca="false">IF(OR(AG$4="",$C49="",$D49=""),"",IF(AND($C49&lt;EDATE(AG$4,1),$D49&gt;=AG$4),1,""))</f>
        <v/>
      </c>
      <c r="AH49" s="72" t="str">
        <f aca="false">IF(OR(AH$4="",$C49="",$D49=""),"",IF(AND($C49&lt;EDATE(AH$4,1),$D49&gt;=AH$4),1,""))</f>
        <v/>
      </c>
      <c r="AI49" s="72" t="str">
        <f aca="false">IF(OR(AI$4="",$C49="",$D49=""),"",IF(AND($C49&lt;EDATE(AI$4,1),$D49&gt;=AI$4),1,""))</f>
        <v/>
      </c>
      <c r="AJ49" s="72" t="str">
        <f aca="false">IF(OR(AJ$4="",$C49="",$D49=""),"",IF(AND($C49&lt;EDATE(AJ$4,1),$D49&gt;=AJ$4),1,""))</f>
        <v/>
      </c>
      <c r="AK49" s="72" t="str">
        <f aca="false">IF(OR(AK$4="",$C49="",$D49=""),"",IF(AND($C49&lt;EDATE(AK$4,1),$D49&gt;=AK$4),1,""))</f>
        <v/>
      </c>
      <c r="AL49" s="72" t="str">
        <f aca="false">IF(OR(AL$4="",$C49="",$D49=""),"",IF(AND($C49&lt;EDATE(AL$4,1),$D49&gt;=AL$4),1,""))</f>
        <v/>
      </c>
      <c r="AM49" s="72" t="str">
        <f aca="false">IF(OR(AM$4="",$C49="",$D49=""),"",IF(AND($C49&lt;EDATE(AM$4,1),$D49&gt;=AM$4),1,""))</f>
        <v/>
      </c>
      <c r="AN49" s="72" t="str">
        <f aca="false">IF(OR(AN$4="",$C49="",$D49=""),"",IF(AND($C49&lt;EDATE(AN$4,1),$D49&gt;=AN$4),1,""))</f>
        <v/>
      </c>
      <c r="AO49" s="72" t="str">
        <f aca="false">IF(OR(AO$4="",$C49="",$D49=""),"",IF(AND($C49&lt;EDATE(AO$4,1),$D49&gt;=AO$4),1,""))</f>
        <v/>
      </c>
      <c r="AP49" s="72" t="str">
        <f aca="false">IF(OR(AP$4="",$C49="",$D49=""),"",IF(AND($C49&lt;EDATE(AP$4,1),$D49&gt;=AP$4),1,""))</f>
        <v/>
      </c>
      <c r="AQ49" s="72" t="str">
        <f aca="false">IF(OR(AQ$4="",$C49="",$D49=""),"",IF(AND($C49&lt;EDATE(AQ$4,1),$D49&gt;=AQ$4),1,""))</f>
        <v/>
      </c>
      <c r="AR49" s="72" t="str">
        <f aca="false">IF(OR(AR$4="",$C49="",$D49=""),"",IF(AND($C49&lt;EDATE(AR$4,1),$D49&gt;=AR$4),1,""))</f>
        <v/>
      </c>
      <c r="AS49" s="72" t="str">
        <f aca="false">IF(OR(AS$4="",$C49="",$D49=""),"",IF(AND($C49&lt;EDATE(AS$4,1),$D49&gt;=AS$4),1,""))</f>
        <v/>
      </c>
      <c r="AT49" s="72" t="str">
        <f aca="false">IF(OR(AT$4="",$C49="",$D49=""),"",IF(AND($C49&lt;EDATE(AT$4,1),$D49&gt;=AT$4),1,""))</f>
        <v/>
      </c>
      <c r="AU49" s="72" t="str">
        <f aca="false">IF(OR(AU$4="",$C49="",$D49=""),"",IF(AND($C49&lt;EDATE(AU$4,1),$D49&gt;=AU$4),1,""))</f>
        <v/>
      </c>
      <c r="AV49" s="72" t="str">
        <f aca="false">IF(OR(AV$4="",$C49="",$D49=""),"",IF(AND($C49&lt;EDATE(AV$4,1),$D49&gt;=AV$4),1,""))</f>
        <v/>
      </c>
      <c r="AW49" s="72" t="str">
        <f aca="false">IF(OR(AW$4="",$C49="",$D49=""),"",IF(AND($C49&lt;EDATE(AW$4,1),$D49&gt;=AW$4),1,""))</f>
        <v/>
      </c>
      <c r="AX49" s="72" t="str">
        <f aca="false">IF(OR(AX$4="",$C49="",$D49=""),"",IF(AND($C49&lt;EDATE(AX$4,1),$D49&gt;=AX$4),1,""))</f>
        <v/>
      </c>
      <c r="AY49" s="72" t="str">
        <f aca="false">IF(OR(AY$4="",$C49="",$D49=""),"",IF(AND($C49&lt;EDATE(AY$4,1),$D49&gt;=AY$4),1,""))</f>
        <v/>
      </c>
      <c r="AZ49" s="72" t="str">
        <f aca="false">IF(OR(AZ$4="",$C49="",$D49=""),"",IF(AND($C49&lt;EDATE(AZ$4,1),$D49&gt;=AZ$4),1,""))</f>
        <v/>
      </c>
      <c r="BA49" s="72" t="str">
        <f aca="false">IF(OR(BA$4="",$C49="",$D49=""),"",IF(AND($C49&lt;EDATE(BA$4,1),$D49&gt;=BA$4),1,""))</f>
        <v/>
      </c>
      <c r="BB49" s="72" t="str">
        <f aca="false">IF(OR(BB$4="",$C49="",$D49=""),"",IF(AND($C49&lt;EDATE(BB$4,1),$D49&gt;=BB$4),1,""))</f>
        <v/>
      </c>
      <c r="BC49" s="72" t="str">
        <f aca="false">IF(OR(BC$4="",$C49="",$D49=""),"",IF(AND($C49&lt;EDATE(BC$4,1),$D49&gt;=BC$4),1,""))</f>
        <v/>
      </c>
      <c r="BD49" s="72" t="str">
        <f aca="false">IF(OR(BD$4="",$C49="",$D49=""),"",IF(AND($C49&lt;EDATE(BD$4,1),$D49&gt;=BD$4),1,""))</f>
        <v/>
      </c>
      <c r="BE49" s="72" t="str">
        <f aca="false">IF(OR(BE$4="",$C49="",$D49=""),"",IF(AND($C49&lt;EDATE(BE$4,1),$D49&gt;=BE$4),1,""))</f>
        <v/>
      </c>
      <c r="BF49" s="72" t="str">
        <f aca="false">IF(OR(BF$4="",$C49="",$D49=""),"",IF(AND($C49&lt;EDATE(BF$4,1),$D49&gt;=BF$4),1,""))</f>
        <v/>
      </c>
      <c r="BG49" s="72" t="str">
        <f aca="false">IF(OR(BG$4="",$C49="",$D49=""),"",IF(AND($C49&lt;EDATE(BG$4,1),$D49&gt;=BG$4),1,""))</f>
        <v/>
      </c>
      <c r="BH49" s="72" t="str">
        <f aca="false">IF(OR(BH$4="",$C49="",$D49=""),"",IF(AND($C49&lt;EDATE(BH$4,1),$D49&gt;=BH$4),1,""))</f>
        <v/>
      </c>
      <c r="BI49" s="72" t="str">
        <f aca="false">IF(OR(BI$4="",$C49="",$D49=""),"",IF(AND($C49&lt;EDATE(BI$4,1),$D49&gt;=BI$4),1,""))</f>
        <v/>
      </c>
      <c r="BJ49" s="72" t="str">
        <f aca="false">IF(OR(BJ$4="",$C49="",$D49=""),"",IF(AND($C49&lt;EDATE(BJ$4,1),$D49&gt;=BJ$4),1,""))</f>
        <v/>
      </c>
      <c r="BK49" s="72" t="str">
        <f aca="false">IF(OR(BK$4="",$C49="",$D49=""),"",IF(AND($C49&lt;EDATE(BK$4,1),$D49&gt;=BK$4),1,""))</f>
        <v/>
      </c>
      <c r="BL49" s="72" t="str">
        <f aca="false">IF(OR(BL$4="",$C49="",$D49=""),"",IF(AND($C49&lt;EDATE(BL$4,1),$D49&gt;=BL$4),1,""))</f>
        <v/>
      </c>
      <c r="BM49" s="72" t="str">
        <f aca="false">IF(OR(BM$4="",$C49="",$D49=""),"",IF(AND($C49&lt;EDATE(BM$4,1),$D49&gt;=BM$4),1,""))</f>
        <v/>
      </c>
      <c r="BN49" s="72" t="str">
        <f aca="false">IF(OR(BN$4="",$C49="",$D49=""),"",IF(AND($C49&lt;EDATE(BN$4,1),$D49&gt;=BN$4),1,""))</f>
        <v/>
      </c>
      <c r="BO49" s="72" t="str">
        <f aca="false">IF(OR(BO$4="",$C49="",$D49=""),"",IF(AND($C49&lt;EDATE(BO$4,1),$D49&gt;=BO$4),1,""))</f>
        <v/>
      </c>
      <c r="BP49" s="72" t="str">
        <f aca="false">IF(OR(BP$4="",$C49="",$D49=""),"",IF(AND($C49&lt;EDATE(BP$4,1),$D49&gt;=BP$4),1,""))</f>
        <v/>
      </c>
      <c r="BQ49" s="72" t="str">
        <f aca="false">IF(OR(BQ$4="",$C49="",$D49=""),"",IF(AND($C49&lt;EDATE(BQ$4,1),$D49&gt;=BQ$4),1,""))</f>
        <v/>
      </c>
      <c r="BR49" s="72" t="str">
        <f aca="false">IF(OR(BR$4="",$C49="",$D49=""),"",IF(AND($C49&lt;EDATE(BR$4,1),$D49&gt;=BR$4),1,""))</f>
        <v/>
      </c>
      <c r="BS49" s="72" t="str">
        <f aca="false">IF(OR(BS$4="",$C49="",$D49=""),"",IF(AND($C49&lt;EDATE(BS$4,1),$D49&gt;=BS$4),1,""))</f>
        <v/>
      </c>
      <c r="BT49" s="72" t="str">
        <f aca="false">IF(OR(BT$4="",$C49="",$D49=""),"",IF(AND($C49&lt;EDATE(BT$4,1),$D49&gt;=BT$4),1,""))</f>
        <v/>
      </c>
      <c r="BU49" s="72" t="str">
        <f aca="false">IF(OR(BU$4="",$C49="",$D49=""),"",IF(AND($C49&lt;EDATE(BU$4,1),$D49&gt;=BU$4),1,""))</f>
        <v/>
      </c>
      <c r="BV49" s="72" t="str">
        <f aca="false">IF(OR(BV$4="",$C49="",$D49=""),"",IF(AND($C49&lt;EDATE(BV$4,1),$D49&gt;=BV$4),1,""))</f>
        <v/>
      </c>
      <c r="BW49" s="72" t="str">
        <f aca="false">IF(OR(BW$4="",$C49="",$D49=""),"",IF(AND($C49&lt;EDATE(BW$4,1),$D49&gt;=BW$4),1,""))</f>
        <v/>
      </c>
      <c r="BX49" s="72" t="str">
        <f aca="false">IF(OR(BX$4="",$C49="",$D49=""),"",IF(AND($C49&lt;EDATE(BX$4,1),$D49&gt;=BX$4),1,""))</f>
        <v/>
      </c>
      <c r="BY49" s="72" t="str">
        <f aca="false">IF(OR(BY$4="",$C49="",$D49=""),"",IF(AND($C49&lt;EDATE(BY$4,1),$D49&gt;=BY$4),1,""))</f>
        <v/>
      </c>
    </row>
    <row r="50" customFormat="false" ht="15" hidden="false" customHeight="false" outlineLevel="0" collapsed="false">
      <c r="A50" s="61" t="str">
        <f aca="false">IF(BOE!$A19="","",BOE!$A19)</f>
        <v>205</v>
      </c>
      <c r="B50" s="61" t="str">
        <f aca="false">IF(BOE!$A19="","",BOE!$C19)</f>
        <v>System Hazard Analysis (SHA)</v>
      </c>
      <c r="C50" s="62" t="n">
        <f aca="false">IF(OR(BOE!$A19="",BOE!$E19&lt;&gt;"Y"),"",BOE!$O19)</f>
        <v>46695</v>
      </c>
      <c r="D50" s="62" t="n">
        <f aca="false">IF(OR(BOE!$A19="",BOE!$E19&lt;&gt;"Y"),"",BOE!$P19)</f>
        <v>46933</v>
      </c>
      <c r="E50" s="63" t="n">
        <f aca="false">IF(OR(BOE!$A19="",BOE!$E19&lt;&gt;"Y"),"",IF(Inputs!$B$7="P90",BOE!$T19,BOE!$R19))</f>
        <v>832</v>
      </c>
      <c r="F50" s="72" t="str">
        <f aca="false">IF(OR(F$4="",$C50="",$D50=""),"",IF(AND($C50&lt;EDATE(F$4,1),$D50&gt;=F$4),1,""))</f>
        <v/>
      </c>
      <c r="G50" s="72" t="str">
        <f aca="false">IF(OR(G$4="",$C50="",$D50=""),"",IF(AND($C50&lt;EDATE(G$4,1),$D50&gt;=G$4),1,""))</f>
        <v/>
      </c>
      <c r="H50" s="72" t="str">
        <f aca="false">IF(OR(H$4="",$C50="",$D50=""),"",IF(AND($C50&lt;EDATE(H$4,1),$D50&gt;=H$4),1,""))</f>
        <v/>
      </c>
      <c r="I50" s="72" t="str">
        <f aca="false">IF(OR(I$4="",$C50="",$D50=""),"",IF(AND($C50&lt;EDATE(I$4,1),$D50&gt;=I$4),1,""))</f>
        <v/>
      </c>
      <c r="J50" s="72" t="str">
        <f aca="false">IF(OR(J$4="",$C50="",$D50=""),"",IF(AND($C50&lt;EDATE(J$4,1),$D50&gt;=J$4),1,""))</f>
        <v/>
      </c>
      <c r="K50" s="72" t="str">
        <f aca="false">IF(OR(K$4="",$C50="",$D50=""),"",IF(AND($C50&lt;EDATE(K$4,1),$D50&gt;=K$4),1,""))</f>
        <v/>
      </c>
      <c r="L50" s="72" t="str">
        <f aca="false">IF(OR(L$4="",$C50="",$D50=""),"",IF(AND($C50&lt;EDATE(L$4,1),$D50&gt;=L$4),1,""))</f>
        <v/>
      </c>
      <c r="M50" s="72" t="str">
        <f aca="false">IF(OR(M$4="",$C50="",$D50=""),"",IF(AND($C50&lt;EDATE(M$4,1),$D50&gt;=M$4),1,""))</f>
        <v/>
      </c>
      <c r="N50" s="72" t="str">
        <f aca="false">IF(OR(N$4="",$C50="",$D50=""),"",IF(AND($C50&lt;EDATE(N$4,1),$D50&gt;=N$4),1,""))</f>
        <v/>
      </c>
      <c r="O50" s="72" t="str">
        <f aca="false">IF(OR(O$4="",$C50="",$D50=""),"",IF(AND($C50&lt;EDATE(O$4,1),$D50&gt;=O$4),1,""))</f>
        <v/>
      </c>
      <c r="P50" s="72" t="n">
        <f aca="false">IF(OR(P$4="",$C50="",$D50=""),"",IF(AND($C50&lt;EDATE(P$4,1),$D50&gt;=P$4),1,""))</f>
        <v>1</v>
      </c>
      <c r="Q50" s="72" t="n">
        <f aca="false">IF(OR(Q$4="",$C50="",$D50=""),"",IF(AND($C50&lt;EDATE(Q$4,1),$D50&gt;=Q$4),1,""))</f>
        <v>1</v>
      </c>
      <c r="R50" s="72" t="n">
        <f aca="false">IF(OR(R$4="",$C50="",$D50=""),"",IF(AND($C50&lt;EDATE(R$4,1),$D50&gt;=R$4),1,""))</f>
        <v>1</v>
      </c>
      <c r="S50" s="72" t="n">
        <f aca="false">IF(OR(S$4="",$C50="",$D50=""),"",IF(AND($C50&lt;EDATE(S$4,1),$D50&gt;=S$4),1,""))</f>
        <v>1</v>
      </c>
      <c r="T50" s="72" t="n">
        <f aca="false">IF(OR(T$4="",$C50="",$D50=""),"",IF(AND($C50&lt;EDATE(T$4,1),$D50&gt;=T$4),1,""))</f>
        <v>1</v>
      </c>
      <c r="U50" s="72" t="n">
        <f aca="false">IF(OR(U$4="",$C50="",$D50=""),"",IF(AND($C50&lt;EDATE(U$4,1),$D50&gt;=U$4),1,""))</f>
        <v>1</v>
      </c>
      <c r="V50" s="72" t="n">
        <f aca="false">IF(OR(V$4="",$C50="",$D50=""),"",IF(AND($C50&lt;EDATE(V$4,1),$D50&gt;=V$4),1,""))</f>
        <v>1</v>
      </c>
      <c r="W50" s="72" t="n">
        <f aca="false">IF(OR(W$4="",$C50="",$D50=""),"",IF(AND($C50&lt;EDATE(W$4,1),$D50&gt;=W$4),1,""))</f>
        <v>1</v>
      </c>
      <c r="X50" s="72" t="str">
        <f aca="false">IF(OR(X$4="",$C50="",$D50=""),"",IF(AND($C50&lt;EDATE(X$4,1),$D50&gt;=X$4),1,""))</f>
        <v/>
      </c>
      <c r="Y50" s="72" t="str">
        <f aca="false">IF(OR(Y$4="",$C50="",$D50=""),"",IF(AND($C50&lt;EDATE(Y$4,1),$D50&gt;=Y$4),1,""))</f>
        <v/>
      </c>
      <c r="Z50" s="72" t="str">
        <f aca="false">IF(OR(Z$4="",$C50="",$D50=""),"",IF(AND($C50&lt;EDATE(Z$4,1),$D50&gt;=Z$4),1,""))</f>
        <v/>
      </c>
      <c r="AA50" s="72" t="str">
        <f aca="false">IF(OR(AA$4="",$C50="",$D50=""),"",IF(AND($C50&lt;EDATE(AA$4,1),$D50&gt;=AA$4),1,""))</f>
        <v/>
      </c>
      <c r="AB50" s="72" t="str">
        <f aca="false">IF(OR(AB$4="",$C50="",$D50=""),"",IF(AND($C50&lt;EDATE(AB$4,1),$D50&gt;=AB$4),1,""))</f>
        <v/>
      </c>
      <c r="AC50" s="72" t="str">
        <f aca="false">IF(OR(AC$4="",$C50="",$D50=""),"",IF(AND($C50&lt;EDATE(AC$4,1),$D50&gt;=AC$4),1,""))</f>
        <v/>
      </c>
      <c r="AD50" s="72" t="str">
        <f aca="false">IF(OR(AD$4="",$C50="",$D50=""),"",IF(AND($C50&lt;EDATE(AD$4,1),$D50&gt;=AD$4),1,""))</f>
        <v/>
      </c>
      <c r="AE50" s="72" t="str">
        <f aca="false">IF(OR(AE$4="",$C50="",$D50=""),"",IF(AND($C50&lt;EDATE(AE$4,1),$D50&gt;=AE$4),1,""))</f>
        <v/>
      </c>
      <c r="AF50" s="72" t="str">
        <f aca="false">IF(OR(AF$4="",$C50="",$D50=""),"",IF(AND($C50&lt;EDATE(AF$4,1),$D50&gt;=AF$4),1,""))</f>
        <v/>
      </c>
      <c r="AG50" s="72" t="str">
        <f aca="false">IF(OR(AG$4="",$C50="",$D50=""),"",IF(AND($C50&lt;EDATE(AG$4,1),$D50&gt;=AG$4),1,""))</f>
        <v/>
      </c>
      <c r="AH50" s="72" t="str">
        <f aca="false">IF(OR(AH$4="",$C50="",$D50=""),"",IF(AND($C50&lt;EDATE(AH$4,1),$D50&gt;=AH$4),1,""))</f>
        <v/>
      </c>
      <c r="AI50" s="72" t="str">
        <f aca="false">IF(OR(AI$4="",$C50="",$D50=""),"",IF(AND($C50&lt;EDATE(AI$4,1),$D50&gt;=AI$4),1,""))</f>
        <v/>
      </c>
      <c r="AJ50" s="72" t="str">
        <f aca="false">IF(OR(AJ$4="",$C50="",$D50=""),"",IF(AND($C50&lt;EDATE(AJ$4,1),$D50&gt;=AJ$4),1,""))</f>
        <v/>
      </c>
      <c r="AK50" s="72" t="str">
        <f aca="false">IF(OR(AK$4="",$C50="",$D50=""),"",IF(AND($C50&lt;EDATE(AK$4,1),$D50&gt;=AK$4),1,""))</f>
        <v/>
      </c>
      <c r="AL50" s="72" t="str">
        <f aca="false">IF(OR(AL$4="",$C50="",$D50=""),"",IF(AND($C50&lt;EDATE(AL$4,1),$D50&gt;=AL$4),1,""))</f>
        <v/>
      </c>
      <c r="AM50" s="72" t="str">
        <f aca="false">IF(OR(AM$4="",$C50="",$D50=""),"",IF(AND($C50&lt;EDATE(AM$4,1),$D50&gt;=AM$4),1,""))</f>
        <v/>
      </c>
      <c r="AN50" s="72" t="str">
        <f aca="false">IF(OR(AN$4="",$C50="",$D50=""),"",IF(AND($C50&lt;EDATE(AN$4,1),$D50&gt;=AN$4),1,""))</f>
        <v/>
      </c>
      <c r="AO50" s="72" t="str">
        <f aca="false">IF(OR(AO$4="",$C50="",$D50=""),"",IF(AND($C50&lt;EDATE(AO$4,1),$D50&gt;=AO$4),1,""))</f>
        <v/>
      </c>
      <c r="AP50" s="72" t="str">
        <f aca="false">IF(OR(AP$4="",$C50="",$D50=""),"",IF(AND($C50&lt;EDATE(AP$4,1),$D50&gt;=AP$4),1,""))</f>
        <v/>
      </c>
      <c r="AQ50" s="72" t="str">
        <f aca="false">IF(OR(AQ$4="",$C50="",$D50=""),"",IF(AND($C50&lt;EDATE(AQ$4,1),$D50&gt;=AQ$4),1,""))</f>
        <v/>
      </c>
      <c r="AR50" s="72" t="str">
        <f aca="false">IF(OR(AR$4="",$C50="",$D50=""),"",IF(AND($C50&lt;EDATE(AR$4,1),$D50&gt;=AR$4),1,""))</f>
        <v/>
      </c>
      <c r="AS50" s="72" t="str">
        <f aca="false">IF(OR(AS$4="",$C50="",$D50=""),"",IF(AND($C50&lt;EDATE(AS$4,1),$D50&gt;=AS$4),1,""))</f>
        <v/>
      </c>
      <c r="AT50" s="72" t="str">
        <f aca="false">IF(OR(AT$4="",$C50="",$D50=""),"",IF(AND($C50&lt;EDATE(AT$4,1),$D50&gt;=AT$4),1,""))</f>
        <v/>
      </c>
      <c r="AU50" s="72" t="str">
        <f aca="false">IF(OR(AU$4="",$C50="",$D50=""),"",IF(AND($C50&lt;EDATE(AU$4,1),$D50&gt;=AU$4),1,""))</f>
        <v/>
      </c>
      <c r="AV50" s="72" t="str">
        <f aca="false">IF(OR(AV$4="",$C50="",$D50=""),"",IF(AND($C50&lt;EDATE(AV$4,1),$D50&gt;=AV$4),1,""))</f>
        <v/>
      </c>
      <c r="AW50" s="72" t="str">
        <f aca="false">IF(OR(AW$4="",$C50="",$D50=""),"",IF(AND($C50&lt;EDATE(AW$4,1),$D50&gt;=AW$4),1,""))</f>
        <v/>
      </c>
      <c r="AX50" s="72" t="str">
        <f aca="false">IF(OR(AX$4="",$C50="",$D50=""),"",IF(AND($C50&lt;EDATE(AX$4,1),$D50&gt;=AX$4),1,""))</f>
        <v/>
      </c>
      <c r="AY50" s="72" t="str">
        <f aca="false">IF(OR(AY$4="",$C50="",$D50=""),"",IF(AND($C50&lt;EDATE(AY$4,1),$D50&gt;=AY$4),1,""))</f>
        <v/>
      </c>
      <c r="AZ50" s="72" t="str">
        <f aca="false">IF(OR(AZ$4="",$C50="",$D50=""),"",IF(AND($C50&lt;EDATE(AZ$4,1),$D50&gt;=AZ$4),1,""))</f>
        <v/>
      </c>
      <c r="BA50" s="72" t="str">
        <f aca="false">IF(OR(BA$4="",$C50="",$D50=""),"",IF(AND($C50&lt;EDATE(BA$4,1),$D50&gt;=BA$4),1,""))</f>
        <v/>
      </c>
      <c r="BB50" s="72" t="str">
        <f aca="false">IF(OR(BB$4="",$C50="",$D50=""),"",IF(AND($C50&lt;EDATE(BB$4,1),$D50&gt;=BB$4),1,""))</f>
        <v/>
      </c>
      <c r="BC50" s="72" t="str">
        <f aca="false">IF(OR(BC$4="",$C50="",$D50=""),"",IF(AND($C50&lt;EDATE(BC$4,1),$D50&gt;=BC$4),1,""))</f>
        <v/>
      </c>
      <c r="BD50" s="72" t="str">
        <f aca="false">IF(OR(BD$4="",$C50="",$D50=""),"",IF(AND($C50&lt;EDATE(BD$4,1),$D50&gt;=BD$4),1,""))</f>
        <v/>
      </c>
      <c r="BE50" s="72" t="str">
        <f aca="false">IF(OR(BE$4="",$C50="",$D50=""),"",IF(AND($C50&lt;EDATE(BE$4,1),$D50&gt;=BE$4),1,""))</f>
        <v/>
      </c>
      <c r="BF50" s="72" t="str">
        <f aca="false">IF(OR(BF$4="",$C50="",$D50=""),"",IF(AND($C50&lt;EDATE(BF$4,1),$D50&gt;=BF$4),1,""))</f>
        <v/>
      </c>
      <c r="BG50" s="72" t="str">
        <f aca="false">IF(OR(BG$4="",$C50="",$D50=""),"",IF(AND($C50&lt;EDATE(BG$4,1),$D50&gt;=BG$4),1,""))</f>
        <v/>
      </c>
      <c r="BH50" s="72" t="str">
        <f aca="false">IF(OR(BH$4="",$C50="",$D50=""),"",IF(AND($C50&lt;EDATE(BH$4,1),$D50&gt;=BH$4),1,""))</f>
        <v/>
      </c>
      <c r="BI50" s="72" t="str">
        <f aca="false">IF(OR(BI$4="",$C50="",$D50=""),"",IF(AND($C50&lt;EDATE(BI$4,1),$D50&gt;=BI$4),1,""))</f>
        <v/>
      </c>
      <c r="BJ50" s="72" t="str">
        <f aca="false">IF(OR(BJ$4="",$C50="",$D50=""),"",IF(AND($C50&lt;EDATE(BJ$4,1),$D50&gt;=BJ$4),1,""))</f>
        <v/>
      </c>
      <c r="BK50" s="72" t="str">
        <f aca="false">IF(OR(BK$4="",$C50="",$D50=""),"",IF(AND($C50&lt;EDATE(BK$4,1),$D50&gt;=BK$4),1,""))</f>
        <v/>
      </c>
      <c r="BL50" s="72" t="str">
        <f aca="false">IF(OR(BL$4="",$C50="",$D50=""),"",IF(AND($C50&lt;EDATE(BL$4,1),$D50&gt;=BL$4),1,""))</f>
        <v/>
      </c>
      <c r="BM50" s="72" t="str">
        <f aca="false">IF(OR(BM$4="",$C50="",$D50=""),"",IF(AND($C50&lt;EDATE(BM$4,1),$D50&gt;=BM$4),1,""))</f>
        <v/>
      </c>
      <c r="BN50" s="72" t="str">
        <f aca="false">IF(OR(BN$4="",$C50="",$D50=""),"",IF(AND($C50&lt;EDATE(BN$4,1),$D50&gt;=BN$4),1,""))</f>
        <v/>
      </c>
      <c r="BO50" s="72" t="str">
        <f aca="false">IF(OR(BO$4="",$C50="",$D50=""),"",IF(AND($C50&lt;EDATE(BO$4,1),$D50&gt;=BO$4),1,""))</f>
        <v/>
      </c>
      <c r="BP50" s="72" t="str">
        <f aca="false">IF(OR(BP$4="",$C50="",$D50=""),"",IF(AND($C50&lt;EDATE(BP$4,1),$D50&gt;=BP$4),1,""))</f>
        <v/>
      </c>
      <c r="BQ50" s="72" t="str">
        <f aca="false">IF(OR(BQ$4="",$C50="",$D50=""),"",IF(AND($C50&lt;EDATE(BQ$4,1),$D50&gt;=BQ$4),1,""))</f>
        <v/>
      </c>
      <c r="BR50" s="72" t="str">
        <f aca="false">IF(OR(BR$4="",$C50="",$D50=""),"",IF(AND($C50&lt;EDATE(BR$4,1),$D50&gt;=BR$4),1,""))</f>
        <v/>
      </c>
      <c r="BS50" s="72" t="str">
        <f aca="false">IF(OR(BS$4="",$C50="",$D50=""),"",IF(AND($C50&lt;EDATE(BS$4,1),$D50&gt;=BS$4),1,""))</f>
        <v/>
      </c>
      <c r="BT50" s="72" t="str">
        <f aca="false">IF(OR(BT$4="",$C50="",$D50=""),"",IF(AND($C50&lt;EDATE(BT$4,1),$D50&gt;=BT$4),1,""))</f>
        <v/>
      </c>
      <c r="BU50" s="72" t="str">
        <f aca="false">IF(OR(BU$4="",$C50="",$D50=""),"",IF(AND($C50&lt;EDATE(BU$4,1),$D50&gt;=BU$4),1,""))</f>
        <v/>
      </c>
      <c r="BV50" s="72" t="str">
        <f aca="false">IF(OR(BV$4="",$C50="",$D50=""),"",IF(AND($C50&lt;EDATE(BV$4,1),$D50&gt;=BV$4),1,""))</f>
        <v/>
      </c>
      <c r="BW50" s="72" t="str">
        <f aca="false">IF(OR(BW$4="",$C50="",$D50=""),"",IF(AND($C50&lt;EDATE(BW$4,1),$D50&gt;=BW$4),1,""))</f>
        <v/>
      </c>
      <c r="BX50" s="72" t="str">
        <f aca="false">IF(OR(BX$4="",$C50="",$D50=""),"",IF(AND($C50&lt;EDATE(BX$4,1),$D50&gt;=BX$4),1,""))</f>
        <v/>
      </c>
      <c r="BY50" s="72" t="str">
        <f aca="false">IF(OR(BY$4="",$C50="",$D50=""),"",IF(AND($C50&lt;EDATE(BY$4,1),$D50&gt;=BY$4),1,""))</f>
        <v/>
      </c>
    </row>
    <row r="51" customFormat="false" ht="15" hidden="false" customHeight="false" outlineLevel="0" collapsed="false">
      <c r="A51" s="61" t="str">
        <f aca="false">IF(BOE!$A20="","",BOE!$A20)</f>
        <v>206</v>
      </c>
      <c r="B51" s="61" t="str">
        <f aca="false">IF(BOE!$A20="","",BOE!$C20)</f>
        <v>Operating &amp; Support Hazard Analysis (O&amp;SHA)</v>
      </c>
      <c r="C51" s="62" t="n">
        <f aca="false">IF(OR(BOE!$A20="",BOE!$E20&lt;&gt;"Y"),"",BOE!$O20)</f>
        <v>46877</v>
      </c>
      <c r="D51" s="62" t="n">
        <f aca="false">IF(OR(BOE!$A20="",BOE!$E20&lt;&gt;"Y"),"",BOE!$P20)</f>
        <v>47122</v>
      </c>
      <c r="E51" s="63" t="n">
        <f aca="false">IF(OR(BOE!$A20="",BOE!$E20&lt;&gt;"Y"),"",IF(Inputs!$B$7="P90",BOE!$T20,BOE!$R20))</f>
        <v>480</v>
      </c>
      <c r="F51" s="72" t="str">
        <f aca="false">IF(OR(F$4="",$C51="",$D51=""),"",IF(AND($C51&lt;EDATE(F$4,1),$D51&gt;=F$4),1,""))</f>
        <v/>
      </c>
      <c r="G51" s="72" t="str">
        <f aca="false">IF(OR(G$4="",$C51="",$D51=""),"",IF(AND($C51&lt;EDATE(G$4,1),$D51&gt;=G$4),1,""))</f>
        <v/>
      </c>
      <c r="H51" s="72" t="str">
        <f aca="false">IF(OR(H$4="",$C51="",$D51=""),"",IF(AND($C51&lt;EDATE(H$4,1),$D51&gt;=H$4),1,""))</f>
        <v/>
      </c>
      <c r="I51" s="72" t="str">
        <f aca="false">IF(OR(I$4="",$C51="",$D51=""),"",IF(AND($C51&lt;EDATE(I$4,1),$D51&gt;=I$4),1,""))</f>
        <v/>
      </c>
      <c r="J51" s="72" t="str">
        <f aca="false">IF(OR(J$4="",$C51="",$D51=""),"",IF(AND($C51&lt;EDATE(J$4,1),$D51&gt;=J$4),1,""))</f>
        <v/>
      </c>
      <c r="K51" s="72" t="str">
        <f aca="false">IF(OR(K$4="",$C51="",$D51=""),"",IF(AND($C51&lt;EDATE(K$4,1),$D51&gt;=K$4),1,""))</f>
        <v/>
      </c>
      <c r="L51" s="72" t="str">
        <f aca="false">IF(OR(L$4="",$C51="",$D51=""),"",IF(AND($C51&lt;EDATE(L$4,1),$D51&gt;=L$4),1,""))</f>
        <v/>
      </c>
      <c r="M51" s="72" t="str">
        <f aca="false">IF(OR(M$4="",$C51="",$D51=""),"",IF(AND($C51&lt;EDATE(M$4,1),$D51&gt;=M$4),1,""))</f>
        <v/>
      </c>
      <c r="N51" s="72" t="str">
        <f aca="false">IF(OR(N$4="",$C51="",$D51=""),"",IF(AND($C51&lt;EDATE(N$4,1),$D51&gt;=N$4),1,""))</f>
        <v/>
      </c>
      <c r="O51" s="72" t="str">
        <f aca="false">IF(OR(O$4="",$C51="",$D51=""),"",IF(AND($C51&lt;EDATE(O$4,1),$D51&gt;=O$4),1,""))</f>
        <v/>
      </c>
      <c r="P51" s="72" t="str">
        <f aca="false">IF(OR(P$4="",$C51="",$D51=""),"",IF(AND($C51&lt;EDATE(P$4,1),$D51&gt;=P$4),1,""))</f>
        <v/>
      </c>
      <c r="Q51" s="72" t="str">
        <f aca="false">IF(OR(Q$4="",$C51="",$D51=""),"",IF(AND($C51&lt;EDATE(Q$4,1),$D51&gt;=Q$4),1,""))</f>
        <v/>
      </c>
      <c r="R51" s="72" t="str">
        <f aca="false">IF(OR(R$4="",$C51="",$D51=""),"",IF(AND($C51&lt;EDATE(R$4,1),$D51&gt;=R$4),1,""))</f>
        <v/>
      </c>
      <c r="S51" s="72" t="str">
        <f aca="false">IF(OR(S$4="",$C51="",$D51=""),"",IF(AND($C51&lt;EDATE(S$4,1),$D51&gt;=S$4),1,""))</f>
        <v/>
      </c>
      <c r="T51" s="72" t="str">
        <f aca="false">IF(OR(T$4="",$C51="",$D51=""),"",IF(AND($C51&lt;EDATE(T$4,1),$D51&gt;=T$4),1,""))</f>
        <v/>
      </c>
      <c r="U51" s="72" t="str">
        <f aca="false">IF(OR(U$4="",$C51="",$D51=""),"",IF(AND($C51&lt;EDATE(U$4,1),$D51&gt;=U$4),1,""))</f>
        <v/>
      </c>
      <c r="V51" s="72" t="n">
        <f aca="false">IF(OR(V$4="",$C51="",$D51=""),"",IF(AND($C51&lt;EDATE(V$4,1),$D51&gt;=V$4),1,""))</f>
        <v>1</v>
      </c>
      <c r="W51" s="72" t="n">
        <f aca="false">IF(OR(W$4="",$C51="",$D51=""),"",IF(AND($C51&lt;EDATE(W$4,1),$D51&gt;=W$4),1,""))</f>
        <v>1</v>
      </c>
      <c r="X51" s="72" t="n">
        <f aca="false">IF(OR(X$4="",$C51="",$D51=""),"",IF(AND($C51&lt;EDATE(X$4,1),$D51&gt;=X$4),1,""))</f>
        <v>1</v>
      </c>
      <c r="Y51" s="72" t="n">
        <f aca="false">IF(OR(Y$4="",$C51="",$D51=""),"",IF(AND($C51&lt;EDATE(Y$4,1),$D51&gt;=Y$4),1,""))</f>
        <v>1</v>
      </c>
      <c r="Z51" s="72" t="n">
        <f aca="false">IF(OR(Z$4="",$C51="",$D51=""),"",IF(AND($C51&lt;EDATE(Z$4,1),$D51&gt;=Z$4),1,""))</f>
        <v>1</v>
      </c>
      <c r="AA51" s="72" t="n">
        <f aca="false">IF(OR(AA$4="",$C51="",$D51=""),"",IF(AND($C51&lt;EDATE(AA$4,1),$D51&gt;=AA$4),1,""))</f>
        <v>1</v>
      </c>
      <c r="AB51" s="72" t="n">
        <f aca="false">IF(OR(AB$4="",$C51="",$D51=""),"",IF(AND($C51&lt;EDATE(AB$4,1),$D51&gt;=AB$4),1,""))</f>
        <v>1</v>
      </c>
      <c r="AC51" s="72" t="n">
        <f aca="false">IF(OR(AC$4="",$C51="",$D51=""),"",IF(AND($C51&lt;EDATE(AC$4,1),$D51&gt;=AC$4),1,""))</f>
        <v>1</v>
      </c>
      <c r="AD51" s="72" t="n">
        <f aca="false">IF(OR(AD$4="",$C51="",$D51=""),"",IF(AND($C51&lt;EDATE(AD$4,1),$D51&gt;=AD$4),1,""))</f>
        <v>1</v>
      </c>
      <c r="AE51" s="72" t="str">
        <f aca="false">IF(OR(AE$4="",$C51="",$D51=""),"",IF(AND($C51&lt;EDATE(AE$4,1),$D51&gt;=AE$4),1,""))</f>
        <v/>
      </c>
      <c r="AF51" s="72" t="str">
        <f aca="false">IF(OR(AF$4="",$C51="",$D51=""),"",IF(AND($C51&lt;EDATE(AF$4,1),$D51&gt;=AF$4),1,""))</f>
        <v/>
      </c>
      <c r="AG51" s="72" t="str">
        <f aca="false">IF(OR(AG$4="",$C51="",$D51=""),"",IF(AND($C51&lt;EDATE(AG$4,1),$D51&gt;=AG$4),1,""))</f>
        <v/>
      </c>
      <c r="AH51" s="72" t="str">
        <f aca="false">IF(OR(AH$4="",$C51="",$D51=""),"",IF(AND($C51&lt;EDATE(AH$4,1),$D51&gt;=AH$4),1,""))</f>
        <v/>
      </c>
      <c r="AI51" s="72" t="str">
        <f aca="false">IF(OR(AI$4="",$C51="",$D51=""),"",IF(AND($C51&lt;EDATE(AI$4,1),$D51&gt;=AI$4),1,""))</f>
        <v/>
      </c>
      <c r="AJ51" s="72" t="str">
        <f aca="false">IF(OR(AJ$4="",$C51="",$D51=""),"",IF(AND($C51&lt;EDATE(AJ$4,1),$D51&gt;=AJ$4),1,""))</f>
        <v/>
      </c>
      <c r="AK51" s="72" t="str">
        <f aca="false">IF(OR(AK$4="",$C51="",$D51=""),"",IF(AND($C51&lt;EDATE(AK$4,1),$D51&gt;=AK$4),1,""))</f>
        <v/>
      </c>
      <c r="AL51" s="72" t="str">
        <f aca="false">IF(OR(AL$4="",$C51="",$D51=""),"",IF(AND($C51&lt;EDATE(AL$4,1),$D51&gt;=AL$4),1,""))</f>
        <v/>
      </c>
      <c r="AM51" s="72" t="str">
        <f aca="false">IF(OR(AM$4="",$C51="",$D51=""),"",IF(AND($C51&lt;EDATE(AM$4,1),$D51&gt;=AM$4),1,""))</f>
        <v/>
      </c>
      <c r="AN51" s="72" t="str">
        <f aca="false">IF(OR(AN$4="",$C51="",$D51=""),"",IF(AND($C51&lt;EDATE(AN$4,1),$D51&gt;=AN$4),1,""))</f>
        <v/>
      </c>
      <c r="AO51" s="72" t="str">
        <f aca="false">IF(OR(AO$4="",$C51="",$D51=""),"",IF(AND($C51&lt;EDATE(AO$4,1),$D51&gt;=AO$4),1,""))</f>
        <v/>
      </c>
      <c r="AP51" s="72" t="str">
        <f aca="false">IF(OR(AP$4="",$C51="",$D51=""),"",IF(AND($C51&lt;EDATE(AP$4,1),$D51&gt;=AP$4),1,""))</f>
        <v/>
      </c>
      <c r="AQ51" s="72" t="str">
        <f aca="false">IF(OR(AQ$4="",$C51="",$D51=""),"",IF(AND($C51&lt;EDATE(AQ$4,1),$D51&gt;=AQ$4),1,""))</f>
        <v/>
      </c>
      <c r="AR51" s="72" t="str">
        <f aca="false">IF(OR(AR$4="",$C51="",$D51=""),"",IF(AND($C51&lt;EDATE(AR$4,1),$D51&gt;=AR$4),1,""))</f>
        <v/>
      </c>
      <c r="AS51" s="72" t="str">
        <f aca="false">IF(OR(AS$4="",$C51="",$D51=""),"",IF(AND($C51&lt;EDATE(AS$4,1),$D51&gt;=AS$4),1,""))</f>
        <v/>
      </c>
      <c r="AT51" s="72" t="str">
        <f aca="false">IF(OR(AT$4="",$C51="",$D51=""),"",IF(AND($C51&lt;EDATE(AT$4,1),$D51&gt;=AT$4),1,""))</f>
        <v/>
      </c>
      <c r="AU51" s="72" t="str">
        <f aca="false">IF(OR(AU$4="",$C51="",$D51=""),"",IF(AND($C51&lt;EDATE(AU$4,1),$D51&gt;=AU$4),1,""))</f>
        <v/>
      </c>
      <c r="AV51" s="72" t="str">
        <f aca="false">IF(OR(AV$4="",$C51="",$D51=""),"",IF(AND($C51&lt;EDATE(AV$4,1),$D51&gt;=AV$4),1,""))</f>
        <v/>
      </c>
      <c r="AW51" s="72" t="str">
        <f aca="false">IF(OR(AW$4="",$C51="",$D51=""),"",IF(AND($C51&lt;EDATE(AW$4,1),$D51&gt;=AW$4),1,""))</f>
        <v/>
      </c>
      <c r="AX51" s="72" t="str">
        <f aca="false">IF(OR(AX$4="",$C51="",$D51=""),"",IF(AND($C51&lt;EDATE(AX$4,1),$D51&gt;=AX$4),1,""))</f>
        <v/>
      </c>
      <c r="AY51" s="72" t="str">
        <f aca="false">IF(OR(AY$4="",$C51="",$D51=""),"",IF(AND($C51&lt;EDATE(AY$4,1),$D51&gt;=AY$4),1,""))</f>
        <v/>
      </c>
      <c r="AZ51" s="72" t="str">
        <f aca="false">IF(OR(AZ$4="",$C51="",$D51=""),"",IF(AND($C51&lt;EDATE(AZ$4,1),$D51&gt;=AZ$4),1,""))</f>
        <v/>
      </c>
      <c r="BA51" s="72" t="str">
        <f aca="false">IF(OR(BA$4="",$C51="",$D51=""),"",IF(AND($C51&lt;EDATE(BA$4,1),$D51&gt;=BA$4),1,""))</f>
        <v/>
      </c>
      <c r="BB51" s="72" t="str">
        <f aca="false">IF(OR(BB$4="",$C51="",$D51=""),"",IF(AND($C51&lt;EDATE(BB$4,1),$D51&gt;=BB$4),1,""))</f>
        <v/>
      </c>
      <c r="BC51" s="72" t="str">
        <f aca="false">IF(OR(BC$4="",$C51="",$D51=""),"",IF(AND($C51&lt;EDATE(BC$4,1),$D51&gt;=BC$4),1,""))</f>
        <v/>
      </c>
      <c r="BD51" s="72" t="str">
        <f aca="false">IF(OR(BD$4="",$C51="",$D51=""),"",IF(AND($C51&lt;EDATE(BD$4,1),$D51&gt;=BD$4),1,""))</f>
        <v/>
      </c>
      <c r="BE51" s="72" t="str">
        <f aca="false">IF(OR(BE$4="",$C51="",$D51=""),"",IF(AND($C51&lt;EDATE(BE$4,1),$D51&gt;=BE$4),1,""))</f>
        <v/>
      </c>
      <c r="BF51" s="72" t="str">
        <f aca="false">IF(OR(BF$4="",$C51="",$D51=""),"",IF(AND($C51&lt;EDATE(BF$4,1),$D51&gt;=BF$4),1,""))</f>
        <v/>
      </c>
      <c r="BG51" s="72" t="str">
        <f aca="false">IF(OR(BG$4="",$C51="",$D51=""),"",IF(AND($C51&lt;EDATE(BG$4,1),$D51&gt;=BG$4),1,""))</f>
        <v/>
      </c>
      <c r="BH51" s="72" t="str">
        <f aca="false">IF(OR(BH$4="",$C51="",$D51=""),"",IF(AND($C51&lt;EDATE(BH$4,1),$D51&gt;=BH$4),1,""))</f>
        <v/>
      </c>
      <c r="BI51" s="72" t="str">
        <f aca="false">IF(OR(BI$4="",$C51="",$D51=""),"",IF(AND($C51&lt;EDATE(BI$4,1),$D51&gt;=BI$4),1,""))</f>
        <v/>
      </c>
      <c r="BJ51" s="72" t="str">
        <f aca="false">IF(OR(BJ$4="",$C51="",$D51=""),"",IF(AND($C51&lt;EDATE(BJ$4,1),$D51&gt;=BJ$4),1,""))</f>
        <v/>
      </c>
      <c r="BK51" s="72" t="str">
        <f aca="false">IF(OR(BK$4="",$C51="",$D51=""),"",IF(AND($C51&lt;EDATE(BK$4,1),$D51&gt;=BK$4),1,""))</f>
        <v/>
      </c>
      <c r="BL51" s="72" t="str">
        <f aca="false">IF(OR(BL$4="",$C51="",$D51=""),"",IF(AND($C51&lt;EDATE(BL$4,1),$D51&gt;=BL$4),1,""))</f>
        <v/>
      </c>
      <c r="BM51" s="72" t="str">
        <f aca="false">IF(OR(BM$4="",$C51="",$D51=""),"",IF(AND($C51&lt;EDATE(BM$4,1),$D51&gt;=BM$4),1,""))</f>
        <v/>
      </c>
      <c r="BN51" s="72" t="str">
        <f aca="false">IF(OR(BN$4="",$C51="",$D51=""),"",IF(AND($C51&lt;EDATE(BN$4,1),$D51&gt;=BN$4),1,""))</f>
        <v/>
      </c>
      <c r="BO51" s="72" t="str">
        <f aca="false">IF(OR(BO$4="",$C51="",$D51=""),"",IF(AND($C51&lt;EDATE(BO$4,1),$D51&gt;=BO$4),1,""))</f>
        <v/>
      </c>
      <c r="BP51" s="72" t="str">
        <f aca="false">IF(OR(BP$4="",$C51="",$D51=""),"",IF(AND($C51&lt;EDATE(BP$4,1),$D51&gt;=BP$4),1,""))</f>
        <v/>
      </c>
      <c r="BQ51" s="72" t="str">
        <f aca="false">IF(OR(BQ$4="",$C51="",$D51=""),"",IF(AND($C51&lt;EDATE(BQ$4,1),$D51&gt;=BQ$4),1,""))</f>
        <v/>
      </c>
      <c r="BR51" s="72" t="str">
        <f aca="false">IF(OR(BR$4="",$C51="",$D51=""),"",IF(AND($C51&lt;EDATE(BR$4,1),$D51&gt;=BR$4),1,""))</f>
        <v/>
      </c>
      <c r="BS51" s="72" t="str">
        <f aca="false">IF(OR(BS$4="",$C51="",$D51=""),"",IF(AND($C51&lt;EDATE(BS$4,1),$D51&gt;=BS$4),1,""))</f>
        <v/>
      </c>
      <c r="BT51" s="72" t="str">
        <f aca="false">IF(OR(BT$4="",$C51="",$D51=""),"",IF(AND($C51&lt;EDATE(BT$4,1),$D51&gt;=BT$4),1,""))</f>
        <v/>
      </c>
      <c r="BU51" s="72" t="str">
        <f aca="false">IF(OR(BU$4="",$C51="",$D51=""),"",IF(AND($C51&lt;EDATE(BU$4,1),$D51&gt;=BU$4),1,""))</f>
        <v/>
      </c>
      <c r="BV51" s="72" t="str">
        <f aca="false">IF(OR(BV$4="",$C51="",$D51=""),"",IF(AND($C51&lt;EDATE(BV$4,1),$D51&gt;=BV$4),1,""))</f>
        <v/>
      </c>
      <c r="BW51" s="72" t="str">
        <f aca="false">IF(OR(BW$4="",$C51="",$D51=""),"",IF(AND($C51&lt;EDATE(BW$4,1),$D51&gt;=BW$4),1,""))</f>
        <v/>
      </c>
      <c r="BX51" s="72" t="str">
        <f aca="false">IF(OR(BX$4="",$C51="",$D51=""),"",IF(AND($C51&lt;EDATE(BX$4,1),$D51&gt;=BX$4),1,""))</f>
        <v/>
      </c>
      <c r="BY51" s="72" t="str">
        <f aca="false">IF(OR(BY$4="",$C51="",$D51=""),"",IF(AND($C51&lt;EDATE(BY$4,1),$D51&gt;=BY$4),1,""))</f>
        <v/>
      </c>
    </row>
    <row r="52" customFormat="false" ht="15" hidden="false" customHeight="false" outlineLevel="0" collapsed="false">
      <c r="A52" s="61" t="str">
        <f aca="false">IF(BOE!$A21="","",BOE!$A21)</f>
        <v>207</v>
      </c>
      <c r="B52" s="61" t="str">
        <f aca="false">IF(BOE!$A21="","",BOE!$C21)</f>
        <v>Health Hazard Analysis (HHA)</v>
      </c>
      <c r="C52" s="62" t="n">
        <f aca="false">IF(OR(BOE!$A21="",BOE!$E21&lt;&gt;"Y"),"",BOE!$O21)</f>
        <v>46695</v>
      </c>
      <c r="D52" s="62" t="n">
        <f aca="false">IF(OR(BOE!$A21="",BOE!$E21&lt;&gt;"Y"),"",BOE!$P21)</f>
        <v>46877</v>
      </c>
      <c r="E52" s="63" t="n">
        <f aca="false">IF(OR(BOE!$A21="",BOE!$E21&lt;&gt;"Y"),"",IF(Inputs!$B$7="P90",BOE!$T21,BOE!$R21))</f>
        <v>280</v>
      </c>
      <c r="F52" s="72" t="str">
        <f aca="false">IF(OR(F$4="",$C52="",$D52=""),"",IF(AND($C52&lt;EDATE(F$4,1),$D52&gt;=F$4),1,""))</f>
        <v/>
      </c>
      <c r="G52" s="72" t="str">
        <f aca="false">IF(OR(G$4="",$C52="",$D52=""),"",IF(AND($C52&lt;EDATE(G$4,1),$D52&gt;=G$4),1,""))</f>
        <v/>
      </c>
      <c r="H52" s="72" t="str">
        <f aca="false">IF(OR(H$4="",$C52="",$D52=""),"",IF(AND($C52&lt;EDATE(H$4,1),$D52&gt;=H$4),1,""))</f>
        <v/>
      </c>
      <c r="I52" s="72" t="str">
        <f aca="false">IF(OR(I$4="",$C52="",$D52=""),"",IF(AND($C52&lt;EDATE(I$4,1),$D52&gt;=I$4),1,""))</f>
        <v/>
      </c>
      <c r="J52" s="72" t="str">
        <f aca="false">IF(OR(J$4="",$C52="",$D52=""),"",IF(AND($C52&lt;EDATE(J$4,1),$D52&gt;=J$4),1,""))</f>
        <v/>
      </c>
      <c r="K52" s="72" t="str">
        <f aca="false">IF(OR(K$4="",$C52="",$D52=""),"",IF(AND($C52&lt;EDATE(K$4,1),$D52&gt;=K$4),1,""))</f>
        <v/>
      </c>
      <c r="L52" s="72" t="str">
        <f aca="false">IF(OR(L$4="",$C52="",$D52=""),"",IF(AND($C52&lt;EDATE(L$4,1),$D52&gt;=L$4),1,""))</f>
        <v/>
      </c>
      <c r="M52" s="72" t="str">
        <f aca="false">IF(OR(M$4="",$C52="",$D52=""),"",IF(AND($C52&lt;EDATE(M$4,1),$D52&gt;=M$4),1,""))</f>
        <v/>
      </c>
      <c r="N52" s="72" t="str">
        <f aca="false">IF(OR(N$4="",$C52="",$D52=""),"",IF(AND($C52&lt;EDATE(N$4,1),$D52&gt;=N$4),1,""))</f>
        <v/>
      </c>
      <c r="O52" s="72" t="str">
        <f aca="false">IF(OR(O$4="",$C52="",$D52=""),"",IF(AND($C52&lt;EDATE(O$4,1),$D52&gt;=O$4),1,""))</f>
        <v/>
      </c>
      <c r="P52" s="72" t="n">
        <f aca="false">IF(OR(P$4="",$C52="",$D52=""),"",IF(AND($C52&lt;EDATE(P$4,1),$D52&gt;=P$4),1,""))</f>
        <v>1</v>
      </c>
      <c r="Q52" s="72" t="n">
        <f aca="false">IF(OR(Q$4="",$C52="",$D52=""),"",IF(AND($C52&lt;EDATE(Q$4,1),$D52&gt;=Q$4),1,""))</f>
        <v>1</v>
      </c>
      <c r="R52" s="72" t="n">
        <f aca="false">IF(OR(R$4="",$C52="",$D52=""),"",IF(AND($C52&lt;EDATE(R$4,1),$D52&gt;=R$4),1,""))</f>
        <v>1</v>
      </c>
      <c r="S52" s="72" t="n">
        <f aca="false">IF(OR(S$4="",$C52="",$D52=""),"",IF(AND($C52&lt;EDATE(S$4,1),$D52&gt;=S$4),1,""))</f>
        <v>1</v>
      </c>
      <c r="T52" s="72" t="n">
        <f aca="false">IF(OR(T$4="",$C52="",$D52=""),"",IF(AND($C52&lt;EDATE(T$4,1),$D52&gt;=T$4),1,""))</f>
        <v>1</v>
      </c>
      <c r="U52" s="72" t="n">
        <f aca="false">IF(OR(U$4="",$C52="",$D52=""),"",IF(AND($C52&lt;EDATE(U$4,1),$D52&gt;=U$4),1,""))</f>
        <v>1</v>
      </c>
      <c r="V52" s="72" t="n">
        <f aca="false">IF(OR(V$4="",$C52="",$D52=""),"",IF(AND($C52&lt;EDATE(V$4,1),$D52&gt;=V$4),1,""))</f>
        <v>1</v>
      </c>
      <c r="W52" s="72" t="str">
        <f aca="false">IF(OR(W$4="",$C52="",$D52=""),"",IF(AND($C52&lt;EDATE(W$4,1),$D52&gt;=W$4),1,""))</f>
        <v/>
      </c>
      <c r="X52" s="72" t="str">
        <f aca="false">IF(OR(X$4="",$C52="",$D52=""),"",IF(AND($C52&lt;EDATE(X$4,1),$D52&gt;=X$4),1,""))</f>
        <v/>
      </c>
      <c r="Y52" s="72" t="str">
        <f aca="false">IF(OR(Y$4="",$C52="",$D52=""),"",IF(AND($C52&lt;EDATE(Y$4,1),$D52&gt;=Y$4),1,""))</f>
        <v/>
      </c>
      <c r="Z52" s="72" t="str">
        <f aca="false">IF(OR(Z$4="",$C52="",$D52=""),"",IF(AND($C52&lt;EDATE(Z$4,1),$D52&gt;=Z$4),1,""))</f>
        <v/>
      </c>
      <c r="AA52" s="72" t="str">
        <f aca="false">IF(OR(AA$4="",$C52="",$D52=""),"",IF(AND($C52&lt;EDATE(AA$4,1),$D52&gt;=AA$4),1,""))</f>
        <v/>
      </c>
      <c r="AB52" s="72" t="str">
        <f aca="false">IF(OR(AB$4="",$C52="",$D52=""),"",IF(AND($C52&lt;EDATE(AB$4,1),$D52&gt;=AB$4),1,""))</f>
        <v/>
      </c>
      <c r="AC52" s="72" t="str">
        <f aca="false">IF(OR(AC$4="",$C52="",$D52=""),"",IF(AND($C52&lt;EDATE(AC$4,1),$D52&gt;=AC$4),1,""))</f>
        <v/>
      </c>
      <c r="AD52" s="72" t="str">
        <f aca="false">IF(OR(AD$4="",$C52="",$D52=""),"",IF(AND($C52&lt;EDATE(AD$4,1),$D52&gt;=AD$4),1,""))</f>
        <v/>
      </c>
      <c r="AE52" s="72" t="str">
        <f aca="false">IF(OR(AE$4="",$C52="",$D52=""),"",IF(AND($C52&lt;EDATE(AE$4,1),$D52&gt;=AE$4),1,""))</f>
        <v/>
      </c>
      <c r="AF52" s="72" t="str">
        <f aca="false">IF(OR(AF$4="",$C52="",$D52=""),"",IF(AND($C52&lt;EDATE(AF$4,1),$D52&gt;=AF$4),1,""))</f>
        <v/>
      </c>
      <c r="AG52" s="72" t="str">
        <f aca="false">IF(OR(AG$4="",$C52="",$D52=""),"",IF(AND($C52&lt;EDATE(AG$4,1),$D52&gt;=AG$4),1,""))</f>
        <v/>
      </c>
      <c r="AH52" s="72" t="str">
        <f aca="false">IF(OR(AH$4="",$C52="",$D52=""),"",IF(AND($C52&lt;EDATE(AH$4,1),$D52&gt;=AH$4),1,""))</f>
        <v/>
      </c>
      <c r="AI52" s="72" t="str">
        <f aca="false">IF(OR(AI$4="",$C52="",$D52=""),"",IF(AND($C52&lt;EDATE(AI$4,1),$D52&gt;=AI$4),1,""))</f>
        <v/>
      </c>
      <c r="AJ52" s="72" t="str">
        <f aca="false">IF(OR(AJ$4="",$C52="",$D52=""),"",IF(AND($C52&lt;EDATE(AJ$4,1),$D52&gt;=AJ$4),1,""))</f>
        <v/>
      </c>
      <c r="AK52" s="72" t="str">
        <f aca="false">IF(OR(AK$4="",$C52="",$D52=""),"",IF(AND($C52&lt;EDATE(AK$4,1),$D52&gt;=AK$4),1,""))</f>
        <v/>
      </c>
      <c r="AL52" s="72" t="str">
        <f aca="false">IF(OR(AL$4="",$C52="",$D52=""),"",IF(AND($C52&lt;EDATE(AL$4,1),$D52&gt;=AL$4),1,""))</f>
        <v/>
      </c>
      <c r="AM52" s="72" t="str">
        <f aca="false">IF(OR(AM$4="",$C52="",$D52=""),"",IF(AND($C52&lt;EDATE(AM$4,1),$D52&gt;=AM$4),1,""))</f>
        <v/>
      </c>
      <c r="AN52" s="72" t="str">
        <f aca="false">IF(OR(AN$4="",$C52="",$D52=""),"",IF(AND($C52&lt;EDATE(AN$4,1),$D52&gt;=AN$4),1,""))</f>
        <v/>
      </c>
      <c r="AO52" s="72" t="str">
        <f aca="false">IF(OR(AO$4="",$C52="",$D52=""),"",IF(AND($C52&lt;EDATE(AO$4,1),$D52&gt;=AO$4),1,""))</f>
        <v/>
      </c>
      <c r="AP52" s="72" t="str">
        <f aca="false">IF(OR(AP$4="",$C52="",$D52=""),"",IF(AND($C52&lt;EDATE(AP$4,1),$D52&gt;=AP$4),1,""))</f>
        <v/>
      </c>
      <c r="AQ52" s="72" t="str">
        <f aca="false">IF(OR(AQ$4="",$C52="",$D52=""),"",IF(AND($C52&lt;EDATE(AQ$4,1),$D52&gt;=AQ$4),1,""))</f>
        <v/>
      </c>
      <c r="AR52" s="72" t="str">
        <f aca="false">IF(OR(AR$4="",$C52="",$D52=""),"",IF(AND($C52&lt;EDATE(AR$4,1),$D52&gt;=AR$4),1,""))</f>
        <v/>
      </c>
      <c r="AS52" s="72" t="str">
        <f aca="false">IF(OR(AS$4="",$C52="",$D52=""),"",IF(AND($C52&lt;EDATE(AS$4,1),$D52&gt;=AS$4),1,""))</f>
        <v/>
      </c>
      <c r="AT52" s="72" t="str">
        <f aca="false">IF(OR(AT$4="",$C52="",$D52=""),"",IF(AND($C52&lt;EDATE(AT$4,1),$D52&gt;=AT$4),1,""))</f>
        <v/>
      </c>
      <c r="AU52" s="72" t="str">
        <f aca="false">IF(OR(AU$4="",$C52="",$D52=""),"",IF(AND($C52&lt;EDATE(AU$4,1),$D52&gt;=AU$4),1,""))</f>
        <v/>
      </c>
      <c r="AV52" s="72" t="str">
        <f aca="false">IF(OR(AV$4="",$C52="",$D52=""),"",IF(AND($C52&lt;EDATE(AV$4,1),$D52&gt;=AV$4),1,""))</f>
        <v/>
      </c>
      <c r="AW52" s="72" t="str">
        <f aca="false">IF(OR(AW$4="",$C52="",$D52=""),"",IF(AND($C52&lt;EDATE(AW$4,1),$D52&gt;=AW$4),1,""))</f>
        <v/>
      </c>
      <c r="AX52" s="72" t="str">
        <f aca="false">IF(OR(AX$4="",$C52="",$D52=""),"",IF(AND($C52&lt;EDATE(AX$4,1),$D52&gt;=AX$4),1,""))</f>
        <v/>
      </c>
      <c r="AY52" s="72" t="str">
        <f aca="false">IF(OR(AY$4="",$C52="",$D52=""),"",IF(AND($C52&lt;EDATE(AY$4,1),$D52&gt;=AY$4),1,""))</f>
        <v/>
      </c>
      <c r="AZ52" s="72" t="str">
        <f aca="false">IF(OR(AZ$4="",$C52="",$D52=""),"",IF(AND($C52&lt;EDATE(AZ$4,1),$D52&gt;=AZ$4),1,""))</f>
        <v/>
      </c>
      <c r="BA52" s="72" t="str">
        <f aca="false">IF(OR(BA$4="",$C52="",$D52=""),"",IF(AND($C52&lt;EDATE(BA$4,1),$D52&gt;=BA$4),1,""))</f>
        <v/>
      </c>
      <c r="BB52" s="72" t="str">
        <f aca="false">IF(OR(BB$4="",$C52="",$D52=""),"",IF(AND($C52&lt;EDATE(BB$4,1),$D52&gt;=BB$4),1,""))</f>
        <v/>
      </c>
      <c r="BC52" s="72" t="str">
        <f aca="false">IF(OR(BC$4="",$C52="",$D52=""),"",IF(AND($C52&lt;EDATE(BC$4,1),$D52&gt;=BC$4),1,""))</f>
        <v/>
      </c>
      <c r="BD52" s="72" t="str">
        <f aca="false">IF(OR(BD$4="",$C52="",$D52=""),"",IF(AND($C52&lt;EDATE(BD$4,1),$D52&gt;=BD$4),1,""))</f>
        <v/>
      </c>
      <c r="BE52" s="72" t="str">
        <f aca="false">IF(OR(BE$4="",$C52="",$D52=""),"",IF(AND($C52&lt;EDATE(BE$4,1),$D52&gt;=BE$4),1,""))</f>
        <v/>
      </c>
      <c r="BF52" s="72" t="str">
        <f aca="false">IF(OR(BF$4="",$C52="",$D52=""),"",IF(AND($C52&lt;EDATE(BF$4,1),$D52&gt;=BF$4),1,""))</f>
        <v/>
      </c>
      <c r="BG52" s="72" t="str">
        <f aca="false">IF(OR(BG$4="",$C52="",$D52=""),"",IF(AND($C52&lt;EDATE(BG$4,1),$D52&gt;=BG$4),1,""))</f>
        <v/>
      </c>
      <c r="BH52" s="72" t="str">
        <f aca="false">IF(OR(BH$4="",$C52="",$D52=""),"",IF(AND($C52&lt;EDATE(BH$4,1),$D52&gt;=BH$4),1,""))</f>
        <v/>
      </c>
      <c r="BI52" s="72" t="str">
        <f aca="false">IF(OR(BI$4="",$C52="",$D52=""),"",IF(AND($C52&lt;EDATE(BI$4,1),$D52&gt;=BI$4),1,""))</f>
        <v/>
      </c>
      <c r="BJ52" s="72" t="str">
        <f aca="false">IF(OR(BJ$4="",$C52="",$D52=""),"",IF(AND($C52&lt;EDATE(BJ$4,1),$D52&gt;=BJ$4),1,""))</f>
        <v/>
      </c>
      <c r="BK52" s="72" t="str">
        <f aca="false">IF(OR(BK$4="",$C52="",$D52=""),"",IF(AND($C52&lt;EDATE(BK$4,1),$D52&gt;=BK$4),1,""))</f>
        <v/>
      </c>
      <c r="BL52" s="72" t="str">
        <f aca="false">IF(OR(BL$4="",$C52="",$D52=""),"",IF(AND($C52&lt;EDATE(BL$4,1),$D52&gt;=BL$4),1,""))</f>
        <v/>
      </c>
      <c r="BM52" s="72" t="str">
        <f aca="false">IF(OR(BM$4="",$C52="",$D52=""),"",IF(AND($C52&lt;EDATE(BM$4,1),$D52&gt;=BM$4),1,""))</f>
        <v/>
      </c>
      <c r="BN52" s="72" t="str">
        <f aca="false">IF(OR(BN$4="",$C52="",$D52=""),"",IF(AND($C52&lt;EDATE(BN$4,1),$D52&gt;=BN$4),1,""))</f>
        <v/>
      </c>
      <c r="BO52" s="72" t="str">
        <f aca="false">IF(OR(BO$4="",$C52="",$D52=""),"",IF(AND($C52&lt;EDATE(BO$4,1),$D52&gt;=BO$4),1,""))</f>
        <v/>
      </c>
      <c r="BP52" s="72" t="str">
        <f aca="false">IF(OR(BP$4="",$C52="",$D52=""),"",IF(AND($C52&lt;EDATE(BP$4,1),$D52&gt;=BP$4),1,""))</f>
        <v/>
      </c>
      <c r="BQ52" s="72" t="str">
        <f aca="false">IF(OR(BQ$4="",$C52="",$D52=""),"",IF(AND($C52&lt;EDATE(BQ$4,1),$D52&gt;=BQ$4),1,""))</f>
        <v/>
      </c>
      <c r="BR52" s="72" t="str">
        <f aca="false">IF(OR(BR$4="",$C52="",$D52=""),"",IF(AND($C52&lt;EDATE(BR$4,1),$D52&gt;=BR$4),1,""))</f>
        <v/>
      </c>
      <c r="BS52" s="72" t="str">
        <f aca="false">IF(OR(BS$4="",$C52="",$D52=""),"",IF(AND($C52&lt;EDATE(BS$4,1),$D52&gt;=BS$4),1,""))</f>
        <v/>
      </c>
      <c r="BT52" s="72" t="str">
        <f aca="false">IF(OR(BT$4="",$C52="",$D52=""),"",IF(AND($C52&lt;EDATE(BT$4,1),$D52&gt;=BT$4),1,""))</f>
        <v/>
      </c>
      <c r="BU52" s="72" t="str">
        <f aca="false">IF(OR(BU$4="",$C52="",$D52=""),"",IF(AND($C52&lt;EDATE(BU$4,1),$D52&gt;=BU$4),1,""))</f>
        <v/>
      </c>
      <c r="BV52" s="72" t="str">
        <f aca="false">IF(OR(BV$4="",$C52="",$D52=""),"",IF(AND($C52&lt;EDATE(BV$4,1),$D52&gt;=BV$4),1,""))</f>
        <v/>
      </c>
      <c r="BW52" s="72" t="str">
        <f aca="false">IF(OR(BW$4="",$C52="",$D52=""),"",IF(AND($C52&lt;EDATE(BW$4,1),$D52&gt;=BW$4),1,""))</f>
        <v/>
      </c>
      <c r="BX52" s="72" t="str">
        <f aca="false">IF(OR(BX$4="",$C52="",$D52=""),"",IF(AND($C52&lt;EDATE(BX$4,1),$D52&gt;=BX$4),1,""))</f>
        <v/>
      </c>
      <c r="BY52" s="72" t="str">
        <f aca="false">IF(OR(BY$4="",$C52="",$D52=""),"",IF(AND($C52&lt;EDATE(BY$4,1),$D52&gt;=BY$4),1,""))</f>
        <v/>
      </c>
    </row>
    <row r="53" customFormat="false" ht="15" hidden="false" customHeight="false" outlineLevel="0" collapsed="false">
      <c r="A53" s="61" t="str">
        <f aca="false">IF(BOE!$A22="","",BOE!$A22)</f>
        <v>208</v>
      </c>
      <c r="B53" s="61" t="str">
        <f aca="false">IF(BOE!$A22="","",BOE!$C22)</f>
        <v>Functional Hazard Analysis (FHA)</v>
      </c>
      <c r="C53" s="62" t="n">
        <f aca="false">IF(OR(BOE!$A22="",BOE!$E22&lt;&gt;"Y"),"",BOE!$O22)</f>
        <v>46481</v>
      </c>
      <c r="D53" s="62" t="n">
        <f aca="false">IF(OR(BOE!$A22="",BOE!$E22&lt;&gt;"Y"),"",BOE!$P22)</f>
        <v>46695</v>
      </c>
      <c r="E53" s="63" t="n">
        <f aca="false">IF(OR(BOE!$A22="",BOE!$E22&lt;&gt;"Y"),"",IF(Inputs!$B$7="P90",BOE!$T22,BOE!$R22))</f>
        <v>520</v>
      </c>
      <c r="F53" s="72" t="str">
        <f aca="false">IF(OR(F$4="",$C53="",$D53=""),"",IF(AND($C53&lt;EDATE(F$4,1),$D53&gt;=F$4),1,""))</f>
        <v/>
      </c>
      <c r="G53" s="72" t="str">
        <f aca="false">IF(OR(G$4="",$C53="",$D53=""),"",IF(AND($C53&lt;EDATE(G$4,1),$D53&gt;=G$4),1,""))</f>
        <v/>
      </c>
      <c r="H53" s="72" t="str">
        <f aca="false">IF(OR(H$4="",$C53="",$D53=""),"",IF(AND($C53&lt;EDATE(H$4,1),$D53&gt;=H$4),1,""))</f>
        <v/>
      </c>
      <c r="I53" s="72" t="n">
        <f aca="false">IF(OR(I$4="",$C53="",$D53=""),"",IF(AND($C53&lt;EDATE(I$4,1),$D53&gt;=I$4),1,""))</f>
        <v>1</v>
      </c>
      <c r="J53" s="72" t="n">
        <f aca="false">IF(OR(J$4="",$C53="",$D53=""),"",IF(AND($C53&lt;EDATE(J$4,1),$D53&gt;=J$4),1,""))</f>
        <v>1</v>
      </c>
      <c r="K53" s="72" t="n">
        <f aca="false">IF(OR(K$4="",$C53="",$D53=""),"",IF(AND($C53&lt;EDATE(K$4,1),$D53&gt;=K$4),1,""))</f>
        <v>1</v>
      </c>
      <c r="L53" s="72" t="n">
        <f aca="false">IF(OR(L$4="",$C53="",$D53=""),"",IF(AND($C53&lt;EDATE(L$4,1),$D53&gt;=L$4),1,""))</f>
        <v>1</v>
      </c>
      <c r="M53" s="72" t="n">
        <f aca="false">IF(OR(M$4="",$C53="",$D53=""),"",IF(AND($C53&lt;EDATE(M$4,1),$D53&gt;=M$4),1,""))</f>
        <v>1</v>
      </c>
      <c r="N53" s="72" t="n">
        <f aca="false">IF(OR(N$4="",$C53="",$D53=""),"",IF(AND($C53&lt;EDATE(N$4,1),$D53&gt;=N$4),1,""))</f>
        <v>1</v>
      </c>
      <c r="O53" s="72" t="n">
        <f aca="false">IF(OR(O$4="",$C53="",$D53=""),"",IF(AND($C53&lt;EDATE(O$4,1),$D53&gt;=O$4),1,""))</f>
        <v>1</v>
      </c>
      <c r="P53" s="72" t="n">
        <f aca="false">IF(OR(P$4="",$C53="",$D53=""),"",IF(AND($C53&lt;EDATE(P$4,1),$D53&gt;=P$4),1,""))</f>
        <v>1</v>
      </c>
      <c r="Q53" s="72" t="str">
        <f aca="false">IF(OR(Q$4="",$C53="",$D53=""),"",IF(AND($C53&lt;EDATE(Q$4,1),$D53&gt;=Q$4),1,""))</f>
        <v/>
      </c>
      <c r="R53" s="72" t="str">
        <f aca="false">IF(OR(R$4="",$C53="",$D53=""),"",IF(AND($C53&lt;EDATE(R$4,1),$D53&gt;=R$4),1,""))</f>
        <v/>
      </c>
      <c r="S53" s="72" t="str">
        <f aca="false">IF(OR(S$4="",$C53="",$D53=""),"",IF(AND($C53&lt;EDATE(S$4,1),$D53&gt;=S$4),1,""))</f>
        <v/>
      </c>
      <c r="T53" s="72" t="str">
        <f aca="false">IF(OR(T$4="",$C53="",$D53=""),"",IF(AND($C53&lt;EDATE(T$4,1),$D53&gt;=T$4),1,""))</f>
        <v/>
      </c>
      <c r="U53" s="72" t="str">
        <f aca="false">IF(OR(U$4="",$C53="",$D53=""),"",IF(AND($C53&lt;EDATE(U$4,1),$D53&gt;=U$4),1,""))</f>
        <v/>
      </c>
      <c r="V53" s="72" t="str">
        <f aca="false">IF(OR(V$4="",$C53="",$D53=""),"",IF(AND($C53&lt;EDATE(V$4,1),$D53&gt;=V$4),1,""))</f>
        <v/>
      </c>
      <c r="W53" s="72" t="str">
        <f aca="false">IF(OR(W$4="",$C53="",$D53=""),"",IF(AND($C53&lt;EDATE(W$4,1),$D53&gt;=W$4),1,""))</f>
        <v/>
      </c>
      <c r="X53" s="72" t="str">
        <f aca="false">IF(OR(X$4="",$C53="",$D53=""),"",IF(AND($C53&lt;EDATE(X$4,1),$D53&gt;=X$4),1,""))</f>
        <v/>
      </c>
      <c r="Y53" s="72" t="str">
        <f aca="false">IF(OR(Y$4="",$C53="",$D53=""),"",IF(AND($C53&lt;EDATE(Y$4,1),$D53&gt;=Y$4),1,""))</f>
        <v/>
      </c>
      <c r="Z53" s="72" t="str">
        <f aca="false">IF(OR(Z$4="",$C53="",$D53=""),"",IF(AND($C53&lt;EDATE(Z$4,1),$D53&gt;=Z$4),1,""))</f>
        <v/>
      </c>
      <c r="AA53" s="72" t="str">
        <f aca="false">IF(OR(AA$4="",$C53="",$D53=""),"",IF(AND($C53&lt;EDATE(AA$4,1),$D53&gt;=AA$4),1,""))</f>
        <v/>
      </c>
      <c r="AB53" s="72" t="str">
        <f aca="false">IF(OR(AB$4="",$C53="",$D53=""),"",IF(AND($C53&lt;EDATE(AB$4,1),$D53&gt;=AB$4),1,""))</f>
        <v/>
      </c>
      <c r="AC53" s="72" t="str">
        <f aca="false">IF(OR(AC$4="",$C53="",$D53=""),"",IF(AND($C53&lt;EDATE(AC$4,1),$D53&gt;=AC$4),1,""))</f>
        <v/>
      </c>
      <c r="AD53" s="72" t="str">
        <f aca="false">IF(OR(AD$4="",$C53="",$D53=""),"",IF(AND($C53&lt;EDATE(AD$4,1),$D53&gt;=AD$4),1,""))</f>
        <v/>
      </c>
      <c r="AE53" s="72" t="str">
        <f aca="false">IF(OR(AE$4="",$C53="",$D53=""),"",IF(AND($C53&lt;EDATE(AE$4,1),$D53&gt;=AE$4),1,""))</f>
        <v/>
      </c>
      <c r="AF53" s="72" t="str">
        <f aca="false">IF(OR(AF$4="",$C53="",$D53=""),"",IF(AND($C53&lt;EDATE(AF$4,1),$D53&gt;=AF$4),1,""))</f>
        <v/>
      </c>
      <c r="AG53" s="72" t="str">
        <f aca="false">IF(OR(AG$4="",$C53="",$D53=""),"",IF(AND($C53&lt;EDATE(AG$4,1),$D53&gt;=AG$4),1,""))</f>
        <v/>
      </c>
      <c r="AH53" s="72" t="str">
        <f aca="false">IF(OR(AH$4="",$C53="",$D53=""),"",IF(AND($C53&lt;EDATE(AH$4,1),$D53&gt;=AH$4),1,""))</f>
        <v/>
      </c>
      <c r="AI53" s="72" t="str">
        <f aca="false">IF(OR(AI$4="",$C53="",$D53=""),"",IF(AND($C53&lt;EDATE(AI$4,1),$D53&gt;=AI$4),1,""))</f>
        <v/>
      </c>
      <c r="AJ53" s="72" t="str">
        <f aca="false">IF(OR(AJ$4="",$C53="",$D53=""),"",IF(AND($C53&lt;EDATE(AJ$4,1),$D53&gt;=AJ$4),1,""))</f>
        <v/>
      </c>
      <c r="AK53" s="72" t="str">
        <f aca="false">IF(OR(AK$4="",$C53="",$D53=""),"",IF(AND($C53&lt;EDATE(AK$4,1),$D53&gt;=AK$4),1,""))</f>
        <v/>
      </c>
      <c r="AL53" s="72" t="str">
        <f aca="false">IF(OR(AL$4="",$C53="",$D53=""),"",IF(AND($C53&lt;EDATE(AL$4,1),$D53&gt;=AL$4),1,""))</f>
        <v/>
      </c>
      <c r="AM53" s="72" t="str">
        <f aca="false">IF(OR(AM$4="",$C53="",$D53=""),"",IF(AND($C53&lt;EDATE(AM$4,1),$D53&gt;=AM$4),1,""))</f>
        <v/>
      </c>
      <c r="AN53" s="72" t="str">
        <f aca="false">IF(OR(AN$4="",$C53="",$D53=""),"",IF(AND($C53&lt;EDATE(AN$4,1),$D53&gt;=AN$4),1,""))</f>
        <v/>
      </c>
      <c r="AO53" s="72" t="str">
        <f aca="false">IF(OR(AO$4="",$C53="",$D53=""),"",IF(AND($C53&lt;EDATE(AO$4,1),$D53&gt;=AO$4),1,""))</f>
        <v/>
      </c>
      <c r="AP53" s="72" t="str">
        <f aca="false">IF(OR(AP$4="",$C53="",$D53=""),"",IF(AND($C53&lt;EDATE(AP$4,1),$D53&gt;=AP$4),1,""))</f>
        <v/>
      </c>
      <c r="AQ53" s="72" t="str">
        <f aca="false">IF(OR(AQ$4="",$C53="",$D53=""),"",IF(AND($C53&lt;EDATE(AQ$4,1),$D53&gt;=AQ$4),1,""))</f>
        <v/>
      </c>
      <c r="AR53" s="72" t="str">
        <f aca="false">IF(OR(AR$4="",$C53="",$D53=""),"",IF(AND($C53&lt;EDATE(AR$4,1),$D53&gt;=AR$4),1,""))</f>
        <v/>
      </c>
      <c r="AS53" s="72" t="str">
        <f aca="false">IF(OR(AS$4="",$C53="",$D53=""),"",IF(AND($C53&lt;EDATE(AS$4,1),$D53&gt;=AS$4),1,""))</f>
        <v/>
      </c>
      <c r="AT53" s="72" t="str">
        <f aca="false">IF(OR(AT$4="",$C53="",$D53=""),"",IF(AND($C53&lt;EDATE(AT$4,1),$D53&gt;=AT$4),1,""))</f>
        <v/>
      </c>
      <c r="AU53" s="72" t="str">
        <f aca="false">IF(OR(AU$4="",$C53="",$D53=""),"",IF(AND($C53&lt;EDATE(AU$4,1),$D53&gt;=AU$4),1,""))</f>
        <v/>
      </c>
      <c r="AV53" s="72" t="str">
        <f aca="false">IF(OR(AV$4="",$C53="",$D53=""),"",IF(AND($C53&lt;EDATE(AV$4,1),$D53&gt;=AV$4),1,""))</f>
        <v/>
      </c>
      <c r="AW53" s="72" t="str">
        <f aca="false">IF(OR(AW$4="",$C53="",$D53=""),"",IF(AND($C53&lt;EDATE(AW$4,1),$D53&gt;=AW$4),1,""))</f>
        <v/>
      </c>
      <c r="AX53" s="72" t="str">
        <f aca="false">IF(OR(AX$4="",$C53="",$D53=""),"",IF(AND($C53&lt;EDATE(AX$4,1),$D53&gt;=AX$4),1,""))</f>
        <v/>
      </c>
      <c r="AY53" s="72" t="str">
        <f aca="false">IF(OR(AY$4="",$C53="",$D53=""),"",IF(AND($C53&lt;EDATE(AY$4,1),$D53&gt;=AY$4),1,""))</f>
        <v/>
      </c>
      <c r="AZ53" s="72" t="str">
        <f aca="false">IF(OR(AZ$4="",$C53="",$D53=""),"",IF(AND($C53&lt;EDATE(AZ$4,1),$D53&gt;=AZ$4),1,""))</f>
        <v/>
      </c>
      <c r="BA53" s="72" t="str">
        <f aca="false">IF(OR(BA$4="",$C53="",$D53=""),"",IF(AND($C53&lt;EDATE(BA$4,1),$D53&gt;=BA$4),1,""))</f>
        <v/>
      </c>
      <c r="BB53" s="72" t="str">
        <f aca="false">IF(OR(BB$4="",$C53="",$D53=""),"",IF(AND($C53&lt;EDATE(BB$4,1),$D53&gt;=BB$4),1,""))</f>
        <v/>
      </c>
      <c r="BC53" s="72" t="str">
        <f aca="false">IF(OR(BC$4="",$C53="",$D53=""),"",IF(AND($C53&lt;EDATE(BC$4,1),$D53&gt;=BC$4),1,""))</f>
        <v/>
      </c>
      <c r="BD53" s="72" t="str">
        <f aca="false">IF(OR(BD$4="",$C53="",$D53=""),"",IF(AND($C53&lt;EDATE(BD$4,1),$D53&gt;=BD$4),1,""))</f>
        <v/>
      </c>
      <c r="BE53" s="72" t="str">
        <f aca="false">IF(OR(BE$4="",$C53="",$D53=""),"",IF(AND($C53&lt;EDATE(BE$4,1),$D53&gt;=BE$4),1,""))</f>
        <v/>
      </c>
      <c r="BF53" s="72" t="str">
        <f aca="false">IF(OR(BF$4="",$C53="",$D53=""),"",IF(AND($C53&lt;EDATE(BF$4,1),$D53&gt;=BF$4),1,""))</f>
        <v/>
      </c>
      <c r="BG53" s="72" t="str">
        <f aca="false">IF(OR(BG$4="",$C53="",$D53=""),"",IF(AND($C53&lt;EDATE(BG$4,1),$D53&gt;=BG$4),1,""))</f>
        <v/>
      </c>
      <c r="BH53" s="72" t="str">
        <f aca="false">IF(OR(BH$4="",$C53="",$D53=""),"",IF(AND($C53&lt;EDATE(BH$4,1),$D53&gt;=BH$4),1,""))</f>
        <v/>
      </c>
      <c r="BI53" s="72" t="str">
        <f aca="false">IF(OR(BI$4="",$C53="",$D53=""),"",IF(AND($C53&lt;EDATE(BI$4,1),$D53&gt;=BI$4),1,""))</f>
        <v/>
      </c>
      <c r="BJ53" s="72" t="str">
        <f aca="false">IF(OR(BJ$4="",$C53="",$D53=""),"",IF(AND($C53&lt;EDATE(BJ$4,1),$D53&gt;=BJ$4),1,""))</f>
        <v/>
      </c>
      <c r="BK53" s="72" t="str">
        <f aca="false">IF(OR(BK$4="",$C53="",$D53=""),"",IF(AND($C53&lt;EDATE(BK$4,1),$D53&gt;=BK$4),1,""))</f>
        <v/>
      </c>
      <c r="BL53" s="72" t="str">
        <f aca="false">IF(OR(BL$4="",$C53="",$D53=""),"",IF(AND($C53&lt;EDATE(BL$4,1),$D53&gt;=BL$4),1,""))</f>
        <v/>
      </c>
      <c r="BM53" s="72" t="str">
        <f aca="false">IF(OR(BM$4="",$C53="",$D53=""),"",IF(AND($C53&lt;EDATE(BM$4,1),$D53&gt;=BM$4),1,""))</f>
        <v/>
      </c>
      <c r="BN53" s="72" t="str">
        <f aca="false">IF(OR(BN$4="",$C53="",$D53=""),"",IF(AND($C53&lt;EDATE(BN$4,1),$D53&gt;=BN$4),1,""))</f>
        <v/>
      </c>
      <c r="BO53" s="72" t="str">
        <f aca="false">IF(OR(BO$4="",$C53="",$D53=""),"",IF(AND($C53&lt;EDATE(BO$4,1),$D53&gt;=BO$4),1,""))</f>
        <v/>
      </c>
      <c r="BP53" s="72" t="str">
        <f aca="false">IF(OR(BP$4="",$C53="",$D53=""),"",IF(AND($C53&lt;EDATE(BP$4,1),$D53&gt;=BP$4),1,""))</f>
        <v/>
      </c>
      <c r="BQ53" s="72" t="str">
        <f aca="false">IF(OR(BQ$4="",$C53="",$D53=""),"",IF(AND($C53&lt;EDATE(BQ$4,1),$D53&gt;=BQ$4),1,""))</f>
        <v/>
      </c>
      <c r="BR53" s="72" t="str">
        <f aca="false">IF(OR(BR$4="",$C53="",$D53=""),"",IF(AND($C53&lt;EDATE(BR$4,1),$D53&gt;=BR$4),1,""))</f>
        <v/>
      </c>
      <c r="BS53" s="72" t="str">
        <f aca="false">IF(OR(BS$4="",$C53="",$D53=""),"",IF(AND($C53&lt;EDATE(BS$4,1),$D53&gt;=BS$4),1,""))</f>
        <v/>
      </c>
      <c r="BT53" s="72" t="str">
        <f aca="false">IF(OR(BT$4="",$C53="",$D53=""),"",IF(AND($C53&lt;EDATE(BT$4,1),$D53&gt;=BT$4),1,""))</f>
        <v/>
      </c>
      <c r="BU53" s="72" t="str">
        <f aca="false">IF(OR(BU$4="",$C53="",$D53=""),"",IF(AND($C53&lt;EDATE(BU$4,1),$D53&gt;=BU$4),1,""))</f>
        <v/>
      </c>
      <c r="BV53" s="72" t="str">
        <f aca="false">IF(OR(BV$4="",$C53="",$D53=""),"",IF(AND($C53&lt;EDATE(BV$4,1),$D53&gt;=BV$4),1,""))</f>
        <v/>
      </c>
      <c r="BW53" s="72" t="str">
        <f aca="false">IF(OR(BW$4="",$C53="",$D53=""),"",IF(AND($C53&lt;EDATE(BW$4,1),$D53&gt;=BW$4),1,""))</f>
        <v/>
      </c>
      <c r="BX53" s="72" t="str">
        <f aca="false">IF(OR(BX$4="",$C53="",$D53=""),"",IF(AND($C53&lt;EDATE(BX$4,1),$D53&gt;=BX$4),1,""))</f>
        <v/>
      </c>
      <c r="BY53" s="72" t="str">
        <f aca="false">IF(OR(BY$4="",$C53="",$D53=""),"",IF(AND($C53&lt;EDATE(BY$4,1),$D53&gt;=BY$4),1,""))</f>
        <v/>
      </c>
    </row>
    <row r="54" customFormat="false" ht="15" hidden="false" customHeight="false" outlineLevel="0" collapsed="false">
      <c r="A54" s="61" t="str">
        <f aca="false">IF(BOE!$A23="","",BOE!$A23)</f>
        <v>209</v>
      </c>
      <c r="B54" s="61" t="str">
        <f aca="false">IF(BOE!$A23="","",BOE!$C23)</f>
        <v>System-of-Systems Hazard Analysis</v>
      </c>
      <c r="C54" s="62" t="str">
        <f aca="false">IF(OR(BOE!$A23="",BOE!$E23&lt;&gt;"Y"),"",BOE!$O23)</f>
        <v/>
      </c>
      <c r="D54" s="62" t="str">
        <f aca="false">IF(OR(BOE!$A23="",BOE!$E23&lt;&gt;"Y"),"",BOE!$P23)</f>
        <v/>
      </c>
      <c r="E54" s="63" t="str">
        <f aca="false">IF(OR(BOE!$A23="",BOE!$E23&lt;&gt;"Y"),"",IF(Inputs!$B$7="P90",BOE!$T23,BOE!$R23))</f>
        <v/>
      </c>
      <c r="F54" s="72" t="str">
        <f aca="false">IF(OR(F$4="",$C54="",$D54=""),"",IF(AND($C54&lt;EDATE(F$4,1),$D54&gt;=F$4),1,""))</f>
        <v/>
      </c>
      <c r="G54" s="72" t="str">
        <f aca="false">IF(OR(G$4="",$C54="",$D54=""),"",IF(AND($C54&lt;EDATE(G$4,1),$D54&gt;=G$4),1,""))</f>
        <v/>
      </c>
      <c r="H54" s="72" t="str">
        <f aca="false">IF(OR(H$4="",$C54="",$D54=""),"",IF(AND($C54&lt;EDATE(H$4,1),$D54&gt;=H$4),1,""))</f>
        <v/>
      </c>
      <c r="I54" s="72" t="str">
        <f aca="false">IF(OR(I$4="",$C54="",$D54=""),"",IF(AND($C54&lt;EDATE(I$4,1),$D54&gt;=I$4),1,""))</f>
        <v/>
      </c>
      <c r="J54" s="72" t="str">
        <f aca="false">IF(OR(J$4="",$C54="",$D54=""),"",IF(AND($C54&lt;EDATE(J$4,1),$D54&gt;=J$4),1,""))</f>
        <v/>
      </c>
      <c r="K54" s="72" t="str">
        <f aca="false">IF(OR(K$4="",$C54="",$D54=""),"",IF(AND($C54&lt;EDATE(K$4,1),$D54&gt;=K$4),1,""))</f>
        <v/>
      </c>
      <c r="L54" s="72" t="str">
        <f aca="false">IF(OR(L$4="",$C54="",$D54=""),"",IF(AND($C54&lt;EDATE(L$4,1),$D54&gt;=L$4),1,""))</f>
        <v/>
      </c>
      <c r="M54" s="72" t="str">
        <f aca="false">IF(OR(M$4="",$C54="",$D54=""),"",IF(AND($C54&lt;EDATE(M$4,1),$D54&gt;=M$4),1,""))</f>
        <v/>
      </c>
      <c r="N54" s="72" t="str">
        <f aca="false">IF(OR(N$4="",$C54="",$D54=""),"",IF(AND($C54&lt;EDATE(N$4,1),$D54&gt;=N$4),1,""))</f>
        <v/>
      </c>
      <c r="O54" s="72" t="str">
        <f aca="false">IF(OR(O$4="",$C54="",$D54=""),"",IF(AND($C54&lt;EDATE(O$4,1),$D54&gt;=O$4),1,""))</f>
        <v/>
      </c>
      <c r="P54" s="72" t="str">
        <f aca="false">IF(OR(P$4="",$C54="",$D54=""),"",IF(AND($C54&lt;EDATE(P$4,1),$D54&gt;=P$4),1,""))</f>
        <v/>
      </c>
      <c r="Q54" s="72" t="str">
        <f aca="false">IF(OR(Q$4="",$C54="",$D54=""),"",IF(AND($C54&lt;EDATE(Q$4,1),$D54&gt;=Q$4),1,""))</f>
        <v/>
      </c>
      <c r="R54" s="72" t="str">
        <f aca="false">IF(OR(R$4="",$C54="",$D54=""),"",IF(AND($C54&lt;EDATE(R$4,1),$D54&gt;=R$4),1,""))</f>
        <v/>
      </c>
      <c r="S54" s="72" t="str">
        <f aca="false">IF(OR(S$4="",$C54="",$D54=""),"",IF(AND($C54&lt;EDATE(S$4,1),$D54&gt;=S$4),1,""))</f>
        <v/>
      </c>
      <c r="T54" s="72" t="str">
        <f aca="false">IF(OR(T$4="",$C54="",$D54=""),"",IF(AND($C54&lt;EDATE(T$4,1),$D54&gt;=T$4),1,""))</f>
        <v/>
      </c>
      <c r="U54" s="72" t="str">
        <f aca="false">IF(OR(U$4="",$C54="",$D54=""),"",IF(AND($C54&lt;EDATE(U$4,1),$D54&gt;=U$4),1,""))</f>
        <v/>
      </c>
      <c r="V54" s="72" t="str">
        <f aca="false">IF(OR(V$4="",$C54="",$D54=""),"",IF(AND($C54&lt;EDATE(V$4,1),$D54&gt;=V$4),1,""))</f>
        <v/>
      </c>
      <c r="W54" s="72" t="str">
        <f aca="false">IF(OR(W$4="",$C54="",$D54=""),"",IF(AND($C54&lt;EDATE(W$4,1),$D54&gt;=W$4),1,""))</f>
        <v/>
      </c>
      <c r="X54" s="72" t="str">
        <f aca="false">IF(OR(X$4="",$C54="",$D54=""),"",IF(AND($C54&lt;EDATE(X$4,1),$D54&gt;=X$4),1,""))</f>
        <v/>
      </c>
      <c r="Y54" s="72" t="str">
        <f aca="false">IF(OR(Y$4="",$C54="",$D54=""),"",IF(AND($C54&lt;EDATE(Y$4,1),$D54&gt;=Y$4),1,""))</f>
        <v/>
      </c>
      <c r="Z54" s="72" t="str">
        <f aca="false">IF(OR(Z$4="",$C54="",$D54=""),"",IF(AND($C54&lt;EDATE(Z$4,1),$D54&gt;=Z$4),1,""))</f>
        <v/>
      </c>
      <c r="AA54" s="72" t="str">
        <f aca="false">IF(OR(AA$4="",$C54="",$D54=""),"",IF(AND($C54&lt;EDATE(AA$4,1),$D54&gt;=AA$4),1,""))</f>
        <v/>
      </c>
      <c r="AB54" s="72" t="str">
        <f aca="false">IF(OR(AB$4="",$C54="",$D54=""),"",IF(AND($C54&lt;EDATE(AB$4,1),$D54&gt;=AB$4),1,""))</f>
        <v/>
      </c>
      <c r="AC54" s="72" t="str">
        <f aca="false">IF(OR(AC$4="",$C54="",$D54=""),"",IF(AND($C54&lt;EDATE(AC$4,1),$D54&gt;=AC$4),1,""))</f>
        <v/>
      </c>
      <c r="AD54" s="72" t="str">
        <f aca="false">IF(OR(AD$4="",$C54="",$D54=""),"",IF(AND($C54&lt;EDATE(AD$4,1),$D54&gt;=AD$4),1,""))</f>
        <v/>
      </c>
      <c r="AE54" s="72" t="str">
        <f aca="false">IF(OR(AE$4="",$C54="",$D54=""),"",IF(AND($C54&lt;EDATE(AE$4,1),$D54&gt;=AE$4),1,""))</f>
        <v/>
      </c>
      <c r="AF54" s="72" t="str">
        <f aca="false">IF(OR(AF$4="",$C54="",$D54=""),"",IF(AND($C54&lt;EDATE(AF$4,1),$D54&gt;=AF$4),1,""))</f>
        <v/>
      </c>
      <c r="AG54" s="72" t="str">
        <f aca="false">IF(OR(AG$4="",$C54="",$D54=""),"",IF(AND($C54&lt;EDATE(AG$4,1),$D54&gt;=AG$4),1,""))</f>
        <v/>
      </c>
      <c r="AH54" s="72" t="str">
        <f aca="false">IF(OR(AH$4="",$C54="",$D54=""),"",IF(AND($C54&lt;EDATE(AH$4,1),$D54&gt;=AH$4),1,""))</f>
        <v/>
      </c>
      <c r="AI54" s="72" t="str">
        <f aca="false">IF(OR(AI$4="",$C54="",$D54=""),"",IF(AND($C54&lt;EDATE(AI$4,1),$D54&gt;=AI$4),1,""))</f>
        <v/>
      </c>
      <c r="AJ54" s="72" t="str">
        <f aca="false">IF(OR(AJ$4="",$C54="",$D54=""),"",IF(AND($C54&lt;EDATE(AJ$4,1),$D54&gt;=AJ$4),1,""))</f>
        <v/>
      </c>
      <c r="AK54" s="72" t="str">
        <f aca="false">IF(OR(AK$4="",$C54="",$D54=""),"",IF(AND($C54&lt;EDATE(AK$4,1),$D54&gt;=AK$4),1,""))</f>
        <v/>
      </c>
      <c r="AL54" s="72" t="str">
        <f aca="false">IF(OR(AL$4="",$C54="",$D54=""),"",IF(AND($C54&lt;EDATE(AL$4,1),$D54&gt;=AL$4),1,""))</f>
        <v/>
      </c>
      <c r="AM54" s="72" t="str">
        <f aca="false">IF(OR(AM$4="",$C54="",$D54=""),"",IF(AND($C54&lt;EDATE(AM$4,1),$D54&gt;=AM$4),1,""))</f>
        <v/>
      </c>
      <c r="AN54" s="72" t="str">
        <f aca="false">IF(OR(AN$4="",$C54="",$D54=""),"",IF(AND($C54&lt;EDATE(AN$4,1),$D54&gt;=AN$4),1,""))</f>
        <v/>
      </c>
      <c r="AO54" s="72" t="str">
        <f aca="false">IF(OR(AO$4="",$C54="",$D54=""),"",IF(AND($C54&lt;EDATE(AO$4,1),$D54&gt;=AO$4),1,""))</f>
        <v/>
      </c>
      <c r="AP54" s="72" t="str">
        <f aca="false">IF(OR(AP$4="",$C54="",$D54=""),"",IF(AND($C54&lt;EDATE(AP$4,1),$D54&gt;=AP$4),1,""))</f>
        <v/>
      </c>
      <c r="AQ54" s="72" t="str">
        <f aca="false">IF(OR(AQ$4="",$C54="",$D54=""),"",IF(AND($C54&lt;EDATE(AQ$4,1),$D54&gt;=AQ$4),1,""))</f>
        <v/>
      </c>
      <c r="AR54" s="72" t="str">
        <f aca="false">IF(OR(AR$4="",$C54="",$D54=""),"",IF(AND($C54&lt;EDATE(AR$4,1),$D54&gt;=AR$4),1,""))</f>
        <v/>
      </c>
      <c r="AS54" s="72" t="str">
        <f aca="false">IF(OR(AS$4="",$C54="",$D54=""),"",IF(AND($C54&lt;EDATE(AS$4,1),$D54&gt;=AS$4),1,""))</f>
        <v/>
      </c>
      <c r="AT54" s="72" t="str">
        <f aca="false">IF(OR(AT$4="",$C54="",$D54=""),"",IF(AND($C54&lt;EDATE(AT$4,1),$D54&gt;=AT$4),1,""))</f>
        <v/>
      </c>
      <c r="AU54" s="72" t="str">
        <f aca="false">IF(OR(AU$4="",$C54="",$D54=""),"",IF(AND($C54&lt;EDATE(AU$4,1),$D54&gt;=AU$4),1,""))</f>
        <v/>
      </c>
      <c r="AV54" s="72" t="str">
        <f aca="false">IF(OR(AV$4="",$C54="",$D54=""),"",IF(AND($C54&lt;EDATE(AV$4,1),$D54&gt;=AV$4),1,""))</f>
        <v/>
      </c>
      <c r="AW54" s="72" t="str">
        <f aca="false">IF(OR(AW$4="",$C54="",$D54=""),"",IF(AND($C54&lt;EDATE(AW$4,1),$D54&gt;=AW$4),1,""))</f>
        <v/>
      </c>
      <c r="AX54" s="72" t="str">
        <f aca="false">IF(OR(AX$4="",$C54="",$D54=""),"",IF(AND($C54&lt;EDATE(AX$4,1),$D54&gt;=AX$4),1,""))</f>
        <v/>
      </c>
      <c r="AY54" s="72" t="str">
        <f aca="false">IF(OR(AY$4="",$C54="",$D54=""),"",IF(AND($C54&lt;EDATE(AY$4,1),$D54&gt;=AY$4),1,""))</f>
        <v/>
      </c>
      <c r="AZ54" s="72" t="str">
        <f aca="false">IF(OR(AZ$4="",$C54="",$D54=""),"",IF(AND($C54&lt;EDATE(AZ$4,1),$D54&gt;=AZ$4),1,""))</f>
        <v/>
      </c>
      <c r="BA54" s="72" t="str">
        <f aca="false">IF(OR(BA$4="",$C54="",$D54=""),"",IF(AND($C54&lt;EDATE(BA$4,1),$D54&gt;=BA$4),1,""))</f>
        <v/>
      </c>
      <c r="BB54" s="72" t="str">
        <f aca="false">IF(OR(BB$4="",$C54="",$D54=""),"",IF(AND($C54&lt;EDATE(BB$4,1),$D54&gt;=BB$4),1,""))</f>
        <v/>
      </c>
      <c r="BC54" s="72" t="str">
        <f aca="false">IF(OR(BC$4="",$C54="",$D54=""),"",IF(AND($C54&lt;EDATE(BC$4,1),$D54&gt;=BC$4),1,""))</f>
        <v/>
      </c>
      <c r="BD54" s="72" t="str">
        <f aca="false">IF(OR(BD$4="",$C54="",$D54=""),"",IF(AND($C54&lt;EDATE(BD$4,1),$D54&gt;=BD$4),1,""))</f>
        <v/>
      </c>
      <c r="BE54" s="72" t="str">
        <f aca="false">IF(OR(BE$4="",$C54="",$D54=""),"",IF(AND($C54&lt;EDATE(BE$4,1),$D54&gt;=BE$4),1,""))</f>
        <v/>
      </c>
      <c r="BF54" s="72" t="str">
        <f aca="false">IF(OR(BF$4="",$C54="",$D54=""),"",IF(AND($C54&lt;EDATE(BF$4,1),$D54&gt;=BF$4),1,""))</f>
        <v/>
      </c>
      <c r="BG54" s="72" t="str">
        <f aca="false">IF(OR(BG$4="",$C54="",$D54=""),"",IF(AND($C54&lt;EDATE(BG$4,1),$D54&gt;=BG$4),1,""))</f>
        <v/>
      </c>
      <c r="BH54" s="72" t="str">
        <f aca="false">IF(OR(BH$4="",$C54="",$D54=""),"",IF(AND($C54&lt;EDATE(BH$4,1),$D54&gt;=BH$4),1,""))</f>
        <v/>
      </c>
      <c r="BI54" s="72" t="str">
        <f aca="false">IF(OR(BI$4="",$C54="",$D54=""),"",IF(AND($C54&lt;EDATE(BI$4,1),$D54&gt;=BI$4),1,""))</f>
        <v/>
      </c>
      <c r="BJ54" s="72" t="str">
        <f aca="false">IF(OR(BJ$4="",$C54="",$D54=""),"",IF(AND($C54&lt;EDATE(BJ$4,1),$D54&gt;=BJ$4),1,""))</f>
        <v/>
      </c>
      <c r="BK54" s="72" t="str">
        <f aca="false">IF(OR(BK$4="",$C54="",$D54=""),"",IF(AND($C54&lt;EDATE(BK$4,1),$D54&gt;=BK$4),1,""))</f>
        <v/>
      </c>
      <c r="BL54" s="72" t="str">
        <f aca="false">IF(OR(BL$4="",$C54="",$D54=""),"",IF(AND($C54&lt;EDATE(BL$4,1),$D54&gt;=BL$4),1,""))</f>
        <v/>
      </c>
      <c r="BM54" s="72" t="str">
        <f aca="false">IF(OR(BM$4="",$C54="",$D54=""),"",IF(AND($C54&lt;EDATE(BM$4,1),$D54&gt;=BM$4),1,""))</f>
        <v/>
      </c>
      <c r="BN54" s="72" t="str">
        <f aca="false">IF(OR(BN$4="",$C54="",$D54=""),"",IF(AND($C54&lt;EDATE(BN$4,1),$D54&gt;=BN$4),1,""))</f>
        <v/>
      </c>
      <c r="BO54" s="72" t="str">
        <f aca="false">IF(OR(BO$4="",$C54="",$D54=""),"",IF(AND($C54&lt;EDATE(BO$4,1),$D54&gt;=BO$4),1,""))</f>
        <v/>
      </c>
      <c r="BP54" s="72" t="str">
        <f aca="false">IF(OR(BP$4="",$C54="",$D54=""),"",IF(AND($C54&lt;EDATE(BP$4,1),$D54&gt;=BP$4),1,""))</f>
        <v/>
      </c>
      <c r="BQ54" s="72" t="str">
        <f aca="false">IF(OR(BQ$4="",$C54="",$D54=""),"",IF(AND($C54&lt;EDATE(BQ$4,1),$D54&gt;=BQ$4),1,""))</f>
        <v/>
      </c>
      <c r="BR54" s="72" t="str">
        <f aca="false">IF(OR(BR$4="",$C54="",$D54=""),"",IF(AND($C54&lt;EDATE(BR$4,1),$D54&gt;=BR$4),1,""))</f>
        <v/>
      </c>
      <c r="BS54" s="72" t="str">
        <f aca="false">IF(OR(BS$4="",$C54="",$D54=""),"",IF(AND($C54&lt;EDATE(BS$4,1),$D54&gt;=BS$4),1,""))</f>
        <v/>
      </c>
      <c r="BT54" s="72" t="str">
        <f aca="false">IF(OR(BT$4="",$C54="",$D54=""),"",IF(AND($C54&lt;EDATE(BT$4,1),$D54&gt;=BT$4),1,""))</f>
        <v/>
      </c>
      <c r="BU54" s="72" t="str">
        <f aca="false">IF(OR(BU$4="",$C54="",$D54=""),"",IF(AND($C54&lt;EDATE(BU$4,1),$D54&gt;=BU$4),1,""))</f>
        <v/>
      </c>
      <c r="BV54" s="72" t="str">
        <f aca="false">IF(OR(BV$4="",$C54="",$D54=""),"",IF(AND($C54&lt;EDATE(BV$4,1),$D54&gt;=BV$4),1,""))</f>
        <v/>
      </c>
      <c r="BW54" s="72" t="str">
        <f aca="false">IF(OR(BW$4="",$C54="",$D54=""),"",IF(AND($C54&lt;EDATE(BW$4,1),$D54&gt;=BW$4),1,""))</f>
        <v/>
      </c>
      <c r="BX54" s="72" t="str">
        <f aca="false">IF(OR(BX$4="",$C54="",$D54=""),"",IF(AND($C54&lt;EDATE(BX$4,1),$D54&gt;=BX$4),1,""))</f>
        <v/>
      </c>
      <c r="BY54" s="72" t="str">
        <f aca="false">IF(OR(BY$4="",$C54="",$D54=""),"",IF(AND($C54&lt;EDATE(BY$4,1),$D54&gt;=BY$4),1,""))</f>
        <v/>
      </c>
    </row>
    <row r="55" customFormat="false" ht="15" hidden="false" customHeight="false" outlineLevel="0" collapsed="false">
      <c r="A55" s="61" t="str">
        <f aca="false">IF(BOE!$A24="","",BOE!$A24)</f>
        <v>210</v>
      </c>
      <c r="B55" s="61" t="str">
        <f aca="false">IF(BOE!$A24="","",BOE!$C24)</f>
        <v>Environmental Hazard Analysis (EHA)</v>
      </c>
      <c r="C55" s="62" t="n">
        <f aca="false">IF(OR(BOE!$A24="",BOE!$E24&lt;&gt;"Y"),"",BOE!$O24)</f>
        <v>46695</v>
      </c>
      <c r="D55" s="62" t="n">
        <f aca="false">IF(OR(BOE!$A24="",BOE!$E24&lt;&gt;"Y"),"",BOE!$P24)</f>
        <v>46877</v>
      </c>
      <c r="E55" s="63" t="n">
        <f aca="false">IF(OR(BOE!$A24="",BOE!$E24&lt;&gt;"Y"),"",IF(Inputs!$B$7="P90",BOE!$T24,BOE!$R24))</f>
        <v>280</v>
      </c>
      <c r="F55" s="72" t="str">
        <f aca="false">IF(OR(F$4="",$C55="",$D55=""),"",IF(AND($C55&lt;EDATE(F$4,1),$D55&gt;=F$4),1,""))</f>
        <v/>
      </c>
      <c r="G55" s="72" t="str">
        <f aca="false">IF(OR(G$4="",$C55="",$D55=""),"",IF(AND($C55&lt;EDATE(G$4,1),$D55&gt;=G$4),1,""))</f>
        <v/>
      </c>
      <c r="H55" s="72" t="str">
        <f aca="false">IF(OR(H$4="",$C55="",$D55=""),"",IF(AND($C55&lt;EDATE(H$4,1),$D55&gt;=H$4),1,""))</f>
        <v/>
      </c>
      <c r="I55" s="72" t="str">
        <f aca="false">IF(OR(I$4="",$C55="",$D55=""),"",IF(AND($C55&lt;EDATE(I$4,1),$D55&gt;=I$4),1,""))</f>
        <v/>
      </c>
      <c r="J55" s="72" t="str">
        <f aca="false">IF(OR(J$4="",$C55="",$D55=""),"",IF(AND($C55&lt;EDATE(J$4,1),$D55&gt;=J$4),1,""))</f>
        <v/>
      </c>
      <c r="K55" s="72" t="str">
        <f aca="false">IF(OR(K$4="",$C55="",$D55=""),"",IF(AND($C55&lt;EDATE(K$4,1),$D55&gt;=K$4),1,""))</f>
        <v/>
      </c>
      <c r="L55" s="72" t="str">
        <f aca="false">IF(OR(L$4="",$C55="",$D55=""),"",IF(AND($C55&lt;EDATE(L$4,1),$D55&gt;=L$4),1,""))</f>
        <v/>
      </c>
      <c r="M55" s="72" t="str">
        <f aca="false">IF(OR(M$4="",$C55="",$D55=""),"",IF(AND($C55&lt;EDATE(M$4,1),$D55&gt;=M$4),1,""))</f>
        <v/>
      </c>
      <c r="N55" s="72" t="str">
        <f aca="false">IF(OR(N$4="",$C55="",$D55=""),"",IF(AND($C55&lt;EDATE(N$4,1),$D55&gt;=N$4),1,""))</f>
        <v/>
      </c>
      <c r="O55" s="72" t="str">
        <f aca="false">IF(OR(O$4="",$C55="",$D55=""),"",IF(AND($C55&lt;EDATE(O$4,1),$D55&gt;=O$4),1,""))</f>
        <v/>
      </c>
      <c r="P55" s="72" t="n">
        <f aca="false">IF(OR(P$4="",$C55="",$D55=""),"",IF(AND($C55&lt;EDATE(P$4,1),$D55&gt;=P$4),1,""))</f>
        <v>1</v>
      </c>
      <c r="Q55" s="72" t="n">
        <f aca="false">IF(OR(Q$4="",$C55="",$D55=""),"",IF(AND($C55&lt;EDATE(Q$4,1),$D55&gt;=Q$4),1,""))</f>
        <v>1</v>
      </c>
      <c r="R55" s="72" t="n">
        <f aca="false">IF(OR(R$4="",$C55="",$D55=""),"",IF(AND($C55&lt;EDATE(R$4,1),$D55&gt;=R$4),1,""))</f>
        <v>1</v>
      </c>
      <c r="S55" s="72" t="n">
        <f aca="false">IF(OR(S$4="",$C55="",$D55=""),"",IF(AND($C55&lt;EDATE(S$4,1),$D55&gt;=S$4),1,""))</f>
        <v>1</v>
      </c>
      <c r="T55" s="72" t="n">
        <f aca="false">IF(OR(T$4="",$C55="",$D55=""),"",IF(AND($C55&lt;EDATE(T$4,1),$D55&gt;=T$4),1,""))</f>
        <v>1</v>
      </c>
      <c r="U55" s="72" t="n">
        <f aca="false">IF(OR(U$4="",$C55="",$D55=""),"",IF(AND($C55&lt;EDATE(U$4,1),$D55&gt;=U$4),1,""))</f>
        <v>1</v>
      </c>
      <c r="V55" s="72" t="n">
        <f aca="false">IF(OR(V$4="",$C55="",$D55=""),"",IF(AND($C55&lt;EDATE(V$4,1),$D55&gt;=V$4),1,""))</f>
        <v>1</v>
      </c>
      <c r="W55" s="72" t="str">
        <f aca="false">IF(OR(W$4="",$C55="",$D55=""),"",IF(AND($C55&lt;EDATE(W$4,1),$D55&gt;=W$4),1,""))</f>
        <v/>
      </c>
      <c r="X55" s="72" t="str">
        <f aca="false">IF(OR(X$4="",$C55="",$D55=""),"",IF(AND($C55&lt;EDATE(X$4,1),$D55&gt;=X$4),1,""))</f>
        <v/>
      </c>
      <c r="Y55" s="72" t="str">
        <f aca="false">IF(OR(Y$4="",$C55="",$D55=""),"",IF(AND($C55&lt;EDATE(Y$4,1),$D55&gt;=Y$4),1,""))</f>
        <v/>
      </c>
      <c r="Z55" s="72" t="str">
        <f aca="false">IF(OR(Z$4="",$C55="",$D55=""),"",IF(AND($C55&lt;EDATE(Z$4,1),$D55&gt;=Z$4),1,""))</f>
        <v/>
      </c>
      <c r="AA55" s="72" t="str">
        <f aca="false">IF(OR(AA$4="",$C55="",$D55=""),"",IF(AND($C55&lt;EDATE(AA$4,1),$D55&gt;=AA$4),1,""))</f>
        <v/>
      </c>
      <c r="AB55" s="72" t="str">
        <f aca="false">IF(OR(AB$4="",$C55="",$D55=""),"",IF(AND($C55&lt;EDATE(AB$4,1),$D55&gt;=AB$4),1,""))</f>
        <v/>
      </c>
      <c r="AC55" s="72" t="str">
        <f aca="false">IF(OR(AC$4="",$C55="",$D55=""),"",IF(AND($C55&lt;EDATE(AC$4,1),$D55&gt;=AC$4),1,""))</f>
        <v/>
      </c>
      <c r="AD55" s="72" t="str">
        <f aca="false">IF(OR(AD$4="",$C55="",$D55=""),"",IF(AND($C55&lt;EDATE(AD$4,1),$D55&gt;=AD$4),1,""))</f>
        <v/>
      </c>
      <c r="AE55" s="72" t="str">
        <f aca="false">IF(OR(AE$4="",$C55="",$D55=""),"",IF(AND($C55&lt;EDATE(AE$4,1),$D55&gt;=AE$4),1,""))</f>
        <v/>
      </c>
      <c r="AF55" s="72" t="str">
        <f aca="false">IF(OR(AF$4="",$C55="",$D55=""),"",IF(AND($C55&lt;EDATE(AF$4,1),$D55&gt;=AF$4),1,""))</f>
        <v/>
      </c>
      <c r="AG55" s="72" t="str">
        <f aca="false">IF(OR(AG$4="",$C55="",$D55=""),"",IF(AND($C55&lt;EDATE(AG$4,1),$D55&gt;=AG$4),1,""))</f>
        <v/>
      </c>
      <c r="AH55" s="72" t="str">
        <f aca="false">IF(OR(AH$4="",$C55="",$D55=""),"",IF(AND($C55&lt;EDATE(AH$4,1),$D55&gt;=AH$4),1,""))</f>
        <v/>
      </c>
      <c r="AI55" s="72" t="str">
        <f aca="false">IF(OR(AI$4="",$C55="",$D55=""),"",IF(AND($C55&lt;EDATE(AI$4,1),$D55&gt;=AI$4),1,""))</f>
        <v/>
      </c>
      <c r="AJ55" s="72" t="str">
        <f aca="false">IF(OR(AJ$4="",$C55="",$D55=""),"",IF(AND($C55&lt;EDATE(AJ$4,1),$D55&gt;=AJ$4),1,""))</f>
        <v/>
      </c>
      <c r="AK55" s="72" t="str">
        <f aca="false">IF(OR(AK$4="",$C55="",$D55=""),"",IF(AND($C55&lt;EDATE(AK$4,1),$D55&gt;=AK$4),1,""))</f>
        <v/>
      </c>
      <c r="AL55" s="72" t="str">
        <f aca="false">IF(OR(AL$4="",$C55="",$D55=""),"",IF(AND($C55&lt;EDATE(AL$4,1),$D55&gt;=AL$4),1,""))</f>
        <v/>
      </c>
      <c r="AM55" s="72" t="str">
        <f aca="false">IF(OR(AM$4="",$C55="",$D55=""),"",IF(AND($C55&lt;EDATE(AM$4,1),$D55&gt;=AM$4),1,""))</f>
        <v/>
      </c>
      <c r="AN55" s="72" t="str">
        <f aca="false">IF(OR(AN$4="",$C55="",$D55=""),"",IF(AND($C55&lt;EDATE(AN$4,1),$D55&gt;=AN$4),1,""))</f>
        <v/>
      </c>
      <c r="AO55" s="72" t="str">
        <f aca="false">IF(OR(AO$4="",$C55="",$D55=""),"",IF(AND($C55&lt;EDATE(AO$4,1),$D55&gt;=AO$4),1,""))</f>
        <v/>
      </c>
      <c r="AP55" s="72" t="str">
        <f aca="false">IF(OR(AP$4="",$C55="",$D55=""),"",IF(AND($C55&lt;EDATE(AP$4,1),$D55&gt;=AP$4),1,""))</f>
        <v/>
      </c>
      <c r="AQ55" s="72" t="str">
        <f aca="false">IF(OR(AQ$4="",$C55="",$D55=""),"",IF(AND($C55&lt;EDATE(AQ$4,1),$D55&gt;=AQ$4),1,""))</f>
        <v/>
      </c>
      <c r="AR55" s="72" t="str">
        <f aca="false">IF(OR(AR$4="",$C55="",$D55=""),"",IF(AND($C55&lt;EDATE(AR$4,1),$D55&gt;=AR$4),1,""))</f>
        <v/>
      </c>
      <c r="AS55" s="72" t="str">
        <f aca="false">IF(OR(AS$4="",$C55="",$D55=""),"",IF(AND($C55&lt;EDATE(AS$4,1),$D55&gt;=AS$4),1,""))</f>
        <v/>
      </c>
      <c r="AT55" s="72" t="str">
        <f aca="false">IF(OR(AT$4="",$C55="",$D55=""),"",IF(AND($C55&lt;EDATE(AT$4,1),$D55&gt;=AT$4),1,""))</f>
        <v/>
      </c>
      <c r="AU55" s="72" t="str">
        <f aca="false">IF(OR(AU$4="",$C55="",$D55=""),"",IF(AND($C55&lt;EDATE(AU$4,1),$D55&gt;=AU$4),1,""))</f>
        <v/>
      </c>
      <c r="AV55" s="72" t="str">
        <f aca="false">IF(OR(AV$4="",$C55="",$D55=""),"",IF(AND($C55&lt;EDATE(AV$4,1),$D55&gt;=AV$4),1,""))</f>
        <v/>
      </c>
      <c r="AW55" s="72" t="str">
        <f aca="false">IF(OR(AW$4="",$C55="",$D55=""),"",IF(AND($C55&lt;EDATE(AW$4,1),$D55&gt;=AW$4),1,""))</f>
        <v/>
      </c>
      <c r="AX55" s="72" t="str">
        <f aca="false">IF(OR(AX$4="",$C55="",$D55=""),"",IF(AND($C55&lt;EDATE(AX$4,1),$D55&gt;=AX$4),1,""))</f>
        <v/>
      </c>
      <c r="AY55" s="72" t="str">
        <f aca="false">IF(OR(AY$4="",$C55="",$D55=""),"",IF(AND($C55&lt;EDATE(AY$4,1),$D55&gt;=AY$4),1,""))</f>
        <v/>
      </c>
      <c r="AZ55" s="72" t="str">
        <f aca="false">IF(OR(AZ$4="",$C55="",$D55=""),"",IF(AND($C55&lt;EDATE(AZ$4,1),$D55&gt;=AZ$4),1,""))</f>
        <v/>
      </c>
      <c r="BA55" s="72" t="str">
        <f aca="false">IF(OR(BA$4="",$C55="",$D55=""),"",IF(AND($C55&lt;EDATE(BA$4,1),$D55&gt;=BA$4),1,""))</f>
        <v/>
      </c>
      <c r="BB55" s="72" t="str">
        <f aca="false">IF(OR(BB$4="",$C55="",$D55=""),"",IF(AND($C55&lt;EDATE(BB$4,1),$D55&gt;=BB$4),1,""))</f>
        <v/>
      </c>
      <c r="BC55" s="72" t="str">
        <f aca="false">IF(OR(BC$4="",$C55="",$D55=""),"",IF(AND($C55&lt;EDATE(BC$4,1),$D55&gt;=BC$4),1,""))</f>
        <v/>
      </c>
      <c r="BD55" s="72" t="str">
        <f aca="false">IF(OR(BD$4="",$C55="",$D55=""),"",IF(AND($C55&lt;EDATE(BD$4,1),$D55&gt;=BD$4),1,""))</f>
        <v/>
      </c>
      <c r="BE55" s="72" t="str">
        <f aca="false">IF(OR(BE$4="",$C55="",$D55=""),"",IF(AND($C55&lt;EDATE(BE$4,1),$D55&gt;=BE$4),1,""))</f>
        <v/>
      </c>
      <c r="BF55" s="72" t="str">
        <f aca="false">IF(OR(BF$4="",$C55="",$D55=""),"",IF(AND($C55&lt;EDATE(BF$4,1),$D55&gt;=BF$4),1,""))</f>
        <v/>
      </c>
      <c r="BG55" s="72" t="str">
        <f aca="false">IF(OR(BG$4="",$C55="",$D55=""),"",IF(AND($C55&lt;EDATE(BG$4,1),$D55&gt;=BG$4),1,""))</f>
        <v/>
      </c>
      <c r="BH55" s="72" t="str">
        <f aca="false">IF(OR(BH$4="",$C55="",$D55=""),"",IF(AND($C55&lt;EDATE(BH$4,1),$D55&gt;=BH$4),1,""))</f>
        <v/>
      </c>
      <c r="BI55" s="72" t="str">
        <f aca="false">IF(OR(BI$4="",$C55="",$D55=""),"",IF(AND($C55&lt;EDATE(BI$4,1),$D55&gt;=BI$4),1,""))</f>
        <v/>
      </c>
      <c r="BJ55" s="72" t="str">
        <f aca="false">IF(OR(BJ$4="",$C55="",$D55=""),"",IF(AND($C55&lt;EDATE(BJ$4,1),$D55&gt;=BJ$4),1,""))</f>
        <v/>
      </c>
      <c r="BK55" s="72" t="str">
        <f aca="false">IF(OR(BK$4="",$C55="",$D55=""),"",IF(AND($C55&lt;EDATE(BK$4,1),$D55&gt;=BK$4),1,""))</f>
        <v/>
      </c>
      <c r="BL55" s="72" t="str">
        <f aca="false">IF(OR(BL$4="",$C55="",$D55=""),"",IF(AND($C55&lt;EDATE(BL$4,1),$D55&gt;=BL$4),1,""))</f>
        <v/>
      </c>
      <c r="BM55" s="72" t="str">
        <f aca="false">IF(OR(BM$4="",$C55="",$D55=""),"",IF(AND($C55&lt;EDATE(BM$4,1),$D55&gt;=BM$4),1,""))</f>
        <v/>
      </c>
      <c r="BN55" s="72" t="str">
        <f aca="false">IF(OR(BN$4="",$C55="",$D55=""),"",IF(AND($C55&lt;EDATE(BN$4,1),$D55&gt;=BN$4),1,""))</f>
        <v/>
      </c>
      <c r="BO55" s="72" t="str">
        <f aca="false">IF(OR(BO$4="",$C55="",$D55=""),"",IF(AND($C55&lt;EDATE(BO$4,1),$D55&gt;=BO$4),1,""))</f>
        <v/>
      </c>
      <c r="BP55" s="72" t="str">
        <f aca="false">IF(OR(BP$4="",$C55="",$D55=""),"",IF(AND($C55&lt;EDATE(BP$4,1),$D55&gt;=BP$4),1,""))</f>
        <v/>
      </c>
      <c r="BQ55" s="72" t="str">
        <f aca="false">IF(OR(BQ$4="",$C55="",$D55=""),"",IF(AND($C55&lt;EDATE(BQ$4,1),$D55&gt;=BQ$4),1,""))</f>
        <v/>
      </c>
      <c r="BR55" s="72" t="str">
        <f aca="false">IF(OR(BR$4="",$C55="",$D55=""),"",IF(AND($C55&lt;EDATE(BR$4,1),$D55&gt;=BR$4),1,""))</f>
        <v/>
      </c>
      <c r="BS55" s="72" t="str">
        <f aca="false">IF(OR(BS$4="",$C55="",$D55=""),"",IF(AND($C55&lt;EDATE(BS$4,1),$D55&gt;=BS$4),1,""))</f>
        <v/>
      </c>
      <c r="BT55" s="72" t="str">
        <f aca="false">IF(OR(BT$4="",$C55="",$D55=""),"",IF(AND($C55&lt;EDATE(BT$4,1),$D55&gt;=BT$4),1,""))</f>
        <v/>
      </c>
      <c r="BU55" s="72" t="str">
        <f aca="false">IF(OR(BU$4="",$C55="",$D55=""),"",IF(AND($C55&lt;EDATE(BU$4,1),$D55&gt;=BU$4),1,""))</f>
        <v/>
      </c>
      <c r="BV55" s="72" t="str">
        <f aca="false">IF(OR(BV$4="",$C55="",$D55=""),"",IF(AND($C55&lt;EDATE(BV$4,1),$D55&gt;=BV$4),1,""))</f>
        <v/>
      </c>
      <c r="BW55" s="72" t="str">
        <f aca="false">IF(OR(BW$4="",$C55="",$D55=""),"",IF(AND($C55&lt;EDATE(BW$4,1),$D55&gt;=BW$4),1,""))</f>
        <v/>
      </c>
      <c r="BX55" s="72" t="str">
        <f aca="false">IF(OR(BX$4="",$C55="",$D55=""),"",IF(AND($C55&lt;EDATE(BX$4,1),$D55&gt;=BX$4),1,""))</f>
        <v/>
      </c>
      <c r="BY55" s="72" t="str">
        <f aca="false">IF(OR(BY$4="",$C55="",$D55=""),"",IF(AND($C55&lt;EDATE(BY$4,1),$D55&gt;=BY$4),1,""))</f>
        <v/>
      </c>
    </row>
    <row r="56" customFormat="false" ht="15" hidden="false" customHeight="false" outlineLevel="0" collapsed="false">
      <c r="A56" s="61" t="str">
        <f aca="false">IF(BOE!$A25="","",BOE!$A25)</f>
        <v>301</v>
      </c>
      <c r="B56" s="61" t="str">
        <f aca="false">IF(BOE!$A25="","",BOE!$C25)</f>
        <v>Safety Assessment Report (SAR)  — ANCHOR</v>
      </c>
      <c r="C56" s="62" t="n">
        <f aca="false">IF(OR(BOE!$A25="",BOE!$E25&lt;&gt;"Y"),"",BOE!$O25)</f>
        <v>47122</v>
      </c>
      <c r="D56" s="62" t="n">
        <f aca="false">IF(OR(BOE!$A25="",BOE!$E25&lt;&gt;"Y"),"",BOE!$P25)</f>
        <v>47395</v>
      </c>
      <c r="E56" s="63" t="n">
        <f aca="false">IF(OR(BOE!$A25="",BOE!$E25&lt;&gt;"Y"),"",IF(Inputs!$B$7="P90",BOE!$T25,BOE!$R25))</f>
        <v>800</v>
      </c>
      <c r="F56" s="72" t="str">
        <f aca="false">IF(OR(F$4="",$C56="",$D56=""),"",IF(AND($C56&lt;EDATE(F$4,1),$D56&gt;=F$4),1,""))</f>
        <v/>
      </c>
      <c r="G56" s="72" t="str">
        <f aca="false">IF(OR(G$4="",$C56="",$D56=""),"",IF(AND($C56&lt;EDATE(G$4,1),$D56&gt;=G$4),1,""))</f>
        <v/>
      </c>
      <c r="H56" s="72" t="str">
        <f aca="false">IF(OR(H$4="",$C56="",$D56=""),"",IF(AND($C56&lt;EDATE(H$4,1),$D56&gt;=H$4),1,""))</f>
        <v/>
      </c>
      <c r="I56" s="72" t="str">
        <f aca="false">IF(OR(I$4="",$C56="",$D56=""),"",IF(AND($C56&lt;EDATE(I$4,1),$D56&gt;=I$4),1,""))</f>
        <v/>
      </c>
      <c r="J56" s="72" t="str">
        <f aca="false">IF(OR(J$4="",$C56="",$D56=""),"",IF(AND($C56&lt;EDATE(J$4,1),$D56&gt;=J$4),1,""))</f>
        <v/>
      </c>
      <c r="K56" s="72" t="str">
        <f aca="false">IF(OR(K$4="",$C56="",$D56=""),"",IF(AND($C56&lt;EDATE(K$4,1),$D56&gt;=K$4),1,""))</f>
        <v/>
      </c>
      <c r="L56" s="72" t="str">
        <f aca="false">IF(OR(L$4="",$C56="",$D56=""),"",IF(AND($C56&lt;EDATE(L$4,1),$D56&gt;=L$4),1,""))</f>
        <v/>
      </c>
      <c r="M56" s="72" t="str">
        <f aca="false">IF(OR(M$4="",$C56="",$D56=""),"",IF(AND($C56&lt;EDATE(M$4,1),$D56&gt;=M$4),1,""))</f>
        <v/>
      </c>
      <c r="N56" s="72" t="str">
        <f aca="false">IF(OR(N$4="",$C56="",$D56=""),"",IF(AND($C56&lt;EDATE(N$4,1),$D56&gt;=N$4),1,""))</f>
        <v/>
      </c>
      <c r="O56" s="72" t="str">
        <f aca="false">IF(OR(O$4="",$C56="",$D56=""),"",IF(AND($C56&lt;EDATE(O$4,1),$D56&gt;=O$4),1,""))</f>
        <v/>
      </c>
      <c r="P56" s="72" t="str">
        <f aca="false">IF(OR(P$4="",$C56="",$D56=""),"",IF(AND($C56&lt;EDATE(P$4,1),$D56&gt;=P$4),1,""))</f>
        <v/>
      </c>
      <c r="Q56" s="72" t="str">
        <f aca="false">IF(OR(Q$4="",$C56="",$D56=""),"",IF(AND($C56&lt;EDATE(Q$4,1),$D56&gt;=Q$4),1,""))</f>
        <v/>
      </c>
      <c r="R56" s="72" t="str">
        <f aca="false">IF(OR(R$4="",$C56="",$D56=""),"",IF(AND($C56&lt;EDATE(R$4,1),$D56&gt;=R$4),1,""))</f>
        <v/>
      </c>
      <c r="S56" s="72" t="str">
        <f aca="false">IF(OR(S$4="",$C56="",$D56=""),"",IF(AND($C56&lt;EDATE(S$4,1),$D56&gt;=S$4),1,""))</f>
        <v/>
      </c>
      <c r="T56" s="72" t="str">
        <f aca="false">IF(OR(T$4="",$C56="",$D56=""),"",IF(AND($C56&lt;EDATE(T$4,1),$D56&gt;=T$4),1,""))</f>
        <v/>
      </c>
      <c r="U56" s="72" t="str">
        <f aca="false">IF(OR(U$4="",$C56="",$D56=""),"",IF(AND($C56&lt;EDATE(U$4,1),$D56&gt;=U$4),1,""))</f>
        <v/>
      </c>
      <c r="V56" s="72" t="str">
        <f aca="false">IF(OR(V$4="",$C56="",$D56=""),"",IF(AND($C56&lt;EDATE(V$4,1),$D56&gt;=V$4),1,""))</f>
        <v/>
      </c>
      <c r="W56" s="72" t="str">
        <f aca="false">IF(OR(W$4="",$C56="",$D56=""),"",IF(AND($C56&lt;EDATE(W$4,1),$D56&gt;=W$4),1,""))</f>
        <v/>
      </c>
      <c r="X56" s="72" t="str">
        <f aca="false">IF(OR(X$4="",$C56="",$D56=""),"",IF(AND($C56&lt;EDATE(X$4,1),$D56&gt;=X$4),1,""))</f>
        <v/>
      </c>
      <c r="Y56" s="72" t="str">
        <f aca="false">IF(OR(Y$4="",$C56="",$D56=""),"",IF(AND($C56&lt;EDATE(Y$4,1),$D56&gt;=Y$4),1,""))</f>
        <v/>
      </c>
      <c r="Z56" s="72" t="str">
        <f aca="false">IF(OR(Z$4="",$C56="",$D56=""),"",IF(AND($C56&lt;EDATE(Z$4,1),$D56&gt;=Z$4),1,""))</f>
        <v/>
      </c>
      <c r="AA56" s="72" t="str">
        <f aca="false">IF(OR(AA$4="",$C56="",$D56=""),"",IF(AND($C56&lt;EDATE(AA$4,1),$D56&gt;=AA$4),1,""))</f>
        <v/>
      </c>
      <c r="AB56" s="72" t="str">
        <f aca="false">IF(OR(AB$4="",$C56="",$D56=""),"",IF(AND($C56&lt;EDATE(AB$4,1),$D56&gt;=AB$4),1,""))</f>
        <v/>
      </c>
      <c r="AC56" s="72" t="str">
        <f aca="false">IF(OR(AC$4="",$C56="",$D56=""),"",IF(AND($C56&lt;EDATE(AC$4,1),$D56&gt;=AC$4),1,""))</f>
        <v/>
      </c>
      <c r="AD56" s="72" t="n">
        <f aca="false">IF(OR(AD$4="",$C56="",$D56=""),"",IF(AND($C56&lt;EDATE(AD$4,1),$D56&gt;=AD$4),1,""))</f>
        <v>1</v>
      </c>
      <c r="AE56" s="72" t="n">
        <f aca="false">IF(OR(AE$4="",$C56="",$D56=""),"",IF(AND($C56&lt;EDATE(AE$4,1),$D56&gt;=AE$4),1,""))</f>
        <v>1</v>
      </c>
      <c r="AF56" s="72" t="n">
        <f aca="false">IF(OR(AF$4="",$C56="",$D56=""),"",IF(AND($C56&lt;EDATE(AF$4,1),$D56&gt;=AF$4),1,""))</f>
        <v>1</v>
      </c>
      <c r="AG56" s="72" t="n">
        <f aca="false">IF(OR(AG$4="",$C56="",$D56=""),"",IF(AND($C56&lt;EDATE(AG$4,1),$D56&gt;=AG$4),1,""))</f>
        <v>1</v>
      </c>
      <c r="AH56" s="72" t="n">
        <f aca="false">IF(OR(AH$4="",$C56="",$D56=""),"",IF(AND($C56&lt;EDATE(AH$4,1),$D56&gt;=AH$4),1,""))</f>
        <v>1</v>
      </c>
      <c r="AI56" s="72" t="n">
        <f aca="false">IF(OR(AI$4="",$C56="",$D56=""),"",IF(AND($C56&lt;EDATE(AI$4,1),$D56&gt;=AI$4),1,""))</f>
        <v>1</v>
      </c>
      <c r="AJ56" s="72" t="n">
        <f aca="false">IF(OR(AJ$4="",$C56="",$D56=""),"",IF(AND($C56&lt;EDATE(AJ$4,1),$D56&gt;=AJ$4),1,""))</f>
        <v>1</v>
      </c>
      <c r="AK56" s="72" t="n">
        <f aca="false">IF(OR(AK$4="",$C56="",$D56=""),"",IF(AND($C56&lt;EDATE(AK$4,1),$D56&gt;=AK$4),1,""))</f>
        <v>1</v>
      </c>
      <c r="AL56" s="72" t="n">
        <f aca="false">IF(OR(AL$4="",$C56="",$D56=""),"",IF(AND($C56&lt;EDATE(AL$4,1),$D56&gt;=AL$4),1,""))</f>
        <v>1</v>
      </c>
      <c r="AM56" s="72" t="n">
        <f aca="false">IF(OR(AM$4="",$C56="",$D56=""),"",IF(AND($C56&lt;EDATE(AM$4,1),$D56&gt;=AM$4),1,""))</f>
        <v>1</v>
      </c>
      <c r="AN56" s="72" t="str">
        <f aca="false">IF(OR(AN$4="",$C56="",$D56=""),"",IF(AND($C56&lt;EDATE(AN$4,1),$D56&gt;=AN$4),1,""))</f>
        <v/>
      </c>
      <c r="AO56" s="72" t="str">
        <f aca="false">IF(OR(AO$4="",$C56="",$D56=""),"",IF(AND($C56&lt;EDATE(AO$4,1),$D56&gt;=AO$4),1,""))</f>
        <v/>
      </c>
      <c r="AP56" s="72" t="str">
        <f aca="false">IF(OR(AP$4="",$C56="",$D56=""),"",IF(AND($C56&lt;EDATE(AP$4,1),$D56&gt;=AP$4),1,""))</f>
        <v/>
      </c>
      <c r="AQ56" s="72" t="str">
        <f aca="false">IF(OR(AQ$4="",$C56="",$D56=""),"",IF(AND($C56&lt;EDATE(AQ$4,1),$D56&gt;=AQ$4),1,""))</f>
        <v/>
      </c>
      <c r="AR56" s="72" t="str">
        <f aca="false">IF(OR(AR$4="",$C56="",$D56=""),"",IF(AND($C56&lt;EDATE(AR$4,1),$D56&gt;=AR$4),1,""))</f>
        <v/>
      </c>
      <c r="AS56" s="72" t="str">
        <f aca="false">IF(OR(AS$4="",$C56="",$D56=""),"",IF(AND($C56&lt;EDATE(AS$4,1),$D56&gt;=AS$4),1,""))</f>
        <v/>
      </c>
      <c r="AT56" s="72" t="str">
        <f aca="false">IF(OR(AT$4="",$C56="",$D56=""),"",IF(AND($C56&lt;EDATE(AT$4,1),$D56&gt;=AT$4),1,""))</f>
        <v/>
      </c>
      <c r="AU56" s="72" t="str">
        <f aca="false">IF(OR(AU$4="",$C56="",$D56=""),"",IF(AND($C56&lt;EDATE(AU$4,1),$D56&gt;=AU$4),1,""))</f>
        <v/>
      </c>
      <c r="AV56" s="72" t="str">
        <f aca="false">IF(OR(AV$4="",$C56="",$D56=""),"",IF(AND($C56&lt;EDATE(AV$4,1),$D56&gt;=AV$4),1,""))</f>
        <v/>
      </c>
      <c r="AW56" s="72" t="str">
        <f aca="false">IF(OR(AW$4="",$C56="",$D56=""),"",IF(AND($C56&lt;EDATE(AW$4,1),$D56&gt;=AW$4),1,""))</f>
        <v/>
      </c>
      <c r="AX56" s="72" t="str">
        <f aca="false">IF(OR(AX$4="",$C56="",$D56=""),"",IF(AND($C56&lt;EDATE(AX$4,1),$D56&gt;=AX$4),1,""))</f>
        <v/>
      </c>
      <c r="AY56" s="72" t="str">
        <f aca="false">IF(OR(AY$4="",$C56="",$D56=""),"",IF(AND($C56&lt;EDATE(AY$4,1),$D56&gt;=AY$4),1,""))</f>
        <v/>
      </c>
      <c r="AZ56" s="72" t="str">
        <f aca="false">IF(OR(AZ$4="",$C56="",$D56=""),"",IF(AND($C56&lt;EDATE(AZ$4,1),$D56&gt;=AZ$4),1,""))</f>
        <v/>
      </c>
      <c r="BA56" s="72" t="str">
        <f aca="false">IF(OR(BA$4="",$C56="",$D56=""),"",IF(AND($C56&lt;EDATE(BA$4,1),$D56&gt;=BA$4),1,""))</f>
        <v/>
      </c>
      <c r="BB56" s="72" t="str">
        <f aca="false">IF(OR(BB$4="",$C56="",$D56=""),"",IF(AND($C56&lt;EDATE(BB$4,1),$D56&gt;=BB$4),1,""))</f>
        <v/>
      </c>
      <c r="BC56" s="72" t="str">
        <f aca="false">IF(OR(BC$4="",$C56="",$D56=""),"",IF(AND($C56&lt;EDATE(BC$4,1),$D56&gt;=BC$4),1,""))</f>
        <v/>
      </c>
      <c r="BD56" s="72" t="str">
        <f aca="false">IF(OR(BD$4="",$C56="",$D56=""),"",IF(AND($C56&lt;EDATE(BD$4,1),$D56&gt;=BD$4),1,""))</f>
        <v/>
      </c>
      <c r="BE56" s="72" t="str">
        <f aca="false">IF(OR(BE$4="",$C56="",$D56=""),"",IF(AND($C56&lt;EDATE(BE$4,1),$D56&gt;=BE$4),1,""))</f>
        <v/>
      </c>
      <c r="BF56" s="72" t="str">
        <f aca="false">IF(OR(BF$4="",$C56="",$D56=""),"",IF(AND($C56&lt;EDATE(BF$4,1),$D56&gt;=BF$4),1,""))</f>
        <v/>
      </c>
      <c r="BG56" s="72" t="str">
        <f aca="false">IF(OR(BG$4="",$C56="",$D56=""),"",IF(AND($C56&lt;EDATE(BG$4,1),$D56&gt;=BG$4),1,""))</f>
        <v/>
      </c>
      <c r="BH56" s="72" t="str">
        <f aca="false">IF(OR(BH$4="",$C56="",$D56=""),"",IF(AND($C56&lt;EDATE(BH$4,1),$D56&gt;=BH$4),1,""))</f>
        <v/>
      </c>
      <c r="BI56" s="72" t="str">
        <f aca="false">IF(OR(BI$4="",$C56="",$D56=""),"",IF(AND($C56&lt;EDATE(BI$4,1),$D56&gt;=BI$4),1,""))</f>
        <v/>
      </c>
      <c r="BJ56" s="72" t="str">
        <f aca="false">IF(OR(BJ$4="",$C56="",$D56=""),"",IF(AND($C56&lt;EDATE(BJ$4,1),$D56&gt;=BJ$4),1,""))</f>
        <v/>
      </c>
      <c r="BK56" s="72" t="str">
        <f aca="false">IF(OR(BK$4="",$C56="",$D56=""),"",IF(AND($C56&lt;EDATE(BK$4,1),$D56&gt;=BK$4),1,""))</f>
        <v/>
      </c>
      <c r="BL56" s="72" t="str">
        <f aca="false">IF(OR(BL$4="",$C56="",$D56=""),"",IF(AND($C56&lt;EDATE(BL$4,1),$D56&gt;=BL$4),1,""))</f>
        <v/>
      </c>
      <c r="BM56" s="72" t="str">
        <f aca="false">IF(OR(BM$4="",$C56="",$D56=""),"",IF(AND($C56&lt;EDATE(BM$4,1),$D56&gt;=BM$4),1,""))</f>
        <v/>
      </c>
      <c r="BN56" s="72" t="str">
        <f aca="false">IF(OR(BN$4="",$C56="",$D56=""),"",IF(AND($C56&lt;EDATE(BN$4,1),$D56&gt;=BN$4),1,""))</f>
        <v/>
      </c>
      <c r="BO56" s="72" t="str">
        <f aca="false">IF(OR(BO$4="",$C56="",$D56=""),"",IF(AND($C56&lt;EDATE(BO$4,1),$D56&gt;=BO$4),1,""))</f>
        <v/>
      </c>
      <c r="BP56" s="72" t="str">
        <f aca="false">IF(OR(BP$4="",$C56="",$D56=""),"",IF(AND($C56&lt;EDATE(BP$4,1),$D56&gt;=BP$4),1,""))</f>
        <v/>
      </c>
      <c r="BQ56" s="72" t="str">
        <f aca="false">IF(OR(BQ$4="",$C56="",$D56=""),"",IF(AND($C56&lt;EDATE(BQ$4,1),$D56&gt;=BQ$4),1,""))</f>
        <v/>
      </c>
      <c r="BR56" s="72" t="str">
        <f aca="false">IF(OR(BR$4="",$C56="",$D56=""),"",IF(AND($C56&lt;EDATE(BR$4,1),$D56&gt;=BR$4),1,""))</f>
        <v/>
      </c>
      <c r="BS56" s="72" t="str">
        <f aca="false">IF(OR(BS$4="",$C56="",$D56=""),"",IF(AND($C56&lt;EDATE(BS$4,1),$D56&gt;=BS$4),1,""))</f>
        <v/>
      </c>
      <c r="BT56" s="72" t="str">
        <f aca="false">IF(OR(BT$4="",$C56="",$D56=""),"",IF(AND($C56&lt;EDATE(BT$4,1),$D56&gt;=BT$4),1,""))</f>
        <v/>
      </c>
      <c r="BU56" s="72" t="str">
        <f aca="false">IF(OR(BU$4="",$C56="",$D56=""),"",IF(AND($C56&lt;EDATE(BU$4,1),$D56&gt;=BU$4),1,""))</f>
        <v/>
      </c>
      <c r="BV56" s="72" t="str">
        <f aca="false">IF(OR(BV$4="",$C56="",$D56=""),"",IF(AND($C56&lt;EDATE(BV$4,1),$D56&gt;=BV$4),1,""))</f>
        <v/>
      </c>
      <c r="BW56" s="72" t="str">
        <f aca="false">IF(OR(BW$4="",$C56="",$D56=""),"",IF(AND($C56&lt;EDATE(BW$4,1),$D56&gt;=BW$4),1,""))</f>
        <v/>
      </c>
      <c r="BX56" s="72" t="str">
        <f aca="false">IF(OR(BX$4="",$C56="",$D56=""),"",IF(AND($C56&lt;EDATE(BX$4,1),$D56&gt;=BX$4),1,""))</f>
        <v/>
      </c>
      <c r="BY56" s="72" t="str">
        <f aca="false">IF(OR(BY$4="",$C56="",$D56=""),"",IF(AND($C56&lt;EDATE(BY$4,1),$D56&gt;=BY$4),1,""))</f>
        <v/>
      </c>
    </row>
    <row r="57" customFormat="false" ht="15" hidden="false" customHeight="false" outlineLevel="0" collapsed="false">
      <c r="A57" s="61" t="str">
        <f aca="false">IF(BOE!$A26="","",BOE!$A26)</f>
        <v>302</v>
      </c>
      <c r="B57" s="61" t="str">
        <f aca="false">IF(BOE!$A26="","",BOE!$C26)</f>
        <v>Hazard Management Assessment Report (HMAR)</v>
      </c>
      <c r="C57" s="62" t="str">
        <f aca="false">IF(OR(BOE!$A26="",BOE!$E26&lt;&gt;"Y"),"",BOE!$O26)</f>
        <v/>
      </c>
      <c r="D57" s="62" t="str">
        <f aca="false">IF(OR(BOE!$A26="",BOE!$E26&lt;&gt;"Y"),"",BOE!$P26)</f>
        <v/>
      </c>
      <c r="E57" s="63" t="str">
        <f aca="false">IF(OR(BOE!$A26="",BOE!$E26&lt;&gt;"Y"),"",IF(Inputs!$B$7="P90",BOE!$T26,BOE!$R26))</f>
        <v/>
      </c>
      <c r="F57" s="72" t="str">
        <f aca="false">IF(OR(F$4="",$C57="",$D57=""),"",IF(AND($C57&lt;EDATE(F$4,1),$D57&gt;=F$4),1,""))</f>
        <v/>
      </c>
      <c r="G57" s="72" t="str">
        <f aca="false">IF(OR(G$4="",$C57="",$D57=""),"",IF(AND($C57&lt;EDATE(G$4,1),$D57&gt;=G$4),1,""))</f>
        <v/>
      </c>
      <c r="H57" s="72" t="str">
        <f aca="false">IF(OR(H$4="",$C57="",$D57=""),"",IF(AND($C57&lt;EDATE(H$4,1),$D57&gt;=H$4),1,""))</f>
        <v/>
      </c>
      <c r="I57" s="72" t="str">
        <f aca="false">IF(OR(I$4="",$C57="",$D57=""),"",IF(AND($C57&lt;EDATE(I$4,1),$D57&gt;=I$4),1,""))</f>
        <v/>
      </c>
      <c r="J57" s="72" t="str">
        <f aca="false">IF(OR(J$4="",$C57="",$D57=""),"",IF(AND($C57&lt;EDATE(J$4,1),$D57&gt;=J$4),1,""))</f>
        <v/>
      </c>
      <c r="K57" s="72" t="str">
        <f aca="false">IF(OR(K$4="",$C57="",$D57=""),"",IF(AND($C57&lt;EDATE(K$4,1),$D57&gt;=K$4),1,""))</f>
        <v/>
      </c>
      <c r="L57" s="72" t="str">
        <f aca="false">IF(OR(L$4="",$C57="",$D57=""),"",IF(AND($C57&lt;EDATE(L$4,1),$D57&gt;=L$4),1,""))</f>
        <v/>
      </c>
      <c r="M57" s="72" t="str">
        <f aca="false">IF(OR(M$4="",$C57="",$D57=""),"",IF(AND($C57&lt;EDATE(M$4,1),$D57&gt;=M$4),1,""))</f>
        <v/>
      </c>
      <c r="N57" s="72" t="str">
        <f aca="false">IF(OR(N$4="",$C57="",$D57=""),"",IF(AND($C57&lt;EDATE(N$4,1),$D57&gt;=N$4),1,""))</f>
        <v/>
      </c>
      <c r="O57" s="72" t="str">
        <f aca="false">IF(OR(O$4="",$C57="",$D57=""),"",IF(AND($C57&lt;EDATE(O$4,1),$D57&gt;=O$4),1,""))</f>
        <v/>
      </c>
      <c r="P57" s="72" t="str">
        <f aca="false">IF(OR(P$4="",$C57="",$D57=""),"",IF(AND($C57&lt;EDATE(P$4,1),$D57&gt;=P$4),1,""))</f>
        <v/>
      </c>
      <c r="Q57" s="72" t="str">
        <f aca="false">IF(OR(Q$4="",$C57="",$D57=""),"",IF(AND($C57&lt;EDATE(Q$4,1),$D57&gt;=Q$4),1,""))</f>
        <v/>
      </c>
      <c r="R57" s="72" t="str">
        <f aca="false">IF(OR(R$4="",$C57="",$D57=""),"",IF(AND($C57&lt;EDATE(R$4,1),$D57&gt;=R$4),1,""))</f>
        <v/>
      </c>
      <c r="S57" s="72" t="str">
        <f aca="false">IF(OR(S$4="",$C57="",$D57=""),"",IF(AND($C57&lt;EDATE(S$4,1),$D57&gt;=S$4),1,""))</f>
        <v/>
      </c>
      <c r="T57" s="72" t="str">
        <f aca="false">IF(OR(T$4="",$C57="",$D57=""),"",IF(AND($C57&lt;EDATE(T$4,1),$D57&gt;=T$4),1,""))</f>
        <v/>
      </c>
      <c r="U57" s="72" t="str">
        <f aca="false">IF(OR(U$4="",$C57="",$D57=""),"",IF(AND($C57&lt;EDATE(U$4,1),$D57&gt;=U$4),1,""))</f>
        <v/>
      </c>
      <c r="V57" s="72" t="str">
        <f aca="false">IF(OR(V$4="",$C57="",$D57=""),"",IF(AND($C57&lt;EDATE(V$4,1),$D57&gt;=V$4),1,""))</f>
        <v/>
      </c>
      <c r="W57" s="72" t="str">
        <f aca="false">IF(OR(W$4="",$C57="",$D57=""),"",IF(AND($C57&lt;EDATE(W$4,1),$D57&gt;=W$4),1,""))</f>
        <v/>
      </c>
      <c r="X57" s="72" t="str">
        <f aca="false">IF(OR(X$4="",$C57="",$D57=""),"",IF(AND($C57&lt;EDATE(X$4,1),$D57&gt;=X$4),1,""))</f>
        <v/>
      </c>
      <c r="Y57" s="72" t="str">
        <f aca="false">IF(OR(Y$4="",$C57="",$D57=""),"",IF(AND($C57&lt;EDATE(Y$4,1),$D57&gt;=Y$4),1,""))</f>
        <v/>
      </c>
      <c r="Z57" s="72" t="str">
        <f aca="false">IF(OR(Z$4="",$C57="",$D57=""),"",IF(AND($C57&lt;EDATE(Z$4,1),$D57&gt;=Z$4),1,""))</f>
        <v/>
      </c>
      <c r="AA57" s="72" t="str">
        <f aca="false">IF(OR(AA$4="",$C57="",$D57=""),"",IF(AND($C57&lt;EDATE(AA$4,1),$D57&gt;=AA$4),1,""))</f>
        <v/>
      </c>
      <c r="AB57" s="72" t="str">
        <f aca="false">IF(OR(AB$4="",$C57="",$D57=""),"",IF(AND($C57&lt;EDATE(AB$4,1),$D57&gt;=AB$4),1,""))</f>
        <v/>
      </c>
      <c r="AC57" s="72" t="str">
        <f aca="false">IF(OR(AC$4="",$C57="",$D57=""),"",IF(AND($C57&lt;EDATE(AC$4,1),$D57&gt;=AC$4),1,""))</f>
        <v/>
      </c>
      <c r="AD57" s="72" t="str">
        <f aca="false">IF(OR(AD$4="",$C57="",$D57=""),"",IF(AND($C57&lt;EDATE(AD$4,1),$D57&gt;=AD$4),1,""))</f>
        <v/>
      </c>
      <c r="AE57" s="72" t="str">
        <f aca="false">IF(OR(AE$4="",$C57="",$D57=""),"",IF(AND($C57&lt;EDATE(AE$4,1),$D57&gt;=AE$4),1,""))</f>
        <v/>
      </c>
      <c r="AF57" s="72" t="str">
        <f aca="false">IF(OR(AF$4="",$C57="",$D57=""),"",IF(AND($C57&lt;EDATE(AF$4,1),$D57&gt;=AF$4),1,""))</f>
        <v/>
      </c>
      <c r="AG57" s="72" t="str">
        <f aca="false">IF(OR(AG$4="",$C57="",$D57=""),"",IF(AND($C57&lt;EDATE(AG$4,1),$D57&gt;=AG$4),1,""))</f>
        <v/>
      </c>
      <c r="AH57" s="72" t="str">
        <f aca="false">IF(OR(AH$4="",$C57="",$D57=""),"",IF(AND($C57&lt;EDATE(AH$4,1),$D57&gt;=AH$4),1,""))</f>
        <v/>
      </c>
      <c r="AI57" s="72" t="str">
        <f aca="false">IF(OR(AI$4="",$C57="",$D57=""),"",IF(AND($C57&lt;EDATE(AI$4,1),$D57&gt;=AI$4),1,""))</f>
        <v/>
      </c>
      <c r="AJ57" s="72" t="str">
        <f aca="false">IF(OR(AJ$4="",$C57="",$D57=""),"",IF(AND($C57&lt;EDATE(AJ$4,1),$D57&gt;=AJ$4),1,""))</f>
        <v/>
      </c>
      <c r="AK57" s="72" t="str">
        <f aca="false">IF(OR(AK$4="",$C57="",$D57=""),"",IF(AND($C57&lt;EDATE(AK$4,1),$D57&gt;=AK$4),1,""))</f>
        <v/>
      </c>
      <c r="AL57" s="72" t="str">
        <f aca="false">IF(OR(AL$4="",$C57="",$D57=""),"",IF(AND($C57&lt;EDATE(AL$4,1),$D57&gt;=AL$4),1,""))</f>
        <v/>
      </c>
      <c r="AM57" s="72" t="str">
        <f aca="false">IF(OR(AM$4="",$C57="",$D57=""),"",IF(AND($C57&lt;EDATE(AM$4,1),$D57&gt;=AM$4),1,""))</f>
        <v/>
      </c>
      <c r="AN57" s="72" t="str">
        <f aca="false">IF(OR(AN$4="",$C57="",$D57=""),"",IF(AND($C57&lt;EDATE(AN$4,1),$D57&gt;=AN$4),1,""))</f>
        <v/>
      </c>
      <c r="AO57" s="72" t="str">
        <f aca="false">IF(OR(AO$4="",$C57="",$D57=""),"",IF(AND($C57&lt;EDATE(AO$4,1),$D57&gt;=AO$4),1,""))</f>
        <v/>
      </c>
      <c r="AP57" s="72" t="str">
        <f aca="false">IF(OR(AP$4="",$C57="",$D57=""),"",IF(AND($C57&lt;EDATE(AP$4,1),$D57&gt;=AP$4),1,""))</f>
        <v/>
      </c>
      <c r="AQ57" s="72" t="str">
        <f aca="false">IF(OR(AQ$4="",$C57="",$D57=""),"",IF(AND($C57&lt;EDATE(AQ$4,1),$D57&gt;=AQ$4),1,""))</f>
        <v/>
      </c>
      <c r="AR57" s="72" t="str">
        <f aca="false">IF(OR(AR$4="",$C57="",$D57=""),"",IF(AND($C57&lt;EDATE(AR$4,1),$D57&gt;=AR$4),1,""))</f>
        <v/>
      </c>
      <c r="AS57" s="72" t="str">
        <f aca="false">IF(OR(AS$4="",$C57="",$D57=""),"",IF(AND($C57&lt;EDATE(AS$4,1),$D57&gt;=AS$4),1,""))</f>
        <v/>
      </c>
      <c r="AT57" s="72" t="str">
        <f aca="false">IF(OR(AT$4="",$C57="",$D57=""),"",IF(AND($C57&lt;EDATE(AT$4,1),$D57&gt;=AT$4),1,""))</f>
        <v/>
      </c>
      <c r="AU57" s="72" t="str">
        <f aca="false">IF(OR(AU$4="",$C57="",$D57=""),"",IF(AND($C57&lt;EDATE(AU$4,1),$D57&gt;=AU$4),1,""))</f>
        <v/>
      </c>
      <c r="AV57" s="72" t="str">
        <f aca="false">IF(OR(AV$4="",$C57="",$D57=""),"",IF(AND($C57&lt;EDATE(AV$4,1),$D57&gt;=AV$4),1,""))</f>
        <v/>
      </c>
      <c r="AW57" s="72" t="str">
        <f aca="false">IF(OR(AW$4="",$C57="",$D57=""),"",IF(AND($C57&lt;EDATE(AW$4,1),$D57&gt;=AW$4),1,""))</f>
        <v/>
      </c>
      <c r="AX57" s="72" t="str">
        <f aca="false">IF(OR(AX$4="",$C57="",$D57=""),"",IF(AND($C57&lt;EDATE(AX$4,1),$D57&gt;=AX$4),1,""))</f>
        <v/>
      </c>
      <c r="AY57" s="72" t="str">
        <f aca="false">IF(OR(AY$4="",$C57="",$D57=""),"",IF(AND($C57&lt;EDATE(AY$4,1),$D57&gt;=AY$4),1,""))</f>
        <v/>
      </c>
      <c r="AZ57" s="72" t="str">
        <f aca="false">IF(OR(AZ$4="",$C57="",$D57=""),"",IF(AND($C57&lt;EDATE(AZ$4,1),$D57&gt;=AZ$4),1,""))</f>
        <v/>
      </c>
      <c r="BA57" s="72" t="str">
        <f aca="false">IF(OR(BA$4="",$C57="",$D57=""),"",IF(AND($C57&lt;EDATE(BA$4,1),$D57&gt;=BA$4),1,""))</f>
        <v/>
      </c>
      <c r="BB57" s="72" t="str">
        <f aca="false">IF(OR(BB$4="",$C57="",$D57=""),"",IF(AND($C57&lt;EDATE(BB$4,1),$D57&gt;=BB$4),1,""))</f>
        <v/>
      </c>
      <c r="BC57" s="72" t="str">
        <f aca="false">IF(OR(BC$4="",$C57="",$D57=""),"",IF(AND($C57&lt;EDATE(BC$4,1),$D57&gt;=BC$4),1,""))</f>
        <v/>
      </c>
      <c r="BD57" s="72" t="str">
        <f aca="false">IF(OR(BD$4="",$C57="",$D57=""),"",IF(AND($C57&lt;EDATE(BD$4,1),$D57&gt;=BD$4),1,""))</f>
        <v/>
      </c>
      <c r="BE57" s="72" t="str">
        <f aca="false">IF(OR(BE$4="",$C57="",$D57=""),"",IF(AND($C57&lt;EDATE(BE$4,1),$D57&gt;=BE$4),1,""))</f>
        <v/>
      </c>
      <c r="BF57" s="72" t="str">
        <f aca="false">IF(OR(BF$4="",$C57="",$D57=""),"",IF(AND($C57&lt;EDATE(BF$4,1),$D57&gt;=BF$4),1,""))</f>
        <v/>
      </c>
      <c r="BG57" s="72" t="str">
        <f aca="false">IF(OR(BG$4="",$C57="",$D57=""),"",IF(AND($C57&lt;EDATE(BG$4,1),$D57&gt;=BG$4),1,""))</f>
        <v/>
      </c>
      <c r="BH57" s="72" t="str">
        <f aca="false">IF(OR(BH$4="",$C57="",$D57=""),"",IF(AND($C57&lt;EDATE(BH$4,1),$D57&gt;=BH$4),1,""))</f>
        <v/>
      </c>
      <c r="BI57" s="72" t="str">
        <f aca="false">IF(OR(BI$4="",$C57="",$D57=""),"",IF(AND($C57&lt;EDATE(BI$4,1),$D57&gt;=BI$4),1,""))</f>
        <v/>
      </c>
      <c r="BJ57" s="72" t="str">
        <f aca="false">IF(OR(BJ$4="",$C57="",$D57=""),"",IF(AND($C57&lt;EDATE(BJ$4,1),$D57&gt;=BJ$4),1,""))</f>
        <v/>
      </c>
      <c r="BK57" s="72" t="str">
        <f aca="false">IF(OR(BK$4="",$C57="",$D57=""),"",IF(AND($C57&lt;EDATE(BK$4,1),$D57&gt;=BK$4),1,""))</f>
        <v/>
      </c>
      <c r="BL57" s="72" t="str">
        <f aca="false">IF(OR(BL$4="",$C57="",$D57=""),"",IF(AND($C57&lt;EDATE(BL$4,1),$D57&gt;=BL$4),1,""))</f>
        <v/>
      </c>
      <c r="BM57" s="72" t="str">
        <f aca="false">IF(OR(BM$4="",$C57="",$D57=""),"",IF(AND($C57&lt;EDATE(BM$4,1),$D57&gt;=BM$4),1,""))</f>
        <v/>
      </c>
      <c r="BN57" s="72" t="str">
        <f aca="false">IF(OR(BN$4="",$C57="",$D57=""),"",IF(AND($C57&lt;EDATE(BN$4,1),$D57&gt;=BN$4),1,""))</f>
        <v/>
      </c>
      <c r="BO57" s="72" t="str">
        <f aca="false">IF(OR(BO$4="",$C57="",$D57=""),"",IF(AND($C57&lt;EDATE(BO$4,1),$D57&gt;=BO$4),1,""))</f>
        <v/>
      </c>
      <c r="BP57" s="72" t="str">
        <f aca="false">IF(OR(BP$4="",$C57="",$D57=""),"",IF(AND($C57&lt;EDATE(BP$4,1),$D57&gt;=BP$4),1,""))</f>
        <v/>
      </c>
      <c r="BQ57" s="72" t="str">
        <f aca="false">IF(OR(BQ$4="",$C57="",$D57=""),"",IF(AND($C57&lt;EDATE(BQ$4,1),$D57&gt;=BQ$4),1,""))</f>
        <v/>
      </c>
      <c r="BR57" s="72" t="str">
        <f aca="false">IF(OR(BR$4="",$C57="",$D57=""),"",IF(AND($C57&lt;EDATE(BR$4,1),$D57&gt;=BR$4),1,""))</f>
        <v/>
      </c>
      <c r="BS57" s="72" t="str">
        <f aca="false">IF(OR(BS$4="",$C57="",$D57=""),"",IF(AND($C57&lt;EDATE(BS$4,1),$D57&gt;=BS$4),1,""))</f>
        <v/>
      </c>
      <c r="BT57" s="72" t="str">
        <f aca="false">IF(OR(BT$4="",$C57="",$D57=""),"",IF(AND($C57&lt;EDATE(BT$4,1),$D57&gt;=BT$4),1,""))</f>
        <v/>
      </c>
      <c r="BU57" s="72" t="str">
        <f aca="false">IF(OR(BU$4="",$C57="",$D57=""),"",IF(AND($C57&lt;EDATE(BU$4,1),$D57&gt;=BU$4),1,""))</f>
        <v/>
      </c>
      <c r="BV57" s="72" t="str">
        <f aca="false">IF(OR(BV$4="",$C57="",$D57=""),"",IF(AND($C57&lt;EDATE(BV$4,1),$D57&gt;=BV$4),1,""))</f>
        <v/>
      </c>
      <c r="BW57" s="72" t="str">
        <f aca="false">IF(OR(BW$4="",$C57="",$D57=""),"",IF(AND($C57&lt;EDATE(BW$4,1),$D57&gt;=BW$4),1,""))</f>
        <v/>
      </c>
      <c r="BX57" s="72" t="str">
        <f aca="false">IF(OR(BX$4="",$C57="",$D57=""),"",IF(AND($C57&lt;EDATE(BX$4,1),$D57&gt;=BX$4),1,""))</f>
        <v/>
      </c>
      <c r="BY57" s="72" t="str">
        <f aca="false">IF(OR(BY$4="",$C57="",$D57=""),"",IF(AND($C57&lt;EDATE(BY$4,1),$D57&gt;=BY$4),1,""))</f>
        <v/>
      </c>
    </row>
    <row r="58" customFormat="false" ht="15" hidden="false" customHeight="false" outlineLevel="0" collapsed="false">
      <c r="A58" s="61" t="str">
        <f aca="false">IF(BOE!$A27="","",BOE!$A27)</f>
        <v>303</v>
      </c>
      <c r="B58" s="61" t="str">
        <f aca="false">IF(BOE!$A27="","",BOE!$C27)</f>
        <v>Test &amp; Evaluation participation</v>
      </c>
      <c r="C58" s="62" t="n">
        <f aca="false">IF(OR(BOE!$A27="",BOE!$E27&lt;&gt;"Y"),"",BOE!$O27)</f>
        <v>47097</v>
      </c>
      <c r="D58" s="62" t="n">
        <f aca="false">IF(OR(BOE!$A27="",BOE!$E27&lt;&gt;"Y"),"",BOE!$P27)</f>
        <v>47362</v>
      </c>
      <c r="E58" s="63" t="n">
        <f aca="false">IF(OR(BOE!$A27="",BOE!$E27&lt;&gt;"Y"),"",IF(Inputs!$B$7="P90",BOE!$T27,BOE!$R27))</f>
        <v>640</v>
      </c>
      <c r="F58" s="72" t="str">
        <f aca="false">IF(OR(F$4="",$C58="",$D58=""),"",IF(AND($C58&lt;EDATE(F$4,1),$D58&gt;=F$4),1,""))</f>
        <v/>
      </c>
      <c r="G58" s="72" t="str">
        <f aca="false">IF(OR(G$4="",$C58="",$D58=""),"",IF(AND($C58&lt;EDATE(G$4,1),$D58&gt;=G$4),1,""))</f>
        <v/>
      </c>
      <c r="H58" s="72" t="str">
        <f aca="false">IF(OR(H$4="",$C58="",$D58=""),"",IF(AND($C58&lt;EDATE(H$4,1),$D58&gt;=H$4),1,""))</f>
        <v/>
      </c>
      <c r="I58" s="72" t="str">
        <f aca="false">IF(OR(I$4="",$C58="",$D58=""),"",IF(AND($C58&lt;EDATE(I$4,1),$D58&gt;=I$4),1,""))</f>
        <v/>
      </c>
      <c r="J58" s="72" t="str">
        <f aca="false">IF(OR(J$4="",$C58="",$D58=""),"",IF(AND($C58&lt;EDATE(J$4,1),$D58&gt;=J$4),1,""))</f>
        <v/>
      </c>
      <c r="K58" s="72" t="str">
        <f aca="false">IF(OR(K$4="",$C58="",$D58=""),"",IF(AND($C58&lt;EDATE(K$4,1),$D58&gt;=K$4),1,""))</f>
        <v/>
      </c>
      <c r="L58" s="72" t="str">
        <f aca="false">IF(OR(L$4="",$C58="",$D58=""),"",IF(AND($C58&lt;EDATE(L$4,1),$D58&gt;=L$4),1,""))</f>
        <v/>
      </c>
      <c r="M58" s="72" t="str">
        <f aca="false">IF(OR(M$4="",$C58="",$D58=""),"",IF(AND($C58&lt;EDATE(M$4,1),$D58&gt;=M$4),1,""))</f>
        <v/>
      </c>
      <c r="N58" s="72" t="str">
        <f aca="false">IF(OR(N$4="",$C58="",$D58=""),"",IF(AND($C58&lt;EDATE(N$4,1),$D58&gt;=N$4),1,""))</f>
        <v/>
      </c>
      <c r="O58" s="72" t="str">
        <f aca="false">IF(OR(O$4="",$C58="",$D58=""),"",IF(AND($C58&lt;EDATE(O$4,1),$D58&gt;=O$4),1,""))</f>
        <v/>
      </c>
      <c r="P58" s="72" t="str">
        <f aca="false">IF(OR(P$4="",$C58="",$D58=""),"",IF(AND($C58&lt;EDATE(P$4,1),$D58&gt;=P$4),1,""))</f>
        <v/>
      </c>
      <c r="Q58" s="72" t="str">
        <f aca="false">IF(OR(Q$4="",$C58="",$D58=""),"",IF(AND($C58&lt;EDATE(Q$4,1),$D58&gt;=Q$4),1,""))</f>
        <v/>
      </c>
      <c r="R58" s="72" t="str">
        <f aca="false">IF(OR(R$4="",$C58="",$D58=""),"",IF(AND($C58&lt;EDATE(R$4,1),$D58&gt;=R$4),1,""))</f>
        <v/>
      </c>
      <c r="S58" s="72" t="str">
        <f aca="false">IF(OR(S$4="",$C58="",$D58=""),"",IF(AND($C58&lt;EDATE(S$4,1),$D58&gt;=S$4),1,""))</f>
        <v/>
      </c>
      <c r="T58" s="72" t="str">
        <f aca="false">IF(OR(T$4="",$C58="",$D58=""),"",IF(AND($C58&lt;EDATE(T$4,1),$D58&gt;=T$4),1,""))</f>
        <v/>
      </c>
      <c r="U58" s="72" t="str">
        <f aca="false">IF(OR(U$4="",$C58="",$D58=""),"",IF(AND($C58&lt;EDATE(U$4,1),$D58&gt;=U$4),1,""))</f>
        <v/>
      </c>
      <c r="V58" s="72" t="str">
        <f aca="false">IF(OR(V$4="",$C58="",$D58=""),"",IF(AND($C58&lt;EDATE(V$4,1),$D58&gt;=V$4),1,""))</f>
        <v/>
      </c>
      <c r="W58" s="72" t="str">
        <f aca="false">IF(OR(W$4="",$C58="",$D58=""),"",IF(AND($C58&lt;EDATE(W$4,1),$D58&gt;=W$4),1,""))</f>
        <v/>
      </c>
      <c r="X58" s="72" t="str">
        <f aca="false">IF(OR(X$4="",$C58="",$D58=""),"",IF(AND($C58&lt;EDATE(X$4,1),$D58&gt;=X$4),1,""))</f>
        <v/>
      </c>
      <c r="Y58" s="72" t="str">
        <f aca="false">IF(OR(Y$4="",$C58="",$D58=""),"",IF(AND($C58&lt;EDATE(Y$4,1),$D58&gt;=Y$4),1,""))</f>
        <v/>
      </c>
      <c r="Z58" s="72" t="str">
        <f aca="false">IF(OR(Z$4="",$C58="",$D58=""),"",IF(AND($C58&lt;EDATE(Z$4,1),$D58&gt;=Z$4),1,""))</f>
        <v/>
      </c>
      <c r="AA58" s="72" t="str">
        <f aca="false">IF(OR(AA$4="",$C58="",$D58=""),"",IF(AND($C58&lt;EDATE(AA$4,1),$D58&gt;=AA$4),1,""))</f>
        <v/>
      </c>
      <c r="AB58" s="72" t="str">
        <f aca="false">IF(OR(AB$4="",$C58="",$D58=""),"",IF(AND($C58&lt;EDATE(AB$4,1),$D58&gt;=AB$4),1,""))</f>
        <v/>
      </c>
      <c r="AC58" s="72" t="n">
        <f aca="false">IF(OR(AC$4="",$C58="",$D58=""),"",IF(AND($C58&lt;EDATE(AC$4,1),$D58&gt;=AC$4),1,""))</f>
        <v>1</v>
      </c>
      <c r="AD58" s="72" t="n">
        <f aca="false">IF(OR(AD$4="",$C58="",$D58=""),"",IF(AND($C58&lt;EDATE(AD$4,1),$D58&gt;=AD$4),1,""))</f>
        <v>1</v>
      </c>
      <c r="AE58" s="72" t="n">
        <f aca="false">IF(OR(AE$4="",$C58="",$D58=""),"",IF(AND($C58&lt;EDATE(AE$4,1),$D58&gt;=AE$4),1,""))</f>
        <v>1</v>
      </c>
      <c r="AF58" s="72" t="n">
        <f aca="false">IF(OR(AF$4="",$C58="",$D58=""),"",IF(AND($C58&lt;EDATE(AF$4,1),$D58&gt;=AF$4),1,""))</f>
        <v>1</v>
      </c>
      <c r="AG58" s="72" t="n">
        <f aca="false">IF(OR(AG$4="",$C58="",$D58=""),"",IF(AND($C58&lt;EDATE(AG$4,1),$D58&gt;=AG$4),1,""))</f>
        <v>1</v>
      </c>
      <c r="AH58" s="72" t="n">
        <f aca="false">IF(OR(AH$4="",$C58="",$D58=""),"",IF(AND($C58&lt;EDATE(AH$4,1),$D58&gt;=AH$4),1,""))</f>
        <v>1</v>
      </c>
      <c r="AI58" s="72" t="n">
        <f aca="false">IF(OR(AI$4="",$C58="",$D58=""),"",IF(AND($C58&lt;EDATE(AI$4,1),$D58&gt;=AI$4),1,""))</f>
        <v>1</v>
      </c>
      <c r="AJ58" s="72" t="n">
        <f aca="false">IF(OR(AJ$4="",$C58="",$D58=""),"",IF(AND($C58&lt;EDATE(AJ$4,1),$D58&gt;=AJ$4),1,""))</f>
        <v>1</v>
      </c>
      <c r="AK58" s="72" t="n">
        <f aca="false">IF(OR(AK$4="",$C58="",$D58=""),"",IF(AND($C58&lt;EDATE(AK$4,1),$D58&gt;=AK$4),1,""))</f>
        <v>1</v>
      </c>
      <c r="AL58" s="72" t="str">
        <f aca="false">IF(OR(AL$4="",$C58="",$D58=""),"",IF(AND($C58&lt;EDATE(AL$4,1),$D58&gt;=AL$4),1,""))</f>
        <v/>
      </c>
      <c r="AM58" s="72" t="str">
        <f aca="false">IF(OR(AM$4="",$C58="",$D58=""),"",IF(AND($C58&lt;EDATE(AM$4,1),$D58&gt;=AM$4),1,""))</f>
        <v/>
      </c>
      <c r="AN58" s="72" t="str">
        <f aca="false">IF(OR(AN$4="",$C58="",$D58=""),"",IF(AND($C58&lt;EDATE(AN$4,1),$D58&gt;=AN$4),1,""))</f>
        <v/>
      </c>
      <c r="AO58" s="72" t="str">
        <f aca="false">IF(OR(AO$4="",$C58="",$D58=""),"",IF(AND($C58&lt;EDATE(AO$4,1),$D58&gt;=AO$4),1,""))</f>
        <v/>
      </c>
      <c r="AP58" s="72" t="str">
        <f aca="false">IF(OR(AP$4="",$C58="",$D58=""),"",IF(AND($C58&lt;EDATE(AP$4,1),$D58&gt;=AP$4),1,""))</f>
        <v/>
      </c>
      <c r="AQ58" s="72" t="str">
        <f aca="false">IF(OR(AQ$4="",$C58="",$D58=""),"",IF(AND($C58&lt;EDATE(AQ$4,1),$D58&gt;=AQ$4),1,""))</f>
        <v/>
      </c>
      <c r="AR58" s="72" t="str">
        <f aca="false">IF(OR(AR$4="",$C58="",$D58=""),"",IF(AND($C58&lt;EDATE(AR$4,1),$D58&gt;=AR$4),1,""))</f>
        <v/>
      </c>
      <c r="AS58" s="72" t="str">
        <f aca="false">IF(OR(AS$4="",$C58="",$D58=""),"",IF(AND($C58&lt;EDATE(AS$4,1),$D58&gt;=AS$4),1,""))</f>
        <v/>
      </c>
      <c r="AT58" s="72" t="str">
        <f aca="false">IF(OR(AT$4="",$C58="",$D58=""),"",IF(AND($C58&lt;EDATE(AT$4,1),$D58&gt;=AT$4),1,""))</f>
        <v/>
      </c>
      <c r="AU58" s="72" t="str">
        <f aca="false">IF(OR(AU$4="",$C58="",$D58=""),"",IF(AND($C58&lt;EDATE(AU$4,1),$D58&gt;=AU$4),1,""))</f>
        <v/>
      </c>
      <c r="AV58" s="72" t="str">
        <f aca="false">IF(OR(AV$4="",$C58="",$D58=""),"",IF(AND($C58&lt;EDATE(AV$4,1),$D58&gt;=AV$4),1,""))</f>
        <v/>
      </c>
      <c r="AW58" s="72" t="str">
        <f aca="false">IF(OR(AW$4="",$C58="",$D58=""),"",IF(AND($C58&lt;EDATE(AW$4,1),$D58&gt;=AW$4),1,""))</f>
        <v/>
      </c>
      <c r="AX58" s="72" t="str">
        <f aca="false">IF(OR(AX$4="",$C58="",$D58=""),"",IF(AND($C58&lt;EDATE(AX$4,1),$D58&gt;=AX$4),1,""))</f>
        <v/>
      </c>
      <c r="AY58" s="72" t="str">
        <f aca="false">IF(OR(AY$4="",$C58="",$D58=""),"",IF(AND($C58&lt;EDATE(AY$4,1),$D58&gt;=AY$4),1,""))</f>
        <v/>
      </c>
      <c r="AZ58" s="72" t="str">
        <f aca="false">IF(OR(AZ$4="",$C58="",$D58=""),"",IF(AND($C58&lt;EDATE(AZ$4,1),$D58&gt;=AZ$4),1,""))</f>
        <v/>
      </c>
      <c r="BA58" s="72" t="str">
        <f aca="false">IF(OR(BA$4="",$C58="",$D58=""),"",IF(AND($C58&lt;EDATE(BA$4,1),$D58&gt;=BA$4),1,""))</f>
        <v/>
      </c>
      <c r="BB58" s="72" t="str">
        <f aca="false">IF(OR(BB$4="",$C58="",$D58=""),"",IF(AND($C58&lt;EDATE(BB$4,1),$D58&gt;=BB$4),1,""))</f>
        <v/>
      </c>
      <c r="BC58" s="72" t="str">
        <f aca="false">IF(OR(BC$4="",$C58="",$D58=""),"",IF(AND($C58&lt;EDATE(BC$4,1),$D58&gt;=BC$4),1,""))</f>
        <v/>
      </c>
      <c r="BD58" s="72" t="str">
        <f aca="false">IF(OR(BD$4="",$C58="",$D58=""),"",IF(AND($C58&lt;EDATE(BD$4,1),$D58&gt;=BD$4),1,""))</f>
        <v/>
      </c>
      <c r="BE58" s="72" t="str">
        <f aca="false">IF(OR(BE$4="",$C58="",$D58=""),"",IF(AND($C58&lt;EDATE(BE$4,1),$D58&gt;=BE$4),1,""))</f>
        <v/>
      </c>
      <c r="BF58" s="72" t="str">
        <f aca="false">IF(OR(BF$4="",$C58="",$D58=""),"",IF(AND($C58&lt;EDATE(BF$4,1),$D58&gt;=BF$4),1,""))</f>
        <v/>
      </c>
      <c r="BG58" s="72" t="str">
        <f aca="false">IF(OR(BG$4="",$C58="",$D58=""),"",IF(AND($C58&lt;EDATE(BG$4,1),$D58&gt;=BG$4),1,""))</f>
        <v/>
      </c>
      <c r="BH58" s="72" t="str">
        <f aca="false">IF(OR(BH$4="",$C58="",$D58=""),"",IF(AND($C58&lt;EDATE(BH$4,1),$D58&gt;=BH$4),1,""))</f>
        <v/>
      </c>
      <c r="BI58" s="72" t="str">
        <f aca="false">IF(OR(BI$4="",$C58="",$D58=""),"",IF(AND($C58&lt;EDATE(BI$4,1),$D58&gt;=BI$4),1,""))</f>
        <v/>
      </c>
      <c r="BJ58" s="72" t="str">
        <f aca="false">IF(OR(BJ$4="",$C58="",$D58=""),"",IF(AND($C58&lt;EDATE(BJ$4,1),$D58&gt;=BJ$4),1,""))</f>
        <v/>
      </c>
      <c r="BK58" s="72" t="str">
        <f aca="false">IF(OR(BK$4="",$C58="",$D58=""),"",IF(AND($C58&lt;EDATE(BK$4,1),$D58&gt;=BK$4),1,""))</f>
        <v/>
      </c>
      <c r="BL58" s="72" t="str">
        <f aca="false">IF(OR(BL$4="",$C58="",$D58=""),"",IF(AND($C58&lt;EDATE(BL$4,1),$D58&gt;=BL$4),1,""))</f>
        <v/>
      </c>
      <c r="BM58" s="72" t="str">
        <f aca="false">IF(OR(BM$4="",$C58="",$D58=""),"",IF(AND($C58&lt;EDATE(BM$4,1),$D58&gt;=BM$4),1,""))</f>
        <v/>
      </c>
      <c r="BN58" s="72" t="str">
        <f aca="false">IF(OR(BN$4="",$C58="",$D58=""),"",IF(AND($C58&lt;EDATE(BN$4,1),$D58&gt;=BN$4),1,""))</f>
        <v/>
      </c>
      <c r="BO58" s="72" t="str">
        <f aca="false">IF(OR(BO$4="",$C58="",$D58=""),"",IF(AND($C58&lt;EDATE(BO$4,1),$D58&gt;=BO$4),1,""))</f>
        <v/>
      </c>
      <c r="BP58" s="72" t="str">
        <f aca="false">IF(OR(BP$4="",$C58="",$D58=""),"",IF(AND($C58&lt;EDATE(BP$4,1),$D58&gt;=BP$4),1,""))</f>
        <v/>
      </c>
      <c r="BQ58" s="72" t="str">
        <f aca="false">IF(OR(BQ$4="",$C58="",$D58=""),"",IF(AND($C58&lt;EDATE(BQ$4,1),$D58&gt;=BQ$4),1,""))</f>
        <v/>
      </c>
      <c r="BR58" s="72" t="str">
        <f aca="false">IF(OR(BR$4="",$C58="",$D58=""),"",IF(AND($C58&lt;EDATE(BR$4,1),$D58&gt;=BR$4),1,""))</f>
        <v/>
      </c>
      <c r="BS58" s="72" t="str">
        <f aca="false">IF(OR(BS$4="",$C58="",$D58=""),"",IF(AND($C58&lt;EDATE(BS$4,1),$D58&gt;=BS$4),1,""))</f>
        <v/>
      </c>
      <c r="BT58" s="72" t="str">
        <f aca="false">IF(OR(BT$4="",$C58="",$D58=""),"",IF(AND($C58&lt;EDATE(BT$4,1),$D58&gt;=BT$4),1,""))</f>
        <v/>
      </c>
      <c r="BU58" s="72" t="str">
        <f aca="false">IF(OR(BU$4="",$C58="",$D58=""),"",IF(AND($C58&lt;EDATE(BU$4,1),$D58&gt;=BU$4),1,""))</f>
        <v/>
      </c>
      <c r="BV58" s="72" t="str">
        <f aca="false">IF(OR(BV$4="",$C58="",$D58=""),"",IF(AND($C58&lt;EDATE(BV$4,1),$D58&gt;=BV$4),1,""))</f>
        <v/>
      </c>
      <c r="BW58" s="72" t="str">
        <f aca="false">IF(OR(BW$4="",$C58="",$D58=""),"",IF(AND($C58&lt;EDATE(BW$4,1),$D58&gt;=BW$4),1,""))</f>
        <v/>
      </c>
      <c r="BX58" s="72" t="str">
        <f aca="false">IF(OR(BX$4="",$C58="",$D58=""),"",IF(AND($C58&lt;EDATE(BX$4,1),$D58&gt;=BX$4),1,""))</f>
        <v/>
      </c>
      <c r="BY58" s="72" t="str">
        <f aca="false">IF(OR(BY$4="",$C58="",$D58=""),"",IF(AND($C58&lt;EDATE(BY$4,1),$D58&gt;=BY$4),1,""))</f>
        <v/>
      </c>
    </row>
    <row r="59" customFormat="false" ht="15" hidden="false" customHeight="false" outlineLevel="0" collapsed="false">
      <c r="A59" s="61" t="str">
        <f aca="false">IF(BOE!$A28="","",BOE!$A28)</f>
        <v>304</v>
      </c>
      <c r="B59" s="61" t="str">
        <f aca="false">IF(BOE!$A28="","",BOE!$C28)</f>
        <v>Review of ECPs, change notices, deficiency reports, waivers</v>
      </c>
      <c r="C59" s="62" t="n">
        <f aca="false">IF(OR(BOE!$A28="",BOE!$E28&lt;&gt;"Y"),"",BOE!$O28)</f>
        <v>46877</v>
      </c>
      <c r="D59" s="62" t="n">
        <f aca="false">IF(OR(BOE!$A28="",BOE!$E28&lt;&gt;"Y"),"",BOE!$P28)</f>
        <v>47483</v>
      </c>
      <c r="E59" s="63" t="n">
        <f aca="false">IF(OR(BOE!$A28="",BOE!$E28&lt;&gt;"Y"),"",IF(Inputs!$B$7="P90",BOE!$T28,BOE!$R28))</f>
        <v>480</v>
      </c>
      <c r="F59" s="72" t="str">
        <f aca="false">IF(OR(F$4="",$C59="",$D59=""),"",IF(AND($C59&lt;EDATE(F$4,1),$D59&gt;=F$4),1,""))</f>
        <v/>
      </c>
      <c r="G59" s="72" t="str">
        <f aca="false">IF(OR(G$4="",$C59="",$D59=""),"",IF(AND($C59&lt;EDATE(G$4,1),$D59&gt;=G$4),1,""))</f>
        <v/>
      </c>
      <c r="H59" s="72" t="str">
        <f aca="false">IF(OR(H$4="",$C59="",$D59=""),"",IF(AND($C59&lt;EDATE(H$4,1),$D59&gt;=H$4),1,""))</f>
        <v/>
      </c>
      <c r="I59" s="72" t="str">
        <f aca="false">IF(OR(I$4="",$C59="",$D59=""),"",IF(AND($C59&lt;EDATE(I$4,1),$D59&gt;=I$4),1,""))</f>
        <v/>
      </c>
      <c r="J59" s="72" t="str">
        <f aca="false">IF(OR(J$4="",$C59="",$D59=""),"",IF(AND($C59&lt;EDATE(J$4,1),$D59&gt;=J$4),1,""))</f>
        <v/>
      </c>
      <c r="K59" s="72" t="str">
        <f aca="false">IF(OR(K$4="",$C59="",$D59=""),"",IF(AND($C59&lt;EDATE(K$4,1),$D59&gt;=K$4),1,""))</f>
        <v/>
      </c>
      <c r="L59" s="72" t="str">
        <f aca="false">IF(OR(L$4="",$C59="",$D59=""),"",IF(AND($C59&lt;EDATE(L$4,1),$D59&gt;=L$4),1,""))</f>
        <v/>
      </c>
      <c r="M59" s="72" t="str">
        <f aca="false">IF(OR(M$4="",$C59="",$D59=""),"",IF(AND($C59&lt;EDATE(M$4,1),$D59&gt;=M$4),1,""))</f>
        <v/>
      </c>
      <c r="N59" s="72" t="str">
        <f aca="false">IF(OR(N$4="",$C59="",$D59=""),"",IF(AND($C59&lt;EDATE(N$4,1),$D59&gt;=N$4),1,""))</f>
        <v/>
      </c>
      <c r="O59" s="72" t="str">
        <f aca="false">IF(OR(O$4="",$C59="",$D59=""),"",IF(AND($C59&lt;EDATE(O$4,1),$D59&gt;=O$4),1,""))</f>
        <v/>
      </c>
      <c r="P59" s="72" t="str">
        <f aca="false">IF(OR(P$4="",$C59="",$D59=""),"",IF(AND($C59&lt;EDATE(P$4,1),$D59&gt;=P$4),1,""))</f>
        <v/>
      </c>
      <c r="Q59" s="72" t="str">
        <f aca="false">IF(OR(Q$4="",$C59="",$D59=""),"",IF(AND($C59&lt;EDATE(Q$4,1),$D59&gt;=Q$4),1,""))</f>
        <v/>
      </c>
      <c r="R59" s="72" t="str">
        <f aca="false">IF(OR(R$4="",$C59="",$D59=""),"",IF(AND($C59&lt;EDATE(R$4,1),$D59&gt;=R$4),1,""))</f>
        <v/>
      </c>
      <c r="S59" s="72" t="str">
        <f aca="false">IF(OR(S$4="",$C59="",$D59=""),"",IF(AND($C59&lt;EDATE(S$4,1),$D59&gt;=S$4),1,""))</f>
        <v/>
      </c>
      <c r="T59" s="72" t="str">
        <f aca="false">IF(OR(T$4="",$C59="",$D59=""),"",IF(AND($C59&lt;EDATE(T$4,1),$D59&gt;=T$4),1,""))</f>
        <v/>
      </c>
      <c r="U59" s="72" t="str">
        <f aca="false">IF(OR(U$4="",$C59="",$D59=""),"",IF(AND($C59&lt;EDATE(U$4,1),$D59&gt;=U$4),1,""))</f>
        <v/>
      </c>
      <c r="V59" s="72" t="n">
        <f aca="false">IF(OR(V$4="",$C59="",$D59=""),"",IF(AND($C59&lt;EDATE(V$4,1),$D59&gt;=V$4),1,""))</f>
        <v>1</v>
      </c>
      <c r="W59" s="72" t="n">
        <f aca="false">IF(OR(W$4="",$C59="",$D59=""),"",IF(AND($C59&lt;EDATE(W$4,1),$D59&gt;=W$4),1,""))</f>
        <v>1</v>
      </c>
      <c r="X59" s="72" t="n">
        <f aca="false">IF(OR(X$4="",$C59="",$D59=""),"",IF(AND($C59&lt;EDATE(X$4,1),$D59&gt;=X$4),1,""))</f>
        <v>1</v>
      </c>
      <c r="Y59" s="72" t="n">
        <f aca="false">IF(OR(Y$4="",$C59="",$D59=""),"",IF(AND($C59&lt;EDATE(Y$4,1),$D59&gt;=Y$4),1,""))</f>
        <v>1</v>
      </c>
      <c r="Z59" s="72" t="n">
        <f aca="false">IF(OR(Z$4="",$C59="",$D59=""),"",IF(AND($C59&lt;EDATE(Z$4,1),$D59&gt;=Z$4),1,""))</f>
        <v>1</v>
      </c>
      <c r="AA59" s="72" t="n">
        <f aca="false">IF(OR(AA$4="",$C59="",$D59=""),"",IF(AND($C59&lt;EDATE(AA$4,1),$D59&gt;=AA$4),1,""))</f>
        <v>1</v>
      </c>
      <c r="AB59" s="72" t="n">
        <f aca="false">IF(OR(AB$4="",$C59="",$D59=""),"",IF(AND($C59&lt;EDATE(AB$4,1),$D59&gt;=AB$4),1,""))</f>
        <v>1</v>
      </c>
      <c r="AC59" s="72" t="n">
        <f aca="false">IF(OR(AC$4="",$C59="",$D59=""),"",IF(AND($C59&lt;EDATE(AC$4,1),$D59&gt;=AC$4),1,""))</f>
        <v>1</v>
      </c>
      <c r="AD59" s="72" t="n">
        <f aca="false">IF(OR(AD$4="",$C59="",$D59=""),"",IF(AND($C59&lt;EDATE(AD$4,1),$D59&gt;=AD$4),1,""))</f>
        <v>1</v>
      </c>
      <c r="AE59" s="72" t="n">
        <f aca="false">IF(OR(AE$4="",$C59="",$D59=""),"",IF(AND($C59&lt;EDATE(AE$4,1),$D59&gt;=AE$4),1,""))</f>
        <v>1</v>
      </c>
      <c r="AF59" s="72" t="n">
        <f aca="false">IF(OR(AF$4="",$C59="",$D59=""),"",IF(AND($C59&lt;EDATE(AF$4,1),$D59&gt;=AF$4),1,""))</f>
        <v>1</v>
      </c>
      <c r="AG59" s="72" t="n">
        <f aca="false">IF(OR(AG$4="",$C59="",$D59=""),"",IF(AND($C59&lt;EDATE(AG$4,1),$D59&gt;=AG$4),1,""))</f>
        <v>1</v>
      </c>
      <c r="AH59" s="72" t="n">
        <f aca="false">IF(OR(AH$4="",$C59="",$D59=""),"",IF(AND($C59&lt;EDATE(AH$4,1),$D59&gt;=AH$4),1,""))</f>
        <v>1</v>
      </c>
      <c r="AI59" s="72" t="n">
        <f aca="false">IF(OR(AI$4="",$C59="",$D59=""),"",IF(AND($C59&lt;EDATE(AI$4,1),$D59&gt;=AI$4),1,""))</f>
        <v>1</v>
      </c>
      <c r="AJ59" s="72" t="n">
        <f aca="false">IF(OR(AJ$4="",$C59="",$D59=""),"",IF(AND($C59&lt;EDATE(AJ$4,1),$D59&gt;=AJ$4),1,""))</f>
        <v>1</v>
      </c>
      <c r="AK59" s="72" t="n">
        <f aca="false">IF(OR(AK$4="",$C59="",$D59=""),"",IF(AND($C59&lt;EDATE(AK$4,1),$D59&gt;=AK$4),1,""))</f>
        <v>1</v>
      </c>
      <c r="AL59" s="72" t="n">
        <f aca="false">IF(OR(AL$4="",$C59="",$D59=""),"",IF(AND($C59&lt;EDATE(AL$4,1),$D59&gt;=AL$4),1,""))</f>
        <v>1</v>
      </c>
      <c r="AM59" s="72" t="n">
        <f aca="false">IF(OR(AM$4="",$C59="",$D59=""),"",IF(AND($C59&lt;EDATE(AM$4,1),$D59&gt;=AM$4),1,""))</f>
        <v>1</v>
      </c>
      <c r="AN59" s="72" t="n">
        <f aca="false">IF(OR(AN$4="",$C59="",$D59=""),"",IF(AND($C59&lt;EDATE(AN$4,1),$D59&gt;=AN$4),1,""))</f>
        <v>1</v>
      </c>
      <c r="AO59" s="72" t="n">
        <f aca="false">IF(OR(AO$4="",$C59="",$D59=""),"",IF(AND($C59&lt;EDATE(AO$4,1),$D59&gt;=AO$4),1,""))</f>
        <v>1</v>
      </c>
      <c r="AP59" s="72" t="str">
        <f aca="false">IF(OR(AP$4="",$C59="",$D59=""),"",IF(AND($C59&lt;EDATE(AP$4,1),$D59&gt;=AP$4),1,""))</f>
        <v/>
      </c>
      <c r="AQ59" s="72" t="str">
        <f aca="false">IF(OR(AQ$4="",$C59="",$D59=""),"",IF(AND($C59&lt;EDATE(AQ$4,1),$D59&gt;=AQ$4),1,""))</f>
        <v/>
      </c>
      <c r="AR59" s="72" t="str">
        <f aca="false">IF(OR(AR$4="",$C59="",$D59=""),"",IF(AND($C59&lt;EDATE(AR$4,1),$D59&gt;=AR$4),1,""))</f>
        <v/>
      </c>
      <c r="AS59" s="72" t="str">
        <f aca="false">IF(OR(AS$4="",$C59="",$D59=""),"",IF(AND($C59&lt;EDATE(AS$4,1),$D59&gt;=AS$4),1,""))</f>
        <v/>
      </c>
      <c r="AT59" s="72" t="str">
        <f aca="false">IF(OR(AT$4="",$C59="",$D59=""),"",IF(AND($C59&lt;EDATE(AT$4,1),$D59&gt;=AT$4),1,""))</f>
        <v/>
      </c>
      <c r="AU59" s="72" t="str">
        <f aca="false">IF(OR(AU$4="",$C59="",$D59=""),"",IF(AND($C59&lt;EDATE(AU$4,1),$D59&gt;=AU$4),1,""))</f>
        <v/>
      </c>
      <c r="AV59" s="72" t="str">
        <f aca="false">IF(OR(AV$4="",$C59="",$D59=""),"",IF(AND($C59&lt;EDATE(AV$4,1),$D59&gt;=AV$4),1,""))</f>
        <v/>
      </c>
      <c r="AW59" s="72" t="str">
        <f aca="false">IF(OR(AW$4="",$C59="",$D59=""),"",IF(AND($C59&lt;EDATE(AW$4,1),$D59&gt;=AW$4),1,""))</f>
        <v/>
      </c>
      <c r="AX59" s="72" t="str">
        <f aca="false">IF(OR(AX$4="",$C59="",$D59=""),"",IF(AND($C59&lt;EDATE(AX$4,1),$D59&gt;=AX$4),1,""))</f>
        <v/>
      </c>
      <c r="AY59" s="72" t="str">
        <f aca="false">IF(OR(AY$4="",$C59="",$D59=""),"",IF(AND($C59&lt;EDATE(AY$4,1),$D59&gt;=AY$4),1,""))</f>
        <v/>
      </c>
      <c r="AZ59" s="72" t="str">
        <f aca="false">IF(OR(AZ$4="",$C59="",$D59=""),"",IF(AND($C59&lt;EDATE(AZ$4,1),$D59&gt;=AZ$4),1,""))</f>
        <v/>
      </c>
      <c r="BA59" s="72" t="str">
        <f aca="false">IF(OR(BA$4="",$C59="",$D59=""),"",IF(AND($C59&lt;EDATE(BA$4,1),$D59&gt;=BA$4),1,""))</f>
        <v/>
      </c>
      <c r="BB59" s="72" t="str">
        <f aca="false">IF(OR(BB$4="",$C59="",$D59=""),"",IF(AND($C59&lt;EDATE(BB$4,1),$D59&gt;=BB$4),1,""))</f>
        <v/>
      </c>
      <c r="BC59" s="72" t="str">
        <f aca="false">IF(OR(BC$4="",$C59="",$D59=""),"",IF(AND($C59&lt;EDATE(BC$4,1),$D59&gt;=BC$4),1,""))</f>
        <v/>
      </c>
      <c r="BD59" s="72" t="str">
        <f aca="false">IF(OR(BD$4="",$C59="",$D59=""),"",IF(AND($C59&lt;EDATE(BD$4,1),$D59&gt;=BD$4),1,""))</f>
        <v/>
      </c>
      <c r="BE59" s="72" t="str">
        <f aca="false">IF(OR(BE$4="",$C59="",$D59=""),"",IF(AND($C59&lt;EDATE(BE$4,1),$D59&gt;=BE$4),1,""))</f>
        <v/>
      </c>
      <c r="BF59" s="72" t="str">
        <f aca="false">IF(OR(BF$4="",$C59="",$D59=""),"",IF(AND($C59&lt;EDATE(BF$4,1),$D59&gt;=BF$4),1,""))</f>
        <v/>
      </c>
      <c r="BG59" s="72" t="str">
        <f aca="false">IF(OR(BG$4="",$C59="",$D59=""),"",IF(AND($C59&lt;EDATE(BG$4,1),$D59&gt;=BG$4),1,""))</f>
        <v/>
      </c>
      <c r="BH59" s="72" t="str">
        <f aca="false">IF(OR(BH$4="",$C59="",$D59=""),"",IF(AND($C59&lt;EDATE(BH$4,1),$D59&gt;=BH$4),1,""))</f>
        <v/>
      </c>
      <c r="BI59" s="72" t="str">
        <f aca="false">IF(OR(BI$4="",$C59="",$D59=""),"",IF(AND($C59&lt;EDATE(BI$4,1),$D59&gt;=BI$4),1,""))</f>
        <v/>
      </c>
      <c r="BJ59" s="72" t="str">
        <f aca="false">IF(OR(BJ$4="",$C59="",$D59=""),"",IF(AND($C59&lt;EDATE(BJ$4,1),$D59&gt;=BJ$4),1,""))</f>
        <v/>
      </c>
      <c r="BK59" s="72" t="str">
        <f aca="false">IF(OR(BK$4="",$C59="",$D59=""),"",IF(AND($C59&lt;EDATE(BK$4,1),$D59&gt;=BK$4),1,""))</f>
        <v/>
      </c>
      <c r="BL59" s="72" t="str">
        <f aca="false">IF(OR(BL$4="",$C59="",$D59=""),"",IF(AND($C59&lt;EDATE(BL$4,1),$D59&gt;=BL$4),1,""))</f>
        <v/>
      </c>
      <c r="BM59" s="72" t="str">
        <f aca="false">IF(OR(BM$4="",$C59="",$D59=""),"",IF(AND($C59&lt;EDATE(BM$4,1),$D59&gt;=BM$4),1,""))</f>
        <v/>
      </c>
      <c r="BN59" s="72" t="str">
        <f aca="false">IF(OR(BN$4="",$C59="",$D59=""),"",IF(AND($C59&lt;EDATE(BN$4,1),$D59&gt;=BN$4),1,""))</f>
        <v/>
      </c>
      <c r="BO59" s="72" t="str">
        <f aca="false">IF(OR(BO$4="",$C59="",$D59=""),"",IF(AND($C59&lt;EDATE(BO$4,1),$D59&gt;=BO$4),1,""))</f>
        <v/>
      </c>
      <c r="BP59" s="72" t="str">
        <f aca="false">IF(OR(BP$4="",$C59="",$D59=""),"",IF(AND($C59&lt;EDATE(BP$4,1),$D59&gt;=BP$4),1,""))</f>
        <v/>
      </c>
      <c r="BQ59" s="72" t="str">
        <f aca="false">IF(OR(BQ$4="",$C59="",$D59=""),"",IF(AND($C59&lt;EDATE(BQ$4,1),$D59&gt;=BQ$4),1,""))</f>
        <v/>
      </c>
      <c r="BR59" s="72" t="str">
        <f aca="false">IF(OR(BR$4="",$C59="",$D59=""),"",IF(AND($C59&lt;EDATE(BR$4,1),$D59&gt;=BR$4),1,""))</f>
        <v/>
      </c>
      <c r="BS59" s="72" t="str">
        <f aca="false">IF(OR(BS$4="",$C59="",$D59=""),"",IF(AND($C59&lt;EDATE(BS$4,1),$D59&gt;=BS$4),1,""))</f>
        <v/>
      </c>
      <c r="BT59" s="72" t="str">
        <f aca="false">IF(OR(BT$4="",$C59="",$D59=""),"",IF(AND($C59&lt;EDATE(BT$4,1),$D59&gt;=BT$4),1,""))</f>
        <v/>
      </c>
      <c r="BU59" s="72" t="str">
        <f aca="false">IF(OR(BU$4="",$C59="",$D59=""),"",IF(AND($C59&lt;EDATE(BU$4,1),$D59&gt;=BU$4),1,""))</f>
        <v/>
      </c>
      <c r="BV59" s="72" t="str">
        <f aca="false">IF(OR(BV$4="",$C59="",$D59=""),"",IF(AND($C59&lt;EDATE(BV$4,1),$D59&gt;=BV$4),1,""))</f>
        <v/>
      </c>
      <c r="BW59" s="72" t="str">
        <f aca="false">IF(OR(BW$4="",$C59="",$D59=""),"",IF(AND($C59&lt;EDATE(BW$4,1),$D59&gt;=BW$4),1,""))</f>
        <v/>
      </c>
      <c r="BX59" s="72" t="str">
        <f aca="false">IF(OR(BX$4="",$C59="",$D59=""),"",IF(AND($C59&lt;EDATE(BX$4,1),$D59&gt;=BX$4),1,""))</f>
        <v/>
      </c>
      <c r="BY59" s="72" t="str">
        <f aca="false">IF(OR(BY$4="",$C59="",$D59=""),"",IF(AND($C59&lt;EDATE(BY$4,1),$D59&gt;=BY$4),1,""))</f>
        <v/>
      </c>
    </row>
    <row r="60" customFormat="false" ht="15" hidden="false" customHeight="false" outlineLevel="0" collapsed="false">
      <c r="A60" s="61" t="str">
        <f aca="false">IF(BOE!$A29="","",BOE!$A29)</f>
        <v>401</v>
      </c>
      <c r="B60" s="61" t="str">
        <f aca="false">IF(BOE!$A29="","",BOE!$C29)</f>
        <v>Safety Verification (tests, demonstrations, induced/simulated failures)</v>
      </c>
      <c r="C60" s="62" t="n">
        <f aca="false">IF(OR(BOE!$A29="",BOE!$E29&lt;&gt;"Y"),"",BOE!$O29)</f>
        <v>46877</v>
      </c>
      <c r="D60" s="62" t="n">
        <f aca="false">IF(OR(BOE!$A29="",BOE!$E29&lt;&gt;"Y"),"",BOE!$P29)</f>
        <v>47334</v>
      </c>
      <c r="E60" s="63" t="n">
        <f aca="false">IF(OR(BOE!$A29="",BOE!$E29&lt;&gt;"Y"),"",IF(Inputs!$B$7="P90",BOE!$T29,BOE!$R29))</f>
        <v>728</v>
      </c>
      <c r="F60" s="72" t="str">
        <f aca="false">IF(OR(F$4="",$C60="",$D60=""),"",IF(AND($C60&lt;EDATE(F$4,1),$D60&gt;=F$4),1,""))</f>
        <v/>
      </c>
      <c r="G60" s="72" t="str">
        <f aca="false">IF(OR(G$4="",$C60="",$D60=""),"",IF(AND($C60&lt;EDATE(G$4,1),$D60&gt;=G$4),1,""))</f>
        <v/>
      </c>
      <c r="H60" s="72" t="str">
        <f aca="false">IF(OR(H$4="",$C60="",$D60=""),"",IF(AND($C60&lt;EDATE(H$4,1),$D60&gt;=H$4),1,""))</f>
        <v/>
      </c>
      <c r="I60" s="72" t="str">
        <f aca="false">IF(OR(I$4="",$C60="",$D60=""),"",IF(AND($C60&lt;EDATE(I$4,1),$D60&gt;=I$4),1,""))</f>
        <v/>
      </c>
      <c r="J60" s="72" t="str">
        <f aca="false">IF(OR(J$4="",$C60="",$D60=""),"",IF(AND($C60&lt;EDATE(J$4,1),$D60&gt;=J$4),1,""))</f>
        <v/>
      </c>
      <c r="K60" s="72" t="str">
        <f aca="false">IF(OR(K$4="",$C60="",$D60=""),"",IF(AND($C60&lt;EDATE(K$4,1),$D60&gt;=K$4),1,""))</f>
        <v/>
      </c>
      <c r="L60" s="72" t="str">
        <f aca="false">IF(OR(L$4="",$C60="",$D60=""),"",IF(AND($C60&lt;EDATE(L$4,1),$D60&gt;=L$4),1,""))</f>
        <v/>
      </c>
      <c r="M60" s="72" t="str">
        <f aca="false">IF(OR(M$4="",$C60="",$D60=""),"",IF(AND($C60&lt;EDATE(M$4,1),$D60&gt;=M$4),1,""))</f>
        <v/>
      </c>
      <c r="N60" s="72" t="str">
        <f aca="false">IF(OR(N$4="",$C60="",$D60=""),"",IF(AND($C60&lt;EDATE(N$4,1),$D60&gt;=N$4),1,""))</f>
        <v/>
      </c>
      <c r="O60" s="72" t="str">
        <f aca="false">IF(OR(O$4="",$C60="",$D60=""),"",IF(AND($C60&lt;EDATE(O$4,1),$D60&gt;=O$4),1,""))</f>
        <v/>
      </c>
      <c r="P60" s="72" t="str">
        <f aca="false">IF(OR(P$4="",$C60="",$D60=""),"",IF(AND($C60&lt;EDATE(P$4,1),$D60&gt;=P$4),1,""))</f>
        <v/>
      </c>
      <c r="Q60" s="72" t="str">
        <f aca="false">IF(OR(Q$4="",$C60="",$D60=""),"",IF(AND($C60&lt;EDATE(Q$4,1),$D60&gt;=Q$4),1,""))</f>
        <v/>
      </c>
      <c r="R60" s="72" t="str">
        <f aca="false">IF(OR(R$4="",$C60="",$D60=""),"",IF(AND($C60&lt;EDATE(R$4,1),$D60&gt;=R$4),1,""))</f>
        <v/>
      </c>
      <c r="S60" s="72" t="str">
        <f aca="false">IF(OR(S$4="",$C60="",$D60=""),"",IF(AND($C60&lt;EDATE(S$4,1),$D60&gt;=S$4),1,""))</f>
        <v/>
      </c>
      <c r="T60" s="72" t="str">
        <f aca="false">IF(OR(T$4="",$C60="",$D60=""),"",IF(AND($C60&lt;EDATE(T$4,1),$D60&gt;=T$4),1,""))</f>
        <v/>
      </c>
      <c r="U60" s="72" t="str">
        <f aca="false">IF(OR(U$4="",$C60="",$D60=""),"",IF(AND($C60&lt;EDATE(U$4,1),$D60&gt;=U$4),1,""))</f>
        <v/>
      </c>
      <c r="V60" s="72" t="n">
        <f aca="false">IF(OR(V$4="",$C60="",$D60=""),"",IF(AND($C60&lt;EDATE(V$4,1),$D60&gt;=V$4),1,""))</f>
        <v>1</v>
      </c>
      <c r="W60" s="72" t="n">
        <f aca="false">IF(OR(W$4="",$C60="",$D60=""),"",IF(AND($C60&lt;EDATE(W$4,1),$D60&gt;=W$4),1,""))</f>
        <v>1</v>
      </c>
      <c r="X60" s="72" t="n">
        <f aca="false">IF(OR(X$4="",$C60="",$D60=""),"",IF(AND($C60&lt;EDATE(X$4,1),$D60&gt;=X$4),1,""))</f>
        <v>1</v>
      </c>
      <c r="Y60" s="72" t="n">
        <f aca="false">IF(OR(Y$4="",$C60="",$D60=""),"",IF(AND($C60&lt;EDATE(Y$4,1),$D60&gt;=Y$4),1,""))</f>
        <v>1</v>
      </c>
      <c r="Z60" s="72" t="n">
        <f aca="false">IF(OR(Z$4="",$C60="",$D60=""),"",IF(AND($C60&lt;EDATE(Z$4,1),$D60&gt;=Z$4),1,""))</f>
        <v>1</v>
      </c>
      <c r="AA60" s="72" t="n">
        <f aca="false">IF(OR(AA$4="",$C60="",$D60=""),"",IF(AND($C60&lt;EDATE(AA$4,1),$D60&gt;=AA$4),1,""))</f>
        <v>1</v>
      </c>
      <c r="AB60" s="72" t="n">
        <f aca="false">IF(OR(AB$4="",$C60="",$D60=""),"",IF(AND($C60&lt;EDATE(AB$4,1),$D60&gt;=AB$4),1,""))</f>
        <v>1</v>
      </c>
      <c r="AC60" s="72" t="n">
        <f aca="false">IF(OR(AC$4="",$C60="",$D60=""),"",IF(AND($C60&lt;EDATE(AC$4,1),$D60&gt;=AC$4),1,""))</f>
        <v>1</v>
      </c>
      <c r="AD60" s="72" t="n">
        <f aca="false">IF(OR(AD$4="",$C60="",$D60=""),"",IF(AND($C60&lt;EDATE(AD$4,1),$D60&gt;=AD$4),1,""))</f>
        <v>1</v>
      </c>
      <c r="AE60" s="72" t="n">
        <f aca="false">IF(OR(AE$4="",$C60="",$D60=""),"",IF(AND($C60&lt;EDATE(AE$4,1),$D60&gt;=AE$4),1,""))</f>
        <v>1</v>
      </c>
      <c r="AF60" s="72" t="n">
        <f aca="false">IF(OR(AF$4="",$C60="",$D60=""),"",IF(AND($C60&lt;EDATE(AF$4,1),$D60&gt;=AF$4),1,""))</f>
        <v>1</v>
      </c>
      <c r="AG60" s="72" t="n">
        <f aca="false">IF(OR(AG$4="",$C60="",$D60=""),"",IF(AND($C60&lt;EDATE(AG$4,1),$D60&gt;=AG$4),1,""))</f>
        <v>1</v>
      </c>
      <c r="AH60" s="72" t="n">
        <f aca="false">IF(OR(AH$4="",$C60="",$D60=""),"",IF(AND($C60&lt;EDATE(AH$4,1),$D60&gt;=AH$4),1,""))</f>
        <v>1</v>
      </c>
      <c r="AI60" s="72" t="n">
        <f aca="false">IF(OR(AI$4="",$C60="",$D60=""),"",IF(AND($C60&lt;EDATE(AI$4,1),$D60&gt;=AI$4),1,""))</f>
        <v>1</v>
      </c>
      <c r="AJ60" s="72" t="n">
        <f aca="false">IF(OR(AJ$4="",$C60="",$D60=""),"",IF(AND($C60&lt;EDATE(AJ$4,1),$D60&gt;=AJ$4),1,""))</f>
        <v>1</v>
      </c>
      <c r="AK60" s="72" t="n">
        <f aca="false">IF(OR(AK$4="",$C60="",$D60=""),"",IF(AND($C60&lt;EDATE(AK$4,1),$D60&gt;=AK$4),1,""))</f>
        <v>1</v>
      </c>
      <c r="AL60" s="72" t="str">
        <f aca="false">IF(OR(AL$4="",$C60="",$D60=""),"",IF(AND($C60&lt;EDATE(AL$4,1),$D60&gt;=AL$4),1,""))</f>
        <v/>
      </c>
      <c r="AM60" s="72" t="str">
        <f aca="false">IF(OR(AM$4="",$C60="",$D60=""),"",IF(AND($C60&lt;EDATE(AM$4,1),$D60&gt;=AM$4),1,""))</f>
        <v/>
      </c>
      <c r="AN60" s="72" t="str">
        <f aca="false">IF(OR(AN$4="",$C60="",$D60=""),"",IF(AND($C60&lt;EDATE(AN$4,1),$D60&gt;=AN$4),1,""))</f>
        <v/>
      </c>
      <c r="AO60" s="72" t="str">
        <f aca="false">IF(OR(AO$4="",$C60="",$D60=""),"",IF(AND($C60&lt;EDATE(AO$4,1),$D60&gt;=AO$4),1,""))</f>
        <v/>
      </c>
      <c r="AP60" s="72" t="str">
        <f aca="false">IF(OR(AP$4="",$C60="",$D60=""),"",IF(AND($C60&lt;EDATE(AP$4,1),$D60&gt;=AP$4),1,""))</f>
        <v/>
      </c>
      <c r="AQ60" s="72" t="str">
        <f aca="false">IF(OR(AQ$4="",$C60="",$D60=""),"",IF(AND($C60&lt;EDATE(AQ$4,1),$D60&gt;=AQ$4),1,""))</f>
        <v/>
      </c>
      <c r="AR60" s="72" t="str">
        <f aca="false">IF(OR(AR$4="",$C60="",$D60=""),"",IF(AND($C60&lt;EDATE(AR$4,1),$D60&gt;=AR$4),1,""))</f>
        <v/>
      </c>
      <c r="AS60" s="72" t="str">
        <f aca="false">IF(OR(AS$4="",$C60="",$D60=""),"",IF(AND($C60&lt;EDATE(AS$4,1),$D60&gt;=AS$4),1,""))</f>
        <v/>
      </c>
      <c r="AT60" s="72" t="str">
        <f aca="false">IF(OR(AT$4="",$C60="",$D60=""),"",IF(AND($C60&lt;EDATE(AT$4,1),$D60&gt;=AT$4),1,""))</f>
        <v/>
      </c>
      <c r="AU60" s="72" t="str">
        <f aca="false">IF(OR(AU$4="",$C60="",$D60=""),"",IF(AND($C60&lt;EDATE(AU$4,1),$D60&gt;=AU$4),1,""))</f>
        <v/>
      </c>
      <c r="AV60" s="72" t="str">
        <f aca="false">IF(OR(AV$4="",$C60="",$D60=""),"",IF(AND($C60&lt;EDATE(AV$4,1),$D60&gt;=AV$4),1,""))</f>
        <v/>
      </c>
      <c r="AW60" s="72" t="str">
        <f aca="false">IF(OR(AW$4="",$C60="",$D60=""),"",IF(AND($C60&lt;EDATE(AW$4,1),$D60&gt;=AW$4),1,""))</f>
        <v/>
      </c>
      <c r="AX60" s="72" t="str">
        <f aca="false">IF(OR(AX$4="",$C60="",$D60=""),"",IF(AND($C60&lt;EDATE(AX$4,1),$D60&gt;=AX$4),1,""))</f>
        <v/>
      </c>
      <c r="AY60" s="72" t="str">
        <f aca="false">IF(OR(AY$4="",$C60="",$D60=""),"",IF(AND($C60&lt;EDATE(AY$4,1),$D60&gt;=AY$4),1,""))</f>
        <v/>
      </c>
      <c r="AZ60" s="72" t="str">
        <f aca="false">IF(OR(AZ$4="",$C60="",$D60=""),"",IF(AND($C60&lt;EDATE(AZ$4,1),$D60&gt;=AZ$4),1,""))</f>
        <v/>
      </c>
      <c r="BA60" s="72" t="str">
        <f aca="false">IF(OR(BA$4="",$C60="",$D60=""),"",IF(AND($C60&lt;EDATE(BA$4,1),$D60&gt;=BA$4),1,""))</f>
        <v/>
      </c>
      <c r="BB60" s="72" t="str">
        <f aca="false">IF(OR(BB$4="",$C60="",$D60=""),"",IF(AND($C60&lt;EDATE(BB$4,1),$D60&gt;=BB$4),1,""))</f>
        <v/>
      </c>
      <c r="BC60" s="72" t="str">
        <f aca="false">IF(OR(BC$4="",$C60="",$D60=""),"",IF(AND($C60&lt;EDATE(BC$4,1),$D60&gt;=BC$4),1,""))</f>
        <v/>
      </c>
      <c r="BD60" s="72" t="str">
        <f aca="false">IF(OR(BD$4="",$C60="",$D60=""),"",IF(AND($C60&lt;EDATE(BD$4,1),$D60&gt;=BD$4),1,""))</f>
        <v/>
      </c>
      <c r="BE60" s="72" t="str">
        <f aca="false">IF(OR(BE$4="",$C60="",$D60=""),"",IF(AND($C60&lt;EDATE(BE$4,1),$D60&gt;=BE$4),1,""))</f>
        <v/>
      </c>
      <c r="BF60" s="72" t="str">
        <f aca="false">IF(OR(BF$4="",$C60="",$D60=""),"",IF(AND($C60&lt;EDATE(BF$4,1),$D60&gt;=BF$4),1,""))</f>
        <v/>
      </c>
      <c r="BG60" s="72" t="str">
        <f aca="false">IF(OR(BG$4="",$C60="",$D60=""),"",IF(AND($C60&lt;EDATE(BG$4,1),$D60&gt;=BG$4),1,""))</f>
        <v/>
      </c>
      <c r="BH60" s="72" t="str">
        <f aca="false">IF(OR(BH$4="",$C60="",$D60=""),"",IF(AND($C60&lt;EDATE(BH$4,1),$D60&gt;=BH$4),1,""))</f>
        <v/>
      </c>
      <c r="BI60" s="72" t="str">
        <f aca="false">IF(OR(BI$4="",$C60="",$D60=""),"",IF(AND($C60&lt;EDATE(BI$4,1),$D60&gt;=BI$4),1,""))</f>
        <v/>
      </c>
      <c r="BJ60" s="72" t="str">
        <f aca="false">IF(OR(BJ$4="",$C60="",$D60=""),"",IF(AND($C60&lt;EDATE(BJ$4,1),$D60&gt;=BJ$4),1,""))</f>
        <v/>
      </c>
      <c r="BK60" s="72" t="str">
        <f aca="false">IF(OR(BK$4="",$C60="",$D60=""),"",IF(AND($C60&lt;EDATE(BK$4,1),$D60&gt;=BK$4),1,""))</f>
        <v/>
      </c>
      <c r="BL60" s="72" t="str">
        <f aca="false">IF(OR(BL$4="",$C60="",$D60=""),"",IF(AND($C60&lt;EDATE(BL$4,1),$D60&gt;=BL$4),1,""))</f>
        <v/>
      </c>
      <c r="BM60" s="72" t="str">
        <f aca="false">IF(OR(BM$4="",$C60="",$D60=""),"",IF(AND($C60&lt;EDATE(BM$4,1),$D60&gt;=BM$4),1,""))</f>
        <v/>
      </c>
      <c r="BN60" s="72" t="str">
        <f aca="false">IF(OR(BN$4="",$C60="",$D60=""),"",IF(AND($C60&lt;EDATE(BN$4,1),$D60&gt;=BN$4),1,""))</f>
        <v/>
      </c>
      <c r="BO60" s="72" t="str">
        <f aca="false">IF(OR(BO$4="",$C60="",$D60=""),"",IF(AND($C60&lt;EDATE(BO$4,1),$D60&gt;=BO$4),1,""))</f>
        <v/>
      </c>
      <c r="BP60" s="72" t="str">
        <f aca="false">IF(OR(BP$4="",$C60="",$D60=""),"",IF(AND($C60&lt;EDATE(BP$4,1),$D60&gt;=BP$4),1,""))</f>
        <v/>
      </c>
      <c r="BQ60" s="72" t="str">
        <f aca="false">IF(OR(BQ$4="",$C60="",$D60=""),"",IF(AND($C60&lt;EDATE(BQ$4,1),$D60&gt;=BQ$4),1,""))</f>
        <v/>
      </c>
      <c r="BR60" s="72" t="str">
        <f aca="false">IF(OR(BR$4="",$C60="",$D60=""),"",IF(AND($C60&lt;EDATE(BR$4,1),$D60&gt;=BR$4),1,""))</f>
        <v/>
      </c>
      <c r="BS60" s="72" t="str">
        <f aca="false">IF(OR(BS$4="",$C60="",$D60=""),"",IF(AND($C60&lt;EDATE(BS$4,1),$D60&gt;=BS$4),1,""))</f>
        <v/>
      </c>
      <c r="BT60" s="72" t="str">
        <f aca="false">IF(OR(BT$4="",$C60="",$D60=""),"",IF(AND($C60&lt;EDATE(BT$4,1),$D60&gt;=BT$4),1,""))</f>
        <v/>
      </c>
      <c r="BU60" s="72" t="str">
        <f aca="false">IF(OR(BU$4="",$C60="",$D60=""),"",IF(AND($C60&lt;EDATE(BU$4,1),$D60&gt;=BU$4),1,""))</f>
        <v/>
      </c>
      <c r="BV60" s="72" t="str">
        <f aca="false">IF(OR(BV$4="",$C60="",$D60=""),"",IF(AND($C60&lt;EDATE(BV$4,1),$D60&gt;=BV$4),1,""))</f>
        <v/>
      </c>
      <c r="BW60" s="72" t="str">
        <f aca="false">IF(OR(BW$4="",$C60="",$D60=""),"",IF(AND($C60&lt;EDATE(BW$4,1),$D60&gt;=BW$4),1,""))</f>
        <v/>
      </c>
      <c r="BX60" s="72" t="str">
        <f aca="false">IF(OR(BX$4="",$C60="",$D60=""),"",IF(AND($C60&lt;EDATE(BX$4,1),$D60&gt;=BX$4),1,""))</f>
        <v/>
      </c>
      <c r="BY60" s="72" t="str">
        <f aca="false">IF(OR(BY$4="",$C60="",$D60=""),"",IF(AND($C60&lt;EDATE(BY$4,1),$D60&gt;=BY$4),1,""))</f>
        <v/>
      </c>
    </row>
    <row r="61" customFormat="false" ht="15" hidden="false" customHeight="false" outlineLevel="0" collapsed="false">
      <c r="A61" s="61" t="str">
        <f aca="false">IF(BOE!$A30="","",BOE!$A30)</f>
        <v>402</v>
      </c>
      <c r="B61" s="61" t="str">
        <f aca="false">IF(BOE!$A30="","",BOE!$C30)</f>
        <v>Explosives Hazard Classification Data</v>
      </c>
      <c r="C61" s="62" t="str">
        <f aca="false">IF(OR(BOE!$A30="",BOE!$E30&lt;&gt;"Y"),"",BOE!$O30)</f>
        <v/>
      </c>
      <c r="D61" s="62" t="str">
        <f aca="false">IF(OR(BOE!$A30="",BOE!$E30&lt;&gt;"Y"),"",BOE!$P30)</f>
        <v/>
      </c>
      <c r="E61" s="63" t="str">
        <f aca="false">IF(OR(BOE!$A30="",BOE!$E30&lt;&gt;"Y"),"",IF(Inputs!$B$7="P90",BOE!$T30,BOE!$R30))</f>
        <v/>
      </c>
      <c r="F61" s="72" t="str">
        <f aca="false">IF(OR(F$4="",$C61="",$D61=""),"",IF(AND($C61&lt;EDATE(F$4,1),$D61&gt;=F$4),1,""))</f>
        <v/>
      </c>
      <c r="G61" s="72" t="str">
        <f aca="false">IF(OR(G$4="",$C61="",$D61=""),"",IF(AND($C61&lt;EDATE(G$4,1),$D61&gt;=G$4),1,""))</f>
        <v/>
      </c>
      <c r="H61" s="72" t="str">
        <f aca="false">IF(OR(H$4="",$C61="",$D61=""),"",IF(AND($C61&lt;EDATE(H$4,1),$D61&gt;=H$4),1,""))</f>
        <v/>
      </c>
      <c r="I61" s="72" t="str">
        <f aca="false">IF(OR(I$4="",$C61="",$D61=""),"",IF(AND($C61&lt;EDATE(I$4,1),$D61&gt;=I$4),1,""))</f>
        <v/>
      </c>
      <c r="J61" s="72" t="str">
        <f aca="false">IF(OR(J$4="",$C61="",$D61=""),"",IF(AND($C61&lt;EDATE(J$4,1),$D61&gt;=J$4),1,""))</f>
        <v/>
      </c>
      <c r="K61" s="72" t="str">
        <f aca="false">IF(OR(K$4="",$C61="",$D61=""),"",IF(AND($C61&lt;EDATE(K$4,1),$D61&gt;=K$4),1,""))</f>
        <v/>
      </c>
      <c r="L61" s="72" t="str">
        <f aca="false">IF(OR(L$4="",$C61="",$D61=""),"",IF(AND($C61&lt;EDATE(L$4,1),$D61&gt;=L$4),1,""))</f>
        <v/>
      </c>
      <c r="M61" s="72" t="str">
        <f aca="false">IF(OR(M$4="",$C61="",$D61=""),"",IF(AND($C61&lt;EDATE(M$4,1),$D61&gt;=M$4),1,""))</f>
        <v/>
      </c>
      <c r="N61" s="72" t="str">
        <f aca="false">IF(OR(N$4="",$C61="",$D61=""),"",IF(AND($C61&lt;EDATE(N$4,1),$D61&gt;=N$4),1,""))</f>
        <v/>
      </c>
      <c r="O61" s="72" t="str">
        <f aca="false">IF(OR(O$4="",$C61="",$D61=""),"",IF(AND($C61&lt;EDATE(O$4,1),$D61&gt;=O$4),1,""))</f>
        <v/>
      </c>
      <c r="P61" s="72" t="str">
        <f aca="false">IF(OR(P$4="",$C61="",$D61=""),"",IF(AND($C61&lt;EDATE(P$4,1),$D61&gt;=P$4),1,""))</f>
        <v/>
      </c>
      <c r="Q61" s="72" t="str">
        <f aca="false">IF(OR(Q$4="",$C61="",$D61=""),"",IF(AND($C61&lt;EDATE(Q$4,1),$D61&gt;=Q$4),1,""))</f>
        <v/>
      </c>
      <c r="R61" s="72" t="str">
        <f aca="false">IF(OR(R$4="",$C61="",$D61=""),"",IF(AND($C61&lt;EDATE(R$4,1),$D61&gt;=R$4),1,""))</f>
        <v/>
      </c>
      <c r="S61" s="72" t="str">
        <f aca="false">IF(OR(S$4="",$C61="",$D61=""),"",IF(AND($C61&lt;EDATE(S$4,1),$D61&gt;=S$4),1,""))</f>
        <v/>
      </c>
      <c r="T61" s="72" t="str">
        <f aca="false">IF(OR(T$4="",$C61="",$D61=""),"",IF(AND($C61&lt;EDATE(T$4,1),$D61&gt;=T$4),1,""))</f>
        <v/>
      </c>
      <c r="U61" s="72" t="str">
        <f aca="false">IF(OR(U$4="",$C61="",$D61=""),"",IF(AND($C61&lt;EDATE(U$4,1),$D61&gt;=U$4),1,""))</f>
        <v/>
      </c>
      <c r="V61" s="72" t="str">
        <f aca="false">IF(OR(V$4="",$C61="",$D61=""),"",IF(AND($C61&lt;EDATE(V$4,1),$D61&gt;=V$4),1,""))</f>
        <v/>
      </c>
      <c r="W61" s="72" t="str">
        <f aca="false">IF(OR(W$4="",$C61="",$D61=""),"",IF(AND($C61&lt;EDATE(W$4,1),$D61&gt;=W$4),1,""))</f>
        <v/>
      </c>
      <c r="X61" s="72" t="str">
        <f aca="false">IF(OR(X$4="",$C61="",$D61=""),"",IF(AND($C61&lt;EDATE(X$4,1),$D61&gt;=X$4),1,""))</f>
        <v/>
      </c>
      <c r="Y61" s="72" t="str">
        <f aca="false">IF(OR(Y$4="",$C61="",$D61=""),"",IF(AND($C61&lt;EDATE(Y$4,1),$D61&gt;=Y$4),1,""))</f>
        <v/>
      </c>
      <c r="Z61" s="72" t="str">
        <f aca="false">IF(OR(Z$4="",$C61="",$D61=""),"",IF(AND($C61&lt;EDATE(Z$4,1),$D61&gt;=Z$4),1,""))</f>
        <v/>
      </c>
      <c r="AA61" s="72" t="str">
        <f aca="false">IF(OR(AA$4="",$C61="",$D61=""),"",IF(AND($C61&lt;EDATE(AA$4,1),$D61&gt;=AA$4),1,""))</f>
        <v/>
      </c>
      <c r="AB61" s="72" t="str">
        <f aca="false">IF(OR(AB$4="",$C61="",$D61=""),"",IF(AND($C61&lt;EDATE(AB$4,1),$D61&gt;=AB$4),1,""))</f>
        <v/>
      </c>
      <c r="AC61" s="72" t="str">
        <f aca="false">IF(OR(AC$4="",$C61="",$D61=""),"",IF(AND($C61&lt;EDATE(AC$4,1),$D61&gt;=AC$4),1,""))</f>
        <v/>
      </c>
      <c r="AD61" s="72" t="str">
        <f aca="false">IF(OR(AD$4="",$C61="",$D61=""),"",IF(AND($C61&lt;EDATE(AD$4,1),$D61&gt;=AD$4),1,""))</f>
        <v/>
      </c>
      <c r="AE61" s="72" t="str">
        <f aca="false">IF(OR(AE$4="",$C61="",$D61=""),"",IF(AND($C61&lt;EDATE(AE$4,1),$D61&gt;=AE$4),1,""))</f>
        <v/>
      </c>
      <c r="AF61" s="72" t="str">
        <f aca="false">IF(OR(AF$4="",$C61="",$D61=""),"",IF(AND($C61&lt;EDATE(AF$4,1),$D61&gt;=AF$4),1,""))</f>
        <v/>
      </c>
      <c r="AG61" s="72" t="str">
        <f aca="false">IF(OR(AG$4="",$C61="",$D61=""),"",IF(AND($C61&lt;EDATE(AG$4,1),$D61&gt;=AG$4),1,""))</f>
        <v/>
      </c>
      <c r="AH61" s="72" t="str">
        <f aca="false">IF(OR(AH$4="",$C61="",$D61=""),"",IF(AND($C61&lt;EDATE(AH$4,1),$D61&gt;=AH$4),1,""))</f>
        <v/>
      </c>
      <c r="AI61" s="72" t="str">
        <f aca="false">IF(OR(AI$4="",$C61="",$D61=""),"",IF(AND($C61&lt;EDATE(AI$4,1),$D61&gt;=AI$4),1,""))</f>
        <v/>
      </c>
      <c r="AJ61" s="72" t="str">
        <f aca="false">IF(OR(AJ$4="",$C61="",$D61=""),"",IF(AND($C61&lt;EDATE(AJ$4,1),$D61&gt;=AJ$4),1,""))</f>
        <v/>
      </c>
      <c r="AK61" s="72" t="str">
        <f aca="false">IF(OR(AK$4="",$C61="",$D61=""),"",IF(AND($C61&lt;EDATE(AK$4,1),$D61&gt;=AK$4),1,""))</f>
        <v/>
      </c>
      <c r="AL61" s="72" t="str">
        <f aca="false">IF(OR(AL$4="",$C61="",$D61=""),"",IF(AND($C61&lt;EDATE(AL$4,1),$D61&gt;=AL$4),1,""))</f>
        <v/>
      </c>
      <c r="AM61" s="72" t="str">
        <f aca="false">IF(OR(AM$4="",$C61="",$D61=""),"",IF(AND($C61&lt;EDATE(AM$4,1),$D61&gt;=AM$4),1,""))</f>
        <v/>
      </c>
      <c r="AN61" s="72" t="str">
        <f aca="false">IF(OR(AN$4="",$C61="",$D61=""),"",IF(AND($C61&lt;EDATE(AN$4,1),$D61&gt;=AN$4),1,""))</f>
        <v/>
      </c>
      <c r="AO61" s="72" t="str">
        <f aca="false">IF(OR(AO$4="",$C61="",$D61=""),"",IF(AND($C61&lt;EDATE(AO$4,1),$D61&gt;=AO$4),1,""))</f>
        <v/>
      </c>
      <c r="AP61" s="72" t="str">
        <f aca="false">IF(OR(AP$4="",$C61="",$D61=""),"",IF(AND($C61&lt;EDATE(AP$4,1),$D61&gt;=AP$4),1,""))</f>
        <v/>
      </c>
      <c r="AQ61" s="72" t="str">
        <f aca="false">IF(OR(AQ$4="",$C61="",$D61=""),"",IF(AND($C61&lt;EDATE(AQ$4,1),$D61&gt;=AQ$4),1,""))</f>
        <v/>
      </c>
      <c r="AR61" s="72" t="str">
        <f aca="false">IF(OR(AR$4="",$C61="",$D61=""),"",IF(AND($C61&lt;EDATE(AR$4,1),$D61&gt;=AR$4),1,""))</f>
        <v/>
      </c>
      <c r="AS61" s="72" t="str">
        <f aca="false">IF(OR(AS$4="",$C61="",$D61=""),"",IF(AND($C61&lt;EDATE(AS$4,1),$D61&gt;=AS$4),1,""))</f>
        <v/>
      </c>
      <c r="AT61" s="72" t="str">
        <f aca="false">IF(OR(AT$4="",$C61="",$D61=""),"",IF(AND($C61&lt;EDATE(AT$4,1),$D61&gt;=AT$4),1,""))</f>
        <v/>
      </c>
      <c r="AU61" s="72" t="str">
        <f aca="false">IF(OR(AU$4="",$C61="",$D61=""),"",IF(AND($C61&lt;EDATE(AU$4,1),$D61&gt;=AU$4),1,""))</f>
        <v/>
      </c>
      <c r="AV61" s="72" t="str">
        <f aca="false">IF(OR(AV$4="",$C61="",$D61=""),"",IF(AND($C61&lt;EDATE(AV$4,1),$D61&gt;=AV$4),1,""))</f>
        <v/>
      </c>
      <c r="AW61" s="72" t="str">
        <f aca="false">IF(OR(AW$4="",$C61="",$D61=""),"",IF(AND($C61&lt;EDATE(AW$4,1),$D61&gt;=AW$4),1,""))</f>
        <v/>
      </c>
      <c r="AX61" s="72" t="str">
        <f aca="false">IF(OR(AX$4="",$C61="",$D61=""),"",IF(AND($C61&lt;EDATE(AX$4,1),$D61&gt;=AX$4),1,""))</f>
        <v/>
      </c>
      <c r="AY61" s="72" t="str">
        <f aca="false">IF(OR(AY$4="",$C61="",$D61=""),"",IF(AND($C61&lt;EDATE(AY$4,1),$D61&gt;=AY$4),1,""))</f>
        <v/>
      </c>
      <c r="AZ61" s="72" t="str">
        <f aca="false">IF(OR(AZ$4="",$C61="",$D61=""),"",IF(AND($C61&lt;EDATE(AZ$4,1),$D61&gt;=AZ$4),1,""))</f>
        <v/>
      </c>
      <c r="BA61" s="72" t="str">
        <f aca="false">IF(OR(BA$4="",$C61="",$D61=""),"",IF(AND($C61&lt;EDATE(BA$4,1),$D61&gt;=BA$4),1,""))</f>
        <v/>
      </c>
      <c r="BB61" s="72" t="str">
        <f aca="false">IF(OR(BB$4="",$C61="",$D61=""),"",IF(AND($C61&lt;EDATE(BB$4,1),$D61&gt;=BB$4),1,""))</f>
        <v/>
      </c>
      <c r="BC61" s="72" t="str">
        <f aca="false">IF(OR(BC$4="",$C61="",$D61=""),"",IF(AND($C61&lt;EDATE(BC$4,1),$D61&gt;=BC$4),1,""))</f>
        <v/>
      </c>
      <c r="BD61" s="72" t="str">
        <f aca="false">IF(OR(BD$4="",$C61="",$D61=""),"",IF(AND($C61&lt;EDATE(BD$4,1),$D61&gt;=BD$4),1,""))</f>
        <v/>
      </c>
      <c r="BE61" s="72" t="str">
        <f aca="false">IF(OR(BE$4="",$C61="",$D61=""),"",IF(AND($C61&lt;EDATE(BE$4,1),$D61&gt;=BE$4),1,""))</f>
        <v/>
      </c>
      <c r="BF61" s="72" t="str">
        <f aca="false">IF(OR(BF$4="",$C61="",$D61=""),"",IF(AND($C61&lt;EDATE(BF$4,1),$D61&gt;=BF$4),1,""))</f>
        <v/>
      </c>
      <c r="BG61" s="72" t="str">
        <f aca="false">IF(OR(BG$4="",$C61="",$D61=""),"",IF(AND($C61&lt;EDATE(BG$4,1),$D61&gt;=BG$4),1,""))</f>
        <v/>
      </c>
      <c r="BH61" s="72" t="str">
        <f aca="false">IF(OR(BH$4="",$C61="",$D61=""),"",IF(AND($C61&lt;EDATE(BH$4,1),$D61&gt;=BH$4),1,""))</f>
        <v/>
      </c>
      <c r="BI61" s="72" t="str">
        <f aca="false">IF(OR(BI$4="",$C61="",$D61=""),"",IF(AND($C61&lt;EDATE(BI$4,1),$D61&gt;=BI$4),1,""))</f>
        <v/>
      </c>
      <c r="BJ61" s="72" t="str">
        <f aca="false">IF(OR(BJ$4="",$C61="",$D61=""),"",IF(AND($C61&lt;EDATE(BJ$4,1),$D61&gt;=BJ$4),1,""))</f>
        <v/>
      </c>
      <c r="BK61" s="72" t="str">
        <f aca="false">IF(OR(BK$4="",$C61="",$D61=""),"",IF(AND($C61&lt;EDATE(BK$4,1),$D61&gt;=BK$4),1,""))</f>
        <v/>
      </c>
      <c r="BL61" s="72" t="str">
        <f aca="false">IF(OR(BL$4="",$C61="",$D61=""),"",IF(AND($C61&lt;EDATE(BL$4,1),$D61&gt;=BL$4),1,""))</f>
        <v/>
      </c>
      <c r="BM61" s="72" t="str">
        <f aca="false">IF(OR(BM$4="",$C61="",$D61=""),"",IF(AND($C61&lt;EDATE(BM$4,1),$D61&gt;=BM$4),1,""))</f>
        <v/>
      </c>
      <c r="BN61" s="72" t="str">
        <f aca="false">IF(OR(BN$4="",$C61="",$D61=""),"",IF(AND($C61&lt;EDATE(BN$4,1),$D61&gt;=BN$4),1,""))</f>
        <v/>
      </c>
      <c r="BO61" s="72" t="str">
        <f aca="false">IF(OR(BO$4="",$C61="",$D61=""),"",IF(AND($C61&lt;EDATE(BO$4,1),$D61&gt;=BO$4),1,""))</f>
        <v/>
      </c>
      <c r="BP61" s="72" t="str">
        <f aca="false">IF(OR(BP$4="",$C61="",$D61=""),"",IF(AND($C61&lt;EDATE(BP$4,1),$D61&gt;=BP$4),1,""))</f>
        <v/>
      </c>
      <c r="BQ61" s="72" t="str">
        <f aca="false">IF(OR(BQ$4="",$C61="",$D61=""),"",IF(AND($C61&lt;EDATE(BQ$4,1),$D61&gt;=BQ$4),1,""))</f>
        <v/>
      </c>
      <c r="BR61" s="72" t="str">
        <f aca="false">IF(OR(BR$4="",$C61="",$D61=""),"",IF(AND($C61&lt;EDATE(BR$4,1),$D61&gt;=BR$4),1,""))</f>
        <v/>
      </c>
      <c r="BS61" s="72" t="str">
        <f aca="false">IF(OR(BS$4="",$C61="",$D61=""),"",IF(AND($C61&lt;EDATE(BS$4,1),$D61&gt;=BS$4),1,""))</f>
        <v/>
      </c>
      <c r="BT61" s="72" t="str">
        <f aca="false">IF(OR(BT$4="",$C61="",$D61=""),"",IF(AND($C61&lt;EDATE(BT$4,1),$D61&gt;=BT$4),1,""))</f>
        <v/>
      </c>
      <c r="BU61" s="72" t="str">
        <f aca="false">IF(OR(BU$4="",$C61="",$D61=""),"",IF(AND($C61&lt;EDATE(BU$4,1),$D61&gt;=BU$4),1,""))</f>
        <v/>
      </c>
      <c r="BV61" s="72" t="str">
        <f aca="false">IF(OR(BV$4="",$C61="",$D61=""),"",IF(AND($C61&lt;EDATE(BV$4,1),$D61&gt;=BV$4),1,""))</f>
        <v/>
      </c>
      <c r="BW61" s="72" t="str">
        <f aca="false">IF(OR(BW$4="",$C61="",$D61=""),"",IF(AND($C61&lt;EDATE(BW$4,1),$D61&gt;=BW$4),1,""))</f>
        <v/>
      </c>
      <c r="BX61" s="72" t="str">
        <f aca="false">IF(OR(BX$4="",$C61="",$D61=""),"",IF(AND($C61&lt;EDATE(BX$4,1),$D61&gt;=BX$4),1,""))</f>
        <v/>
      </c>
      <c r="BY61" s="72" t="str">
        <f aca="false">IF(OR(BY$4="",$C61="",$D61=""),"",IF(AND($C61&lt;EDATE(BY$4,1),$D61&gt;=BY$4),1,""))</f>
        <v/>
      </c>
    </row>
    <row r="62" customFormat="false" ht="15" hidden="false" customHeight="false" outlineLevel="0" collapsed="false">
      <c r="A62" s="61" t="str">
        <f aca="false">IF(BOE!$A31="","",BOE!$A31)</f>
        <v>403</v>
      </c>
      <c r="B62" s="61" t="str">
        <f aca="false">IF(BOE!$A31="","",BOE!$C31)</f>
        <v>Explosive Ordnance Disposal Data</v>
      </c>
      <c r="C62" s="62" t="str">
        <f aca="false">IF(OR(BOE!$A31="",BOE!$E31&lt;&gt;"Y"),"",BOE!$O31)</f>
        <v/>
      </c>
      <c r="D62" s="62" t="str">
        <f aca="false">IF(OR(BOE!$A31="",BOE!$E31&lt;&gt;"Y"),"",BOE!$P31)</f>
        <v/>
      </c>
      <c r="E62" s="63" t="str">
        <f aca="false">IF(OR(BOE!$A31="",BOE!$E31&lt;&gt;"Y"),"",IF(Inputs!$B$7="P90",BOE!$T31,BOE!$R31))</f>
        <v/>
      </c>
      <c r="F62" s="72" t="str">
        <f aca="false">IF(OR(F$4="",$C62="",$D62=""),"",IF(AND($C62&lt;EDATE(F$4,1),$D62&gt;=F$4),1,""))</f>
        <v/>
      </c>
      <c r="G62" s="72" t="str">
        <f aca="false">IF(OR(G$4="",$C62="",$D62=""),"",IF(AND($C62&lt;EDATE(G$4,1),$D62&gt;=G$4),1,""))</f>
        <v/>
      </c>
      <c r="H62" s="72" t="str">
        <f aca="false">IF(OR(H$4="",$C62="",$D62=""),"",IF(AND($C62&lt;EDATE(H$4,1),$D62&gt;=H$4),1,""))</f>
        <v/>
      </c>
      <c r="I62" s="72" t="str">
        <f aca="false">IF(OR(I$4="",$C62="",$D62=""),"",IF(AND($C62&lt;EDATE(I$4,1),$D62&gt;=I$4),1,""))</f>
        <v/>
      </c>
      <c r="J62" s="72" t="str">
        <f aca="false">IF(OR(J$4="",$C62="",$D62=""),"",IF(AND($C62&lt;EDATE(J$4,1),$D62&gt;=J$4),1,""))</f>
        <v/>
      </c>
      <c r="K62" s="72" t="str">
        <f aca="false">IF(OR(K$4="",$C62="",$D62=""),"",IF(AND($C62&lt;EDATE(K$4,1),$D62&gt;=K$4),1,""))</f>
        <v/>
      </c>
      <c r="L62" s="72" t="str">
        <f aca="false">IF(OR(L$4="",$C62="",$D62=""),"",IF(AND($C62&lt;EDATE(L$4,1),$D62&gt;=L$4),1,""))</f>
        <v/>
      </c>
      <c r="M62" s="72" t="str">
        <f aca="false">IF(OR(M$4="",$C62="",$D62=""),"",IF(AND($C62&lt;EDATE(M$4,1),$D62&gt;=M$4),1,""))</f>
        <v/>
      </c>
      <c r="N62" s="72" t="str">
        <f aca="false">IF(OR(N$4="",$C62="",$D62=""),"",IF(AND($C62&lt;EDATE(N$4,1),$D62&gt;=N$4),1,""))</f>
        <v/>
      </c>
      <c r="O62" s="72" t="str">
        <f aca="false">IF(OR(O$4="",$C62="",$D62=""),"",IF(AND($C62&lt;EDATE(O$4,1),$D62&gt;=O$4),1,""))</f>
        <v/>
      </c>
      <c r="P62" s="72" t="str">
        <f aca="false">IF(OR(P$4="",$C62="",$D62=""),"",IF(AND($C62&lt;EDATE(P$4,1),$D62&gt;=P$4),1,""))</f>
        <v/>
      </c>
      <c r="Q62" s="72" t="str">
        <f aca="false">IF(OR(Q$4="",$C62="",$D62=""),"",IF(AND($C62&lt;EDATE(Q$4,1),$D62&gt;=Q$4),1,""))</f>
        <v/>
      </c>
      <c r="R62" s="72" t="str">
        <f aca="false">IF(OR(R$4="",$C62="",$D62=""),"",IF(AND($C62&lt;EDATE(R$4,1),$D62&gt;=R$4),1,""))</f>
        <v/>
      </c>
      <c r="S62" s="72" t="str">
        <f aca="false">IF(OR(S$4="",$C62="",$D62=""),"",IF(AND($C62&lt;EDATE(S$4,1),$D62&gt;=S$4),1,""))</f>
        <v/>
      </c>
      <c r="T62" s="72" t="str">
        <f aca="false">IF(OR(T$4="",$C62="",$D62=""),"",IF(AND($C62&lt;EDATE(T$4,1),$D62&gt;=T$4),1,""))</f>
        <v/>
      </c>
      <c r="U62" s="72" t="str">
        <f aca="false">IF(OR(U$4="",$C62="",$D62=""),"",IF(AND($C62&lt;EDATE(U$4,1),$D62&gt;=U$4),1,""))</f>
        <v/>
      </c>
      <c r="V62" s="72" t="str">
        <f aca="false">IF(OR(V$4="",$C62="",$D62=""),"",IF(AND($C62&lt;EDATE(V$4,1),$D62&gt;=V$4),1,""))</f>
        <v/>
      </c>
      <c r="W62" s="72" t="str">
        <f aca="false">IF(OR(W$4="",$C62="",$D62=""),"",IF(AND($C62&lt;EDATE(W$4,1),$D62&gt;=W$4),1,""))</f>
        <v/>
      </c>
      <c r="X62" s="72" t="str">
        <f aca="false">IF(OR(X$4="",$C62="",$D62=""),"",IF(AND($C62&lt;EDATE(X$4,1),$D62&gt;=X$4),1,""))</f>
        <v/>
      </c>
      <c r="Y62" s="72" t="str">
        <f aca="false">IF(OR(Y$4="",$C62="",$D62=""),"",IF(AND($C62&lt;EDATE(Y$4,1),$D62&gt;=Y$4),1,""))</f>
        <v/>
      </c>
      <c r="Z62" s="72" t="str">
        <f aca="false">IF(OR(Z$4="",$C62="",$D62=""),"",IF(AND($C62&lt;EDATE(Z$4,1),$D62&gt;=Z$4),1,""))</f>
        <v/>
      </c>
      <c r="AA62" s="72" t="str">
        <f aca="false">IF(OR(AA$4="",$C62="",$D62=""),"",IF(AND($C62&lt;EDATE(AA$4,1),$D62&gt;=AA$4),1,""))</f>
        <v/>
      </c>
      <c r="AB62" s="72" t="str">
        <f aca="false">IF(OR(AB$4="",$C62="",$D62=""),"",IF(AND($C62&lt;EDATE(AB$4,1),$D62&gt;=AB$4),1,""))</f>
        <v/>
      </c>
      <c r="AC62" s="72" t="str">
        <f aca="false">IF(OR(AC$4="",$C62="",$D62=""),"",IF(AND($C62&lt;EDATE(AC$4,1),$D62&gt;=AC$4),1,""))</f>
        <v/>
      </c>
      <c r="AD62" s="72" t="str">
        <f aca="false">IF(OR(AD$4="",$C62="",$D62=""),"",IF(AND($C62&lt;EDATE(AD$4,1),$D62&gt;=AD$4),1,""))</f>
        <v/>
      </c>
      <c r="AE62" s="72" t="str">
        <f aca="false">IF(OR(AE$4="",$C62="",$D62=""),"",IF(AND($C62&lt;EDATE(AE$4,1),$D62&gt;=AE$4),1,""))</f>
        <v/>
      </c>
      <c r="AF62" s="72" t="str">
        <f aca="false">IF(OR(AF$4="",$C62="",$D62=""),"",IF(AND($C62&lt;EDATE(AF$4,1),$D62&gt;=AF$4),1,""))</f>
        <v/>
      </c>
      <c r="AG62" s="72" t="str">
        <f aca="false">IF(OR(AG$4="",$C62="",$D62=""),"",IF(AND($C62&lt;EDATE(AG$4,1),$D62&gt;=AG$4),1,""))</f>
        <v/>
      </c>
      <c r="AH62" s="72" t="str">
        <f aca="false">IF(OR(AH$4="",$C62="",$D62=""),"",IF(AND($C62&lt;EDATE(AH$4,1),$D62&gt;=AH$4),1,""))</f>
        <v/>
      </c>
      <c r="AI62" s="72" t="str">
        <f aca="false">IF(OR(AI$4="",$C62="",$D62=""),"",IF(AND($C62&lt;EDATE(AI$4,1),$D62&gt;=AI$4),1,""))</f>
        <v/>
      </c>
      <c r="AJ62" s="72" t="str">
        <f aca="false">IF(OR(AJ$4="",$C62="",$D62=""),"",IF(AND($C62&lt;EDATE(AJ$4,1),$D62&gt;=AJ$4),1,""))</f>
        <v/>
      </c>
      <c r="AK62" s="72" t="str">
        <f aca="false">IF(OR(AK$4="",$C62="",$D62=""),"",IF(AND($C62&lt;EDATE(AK$4,1),$D62&gt;=AK$4),1,""))</f>
        <v/>
      </c>
      <c r="AL62" s="72" t="str">
        <f aca="false">IF(OR(AL$4="",$C62="",$D62=""),"",IF(AND($C62&lt;EDATE(AL$4,1),$D62&gt;=AL$4),1,""))</f>
        <v/>
      </c>
      <c r="AM62" s="72" t="str">
        <f aca="false">IF(OR(AM$4="",$C62="",$D62=""),"",IF(AND($C62&lt;EDATE(AM$4,1),$D62&gt;=AM$4),1,""))</f>
        <v/>
      </c>
      <c r="AN62" s="72" t="str">
        <f aca="false">IF(OR(AN$4="",$C62="",$D62=""),"",IF(AND($C62&lt;EDATE(AN$4,1),$D62&gt;=AN$4),1,""))</f>
        <v/>
      </c>
      <c r="AO62" s="72" t="str">
        <f aca="false">IF(OR(AO$4="",$C62="",$D62=""),"",IF(AND($C62&lt;EDATE(AO$4,1),$D62&gt;=AO$4),1,""))</f>
        <v/>
      </c>
      <c r="AP62" s="72" t="str">
        <f aca="false">IF(OR(AP$4="",$C62="",$D62=""),"",IF(AND($C62&lt;EDATE(AP$4,1),$D62&gt;=AP$4),1,""))</f>
        <v/>
      </c>
      <c r="AQ62" s="72" t="str">
        <f aca="false">IF(OR(AQ$4="",$C62="",$D62=""),"",IF(AND($C62&lt;EDATE(AQ$4,1),$D62&gt;=AQ$4),1,""))</f>
        <v/>
      </c>
      <c r="AR62" s="72" t="str">
        <f aca="false">IF(OR(AR$4="",$C62="",$D62=""),"",IF(AND($C62&lt;EDATE(AR$4,1),$D62&gt;=AR$4),1,""))</f>
        <v/>
      </c>
      <c r="AS62" s="72" t="str">
        <f aca="false">IF(OR(AS$4="",$C62="",$D62=""),"",IF(AND($C62&lt;EDATE(AS$4,1),$D62&gt;=AS$4),1,""))</f>
        <v/>
      </c>
      <c r="AT62" s="72" t="str">
        <f aca="false">IF(OR(AT$4="",$C62="",$D62=""),"",IF(AND($C62&lt;EDATE(AT$4,1),$D62&gt;=AT$4),1,""))</f>
        <v/>
      </c>
      <c r="AU62" s="72" t="str">
        <f aca="false">IF(OR(AU$4="",$C62="",$D62=""),"",IF(AND($C62&lt;EDATE(AU$4,1),$D62&gt;=AU$4),1,""))</f>
        <v/>
      </c>
      <c r="AV62" s="72" t="str">
        <f aca="false">IF(OR(AV$4="",$C62="",$D62=""),"",IF(AND($C62&lt;EDATE(AV$4,1),$D62&gt;=AV$4),1,""))</f>
        <v/>
      </c>
      <c r="AW62" s="72" t="str">
        <f aca="false">IF(OR(AW$4="",$C62="",$D62=""),"",IF(AND($C62&lt;EDATE(AW$4,1),$D62&gt;=AW$4),1,""))</f>
        <v/>
      </c>
      <c r="AX62" s="72" t="str">
        <f aca="false">IF(OR(AX$4="",$C62="",$D62=""),"",IF(AND($C62&lt;EDATE(AX$4,1),$D62&gt;=AX$4),1,""))</f>
        <v/>
      </c>
      <c r="AY62" s="72" t="str">
        <f aca="false">IF(OR(AY$4="",$C62="",$D62=""),"",IF(AND($C62&lt;EDATE(AY$4,1),$D62&gt;=AY$4),1,""))</f>
        <v/>
      </c>
      <c r="AZ62" s="72" t="str">
        <f aca="false">IF(OR(AZ$4="",$C62="",$D62=""),"",IF(AND($C62&lt;EDATE(AZ$4,1),$D62&gt;=AZ$4),1,""))</f>
        <v/>
      </c>
      <c r="BA62" s="72" t="str">
        <f aca="false">IF(OR(BA$4="",$C62="",$D62=""),"",IF(AND($C62&lt;EDATE(BA$4,1),$D62&gt;=BA$4),1,""))</f>
        <v/>
      </c>
      <c r="BB62" s="72" t="str">
        <f aca="false">IF(OR(BB$4="",$C62="",$D62=""),"",IF(AND($C62&lt;EDATE(BB$4,1),$D62&gt;=BB$4),1,""))</f>
        <v/>
      </c>
      <c r="BC62" s="72" t="str">
        <f aca="false">IF(OR(BC$4="",$C62="",$D62=""),"",IF(AND($C62&lt;EDATE(BC$4,1),$D62&gt;=BC$4),1,""))</f>
        <v/>
      </c>
      <c r="BD62" s="72" t="str">
        <f aca="false">IF(OR(BD$4="",$C62="",$D62=""),"",IF(AND($C62&lt;EDATE(BD$4,1),$D62&gt;=BD$4),1,""))</f>
        <v/>
      </c>
      <c r="BE62" s="72" t="str">
        <f aca="false">IF(OR(BE$4="",$C62="",$D62=""),"",IF(AND($C62&lt;EDATE(BE$4,1),$D62&gt;=BE$4),1,""))</f>
        <v/>
      </c>
      <c r="BF62" s="72" t="str">
        <f aca="false">IF(OR(BF$4="",$C62="",$D62=""),"",IF(AND($C62&lt;EDATE(BF$4,1),$D62&gt;=BF$4),1,""))</f>
        <v/>
      </c>
      <c r="BG62" s="72" t="str">
        <f aca="false">IF(OR(BG$4="",$C62="",$D62=""),"",IF(AND($C62&lt;EDATE(BG$4,1),$D62&gt;=BG$4),1,""))</f>
        <v/>
      </c>
      <c r="BH62" s="72" t="str">
        <f aca="false">IF(OR(BH$4="",$C62="",$D62=""),"",IF(AND($C62&lt;EDATE(BH$4,1),$D62&gt;=BH$4),1,""))</f>
        <v/>
      </c>
      <c r="BI62" s="72" t="str">
        <f aca="false">IF(OR(BI$4="",$C62="",$D62=""),"",IF(AND($C62&lt;EDATE(BI$4,1),$D62&gt;=BI$4),1,""))</f>
        <v/>
      </c>
      <c r="BJ62" s="72" t="str">
        <f aca="false">IF(OR(BJ$4="",$C62="",$D62=""),"",IF(AND($C62&lt;EDATE(BJ$4,1),$D62&gt;=BJ$4),1,""))</f>
        <v/>
      </c>
      <c r="BK62" s="72" t="str">
        <f aca="false">IF(OR(BK$4="",$C62="",$D62=""),"",IF(AND($C62&lt;EDATE(BK$4,1),$D62&gt;=BK$4),1,""))</f>
        <v/>
      </c>
      <c r="BL62" s="72" t="str">
        <f aca="false">IF(OR(BL$4="",$C62="",$D62=""),"",IF(AND($C62&lt;EDATE(BL$4,1),$D62&gt;=BL$4),1,""))</f>
        <v/>
      </c>
      <c r="BM62" s="72" t="str">
        <f aca="false">IF(OR(BM$4="",$C62="",$D62=""),"",IF(AND($C62&lt;EDATE(BM$4,1),$D62&gt;=BM$4),1,""))</f>
        <v/>
      </c>
      <c r="BN62" s="72" t="str">
        <f aca="false">IF(OR(BN$4="",$C62="",$D62=""),"",IF(AND($C62&lt;EDATE(BN$4,1),$D62&gt;=BN$4),1,""))</f>
        <v/>
      </c>
      <c r="BO62" s="72" t="str">
        <f aca="false">IF(OR(BO$4="",$C62="",$D62=""),"",IF(AND($C62&lt;EDATE(BO$4,1),$D62&gt;=BO$4),1,""))</f>
        <v/>
      </c>
      <c r="BP62" s="72" t="str">
        <f aca="false">IF(OR(BP$4="",$C62="",$D62=""),"",IF(AND($C62&lt;EDATE(BP$4,1),$D62&gt;=BP$4),1,""))</f>
        <v/>
      </c>
      <c r="BQ62" s="72" t="str">
        <f aca="false">IF(OR(BQ$4="",$C62="",$D62=""),"",IF(AND($C62&lt;EDATE(BQ$4,1),$D62&gt;=BQ$4),1,""))</f>
        <v/>
      </c>
      <c r="BR62" s="72" t="str">
        <f aca="false">IF(OR(BR$4="",$C62="",$D62=""),"",IF(AND($C62&lt;EDATE(BR$4,1),$D62&gt;=BR$4),1,""))</f>
        <v/>
      </c>
      <c r="BS62" s="72" t="str">
        <f aca="false">IF(OR(BS$4="",$C62="",$D62=""),"",IF(AND($C62&lt;EDATE(BS$4,1),$D62&gt;=BS$4),1,""))</f>
        <v/>
      </c>
      <c r="BT62" s="72" t="str">
        <f aca="false">IF(OR(BT$4="",$C62="",$D62=""),"",IF(AND($C62&lt;EDATE(BT$4,1),$D62&gt;=BT$4),1,""))</f>
        <v/>
      </c>
      <c r="BU62" s="72" t="str">
        <f aca="false">IF(OR(BU$4="",$C62="",$D62=""),"",IF(AND($C62&lt;EDATE(BU$4,1),$D62&gt;=BU$4),1,""))</f>
        <v/>
      </c>
      <c r="BV62" s="72" t="str">
        <f aca="false">IF(OR(BV$4="",$C62="",$D62=""),"",IF(AND($C62&lt;EDATE(BV$4,1),$D62&gt;=BV$4),1,""))</f>
        <v/>
      </c>
      <c r="BW62" s="72" t="str">
        <f aca="false">IF(OR(BW$4="",$C62="",$D62=""),"",IF(AND($C62&lt;EDATE(BW$4,1),$D62&gt;=BW$4),1,""))</f>
        <v/>
      </c>
      <c r="BX62" s="72" t="str">
        <f aca="false">IF(OR(BX$4="",$C62="",$D62=""),"",IF(AND($C62&lt;EDATE(BX$4,1),$D62&gt;=BX$4),1,""))</f>
        <v/>
      </c>
      <c r="BY62" s="72" t="str">
        <f aca="false">IF(OR(BY$4="",$C62="",$D62=""),"",IF(AND($C62&lt;EDATE(BY$4,1),$D62&gt;=BY$4),1,""))</f>
        <v/>
      </c>
    </row>
    <row r="63" customFormat="false" ht="15" hidden="false" customHeight="false" outlineLevel="0" collapsed="false">
      <c r="A63" s="61" t="str">
        <f aca="false">IF(BOE!$A32="","",BOE!$A32)</f>
        <v>SW-LOR</v>
      </c>
      <c r="B63" s="61" t="str">
        <f aca="false">IF(BOE!$A32="","",BOE!$C32)</f>
        <v>Software Level-of-Rigor tasks (Section 4.4, Table V)</v>
      </c>
      <c r="C63" s="62" t="n">
        <f aca="false">IF(OR(BOE!$A32="",BOE!$E32&lt;&gt;"Y"),"",BOE!$O32)</f>
        <v>46695</v>
      </c>
      <c r="D63" s="62" t="n">
        <f aca="false">IF(OR(BOE!$A32="",BOE!$E32&lt;&gt;"Y"),"",BOE!$P32)</f>
        <v>47122</v>
      </c>
      <c r="E63" s="63" t="n">
        <f aca="false">IF(OR(BOE!$A32="",BOE!$E32&lt;&gt;"Y"),"",IF(Inputs!$B$7="P90",BOE!$T32,BOE!$R32))</f>
        <v>624</v>
      </c>
      <c r="F63" s="72" t="str">
        <f aca="false">IF(OR(F$4="",$C63="",$D63=""),"",IF(AND($C63&lt;EDATE(F$4,1),$D63&gt;=F$4),1,""))</f>
        <v/>
      </c>
      <c r="G63" s="72" t="str">
        <f aca="false">IF(OR(G$4="",$C63="",$D63=""),"",IF(AND($C63&lt;EDATE(G$4,1),$D63&gt;=G$4),1,""))</f>
        <v/>
      </c>
      <c r="H63" s="72" t="str">
        <f aca="false">IF(OR(H$4="",$C63="",$D63=""),"",IF(AND($C63&lt;EDATE(H$4,1),$D63&gt;=H$4),1,""))</f>
        <v/>
      </c>
      <c r="I63" s="72" t="str">
        <f aca="false">IF(OR(I$4="",$C63="",$D63=""),"",IF(AND($C63&lt;EDATE(I$4,1),$D63&gt;=I$4),1,""))</f>
        <v/>
      </c>
      <c r="J63" s="72" t="str">
        <f aca="false">IF(OR(J$4="",$C63="",$D63=""),"",IF(AND($C63&lt;EDATE(J$4,1),$D63&gt;=J$4),1,""))</f>
        <v/>
      </c>
      <c r="K63" s="72" t="str">
        <f aca="false">IF(OR(K$4="",$C63="",$D63=""),"",IF(AND($C63&lt;EDATE(K$4,1),$D63&gt;=K$4),1,""))</f>
        <v/>
      </c>
      <c r="L63" s="72" t="str">
        <f aca="false">IF(OR(L$4="",$C63="",$D63=""),"",IF(AND($C63&lt;EDATE(L$4,1),$D63&gt;=L$4),1,""))</f>
        <v/>
      </c>
      <c r="M63" s="72" t="str">
        <f aca="false">IF(OR(M$4="",$C63="",$D63=""),"",IF(AND($C63&lt;EDATE(M$4,1),$D63&gt;=M$4),1,""))</f>
        <v/>
      </c>
      <c r="N63" s="72" t="str">
        <f aca="false">IF(OR(N$4="",$C63="",$D63=""),"",IF(AND($C63&lt;EDATE(N$4,1),$D63&gt;=N$4),1,""))</f>
        <v/>
      </c>
      <c r="O63" s="72" t="str">
        <f aca="false">IF(OR(O$4="",$C63="",$D63=""),"",IF(AND($C63&lt;EDATE(O$4,1),$D63&gt;=O$4),1,""))</f>
        <v/>
      </c>
      <c r="P63" s="72" t="n">
        <f aca="false">IF(OR(P$4="",$C63="",$D63=""),"",IF(AND($C63&lt;EDATE(P$4,1),$D63&gt;=P$4),1,""))</f>
        <v>1</v>
      </c>
      <c r="Q63" s="72" t="n">
        <f aca="false">IF(OR(Q$4="",$C63="",$D63=""),"",IF(AND($C63&lt;EDATE(Q$4,1),$D63&gt;=Q$4),1,""))</f>
        <v>1</v>
      </c>
      <c r="R63" s="72" t="n">
        <f aca="false">IF(OR(R$4="",$C63="",$D63=""),"",IF(AND($C63&lt;EDATE(R$4,1),$D63&gt;=R$4),1,""))</f>
        <v>1</v>
      </c>
      <c r="S63" s="72" t="n">
        <f aca="false">IF(OR(S$4="",$C63="",$D63=""),"",IF(AND($C63&lt;EDATE(S$4,1),$D63&gt;=S$4),1,""))</f>
        <v>1</v>
      </c>
      <c r="T63" s="72" t="n">
        <f aca="false">IF(OR(T$4="",$C63="",$D63=""),"",IF(AND($C63&lt;EDATE(T$4,1),$D63&gt;=T$4),1,""))</f>
        <v>1</v>
      </c>
      <c r="U63" s="72" t="n">
        <f aca="false">IF(OR(U$4="",$C63="",$D63=""),"",IF(AND($C63&lt;EDATE(U$4,1),$D63&gt;=U$4),1,""))</f>
        <v>1</v>
      </c>
      <c r="V63" s="72" t="n">
        <f aca="false">IF(OR(V$4="",$C63="",$D63=""),"",IF(AND($C63&lt;EDATE(V$4,1),$D63&gt;=V$4),1,""))</f>
        <v>1</v>
      </c>
      <c r="W63" s="72" t="n">
        <f aca="false">IF(OR(W$4="",$C63="",$D63=""),"",IF(AND($C63&lt;EDATE(W$4,1),$D63&gt;=W$4),1,""))</f>
        <v>1</v>
      </c>
      <c r="X63" s="72" t="n">
        <f aca="false">IF(OR(X$4="",$C63="",$D63=""),"",IF(AND($C63&lt;EDATE(X$4,1),$D63&gt;=X$4),1,""))</f>
        <v>1</v>
      </c>
      <c r="Y63" s="72" t="n">
        <f aca="false">IF(OR(Y$4="",$C63="",$D63=""),"",IF(AND($C63&lt;EDATE(Y$4,1),$D63&gt;=Y$4),1,""))</f>
        <v>1</v>
      </c>
      <c r="Z63" s="72" t="n">
        <f aca="false">IF(OR(Z$4="",$C63="",$D63=""),"",IF(AND($C63&lt;EDATE(Z$4,1),$D63&gt;=Z$4),1,""))</f>
        <v>1</v>
      </c>
      <c r="AA63" s="72" t="n">
        <f aca="false">IF(OR(AA$4="",$C63="",$D63=""),"",IF(AND($C63&lt;EDATE(AA$4,1),$D63&gt;=AA$4),1,""))</f>
        <v>1</v>
      </c>
      <c r="AB63" s="72" t="n">
        <f aca="false">IF(OR(AB$4="",$C63="",$D63=""),"",IF(AND($C63&lt;EDATE(AB$4,1),$D63&gt;=AB$4),1,""))</f>
        <v>1</v>
      </c>
      <c r="AC63" s="72" t="n">
        <f aca="false">IF(OR(AC$4="",$C63="",$D63=""),"",IF(AND($C63&lt;EDATE(AC$4,1),$D63&gt;=AC$4),1,""))</f>
        <v>1</v>
      </c>
      <c r="AD63" s="72" t="n">
        <f aca="false">IF(OR(AD$4="",$C63="",$D63=""),"",IF(AND($C63&lt;EDATE(AD$4,1),$D63&gt;=AD$4),1,""))</f>
        <v>1</v>
      </c>
      <c r="AE63" s="72" t="str">
        <f aca="false">IF(OR(AE$4="",$C63="",$D63=""),"",IF(AND($C63&lt;EDATE(AE$4,1),$D63&gt;=AE$4),1,""))</f>
        <v/>
      </c>
      <c r="AF63" s="72" t="str">
        <f aca="false">IF(OR(AF$4="",$C63="",$D63=""),"",IF(AND($C63&lt;EDATE(AF$4,1),$D63&gt;=AF$4),1,""))</f>
        <v/>
      </c>
      <c r="AG63" s="72" t="str">
        <f aca="false">IF(OR(AG$4="",$C63="",$D63=""),"",IF(AND($C63&lt;EDATE(AG$4,1),$D63&gt;=AG$4),1,""))</f>
        <v/>
      </c>
      <c r="AH63" s="72" t="str">
        <f aca="false">IF(OR(AH$4="",$C63="",$D63=""),"",IF(AND($C63&lt;EDATE(AH$4,1),$D63&gt;=AH$4),1,""))</f>
        <v/>
      </c>
      <c r="AI63" s="72" t="str">
        <f aca="false">IF(OR(AI$4="",$C63="",$D63=""),"",IF(AND($C63&lt;EDATE(AI$4,1),$D63&gt;=AI$4),1,""))</f>
        <v/>
      </c>
      <c r="AJ63" s="72" t="str">
        <f aca="false">IF(OR(AJ$4="",$C63="",$D63=""),"",IF(AND($C63&lt;EDATE(AJ$4,1),$D63&gt;=AJ$4),1,""))</f>
        <v/>
      </c>
      <c r="AK63" s="72" t="str">
        <f aca="false">IF(OR(AK$4="",$C63="",$D63=""),"",IF(AND($C63&lt;EDATE(AK$4,1),$D63&gt;=AK$4),1,""))</f>
        <v/>
      </c>
      <c r="AL63" s="72" t="str">
        <f aca="false">IF(OR(AL$4="",$C63="",$D63=""),"",IF(AND($C63&lt;EDATE(AL$4,1),$D63&gt;=AL$4),1,""))</f>
        <v/>
      </c>
      <c r="AM63" s="72" t="str">
        <f aca="false">IF(OR(AM$4="",$C63="",$D63=""),"",IF(AND($C63&lt;EDATE(AM$4,1),$D63&gt;=AM$4),1,""))</f>
        <v/>
      </c>
      <c r="AN63" s="72" t="str">
        <f aca="false">IF(OR(AN$4="",$C63="",$D63=""),"",IF(AND($C63&lt;EDATE(AN$4,1),$D63&gt;=AN$4),1,""))</f>
        <v/>
      </c>
      <c r="AO63" s="72" t="str">
        <f aca="false">IF(OR(AO$4="",$C63="",$D63=""),"",IF(AND($C63&lt;EDATE(AO$4,1),$D63&gt;=AO$4),1,""))</f>
        <v/>
      </c>
      <c r="AP63" s="72" t="str">
        <f aca="false">IF(OR(AP$4="",$C63="",$D63=""),"",IF(AND($C63&lt;EDATE(AP$4,1),$D63&gt;=AP$4),1,""))</f>
        <v/>
      </c>
      <c r="AQ63" s="72" t="str">
        <f aca="false">IF(OR(AQ$4="",$C63="",$D63=""),"",IF(AND($C63&lt;EDATE(AQ$4,1),$D63&gt;=AQ$4),1,""))</f>
        <v/>
      </c>
      <c r="AR63" s="72" t="str">
        <f aca="false">IF(OR(AR$4="",$C63="",$D63=""),"",IF(AND($C63&lt;EDATE(AR$4,1),$D63&gt;=AR$4),1,""))</f>
        <v/>
      </c>
      <c r="AS63" s="72" t="str">
        <f aca="false">IF(OR(AS$4="",$C63="",$D63=""),"",IF(AND($C63&lt;EDATE(AS$4,1),$D63&gt;=AS$4),1,""))</f>
        <v/>
      </c>
      <c r="AT63" s="72" t="str">
        <f aca="false">IF(OR(AT$4="",$C63="",$D63=""),"",IF(AND($C63&lt;EDATE(AT$4,1),$D63&gt;=AT$4),1,""))</f>
        <v/>
      </c>
      <c r="AU63" s="72" t="str">
        <f aca="false">IF(OR(AU$4="",$C63="",$D63=""),"",IF(AND($C63&lt;EDATE(AU$4,1),$D63&gt;=AU$4),1,""))</f>
        <v/>
      </c>
      <c r="AV63" s="72" t="str">
        <f aca="false">IF(OR(AV$4="",$C63="",$D63=""),"",IF(AND($C63&lt;EDATE(AV$4,1),$D63&gt;=AV$4),1,""))</f>
        <v/>
      </c>
      <c r="AW63" s="72" t="str">
        <f aca="false">IF(OR(AW$4="",$C63="",$D63=""),"",IF(AND($C63&lt;EDATE(AW$4,1),$D63&gt;=AW$4),1,""))</f>
        <v/>
      </c>
      <c r="AX63" s="72" t="str">
        <f aca="false">IF(OR(AX$4="",$C63="",$D63=""),"",IF(AND($C63&lt;EDATE(AX$4,1),$D63&gt;=AX$4),1,""))</f>
        <v/>
      </c>
      <c r="AY63" s="72" t="str">
        <f aca="false">IF(OR(AY$4="",$C63="",$D63=""),"",IF(AND($C63&lt;EDATE(AY$4,1),$D63&gt;=AY$4),1,""))</f>
        <v/>
      </c>
      <c r="AZ63" s="72" t="str">
        <f aca="false">IF(OR(AZ$4="",$C63="",$D63=""),"",IF(AND($C63&lt;EDATE(AZ$4,1),$D63&gt;=AZ$4),1,""))</f>
        <v/>
      </c>
      <c r="BA63" s="72" t="str">
        <f aca="false">IF(OR(BA$4="",$C63="",$D63=""),"",IF(AND($C63&lt;EDATE(BA$4,1),$D63&gt;=BA$4),1,""))</f>
        <v/>
      </c>
      <c r="BB63" s="72" t="str">
        <f aca="false">IF(OR(BB$4="",$C63="",$D63=""),"",IF(AND($C63&lt;EDATE(BB$4,1),$D63&gt;=BB$4),1,""))</f>
        <v/>
      </c>
      <c r="BC63" s="72" t="str">
        <f aca="false">IF(OR(BC$4="",$C63="",$D63=""),"",IF(AND($C63&lt;EDATE(BC$4,1),$D63&gt;=BC$4),1,""))</f>
        <v/>
      </c>
      <c r="BD63" s="72" t="str">
        <f aca="false">IF(OR(BD$4="",$C63="",$D63=""),"",IF(AND($C63&lt;EDATE(BD$4,1),$D63&gt;=BD$4),1,""))</f>
        <v/>
      </c>
      <c r="BE63" s="72" t="str">
        <f aca="false">IF(OR(BE$4="",$C63="",$D63=""),"",IF(AND($C63&lt;EDATE(BE$4,1),$D63&gt;=BE$4),1,""))</f>
        <v/>
      </c>
      <c r="BF63" s="72" t="str">
        <f aca="false">IF(OR(BF$4="",$C63="",$D63=""),"",IF(AND($C63&lt;EDATE(BF$4,1),$D63&gt;=BF$4),1,""))</f>
        <v/>
      </c>
      <c r="BG63" s="72" t="str">
        <f aca="false">IF(OR(BG$4="",$C63="",$D63=""),"",IF(AND($C63&lt;EDATE(BG$4,1),$D63&gt;=BG$4),1,""))</f>
        <v/>
      </c>
      <c r="BH63" s="72" t="str">
        <f aca="false">IF(OR(BH$4="",$C63="",$D63=""),"",IF(AND($C63&lt;EDATE(BH$4,1),$D63&gt;=BH$4),1,""))</f>
        <v/>
      </c>
      <c r="BI63" s="72" t="str">
        <f aca="false">IF(OR(BI$4="",$C63="",$D63=""),"",IF(AND($C63&lt;EDATE(BI$4,1),$D63&gt;=BI$4),1,""))</f>
        <v/>
      </c>
      <c r="BJ63" s="72" t="str">
        <f aca="false">IF(OR(BJ$4="",$C63="",$D63=""),"",IF(AND($C63&lt;EDATE(BJ$4,1),$D63&gt;=BJ$4),1,""))</f>
        <v/>
      </c>
      <c r="BK63" s="72" t="str">
        <f aca="false">IF(OR(BK$4="",$C63="",$D63=""),"",IF(AND($C63&lt;EDATE(BK$4,1),$D63&gt;=BK$4),1,""))</f>
        <v/>
      </c>
      <c r="BL63" s="72" t="str">
        <f aca="false">IF(OR(BL$4="",$C63="",$D63=""),"",IF(AND($C63&lt;EDATE(BL$4,1),$D63&gt;=BL$4),1,""))</f>
        <v/>
      </c>
      <c r="BM63" s="72" t="str">
        <f aca="false">IF(OR(BM$4="",$C63="",$D63=""),"",IF(AND($C63&lt;EDATE(BM$4,1),$D63&gt;=BM$4),1,""))</f>
        <v/>
      </c>
      <c r="BN63" s="72" t="str">
        <f aca="false">IF(OR(BN$4="",$C63="",$D63=""),"",IF(AND($C63&lt;EDATE(BN$4,1),$D63&gt;=BN$4),1,""))</f>
        <v/>
      </c>
      <c r="BO63" s="72" t="str">
        <f aca="false">IF(OR(BO$4="",$C63="",$D63=""),"",IF(AND($C63&lt;EDATE(BO$4,1),$D63&gt;=BO$4),1,""))</f>
        <v/>
      </c>
      <c r="BP63" s="72" t="str">
        <f aca="false">IF(OR(BP$4="",$C63="",$D63=""),"",IF(AND($C63&lt;EDATE(BP$4,1),$D63&gt;=BP$4),1,""))</f>
        <v/>
      </c>
      <c r="BQ63" s="72" t="str">
        <f aca="false">IF(OR(BQ$4="",$C63="",$D63=""),"",IF(AND($C63&lt;EDATE(BQ$4,1),$D63&gt;=BQ$4),1,""))</f>
        <v/>
      </c>
      <c r="BR63" s="72" t="str">
        <f aca="false">IF(OR(BR$4="",$C63="",$D63=""),"",IF(AND($C63&lt;EDATE(BR$4,1),$D63&gt;=BR$4),1,""))</f>
        <v/>
      </c>
      <c r="BS63" s="72" t="str">
        <f aca="false">IF(OR(BS$4="",$C63="",$D63=""),"",IF(AND($C63&lt;EDATE(BS$4,1),$D63&gt;=BS$4),1,""))</f>
        <v/>
      </c>
      <c r="BT63" s="72" t="str">
        <f aca="false">IF(OR(BT$4="",$C63="",$D63=""),"",IF(AND($C63&lt;EDATE(BT$4,1),$D63&gt;=BT$4),1,""))</f>
        <v/>
      </c>
      <c r="BU63" s="72" t="str">
        <f aca="false">IF(OR(BU$4="",$C63="",$D63=""),"",IF(AND($C63&lt;EDATE(BU$4,1),$D63&gt;=BU$4),1,""))</f>
        <v/>
      </c>
      <c r="BV63" s="72" t="str">
        <f aca="false">IF(OR(BV$4="",$C63="",$D63=""),"",IF(AND($C63&lt;EDATE(BV$4,1),$D63&gt;=BV$4),1,""))</f>
        <v/>
      </c>
      <c r="BW63" s="72" t="str">
        <f aca="false">IF(OR(BW$4="",$C63="",$D63=""),"",IF(AND($C63&lt;EDATE(BW$4,1),$D63&gt;=BW$4),1,""))</f>
        <v/>
      </c>
      <c r="BX63" s="72" t="str">
        <f aca="false">IF(OR(BX$4="",$C63="",$D63=""),"",IF(AND($C63&lt;EDATE(BX$4,1),$D63&gt;=BX$4),1,""))</f>
        <v/>
      </c>
      <c r="BY63" s="72" t="str">
        <f aca="false">IF(OR(BY$4="",$C63="",$D63=""),"",IF(AND($C63&lt;EDATE(BY$4,1),$D63&gt;=BY$4),1,""))</f>
        <v/>
      </c>
    </row>
    <row r="64" customFormat="false" ht="15" hidden="false" customHeight="false" outlineLevel="0" collapsed="false">
      <c r="A64" s="61" t="str">
        <f aca="false">IF(BOE!$A33="","",BOE!$A33)</f>
        <v>LOE-1</v>
      </c>
      <c r="B64" s="61" t="str">
        <f aca="false">IF(BOE!$A33="","",BOE!$C33)</f>
        <v>System Safety Working Group meetings</v>
      </c>
      <c r="C64" s="62" t="n">
        <f aca="false">IF(OR(BOE!$A33="",BOE!$E33&lt;&gt;"Y"),"",BOE!$O33)</f>
        <v>46391</v>
      </c>
      <c r="D64" s="62" t="n">
        <f aca="false">IF(OR(BOE!$A33="",BOE!$E33&lt;&gt;"Y"),"",BOE!$P33)</f>
        <v>47483</v>
      </c>
      <c r="E64" s="63" t="n">
        <f aca="false">IF(OR(BOE!$A33="",BOE!$E33&lt;&gt;"Y"),"",IF(Inputs!$B$7="P90",BOE!$T33,BOE!$R33))</f>
        <v>287.014373716632</v>
      </c>
      <c r="F64" s="72" t="n">
        <f aca="false">IF(OR(F$4="",$C64="",$D64=""),"",IF(AND($C64&lt;EDATE(F$4,1),$D64&gt;=F$4),1,""))</f>
        <v>1</v>
      </c>
      <c r="G64" s="72" t="n">
        <f aca="false">IF(OR(G$4="",$C64="",$D64=""),"",IF(AND($C64&lt;EDATE(G$4,1),$D64&gt;=G$4),1,""))</f>
        <v>1</v>
      </c>
      <c r="H64" s="72" t="n">
        <f aca="false">IF(OR(H$4="",$C64="",$D64=""),"",IF(AND($C64&lt;EDATE(H$4,1),$D64&gt;=H$4),1,""))</f>
        <v>1</v>
      </c>
      <c r="I64" s="72" t="n">
        <f aca="false">IF(OR(I$4="",$C64="",$D64=""),"",IF(AND($C64&lt;EDATE(I$4,1),$D64&gt;=I$4),1,""))</f>
        <v>1</v>
      </c>
      <c r="J64" s="72" t="n">
        <f aca="false">IF(OR(J$4="",$C64="",$D64=""),"",IF(AND($C64&lt;EDATE(J$4,1),$D64&gt;=J$4),1,""))</f>
        <v>1</v>
      </c>
      <c r="K64" s="72" t="n">
        <f aca="false">IF(OR(K$4="",$C64="",$D64=""),"",IF(AND($C64&lt;EDATE(K$4,1),$D64&gt;=K$4),1,""))</f>
        <v>1</v>
      </c>
      <c r="L64" s="72" t="n">
        <f aca="false">IF(OR(L$4="",$C64="",$D64=""),"",IF(AND($C64&lt;EDATE(L$4,1),$D64&gt;=L$4),1,""))</f>
        <v>1</v>
      </c>
      <c r="M64" s="72" t="n">
        <f aca="false">IF(OR(M$4="",$C64="",$D64=""),"",IF(AND($C64&lt;EDATE(M$4,1),$D64&gt;=M$4),1,""))</f>
        <v>1</v>
      </c>
      <c r="N64" s="72" t="n">
        <f aca="false">IF(OR(N$4="",$C64="",$D64=""),"",IF(AND($C64&lt;EDATE(N$4,1),$D64&gt;=N$4),1,""))</f>
        <v>1</v>
      </c>
      <c r="O64" s="72" t="n">
        <f aca="false">IF(OR(O$4="",$C64="",$D64=""),"",IF(AND($C64&lt;EDATE(O$4,1),$D64&gt;=O$4),1,""))</f>
        <v>1</v>
      </c>
      <c r="P64" s="72" t="n">
        <f aca="false">IF(OR(P$4="",$C64="",$D64=""),"",IF(AND($C64&lt;EDATE(P$4,1),$D64&gt;=P$4),1,""))</f>
        <v>1</v>
      </c>
      <c r="Q64" s="72" t="n">
        <f aca="false">IF(OR(Q$4="",$C64="",$D64=""),"",IF(AND($C64&lt;EDATE(Q$4,1),$D64&gt;=Q$4),1,""))</f>
        <v>1</v>
      </c>
      <c r="R64" s="72" t="n">
        <f aca="false">IF(OR(R$4="",$C64="",$D64=""),"",IF(AND($C64&lt;EDATE(R$4,1),$D64&gt;=R$4),1,""))</f>
        <v>1</v>
      </c>
      <c r="S64" s="72" t="n">
        <f aca="false">IF(OR(S$4="",$C64="",$D64=""),"",IF(AND($C64&lt;EDATE(S$4,1),$D64&gt;=S$4),1,""))</f>
        <v>1</v>
      </c>
      <c r="T64" s="72" t="n">
        <f aca="false">IF(OR(T$4="",$C64="",$D64=""),"",IF(AND($C64&lt;EDATE(T$4,1),$D64&gt;=T$4),1,""))</f>
        <v>1</v>
      </c>
      <c r="U64" s="72" t="n">
        <f aca="false">IF(OR(U$4="",$C64="",$D64=""),"",IF(AND($C64&lt;EDATE(U$4,1),$D64&gt;=U$4),1,""))</f>
        <v>1</v>
      </c>
      <c r="V64" s="72" t="n">
        <f aca="false">IF(OR(V$4="",$C64="",$D64=""),"",IF(AND($C64&lt;EDATE(V$4,1),$D64&gt;=V$4),1,""))</f>
        <v>1</v>
      </c>
      <c r="W64" s="72" t="n">
        <f aca="false">IF(OR(W$4="",$C64="",$D64=""),"",IF(AND($C64&lt;EDATE(W$4,1),$D64&gt;=W$4),1,""))</f>
        <v>1</v>
      </c>
      <c r="X64" s="72" t="n">
        <f aca="false">IF(OR(X$4="",$C64="",$D64=""),"",IF(AND($C64&lt;EDATE(X$4,1),$D64&gt;=X$4),1,""))</f>
        <v>1</v>
      </c>
      <c r="Y64" s="72" t="n">
        <f aca="false">IF(OR(Y$4="",$C64="",$D64=""),"",IF(AND($C64&lt;EDATE(Y$4,1),$D64&gt;=Y$4),1,""))</f>
        <v>1</v>
      </c>
      <c r="Z64" s="72" t="n">
        <f aca="false">IF(OR(Z$4="",$C64="",$D64=""),"",IF(AND($C64&lt;EDATE(Z$4,1),$D64&gt;=Z$4),1,""))</f>
        <v>1</v>
      </c>
      <c r="AA64" s="72" t="n">
        <f aca="false">IF(OR(AA$4="",$C64="",$D64=""),"",IF(AND($C64&lt;EDATE(AA$4,1),$D64&gt;=AA$4),1,""))</f>
        <v>1</v>
      </c>
      <c r="AB64" s="72" t="n">
        <f aca="false">IF(OR(AB$4="",$C64="",$D64=""),"",IF(AND($C64&lt;EDATE(AB$4,1),$D64&gt;=AB$4),1,""))</f>
        <v>1</v>
      </c>
      <c r="AC64" s="72" t="n">
        <f aca="false">IF(OR(AC$4="",$C64="",$D64=""),"",IF(AND($C64&lt;EDATE(AC$4,1),$D64&gt;=AC$4),1,""))</f>
        <v>1</v>
      </c>
      <c r="AD64" s="72" t="n">
        <f aca="false">IF(OR(AD$4="",$C64="",$D64=""),"",IF(AND($C64&lt;EDATE(AD$4,1),$D64&gt;=AD$4),1,""))</f>
        <v>1</v>
      </c>
      <c r="AE64" s="72" t="n">
        <f aca="false">IF(OR(AE$4="",$C64="",$D64=""),"",IF(AND($C64&lt;EDATE(AE$4,1),$D64&gt;=AE$4),1,""))</f>
        <v>1</v>
      </c>
      <c r="AF64" s="72" t="n">
        <f aca="false">IF(OR(AF$4="",$C64="",$D64=""),"",IF(AND($C64&lt;EDATE(AF$4,1),$D64&gt;=AF$4),1,""))</f>
        <v>1</v>
      </c>
      <c r="AG64" s="72" t="n">
        <f aca="false">IF(OR(AG$4="",$C64="",$D64=""),"",IF(AND($C64&lt;EDATE(AG$4,1),$D64&gt;=AG$4),1,""))</f>
        <v>1</v>
      </c>
      <c r="AH64" s="72" t="n">
        <f aca="false">IF(OR(AH$4="",$C64="",$D64=""),"",IF(AND($C64&lt;EDATE(AH$4,1),$D64&gt;=AH$4),1,""))</f>
        <v>1</v>
      </c>
      <c r="AI64" s="72" t="n">
        <f aca="false">IF(OR(AI$4="",$C64="",$D64=""),"",IF(AND($C64&lt;EDATE(AI$4,1),$D64&gt;=AI$4),1,""))</f>
        <v>1</v>
      </c>
      <c r="AJ64" s="72" t="n">
        <f aca="false">IF(OR(AJ$4="",$C64="",$D64=""),"",IF(AND($C64&lt;EDATE(AJ$4,1),$D64&gt;=AJ$4),1,""))</f>
        <v>1</v>
      </c>
      <c r="AK64" s="72" t="n">
        <f aca="false">IF(OR(AK$4="",$C64="",$D64=""),"",IF(AND($C64&lt;EDATE(AK$4,1),$D64&gt;=AK$4),1,""))</f>
        <v>1</v>
      </c>
      <c r="AL64" s="72" t="n">
        <f aca="false">IF(OR(AL$4="",$C64="",$D64=""),"",IF(AND($C64&lt;EDATE(AL$4,1),$D64&gt;=AL$4),1,""))</f>
        <v>1</v>
      </c>
      <c r="AM64" s="72" t="n">
        <f aca="false">IF(OR(AM$4="",$C64="",$D64=""),"",IF(AND($C64&lt;EDATE(AM$4,1),$D64&gt;=AM$4),1,""))</f>
        <v>1</v>
      </c>
      <c r="AN64" s="72" t="n">
        <f aca="false">IF(OR(AN$4="",$C64="",$D64=""),"",IF(AND($C64&lt;EDATE(AN$4,1),$D64&gt;=AN$4),1,""))</f>
        <v>1</v>
      </c>
      <c r="AO64" s="72" t="n">
        <f aca="false">IF(OR(AO$4="",$C64="",$D64=""),"",IF(AND($C64&lt;EDATE(AO$4,1),$D64&gt;=AO$4),1,""))</f>
        <v>1</v>
      </c>
      <c r="AP64" s="72" t="str">
        <f aca="false">IF(OR(AP$4="",$C64="",$D64=""),"",IF(AND($C64&lt;EDATE(AP$4,1),$D64&gt;=AP$4),1,""))</f>
        <v/>
      </c>
      <c r="AQ64" s="72" t="str">
        <f aca="false">IF(OR(AQ$4="",$C64="",$D64=""),"",IF(AND($C64&lt;EDATE(AQ$4,1),$D64&gt;=AQ$4),1,""))</f>
        <v/>
      </c>
      <c r="AR64" s="72" t="str">
        <f aca="false">IF(OR(AR$4="",$C64="",$D64=""),"",IF(AND($C64&lt;EDATE(AR$4,1),$D64&gt;=AR$4),1,""))</f>
        <v/>
      </c>
      <c r="AS64" s="72" t="str">
        <f aca="false">IF(OR(AS$4="",$C64="",$D64=""),"",IF(AND($C64&lt;EDATE(AS$4,1),$D64&gt;=AS$4),1,""))</f>
        <v/>
      </c>
      <c r="AT64" s="72" t="str">
        <f aca="false">IF(OR(AT$4="",$C64="",$D64=""),"",IF(AND($C64&lt;EDATE(AT$4,1),$D64&gt;=AT$4),1,""))</f>
        <v/>
      </c>
      <c r="AU64" s="72" t="str">
        <f aca="false">IF(OR(AU$4="",$C64="",$D64=""),"",IF(AND($C64&lt;EDATE(AU$4,1),$D64&gt;=AU$4),1,""))</f>
        <v/>
      </c>
      <c r="AV64" s="72" t="str">
        <f aca="false">IF(OR(AV$4="",$C64="",$D64=""),"",IF(AND($C64&lt;EDATE(AV$4,1),$D64&gt;=AV$4),1,""))</f>
        <v/>
      </c>
      <c r="AW64" s="72" t="str">
        <f aca="false">IF(OR(AW$4="",$C64="",$D64=""),"",IF(AND($C64&lt;EDATE(AW$4,1),$D64&gt;=AW$4),1,""))</f>
        <v/>
      </c>
      <c r="AX64" s="72" t="str">
        <f aca="false">IF(OR(AX$4="",$C64="",$D64=""),"",IF(AND($C64&lt;EDATE(AX$4,1),$D64&gt;=AX$4),1,""))</f>
        <v/>
      </c>
      <c r="AY64" s="72" t="str">
        <f aca="false">IF(OR(AY$4="",$C64="",$D64=""),"",IF(AND($C64&lt;EDATE(AY$4,1),$D64&gt;=AY$4),1,""))</f>
        <v/>
      </c>
      <c r="AZ64" s="72" t="str">
        <f aca="false">IF(OR(AZ$4="",$C64="",$D64=""),"",IF(AND($C64&lt;EDATE(AZ$4,1),$D64&gt;=AZ$4),1,""))</f>
        <v/>
      </c>
      <c r="BA64" s="72" t="str">
        <f aca="false">IF(OR(BA$4="",$C64="",$D64=""),"",IF(AND($C64&lt;EDATE(BA$4,1),$D64&gt;=BA$4),1,""))</f>
        <v/>
      </c>
      <c r="BB64" s="72" t="str">
        <f aca="false">IF(OR(BB$4="",$C64="",$D64=""),"",IF(AND($C64&lt;EDATE(BB$4,1),$D64&gt;=BB$4),1,""))</f>
        <v/>
      </c>
      <c r="BC64" s="72" t="str">
        <f aca="false">IF(OR(BC$4="",$C64="",$D64=""),"",IF(AND($C64&lt;EDATE(BC$4,1),$D64&gt;=BC$4),1,""))</f>
        <v/>
      </c>
      <c r="BD64" s="72" t="str">
        <f aca="false">IF(OR(BD$4="",$C64="",$D64=""),"",IF(AND($C64&lt;EDATE(BD$4,1),$D64&gt;=BD$4),1,""))</f>
        <v/>
      </c>
      <c r="BE64" s="72" t="str">
        <f aca="false">IF(OR(BE$4="",$C64="",$D64=""),"",IF(AND($C64&lt;EDATE(BE$4,1),$D64&gt;=BE$4),1,""))</f>
        <v/>
      </c>
      <c r="BF64" s="72" t="str">
        <f aca="false">IF(OR(BF$4="",$C64="",$D64=""),"",IF(AND($C64&lt;EDATE(BF$4,1),$D64&gt;=BF$4),1,""))</f>
        <v/>
      </c>
      <c r="BG64" s="72" t="str">
        <f aca="false">IF(OR(BG$4="",$C64="",$D64=""),"",IF(AND($C64&lt;EDATE(BG$4,1),$D64&gt;=BG$4),1,""))</f>
        <v/>
      </c>
      <c r="BH64" s="72" t="str">
        <f aca="false">IF(OR(BH$4="",$C64="",$D64=""),"",IF(AND($C64&lt;EDATE(BH$4,1),$D64&gt;=BH$4),1,""))</f>
        <v/>
      </c>
      <c r="BI64" s="72" t="str">
        <f aca="false">IF(OR(BI$4="",$C64="",$D64=""),"",IF(AND($C64&lt;EDATE(BI$4,1),$D64&gt;=BI$4),1,""))</f>
        <v/>
      </c>
      <c r="BJ64" s="72" t="str">
        <f aca="false">IF(OR(BJ$4="",$C64="",$D64=""),"",IF(AND($C64&lt;EDATE(BJ$4,1),$D64&gt;=BJ$4),1,""))</f>
        <v/>
      </c>
      <c r="BK64" s="72" t="str">
        <f aca="false">IF(OR(BK$4="",$C64="",$D64=""),"",IF(AND($C64&lt;EDATE(BK$4,1),$D64&gt;=BK$4),1,""))</f>
        <v/>
      </c>
      <c r="BL64" s="72" t="str">
        <f aca="false">IF(OR(BL$4="",$C64="",$D64=""),"",IF(AND($C64&lt;EDATE(BL$4,1),$D64&gt;=BL$4),1,""))</f>
        <v/>
      </c>
      <c r="BM64" s="72" t="str">
        <f aca="false">IF(OR(BM$4="",$C64="",$D64=""),"",IF(AND($C64&lt;EDATE(BM$4,1),$D64&gt;=BM$4),1,""))</f>
        <v/>
      </c>
      <c r="BN64" s="72" t="str">
        <f aca="false">IF(OR(BN$4="",$C64="",$D64=""),"",IF(AND($C64&lt;EDATE(BN$4,1),$D64&gt;=BN$4),1,""))</f>
        <v/>
      </c>
      <c r="BO64" s="72" t="str">
        <f aca="false">IF(OR(BO$4="",$C64="",$D64=""),"",IF(AND($C64&lt;EDATE(BO$4,1),$D64&gt;=BO$4),1,""))</f>
        <v/>
      </c>
      <c r="BP64" s="72" t="str">
        <f aca="false">IF(OR(BP$4="",$C64="",$D64=""),"",IF(AND($C64&lt;EDATE(BP$4,1),$D64&gt;=BP$4),1,""))</f>
        <v/>
      </c>
      <c r="BQ64" s="72" t="str">
        <f aca="false">IF(OR(BQ$4="",$C64="",$D64=""),"",IF(AND($C64&lt;EDATE(BQ$4,1),$D64&gt;=BQ$4),1,""))</f>
        <v/>
      </c>
      <c r="BR64" s="72" t="str">
        <f aca="false">IF(OR(BR$4="",$C64="",$D64=""),"",IF(AND($C64&lt;EDATE(BR$4,1),$D64&gt;=BR$4),1,""))</f>
        <v/>
      </c>
      <c r="BS64" s="72" t="str">
        <f aca="false">IF(OR(BS$4="",$C64="",$D64=""),"",IF(AND($C64&lt;EDATE(BS$4,1),$D64&gt;=BS$4),1,""))</f>
        <v/>
      </c>
      <c r="BT64" s="72" t="str">
        <f aca="false">IF(OR(BT$4="",$C64="",$D64=""),"",IF(AND($C64&lt;EDATE(BT$4,1),$D64&gt;=BT$4),1,""))</f>
        <v/>
      </c>
      <c r="BU64" s="72" t="str">
        <f aca="false">IF(OR(BU$4="",$C64="",$D64=""),"",IF(AND($C64&lt;EDATE(BU$4,1),$D64&gt;=BU$4),1,""))</f>
        <v/>
      </c>
      <c r="BV64" s="72" t="str">
        <f aca="false">IF(OR(BV$4="",$C64="",$D64=""),"",IF(AND($C64&lt;EDATE(BV$4,1),$D64&gt;=BV$4),1,""))</f>
        <v/>
      </c>
      <c r="BW64" s="72" t="str">
        <f aca="false">IF(OR(BW$4="",$C64="",$D64=""),"",IF(AND($C64&lt;EDATE(BW$4,1),$D64&gt;=BW$4),1,""))</f>
        <v/>
      </c>
      <c r="BX64" s="72" t="str">
        <f aca="false">IF(OR(BX$4="",$C64="",$D64=""),"",IF(AND($C64&lt;EDATE(BX$4,1),$D64&gt;=BX$4),1,""))</f>
        <v/>
      </c>
      <c r="BY64" s="72" t="str">
        <f aca="false">IF(OR(BY$4="",$C64="",$D64=""),"",IF(AND($C64&lt;EDATE(BY$4,1),$D64&gt;=BY$4),1,""))</f>
        <v/>
      </c>
    </row>
    <row r="65" customFormat="false" ht="15" hidden="false" customHeight="false" outlineLevel="0" collapsed="false">
      <c r="A65" s="61" t="str">
        <f aca="false">IF(BOE!$A34="","",BOE!$A34)</f>
        <v>LOE-2</v>
      </c>
      <c r="B65" s="61" t="str">
        <f aca="false">IF(BOE!$A34="","",BOE!$C34)</f>
        <v>Design review safety data packages (SRR/PDR/CDR/TRR)</v>
      </c>
      <c r="C65" s="62" t="n">
        <f aca="false">IF(OR(BOE!$A34="",BOE!$E34&lt;&gt;"Y"),"",BOE!$O34)</f>
        <v>46439</v>
      </c>
      <c r="D65" s="62" t="n">
        <f aca="false">IF(OR(BOE!$A34="",BOE!$E34&lt;&gt;"Y"),"",BOE!$P34)</f>
        <v>47122</v>
      </c>
      <c r="E65" s="63" t="n">
        <f aca="false">IF(OR(BOE!$A34="",BOE!$E34&lt;&gt;"Y"),"",IF(Inputs!$B$7="P90",BOE!$T34,BOE!$R34))</f>
        <v>320</v>
      </c>
      <c r="F65" s="72" t="str">
        <f aca="false">IF(OR(F$4="",$C65="",$D65=""),"",IF(AND($C65&lt;EDATE(F$4,1),$D65&gt;=F$4),1,""))</f>
        <v/>
      </c>
      <c r="G65" s="72" t="n">
        <f aca="false">IF(OR(G$4="",$C65="",$D65=""),"",IF(AND($C65&lt;EDATE(G$4,1),$D65&gt;=G$4),1,""))</f>
        <v>1</v>
      </c>
      <c r="H65" s="72" t="n">
        <f aca="false">IF(OR(H$4="",$C65="",$D65=""),"",IF(AND($C65&lt;EDATE(H$4,1),$D65&gt;=H$4),1,""))</f>
        <v>1</v>
      </c>
      <c r="I65" s="72" t="n">
        <f aca="false">IF(OR(I$4="",$C65="",$D65=""),"",IF(AND($C65&lt;EDATE(I$4,1),$D65&gt;=I$4),1,""))</f>
        <v>1</v>
      </c>
      <c r="J65" s="72" t="n">
        <f aca="false">IF(OR(J$4="",$C65="",$D65=""),"",IF(AND($C65&lt;EDATE(J$4,1),$D65&gt;=J$4),1,""))</f>
        <v>1</v>
      </c>
      <c r="K65" s="72" t="n">
        <f aca="false">IF(OR(K$4="",$C65="",$D65=""),"",IF(AND($C65&lt;EDATE(K$4,1),$D65&gt;=K$4),1,""))</f>
        <v>1</v>
      </c>
      <c r="L65" s="72" t="n">
        <f aca="false">IF(OR(L$4="",$C65="",$D65=""),"",IF(AND($C65&lt;EDATE(L$4,1),$D65&gt;=L$4),1,""))</f>
        <v>1</v>
      </c>
      <c r="M65" s="72" t="n">
        <f aca="false">IF(OR(M$4="",$C65="",$D65=""),"",IF(AND($C65&lt;EDATE(M$4,1),$D65&gt;=M$4),1,""))</f>
        <v>1</v>
      </c>
      <c r="N65" s="72" t="n">
        <f aca="false">IF(OR(N$4="",$C65="",$D65=""),"",IF(AND($C65&lt;EDATE(N$4,1),$D65&gt;=N$4),1,""))</f>
        <v>1</v>
      </c>
      <c r="O65" s="72" t="n">
        <f aca="false">IF(OR(O$4="",$C65="",$D65=""),"",IF(AND($C65&lt;EDATE(O$4,1),$D65&gt;=O$4),1,""))</f>
        <v>1</v>
      </c>
      <c r="P65" s="72" t="n">
        <f aca="false">IF(OR(P$4="",$C65="",$D65=""),"",IF(AND($C65&lt;EDATE(P$4,1),$D65&gt;=P$4),1,""))</f>
        <v>1</v>
      </c>
      <c r="Q65" s="72" t="n">
        <f aca="false">IF(OR(Q$4="",$C65="",$D65=""),"",IF(AND($C65&lt;EDATE(Q$4,1),$D65&gt;=Q$4),1,""))</f>
        <v>1</v>
      </c>
      <c r="R65" s="72" t="n">
        <f aca="false">IF(OR(R$4="",$C65="",$D65=""),"",IF(AND($C65&lt;EDATE(R$4,1),$D65&gt;=R$4),1,""))</f>
        <v>1</v>
      </c>
      <c r="S65" s="72" t="n">
        <f aca="false">IF(OR(S$4="",$C65="",$D65=""),"",IF(AND($C65&lt;EDATE(S$4,1),$D65&gt;=S$4),1,""))</f>
        <v>1</v>
      </c>
      <c r="T65" s="72" t="n">
        <f aca="false">IF(OR(T$4="",$C65="",$D65=""),"",IF(AND($C65&lt;EDATE(T$4,1),$D65&gt;=T$4),1,""))</f>
        <v>1</v>
      </c>
      <c r="U65" s="72" t="n">
        <f aca="false">IF(OR(U$4="",$C65="",$D65=""),"",IF(AND($C65&lt;EDATE(U$4,1),$D65&gt;=U$4),1,""))</f>
        <v>1</v>
      </c>
      <c r="V65" s="72" t="n">
        <f aca="false">IF(OR(V$4="",$C65="",$D65=""),"",IF(AND($C65&lt;EDATE(V$4,1),$D65&gt;=V$4),1,""))</f>
        <v>1</v>
      </c>
      <c r="W65" s="72" t="n">
        <f aca="false">IF(OR(W$4="",$C65="",$D65=""),"",IF(AND($C65&lt;EDATE(W$4,1),$D65&gt;=W$4),1,""))</f>
        <v>1</v>
      </c>
      <c r="X65" s="72" t="n">
        <f aca="false">IF(OR(X$4="",$C65="",$D65=""),"",IF(AND($C65&lt;EDATE(X$4,1),$D65&gt;=X$4),1,""))</f>
        <v>1</v>
      </c>
      <c r="Y65" s="72" t="n">
        <f aca="false">IF(OR(Y$4="",$C65="",$D65=""),"",IF(AND($C65&lt;EDATE(Y$4,1),$D65&gt;=Y$4),1,""))</f>
        <v>1</v>
      </c>
      <c r="Z65" s="72" t="n">
        <f aca="false">IF(OR(Z$4="",$C65="",$D65=""),"",IF(AND($C65&lt;EDATE(Z$4,1),$D65&gt;=Z$4),1,""))</f>
        <v>1</v>
      </c>
      <c r="AA65" s="72" t="n">
        <f aca="false">IF(OR(AA$4="",$C65="",$D65=""),"",IF(AND($C65&lt;EDATE(AA$4,1),$D65&gt;=AA$4),1,""))</f>
        <v>1</v>
      </c>
      <c r="AB65" s="72" t="n">
        <f aca="false">IF(OR(AB$4="",$C65="",$D65=""),"",IF(AND($C65&lt;EDATE(AB$4,1),$D65&gt;=AB$4),1,""))</f>
        <v>1</v>
      </c>
      <c r="AC65" s="72" t="n">
        <f aca="false">IF(OR(AC$4="",$C65="",$D65=""),"",IF(AND($C65&lt;EDATE(AC$4,1),$D65&gt;=AC$4),1,""))</f>
        <v>1</v>
      </c>
      <c r="AD65" s="72" t="n">
        <f aca="false">IF(OR(AD$4="",$C65="",$D65=""),"",IF(AND($C65&lt;EDATE(AD$4,1),$D65&gt;=AD$4),1,""))</f>
        <v>1</v>
      </c>
      <c r="AE65" s="72" t="str">
        <f aca="false">IF(OR(AE$4="",$C65="",$D65=""),"",IF(AND($C65&lt;EDATE(AE$4,1),$D65&gt;=AE$4),1,""))</f>
        <v/>
      </c>
      <c r="AF65" s="72" t="str">
        <f aca="false">IF(OR(AF$4="",$C65="",$D65=""),"",IF(AND($C65&lt;EDATE(AF$4,1),$D65&gt;=AF$4),1,""))</f>
        <v/>
      </c>
      <c r="AG65" s="72" t="str">
        <f aca="false">IF(OR(AG$4="",$C65="",$D65=""),"",IF(AND($C65&lt;EDATE(AG$4,1),$D65&gt;=AG$4),1,""))</f>
        <v/>
      </c>
      <c r="AH65" s="72" t="str">
        <f aca="false">IF(OR(AH$4="",$C65="",$D65=""),"",IF(AND($C65&lt;EDATE(AH$4,1),$D65&gt;=AH$4),1,""))</f>
        <v/>
      </c>
      <c r="AI65" s="72" t="str">
        <f aca="false">IF(OR(AI$4="",$C65="",$D65=""),"",IF(AND($C65&lt;EDATE(AI$4,1),$D65&gt;=AI$4),1,""))</f>
        <v/>
      </c>
      <c r="AJ65" s="72" t="str">
        <f aca="false">IF(OR(AJ$4="",$C65="",$D65=""),"",IF(AND($C65&lt;EDATE(AJ$4,1),$D65&gt;=AJ$4),1,""))</f>
        <v/>
      </c>
      <c r="AK65" s="72" t="str">
        <f aca="false">IF(OR(AK$4="",$C65="",$D65=""),"",IF(AND($C65&lt;EDATE(AK$4,1),$D65&gt;=AK$4),1,""))</f>
        <v/>
      </c>
      <c r="AL65" s="72" t="str">
        <f aca="false">IF(OR(AL$4="",$C65="",$D65=""),"",IF(AND($C65&lt;EDATE(AL$4,1),$D65&gt;=AL$4),1,""))</f>
        <v/>
      </c>
      <c r="AM65" s="72" t="str">
        <f aca="false">IF(OR(AM$4="",$C65="",$D65=""),"",IF(AND($C65&lt;EDATE(AM$4,1),$D65&gt;=AM$4),1,""))</f>
        <v/>
      </c>
      <c r="AN65" s="72" t="str">
        <f aca="false">IF(OR(AN$4="",$C65="",$D65=""),"",IF(AND($C65&lt;EDATE(AN$4,1),$D65&gt;=AN$4),1,""))</f>
        <v/>
      </c>
      <c r="AO65" s="72" t="str">
        <f aca="false">IF(OR(AO$4="",$C65="",$D65=""),"",IF(AND($C65&lt;EDATE(AO$4,1),$D65&gt;=AO$4),1,""))</f>
        <v/>
      </c>
      <c r="AP65" s="72" t="str">
        <f aca="false">IF(OR(AP$4="",$C65="",$D65=""),"",IF(AND($C65&lt;EDATE(AP$4,1),$D65&gt;=AP$4),1,""))</f>
        <v/>
      </c>
      <c r="AQ65" s="72" t="str">
        <f aca="false">IF(OR(AQ$4="",$C65="",$D65=""),"",IF(AND($C65&lt;EDATE(AQ$4,1),$D65&gt;=AQ$4),1,""))</f>
        <v/>
      </c>
      <c r="AR65" s="72" t="str">
        <f aca="false">IF(OR(AR$4="",$C65="",$D65=""),"",IF(AND($C65&lt;EDATE(AR$4,1),$D65&gt;=AR$4),1,""))</f>
        <v/>
      </c>
      <c r="AS65" s="72" t="str">
        <f aca="false">IF(OR(AS$4="",$C65="",$D65=""),"",IF(AND($C65&lt;EDATE(AS$4,1),$D65&gt;=AS$4),1,""))</f>
        <v/>
      </c>
      <c r="AT65" s="72" t="str">
        <f aca="false">IF(OR(AT$4="",$C65="",$D65=""),"",IF(AND($C65&lt;EDATE(AT$4,1),$D65&gt;=AT$4),1,""))</f>
        <v/>
      </c>
      <c r="AU65" s="72" t="str">
        <f aca="false">IF(OR(AU$4="",$C65="",$D65=""),"",IF(AND($C65&lt;EDATE(AU$4,1),$D65&gt;=AU$4),1,""))</f>
        <v/>
      </c>
      <c r="AV65" s="72" t="str">
        <f aca="false">IF(OR(AV$4="",$C65="",$D65=""),"",IF(AND($C65&lt;EDATE(AV$4,1),$D65&gt;=AV$4),1,""))</f>
        <v/>
      </c>
      <c r="AW65" s="72" t="str">
        <f aca="false">IF(OR(AW$4="",$C65="",$D65=""),"",IF(AND($C65&lt;EDATE(AW$4,1),$D65&gt;=AW$4),1,""))</f>
        <v/>
      </c>
      <c r="AX65" s="72" t="str">
        <f aca="false">IF(OR(AX$4="",$C65="",$D65=""),"",IF(AND($C65&lt;EDATE(AX$4,1),$D65&gt;=AX$4),1,""))</f>
        <v/>
      </c>
      <c r="AY65" s="72" t="str">
        <f aca="false">IF(OR(AY$4="",$C65="",$D65=""),"",IF(AND($C65&lt;EDATE(AY$4,1),$D65&gt;=AY$4),1,""))</f>
        <v/>
      </c>
      <c r="AZ65" s="72" t="str">
        <f aca="false">IF(OR(AZ$4="",$C65="",$D65=""),"",IF(AND($C65&lt;EDATE(AZ$4,1),$D65&gt;=AZ$4),1,""))</f>
        <v/>
      </c>
      <c r="BA65" s="72" t="str">
        <f aca="false">IF(OR(BA$4="",$C65="",$D65=""),"",IF(AND($C65&lt;EDATE(BA$4,1),$D65&gt;=BA$4),1,""))</f>
        <v/>
      </c>
      <c r="BB65" s="72" t="str">
        <f aca="false">IF(OR(BB$4="",$C65="",$D65=""),"",IF(AND($C65&lt;EDATE(BB$4,1),$D65&gt;=BB$4),1,""))</f>
        <v/>
      </c>
      <c r="BC65" s="72" t="str">
        <f aca="false">IF(OR(BC$4="",$C65="",$D65=""),"",IF(AND($C65&lt;EDATE(BC$4,1),$D65&gt;=BC$4),1,""))</f>
        <v/>
      </c>
      <c r="BD65" s="72" t="str">
        <f aca="false">IF(OR(BD$4="",$C65="",$D65=""),"",IF(AND($C65&lt;EDATE(BD$4,1),$D65&gt;=BD$4),1,""))</f>
        <v/>
      </c>
      <c r="BE65" s="72" t="str">
        <f aca="false">IF(OR(BE$4="",$C65="",$D65=""),"",IF(AND($C65&lt;EDATE(BE$4,1),$D65&gt;=BE$4),1,""))</f>
        <v/>
      </c>
      <c r="BF65" s="72" t="str">
        <f aca="false">IF(OR(BF$4="",$C65="",$D65=""),"",IF(AND($C65&lt;EDATE(BF$4,1),$D65&gt;=BF$4),1,""))</f>
        <v/>
      </c>
      <c r="BG65" s="72" t="str">
        <f aca="false">IF(OR(BG$4="",$C65="",$D65=""),"",IF(AND($C65&lt;EDATE(BG$4,1),$D65&gt;=BG$4),1,""))</f>
        <v/>
      </c>
      <c r="BH65" s="72" t="str">
        <f aca="false">IF(OR(BH$4="",$C65="",$D65=""),"",IF(AND($C65&lt;EDATE(BH$4,1),$D65&gt;=BH$4),1,""))</f>
        <v/>
      </c>
      <c r="BI65" s="72" t="str">
        <f aca="false">IF(OR(BI$4="",$C65="",$D65=""),"",IF(AND($C65&lt;EDATE(BI$4,1),$D65&gt;=BI$4),1,""))</f>
        <v/>
      </c>
      <c r="BJ65" s="72" t="str">
        <f aca="false">IF(OR(BJ$4="",$C65="",$D65=""),"",IF(AND($C65&lt;EDATE(BJ$4,1),$D65&gt;=BJ$4),1,""))</f>
        <v/>
      </c>
      <c r="BK65" s="72" t="str">
        <f aca="false">IF(OR(BK$4="",$C65="",$D65=""),"",IF(AND($C65&lt;EDATE(BK$4,1),$D65&gt;=BK$4),1,""))</f>
        <v/>
      </c>
      <c r="BL65" s="72" t="str">
        <f aca="false">IF(OR(BL$4="",$C65="",$D65=""),"",IF(AND($C65&lt;EDATE(BL$4,1),$D65&gt;=BL$4),1,""))</f>
        <v/>
      </c>
      <c r="BM65" s="72" t="str">
        <f aca="false">IF(OR(BM$4="",$C65="",$D65=""),"",IF(AND($C65&lt;EDATE(BM$4,1),$D65&gt;=BM$4),1,""))</f>
        <v/>
      </c>
      <c r="BN65" s="72" t="str">
        <f aca="false">IF(OR(BN$4="",$C65="",$D65=""),"",IF(AND($C65&lt;EDATE(BN$4,1),$D65&gt;=BN$4),1,""))</f>
        <v/>
      </c>
      <c r="BO65" s="72" t="str">
        <f aca="false">IF(OR(BO$4="",$C65="",$D65=""),"",IF(AND($C65&lt;EDATE(BO$4,1),$D65&gt;=BO$4),1,""))</f>
        <v/>
      </c>
      <c r="BP65" s="72" t="str">
        <f aca="false">IF(OR(BP$4="",$C65="",$D65=""),"",IF(AND($C65&lt;EDATE(BP$4,1),$D65&gt;=BP$4),1,""))</f>
        <v/>
      </c>
      <c r="BQ65" s="72" t="str">
        <f aca="false">IF(OR(BQ$4="",$C65="",$D65=""),"",IF(AND($C65&lt;EDATE(BQ$4,1),$D65&gt;=BQ$4),1,""))</f>
        <v/>
      </c>
      <c r="BR65" s="72" t="str">
        <f aca="false">IF(OR(BR$4="",$C65="",$D65=""),"",IF(AND($C65&lt;EDATE(BR$4,1),$D65&gt;=BR$4),1,""))</f>
        <v/>
      </c>
      <c r="BS65" s="72" t="str">
        <f aca="false">IF(OR(BS$4="",$C65="",$D65=""),"",IF(AND($C65&lt;EDATE(BS$4,1),$D65&gt;=BS$4),1,""))</f>
        <v/>
      </c>
      <c r="BT65" s="72" t="str">
        <f aca="false">IF(OR(BT$4="",$C65="",$D65=""),"",IF(AND($C65&lt;EDATE(BT$4,1),$D65&gt;=BT$4),1,""))</f>
        <v/>
      </c>
      <c r="BU65" s="72" t="str">
        <f aca="false">IF(OR(BU$4="",$C65="",$D65=""),"",IF(AND($C65&lt;EDATE(BU$4,1),$D65&gt;=BU$4),1,""))</f>
        <v/>
      </c>
      <c r="BV65" s="72" t="str">
        <f aca="false">IF(OR(BV$4="",$C65="",$D65=""),"",IF(AND($C65&lt;EDATE(BV$4,1),$D65&gt;=BV$4),1,""))</f>
        <v/>
      </c>
      <c r="BW65" s="72" t="str">
        <f aca="false">IF(OR(BW$4="",$C65="",$D65=""),"",IF(AND($C65&lt;EDATE(BW$4,1),$D65&gt;=BW$4),1,""))</f>
        <v/>
      </c>
      <c r="BX65" s="72" t="str">
        <f aca="false">IF(OR(BX$4="",$C65="",$D65=""),"",IF(AND($C65&lt;EDATE(BX$4,1),$D65&gt;=BX$4),1,""))</f>
        <v/>
      </c>
      <c r="BY65" s="72" t="str">
        <f aca="false">IF(OR(BY$4="",$C65="",$D65=""),"",IF(AND($C65&lt;EDATE(BY$4,1),$D65&gt;=BY$4),1,""))</f>
        <v/>
      </c>
    </row>
    <row r="66" customFormat="false" ht="15" hidden="false" customHeight="false" outlineLevel="0" collapsed="false">
      <c r="A66" s="61" t="str">
        <f aca="false">IF(BOE!$A35="","",BOE!$A35)</f>
        <v>LOE-3</v>
      </c>
      <c r="B66" s="61" t="str">
        <f aca="false">IF(BOE!$A35="","",BOE!$C35)</f>
        <v>Safety program management, BOE/EVM upkeep, travel</v>
      </c>
      <c r="C66" s="62" t="n">
        <f aca="false">IF(OR(BOE!$A35="",BOE!$E35&lt;&gt;"Y"),"",BOE!$O35)</f>
        <v>46391</v>
      </c>
      <c r="D66" s="62" t="n">
        <f aca="false">IF(OR(BOE!$A35="",BOE!$E35&lt;&gt;"Y"),"",BOE!$P35)</f>
        <v>47483</v>
      </c>
      <c r="E66" s="63" t="n">
        <f aca="false">IF(OR(BOE!$A35="",BOE!$E35&lt;&gt;"Y"),"",IF(Inputs!$B$7="P90",BOE!$T35,BOE!$R35))</f>
        <v>215.260780287474</v>
      </c>
      <c r="F66" s="72" t="n">
        <f aca="false">IF(OR(F$4="",$C66="",$D66=""),"",IF(AND($C66&lt;EDATE(F$4,1),$D66&gt;=F$4),1,""))</f>
        <v>1</v>
      </c>
      <c r="G66" s="72" t="n">
        <f aca="false">IF(OR(G$4="",$C66="",$D66=""),"",IF(AND($C66&lt;EDATE(G$4,1),$D66&gt;=G$4),1,""))</f>
        <v>1</v>
      </c>
      <c r="H66" s="72" t="n">
        <f aca="false">IF(OR(H$4="",$C66="",$D66=""),"",IF(AND($C66&lt;EDATE(H$4,1),$D66&gt;=H$4),1,""))</f>
        <v>1</v>
      </c>
      <c r="I66" s="72" t="n">
        <f aca="false">IF(OR(I$4="",$C66="",$D66=""),"",IF(AND($C66&lt;EDATE(I$4,1),$D66&gt;=I$4),1,""))</f>
        <v>1</v>
      </c>
      <c r="J66" s="72" t="n">
        <f aca="false">IF(OR(J$4="",$C66="",$D66=""),"",IF(AND($C66&lt;EDATE(J$4,1),$D66&gt;=J$4),1,""))</f>
        <v>1</v>
      </c>
      <c r="K66" s="72" t="n">
        <f aca="false">IF(OR(K$4="",$C66="",$D66=""),"",IF(AND($C66&lt;EDATE(K$4,1),$D66&gt;=K$4),1,""))</f>
        <v>1</v>
      </c>
      <c r="L66" s="72" t="n">
        <f aca="false">IF(OR(L$4="",$C66="",$D66=""),"",IF(AND($C66&lt;EDATE(L$4,1),$D66&gt;=L$4),1,""))</f>
        <v>1</v>
      </c>
      <c r="M66" s="72" t="n">
        <f aca="false">IF(OR(M$4="",$C66="",$D66=""),"",IF(AND($C66&lt;EDATE(M$4,1),$D66&gt;=M$4),1,""))</f>
        <v>1</v>
      </c>
      <c r="N66" s="72" t="n">
        <f aca="false">IF(OR(N$4="",$C66="",$D66=""),"",IF(AND($C66&lt;EDATE(N$4,1),$D66&gt;=N$4),1,""))</f>
        <v>1</v>
      </c>
      <c r="O66" s="72" t="n">
        <f aca="false">IF(OR(O$4="",$C66="",$D66=""),"",IF(AND($C66&lt;EDATE(O$4,1),$D66&gt;=O$4),1,""))</f>
        <v>1</v>
      </c>
      <c r="P66" s="72" t="n">
        <f aca="false">IF(OR(P$4="",$C66="",$D66=""),"",IF(AND($C66&lt;EDATE(P$4,1),$D66&gt;=P$4),1,""))</f>
        <v>1</v>
      </c>
      <c r="Q66" s="72" t="n">
        <f aca="false">IF(OR(Q$4="",$C66="",$D66=""),"",IF(AND($C66&lt;EDATE(Q$4,1),$D66&gt;=Q$4),1,""))</f>
        <v>1</v>
      </c>
      <c r="R66" s="72" t="n">
        <f aca="false">IF(OR(R$4="",$C66="",$D66=""),"",IF(AND($C66&lt;EDATE(R$4,1),$D66&gt;=R$4),1,""))</f>
        <v>1</v>
      </c>
      <c r="S66" s="72" t="n">
        <f aca="false">IF(OR(S$4="",$C66="",$D66=""),"",IF(AND($C66&lt;EDATE(S$4,1),$D66&gt;=S$4),1,""))</f>
        <v>1</v>
      </c>
      <c r="T66" s="72" t="n">
        <f aca="false">IF(OR(T$4="",$C66="",$D66=""),"",IF(AND($C66&lt;EDATE(T$4,1),$D66&gt;=T$4),1,""))</f>
        <v>1</v>
      </c>
      <c r="U66" s="72" t="n">
        <f aca="false">IF(OR(U$4="",$C66="",$D66=""),"",IF(AND($C66&lt;EDATE(U$4,1),$D66&gt;=U$4),1,""))</f>
        <v>1</v>
      </c>
      <c r="V66" s="72" t="n">
        <f aca="false">IF(OR(V$4="",$C66="",$D66=""),"",IF(AND($C66&lt;EDATE(V$4,1),$D66&gt;=V$4),1,""))</f>
        <v>1</v>
      </c>
      <c r="W66" s="72" t="n">
        <f aca="false">IF(OR(W$4="",$C66="",$D66=""),"",IF(AND($C66&lt;EDATE(W$4,1),$D66&gt;=W$4),1,""))</f>
        <v>1</v>
      </c>
      <c r="X66" s="72" t="n">
        <f aca="false">IF(OR(X$4="",$C66="",$D66=""),"",IF(AND($C66&lt;EDATE(X$4,1),$D66&gt;=X$4),1,""))</f>
        <v>1</v>
      </c>
      <c r="Y66" s="72" t="n">
        <f aca="false">IF(OR(Y$4="",$C66="",$D66=""),"",IF(AND($C66&lt;EDATE(Y$4,1),$D66&gt;=Y$4),1,""))</f>
        <v>1</v>
      </c>
      <c r="Z66" s="72" t="n">
        <f aca="false">IF(OR(Z$4="",$C66="",$D66=""),"",IF(AND($C66&lt;EDATE(Z$4,1),$D66&gt;=Z$4),1,""))</f>
        <v>1</v>
      </c>
      <c r="AA66" s="72" t="n">
        <f aca="false">IF(OR(AA$4="",$C66="",$D66=""),"",IF(AND($C66&lt;EDATE(AA$4,1),$D66&gt;=AA$4),1,""))</f>
        <v>1</v>
      </c>
      <c r="AB66" s="72" t="n">
        <f aca="false">IF(OR(AB$4="",$C66="",$D66=""),"",IF(AND($C66&lt;EDATE(AB$4,1),$D66&gt;=AB$4),1,""))</f>
        <v>1</v>
      </c>
      <c r="AC66" s="72" t="n">
        <f aca="false">IF(OR(AC$4="",$C66="",$D66=""),"",IF(AND($C66&lt;EDATE(AC$4,1),$D66&gt;=AC$4),1,""))</f>
        <v>1</v>
      </c>
      <c r="AD66" s="72" t="n">
        <f aca="false">IF(OR(AD$4="",$C66="",$D66=""),"",IF(AND($C66&lt;EDATE(AD$4,1),$D66&gt;=AD$4),1,""))</f>
        <v>1</v>
      </c>
      <c r="AE66" s="72" t="n">
        <f aca="false">IF(OR(AE$4="",$C66="",$D66=""),"",IF(AND($C66&lt;EDATE(AE$4,1),$D66&gt;=AE$4),1,""))</f>
        <v>1</v>
      </c>
      <c r="AF66" s="72" t="n">
        <f aca="false">IF(OR(AF$4="",$C66="",$D66=""),"",IF(AND($C66&lt;EDATE(AF$4,1),$D66&gt;=AF$4),1,""))</f>
        <v>1</v>
      </c>
      <c r="AG66" s="72" t="n">
        <f aca="false">IF(OR(AG$4="",$C66="",$D66=""),"",IF(AND($C66&lt;EDATE(AG$4,1),$D66&gt;=AG$4),1,""))</f>
        <v>1</v>
      </c>
      <c r="AH66" s="72" t="n">
        <f aca="false">IF(OR(AH$4="",$C66="",$D66=""),"",IF(AND($C66&lt;EDATE(AH$4,1),$D66&gt;=AH$4),1,""))</f>
        <v>1</v>
      </c>
      <c r="AI66" s="72" t="n">
        <f aca="false">IF(OR(AI$4="",$C66="",$D66=""),"",IF(AND($C66&lt;EDATE(AI$4,1),$D66&gt;=AI$4),1,""))</f>
        <v>1</v>
      </c>
      <c r="AJ66" s="72" t="n">
        <f aca="false">IF(OR(AJ$4="",$C66="",$D66=""),"",IF(AND($C66&lt;EDATE(AJ$4,1),$D66&gt;=AJ$4),1,""))</f>
        <v>1</v>
      </c>
      <c r="AK66" s="72" t="n">
        <f aca="false">IF(OR(AK$4="",$C66="",$D66=""),"",IF(AND($C66&lt;EDATE(AK$4,1),$D66&gt;=AK$4),1,""))</f>
        <v>1</v>
      </c>
      <c r="AL66" s="72" t="n">
        <f aca="false">IF(OR(AL$4="",$C66="",$D66=""),"",IF(AND($C66&lt;EDATE(AL$4,1),$D66&gt;=AL$4),1,""))</f>
        <v>1</v>
      </c>
      <c r="AM66" s="72" t="n">
        <f aca="false">IF(OR(AM$4="",$C66="",$D66=""),"",IF(AND($C66&lt;EDATE(AM$4,1),$D66&gt;=AM$4),1,""))</f>
        <v>1</v>
      </c>
      <c r="AN66" s="72" t="n">
        <f aca="false">IF(OR(AN$4="",$C66="",$D66=""),"",IF(AND($C66&lt;EDATE(AN$4,1),$D66&gt;=AN$4),1,""))</f>
        <v>1</v>
      </c>
      <c r="AO66" s="72" t="n">
        <f aca="false">IF(OR(AO$4="",$C66="",$D66=""),"",IF(AND($C66&lt;EDATE(AO$4,1),$D66&gt;=AO$4),1,""))</f>
        <v>1</v>
      </c>
      <c r="AP66" s="72" t="str">
        <f aca="false">IF(OR(AP$4="",$C66="",$D66=""),"",IF(AND($C66&lt;EDATE(AP$4,1),$D66&gt;=AP$4),1,""))</f>
        <v/>
      </c>
      <c r="AQ66" s="72" t="str">
        <f aca="false">IF(OR(AQ$4="",$C66="",$D66=""),"",IF(AND($C66&lt;EDATE(AQ$4,1),$D66&gt;=AQ$4),1,""))</f>
        <v/>
      </c>
      <c r="AR66" s="72" t="str">
        <f aca="false">IF(OR(AR$4="",$C66="",$D66=""),"",IF(AND($C66&lt;EDATE(AR$4,1),$D66&gt;=AR$4),1,""))</f>
        <v/>
      </c>
      <c r="AS66" s="72" t="str">
        <f aca="false">IF(OR(AS$4="",$C66="",$D66=""),"",IF(AND($C66&lt;EDATE(AS$4,1),$D66&gt;=AS$4),1,""))</f>
        <v/>
      </c>
      <c r="AT66" s="72" t="str">
        <f aca="false">IF(OR(AT$4="",$C66="",$D66=""),"",IF(AND($C66&lt;EDATE(AT$4,1),$D66&gt;=AT$4),1,""))</f>
        <v/>
      </c>
      <c r="AU66" s="72" t="str">
        <f aca="false">IF(OR(AU$4="",$C66="",$D66=""),"",IF(AND($C66&lt;EDATE(AU$4,1),$D66&gt;=AU$4),1,""))</f>
        <v/>
      </c>
      <c r="AV66" s="72" t="str">
        <f aca="false">IF(OR(AV$4="",$C66="",$D66=""),"",IF(AND($C66&lt;EDATE(AV$4,1),$D66&gt;=AV$4),1,""))</f>
        <v/>
      </c>
      <c r="AW66" s="72" t="str">
        <f aca="false">IF(OR(AW$4="",$C66="",$D66=""),"",IF(AND($C66&lt;EDATE(AW$4,1),$D66&gt;=AW$4),1,""))</f>
        <v/>
      </c>
      <c r="AX66" s="72" t="str">
        <f aca="false">IF(OR(AX$4="",$C66="",$D66=""),"",IF(AND($C66&lt;EDATE(AX$4,1),$D66&gt;=AX$4),1,""))</f>
        <v/>
      </c>
      <c r="AY66" s="72" t="str">
        <f aca="false">IF(OR(AY$4="",$C66="",$D66=""),"",IF(AND($C66&lt;EDATE(AY$4,1),$D66&gt;=AY$4),1,""))</f>
        <v/>
      </c>
      <c r="AZ66" s="72" t="str">
        <f aca="false">IF(OR(AZ$4="",$C66="",$D66=""),"",IF(AND($C66&lt;EDATE(AZ$4,1),$D66&gt;=AZ$4),1,""))</f>
        <v/>
      </c>
      <c r="BA66" s="72" t="str">
        <f aca="false">IF(OR(BA$4="",$C66="",$D66=""),"",IF(AND($C66&lt;EDATE(BA$4,1),$D66&gt;=BA$4),1,""))</f>
        <v/>
      </c>
      <c r="BB66" s="72" t="str">
        <f aca="false">IF(OR(BB$4="",$C66="",$D66=""),"",IF(AND($C66&lt;EDATE(BB$4,1),$D66&gt;=BB$4),1,""))</f>
        <v/>
      </c>
      <c r="BC66" s="72" t="str">
        <f aca="false">IF(OR(BC$4="",$C66="",$D66=""),"",IF(AND($C66&lt;EDATE(BC$4,1),$D66&gt;=BC$4),1,""))</f>
        <v/>
      </c>
      <c r="BD66" s="72" t="str">
        <f aca="false">IF(OR(BD$4="",$C66="",$D66=""),"",IF(AND($C66&lt;EDATE(BD$4,1),$D66&gt;=BD$4),1,""))</f>
        <v/>
      </c>
      <c r="BE66" s="72" t="str">
        <f aca="false">IF(OR(BE$4="",$C66="",$D66=""),"",IF(AND($C66&lt;EDATE(BE$4,1),$D66&gt;=BE$4),1,""))</f>
        <v/>
      </c>
      <c r="BF66" s="72" t="str">
        <f aca="false">IF(OR(BF$4="",$C66="",$D66=""),"",IF(AND($C66&lt;EDATE(BF$4,1),$D66&gt;=BF$4),1,""))</f>
        <v/>
      </c>
      <c r="BG66" s="72" t="str">
        <f aca="false">IF(OR(BG$4="",$C66="",$D66=""),"",IF(AND($C66&lt;EDATE(BG$4,1),$D66&gt;=BG$4),1,""))</f>
        <v/>
      </c>
      <c r="BH66" s="72" t="str">
        <f aca="false">IF(OR(BH$4="",$C66="",$D66=""),"",IF(AND($C66&lt;EDATE(BH$4,1),$D66&gt;=BH$4),1,""))</f>
        <v/>
      </c>
      <c r="BI66" s="72" t="str">
        <f aca="false">IF(OR(BI$4="",$C66="",$D66=""),"",IF(AND($C66&lt;EDATE(BI$4,1),$D66&gt;=BI$4),1,""))</f>
        <v/>
      </c>
      <c r="BJ66" s="72" t="str">
        <f aca="false">IF(OR(BJ$4="",$C66="",$D66=""),"",IF(AND($C66&lt;EDATE(BJ$4,1),$D66&gt;=BJ$4),1,""))</f>
        <v/>
      </c>
      <c r="BK66" s="72" t="str">
        <f aca="false">IF(OR(BK$4="",$C66="",$D66=""),"",IF(AND($C66&lt;EDATE(BK$4,1),$D66&gt;=BK$4),1,""))</f>
        <v/>
      </c>
      <c r="BL66" s="72" t="str">
        <f aca="false">IF(OR(BL$4="",$C66="",$D66=""),"",IF(AND($C66&lt;EDATE(BL$4,1),$D66&gt;=BL$4),1,""))</f>
        <v/>
      </c>
      <c r="BM66" s="72" t="str">
        <f aca="false">IF(OR(BM$4="",$C66="",$D66=""),"",IF(AND($C66&lt;EDATE(BM$4,1),$D66&gt;=BM$4),1,""))</f>
        <v/>
      </c>
      <c r="BN66" s="72" t="str">
        <f aca="false">IF(OR(BN$4="",$C66="",$D66=""),"",IF(AND($C66&lt;EDATE(BN$4,1),$D66&gt;=BN$4),1,""))</f>
        <v/>
      </c>
      <c r="BO66" s="72" t="str">
        <f aca="false">IF(OR(BO$4="",$C66="",$D66=""),"",IF(AND($C66&lt;EDATE(BO$4,1),$D66&gt;=BO$4),1,""))</f>
        <v/>
      </c>
      <c r="BP66" s="72" t="str">
        <f aca="false">IF(OR(BP$4="",$C66="",$D66=""),"",IF(AND($C66&lt;EDATE(BP$4,1),$D66&gt;=BP$4),1,""))</f>
        <v/>
      </c>
      <c r="BQ66" s="72" t="str">
        <f aca="false">IF(OR(BQ$4="",$C66="",$D66=""),"",IF(AND($C66&lt;EDATE(BQ$4,1),$D66&gt;=BQ$4),1,""))</f>
        <v/>
      </c>
      <c r="BR66" s="72" t="str">
        <f aca="false">IF(OR(BR$4="",$C66="",$D66=""),"",IF(AND($C66&lt;EDATE(BR$4,1),$D66&gt;=BR$4),1,""))</f>
        <v/>
      </c>
      <c r="BS66" s="72" t="str">
        <f aca="false">IF(OR(BS$4="",$C66="",$D66=""),"",IF(AND($C66&lt;EDATE(BS$4,1),$D66&gt;=BS$4),1,""))</f>
        <v/>
      </c>
      <c r="BT66" s="72" t="str">
        <f aca="false">IF(OR(BT$4="",$C66="",$D66=""),"",IF(AND($C66&lt;EDATE(BT$4,1),$D66&gt;=BT$4),1,""))</f>
        <v/>
      </c>
      <c r="BU66" s="72" t="str">
        <f aca="false">IF(OR(BU$4="",$C66="",$D66=""),"",IF(AND($C66&lt;EDATE(BU$4,1),$D66&gt;=BU$4),1,""))</f>
        <v/>
      </c>
      <c r="BV66" s="72" t="str">
        <f aca="false">IF(OR(BV$4="",$C66="",$D66=""),"",IF(AND($C66&lt;EDATE(BV$4,1),$D66&gt;=BV$4),1,""))</f>
        <v/>
      </c>
      <c r="BW66" s="72" t="str">
        <f aca="false">IF(OR(BW$4="",$C66="",$D66=""),"",IF(AND($C66&lt;EDATE(BW$4,1),$D66&gt;=BW$4),1,""))</f>
        <v/>
      </c>
      <c r="BX66" s="72" t="str">
        <f aca="false">IF(OR(BX$4="",$C66="",$D66=""),"",IF(AND($C66&lt;EDATE(BX$4,1),$D66&gt;=BX$4),1,""))</f>
        <v/>
      </c>
      <c r="BY66" s="72" t="str">
        <f aca="false">IF(OR(BY$4="",$C66="",$D66=""),"",IF(AND($C66&lt;EDATE(BY$4,1),$D66&gt;=BY$4),1,""))</f>
        <v/>
      </c>
    </row>
    <row r="67" customFormat="false" ht="15" hidden="false" customHeight="false" outlineLevel="0" collapsed="false">
      <c r="A67" s="61" t="str">
        <f aca="false">IF(BOE!$A36="","",BOE!$A36)</f>
        <v/>
      </c>
      <c r="B67" s="61" t="str">
        <f aca="false">IF(BOE!$A36="","",BOE!$C36)</f>
        <v/>
      </c>
      <c r="C67" s="62" t="str">
        <f aca="false">IF(OR(BOE!$A36="",BOE!$E36&lt;&gt;"Y"),"",BOE!$O36)</f>
        <v/>
      </c>
      <c r="D67" s="62" t="str">
        <f aca="false">IF(OR(BOE!$A36="",BOE!$E36&lt;&gt;"Y"),"",BOE!$P36)</f>
        <v/>
      </c>
      <c r="E67" s="63" t="str">
        <f aca="false">IF(OR(BOE!$A36="",BOE!$E36&lt;&gt;"Y"),"",IF(Inputs!$B$7="P90",BOE!$T36,BOE!$R36))</f>
        <v/>
      </c>
      <c r="F67" s="72" t="str">
        <f aca="false">IF(OR(F$4="",$C67="",$D67=""),"",IF(AND($C67&lt;EDATE(F$4,1),$D67&gt;=F$4),1,""))</f>
        <v/>
      </c>
      <c r="G67" s="72" t="str">
        <f aca="false">IF(OR(G$4="",$C67="",$D67=""),"",IF(AND($C67&lt;EDATE(G$4,1),$D67&gt;=G$4),1,""))</f>
        <v/>
      </c>
      <c r="H67" s="72" t="str">
        <f aca="false">IF(OR(H$4="",$C67="",$D67=""),"",IF(AND($C67&lt;EDATE(H$4,1),$D67&gt;=H$4),1,""))</f>
        <v/>
      </c>
      <c r="I67" s="72" t="str">
        <f aca="false">IF(OR(I$4="",$C67="",$D67=""),"",IF(AND($C67&lt;EDATE(I$4,1),$D67&gt;=I$4),1,""))</f>
        <v/>
      </c>
      <c r="J67" s="72" t="str">
        <f aca="false">IF(OR(J$4="",$C67="",$D67=""),"",IF(AND($C67&lt;EDATE(J$4,1),$D67&gt;=J$4),1,""))</f>
        <v/>
      </c>
      <c r="K67" s="72" t="str">
        <f aca="false">IF(OR(K$4="",$C67="",$D67=""),"",IF(AND($C67&lt;EDATE(K$4,1),$D67&gt;=K$4),1,""))</f>
        <v/>
      </c>
      <c r="L67" s="72" t="str">
        <f aca="false">IF(OR(L$4="",$C67="",$D67=""),"",IF(AND($C67&lt;EDATE(L$4,1),$D67&gt;=L$4),1,""))</f>
        <v/>
      </c>
      <c r="M67" s="72" t="str">
        <f aca="false">IF(OR(M$4="",$C67="",$D67=""),"",IF(AND($C67&lt;EDATE(M$4,1),$D67&gt;=M$4),1,""))</f>
        <v/>
      </c>
      <c r="N67" s="72" t="str">
        <f aca="false">IF(OR(N$4="",$C67="",$D67=""),"",IF(AND($C67&lt;EDATE(N$4,1),$D67&gt;=N$4),1,""))</f>
        <v/>
      </c>
      <c r="O67" s="72" t="str">
        <f aca="false">IF(OR(O$4="",$C67="",$D67=""),"",IF(AND($C67&lt;EDATE(O$4,1),$D67&gt;=O$4),1,""))</f>
        <v/>
      </c>
      <c r="P67" s="72" t="str">
        <f aca="false">IF(OR(P$4="",$C67="",$D67=""),"",IF(AND($C67&lt;EDATE(P$4,1),$D67&gt;=P$4),1,""))</f>
        <v/>
      </c>
      <c r="Q67" s="72" t="str">
        <f aca="false">IF(OR(Q$4="",$C67="",$D67=""),"",IF(AND($C67&lt;EDATE(Q$4,1),$D67&gt;=Q$4),1,""))</f>
        <v/>
      </c>
      <c r="R67" s="72" t="str">
        <f aca="false">IF(OR(R$4="",$C67="",$D67=""),"",IF(AND($C67&lt;EDATE(R$4,1),$D67&gt;=R$4),1,""))</f>
        <v/>
      </c>
      <c r="S67" s="72" t="str">
        <f aca="false">IF(OR(S$4="",$C67="",$D67=""),"",IF(AND($C67&lt;EDATE(S$4,1),$D67&gt;=S$4),1,""))</f>
        <v/>
      </c>
      <c r="T67" s="72" t="str">
        <f aca="false">IF(OR(T$4="",$C67="",$D67=""),"",IF(AND($C67&lt;EDATE(T$4,1),$D67&gt;=T$4),1,""))</f>
        <v/>
      </c>
      <c r="U67" s="72" t="str">
        <f aca="false">IF(OR(U$4="",$C67="",$D67=""),"",IF(AND($C67&lt;EDATE(U$4,1),$D67&gt;=U$4),1,""))</f>
        <v/>
      </c>
      <c r="V67" s="72" t="str">
        <f aca="false">IF(OR(V$4="",$C67="",$D67=""),"",IF(AND($C67&lt;EDATE(V$4,1),$D67&gt;=V$4),1,""))</f>
        <v/>
      </c>
      <c r="W67" s="72" t="str">
        <f aca="false">IF(OR(W$4="",$C67="",$D67=""),"",IF(AND($C67&lt;EDATE(W$4,1),$D67&gt;=W$4),1,""))</f>
        <v/>
      </c>
      <c r="X67" s="72" t="str">
        <f aca="false">IF(OR(X$4="",$C67="",$D67=""),"",IF(AND($C67&lt;EDATE(X$4,1),$D67&gt;=X$4),1,""))</f>
        <v/>
      </c>
      <c r="Y67" s="72" t="str">
        <f aca="false">IF(OR(Y$4="",$C67="",$D67=""),"",IF(AND($C67&lt;EDATE(Y$4,1),$D67&gt;=Y$4),1,""))</f>
        <v/>
      </c>
      <c r="Z67" s="72" t="str">
        <f aca="false">IF(OR(Z$4="",$C67="",$D67=""),"",IF(AND($C67&lt;EDATE(Z$4,1),$D67&gt;=Z$4),1,""))</f>
        <v/>
      </c>
      <c r="AA67" s="72" t="str">
        <f aca="false">IF(OR(AA$4="",$C67="",$D67=""),"",IF(AND($C67&lt;EDATE(AA$4,1),$D67&gt;=AA$4),1,""))</f>
        <v/>
      </c>
      <c r="AB67" s="72" t="str">
        <f aca="false">IF(OR(AB$4="",$C67="",$D67=""),"",IF(AND($C67&lt;EDATE(AB$4,1),$D67&gt;=AB$4),1,""))</f>
        <v/>
      </c>
      <c r="AC67" s="72" t="str">
        <f aca="false">IF(OR(AC$4="",$C67="",$D67=""),"",IF(AND($C67&lt;EDATE(AC$4,1),$D67&gt;=AC$4),1,""))</f>
        <v/>
      </c>
      <c r="AD67" s="72" t="str">
        <f aca="false">IF(OR(AD$4="",$C67="",$D67=""),"",IF(AND($C67&lt;EDATE(AD$4,1),$D67&gt;=AD$4),1,""))</f>
        <v/>
      </c>
      <c r="AE67" s="72" t="str">
        <f aca="false">IF(OR(AE$4="",$C67="",$D67=""),"",IF(AND($C67&lt;EDATE(AE$4,1),$D67&gt;=AE$4),1,""))</f>
        <v/>
      </c>
      <c r="AF67" s="72" t="str">
        <f aca="false">IF(OR(AF$4="",$C67="",$D67=""),"",IF(AND($C67&lt;EDATE(AF$4,1),$D67&gt;=AF$4),1,""))</f>
        <v/>
      </c>
      <c r="AG67" s="72" t="str">
        <f aca="false">IF(OR(AG$4="",$C67="",$D67=""),"",IF(AND($C67&lt;EDATE(AG$4,1),$D67&gt;=AG$4),1,""))</f>
        <v/>
      </c>
      <c r="AH67" s="72" t="str">
        <f aca="false">IF(OR(AH$4="",$C67="",$D67=""),"",IF(AND($C67&lt;EDATE(AH$4,1),$D67&gt;=AH$4),1,""))</f>
        <v/>
      </c>
      <c r="AI67" s="72" t="str">
        <f aca="false">IF(OR(AI$4="",$C67="",$D67=""),"",IF(AND($C67&lt;EDATE(AI$4,1),$D67&gt;=AI$4),1,""))</f>
        <v/>
      </c>
      <c r="AJ67" s="72" t="str">
        <f aca="false">IF(OR(AJ$4="",$C67="",$D67=""),"",IF(AND($C67&lt;EDATE(AJ$4,1),$D67&gt;=AJ$4),1,""))</f>
        <v/>
      </c>
      <c r="AK67" s="72" t="str">
        <f aca="false">IF(OR(AK$4="",$C67="",$D67=""),"",IF(AND($C67&lt;EDATE(AK$4,1),$D67&gt;=AK$4),1,""))</f>
        <v/>
      </c>
      <c r="AL67" s="72" t="str">
        <f aca="false">IF(OR(AL$4="",$C67="",$D67=""),"",IF(AND($C67&lt;EDATE(AL$4,1),$D67&gt;=AL$4),1,""))</f>
        <v/>
      </c>
      <c r="AM67" s="72" t="str">
        <f aca="false">IF(OR(AM$4="",$C67="",$D67=""),"",IF(AND($C67&lt;EDATE(AM$4,1),$D67&gt;=AM$4),1,""))</f>
        <v/>
      </c>
      <c r="AN67" s="72" t="str">
        <f aca="false">IF(OR(AN$4="",$C67="",$D67=""),"",IF(AND($C67&lt;EDATE(AN$4,1),$D67&gt;=AN$4),1,""))</f>
        <v/>
      </c>
      <c r="AO67" s="72" t="str">
        <f aca="false">IF(OR(AO$4="",$C67="",$D67=""),"",IF(AND($C67&lt;EDATE(AO$4,1),$D67&gt;=AO$4),1,""))</f>
        <v/>
      </c>
      <c r="AP67" s="72" t="str">
        <f aca="false">IF(OR(AP$4="",$C67="",$D67=""),"",IF(AND($C67&lt;EDATE(AP$4,1),$D67&gt;=AP$4),1,""))</f>
        <v/>
      </c>
      <c r="AQ67" s="72" t="str">
        <f aca="false">IF(OR(AQ$4="",$C67="",$D67=""),"",IF(AND($C67&lt;EDATE(AQ$4,1),$D67&gt;=AQ$4),1,""))</f>
        <v/>
      </c>
      <c r="AR67" s="72" t="str">
        <f aca="false">IF(OR(AR$4="",$C67="",$D67=""),"",IF(AND($C67&lt;EDATE(AR$4,1),$D67&gt;=AR$4),1,""))</f>
        <v/>
      </c>
      <c r="AS67" s="72" t="str">
        <f aca="false">IF(OR(AS$4="",$C67="",$D67=""),"",IF(AND($C67&lt;EDATE(AS$4,1),$D67&gt;=AS$4),1,""))</f>
        <v/>
      </c>
      <c r="AT67" s="72" t="str">
        <f aca="false">IF(OR(AT$4="",$C67="",$D67=""),"",IF(AND($C67&lt;EDATE(AT$4,1),$D67&gt;=AT$4),1,""))</f>
        <v/>
      </c>
      <c r="AU67" s="72" t="str">
        <f aca="false">IF(OR(AU$4="",$C67="",$D67=""),"",IF(AND($C67&lt;EDATE(AU$4,1),$D67&gt;=AU$4),1,""))</f>
        <v/>
      </c>
      <c r="AV67" s="72" t="str">
        <f aca="false">IF(OR(AV$4="",$C67="",$D67=""),"",IF(AND($C67&lt;EDATE(AV$4,1),$D67&gt;=AV$4),1,""))</f>
        <v/>
      </c>
      <c r="AW67" s="72" t="str">
        <f aca="false">IF(OR(AW$4="",$C67="",$D67=""),"",IF(AND($C67&lt;EDATE(AW$4,1),$D67&gt;=AW$4),1,""))</f>
        <v/>
      </c>
      <c r="AX67" s="72" t="str">
        <f aca="false">IF(OR(AX$4="",$C67="",$D67=""),"",IF(AND($C67&lt;EDATE(AX$4,1),$D67&gt;=AX$4),1,""))</f>
        <v/>
      </c>
      <c r="AY67" s="72" t="str">
        <f aca="false">IF(OR(AY$4="",$C67="",$D67=""),"",IF(AND($C67&lt;EDATE(AY$4,1),$D67&gt;=AY$4),1,""))</f>
        <v/>
      </c>
      <c r="AZ67" s="72" t="str">
        <f aca="false">IF(OR(AZ$4="",$C67="",$D67=""),"",IF(AND($C67&lt;EDATE(AZ$4,1),$D67&gt;=AZ$4),1,""))</f>
        <v/>
      </c>
      <c r="BA67" s="72" t="str">
        <f aca="false">IF(OR(BA$4="",$C67="",$D67=""),"",IF(AND($C67&lt;EDATE(BA$4,1),$D67&gt;=BA$4),1,""))</f>
        <v/>
      </c>
      <c r="BB67" s="72" t="str">
        <f aca="false">IF(OR(BB$4="",$C67="",$D67=""),"",IF(AND($C67&lt;EDATE(BB$4,1),$D67&gt;=BB$4),1,""))</f>
        <v/>
      </c>
      <c r="BC67" s="72" t="str">
        <f aca="false">IF(OR(BC$4="",$C67="",$D67=""),"",IF(AND($C67&lt;EDATE(BC$4,1),$D67&gt;=BC$4),1,""))</f>
        <v/>
      </c>
      <c r="BD67" s="72" t="str">
        <f aca="false">IF(OR(BD$4="",$C67="",$D67=""),"",IF(AND($C67&lt;EDATE(BD$4,1),$D67&gt;=BD$4),1,""))</f>
        <v/>
      </c>
      <c r="BE67" s="72" t="str">
        <f aca="false">IF(OR(BE$4="",$C67="",$D67=""),"",IF(AND($C67&lt;EDATE(BE$4,1),$D67&gt;=BE$4),1,""))</f>
        <v/>
      </c>
      <c r="BF67" s="72" t="str">
        <f aca="false">IF(OR(BF$4="",$C67="",$D67=""),"",IF(AND($C67&lt;EDATE(BF$4,1),$D67&gt;=BF$4),1,""))</f>
        <v/>
      </c>
      <c r="BG67" s="72" t="str">
        <f aca="false">IF(OR(BG$4="",$C67="",$D67=""),"",IF(AND($C67&lt;EDATE(BG$4,1),$D67&gt;=BG$4),1,""))</f>
        <v/>
      </c>
      <c r="BH67" s="72" t="str">
        <f aca="false">IF(OR(BH$4="",$C67="",$D67=""),"",IF(AND($C67&lt;EDATE(BH$4,1),$D67&gt;=BH$4),1,""))</f>
        <v/>
      </c>
      <c r="BI67" s="72" t="str">
        <f aca="false">IF(OR(BI$4="",$C67="",$D67=""),"",IF(AND($C67&lt;EDATE(BI$4,1),$D67&gt;=BI$4),1,""))</f>
        <v/>
      </c>
      <c r="BJ67" s="72" t="str">
        <f aca="false">IF(OR(BJ$4="",$C67="",$D67=""),"",IF(AND($C67&lt;EDATE(BJ$4,1),$D67&gt;=BJ$4),1,""))</f>
        <v/>
      </c>
      <c r="BK67" s="72" t="str">
        <f aca="false">IF(OR(BK$4="",$C67="",$D67=""),"",IF(AND($C67&lt;EDATE(BK$4,1),$D67&gt;=BK$4),1,""))</f>
        <v/>
      </c>
      <c r="BL67" s="72" t="str">
        <f aca="false">IF(OR(BL$4="",$C67="",$D67=""),"",IF(AND($C67&lt;EDATE(BL$4,1),$D67&gt;=BL$4),1,""))</f>
        <v/>
      </c>
      <c r="BM67" s="72" t="str">
        <f aca="false">IF(OR(BM$4="",$C67="",$D67=""),"",IF(AND($C67&lt;EDATE(BM$4,1),$D67&gt;=BM$4),1,""))</f>
        <v/>
      </c>
      <c r="BN67" s="72" t="str">
        <f aca="false">IF(OR(BN$4="",$C67="",$D67=""),"",IF(AND($C67&lt;EDATE(BN$4,1),$D67&gt;=BN$4),1,""))</f>
        <v/>
      </c>
      <c r="BO67" s="72" t="str">
        <f aca="false">IF(OR(BO$4="",$C67="",$D67=""),"",IF(AND($C67&lt;EDATE(BO$4,1),$D67&gt;=BO$4),1,""))</f>
        <v/>
      </c>
      <c r="BP67" s="72" t="str">
        <f aca="false">IF(OR(BP$4="",$C67="",$D67=""),"",IF(AND($C67&lt;EDATE(BP$4,1),$D67&gt;=BP$4),1,""))</f>
        <v/>
      </c>
      <c r="BQ67" s="72" t="str">
        <f aca="false">IF(OR(BQ$4="",$C67="",$D67=""),"",IF(AND($C67&lt;EDATE(BQ$4,1),$D67&gt;=BQ$4),1,""))</f>
        <v/>
      </c>
      <c r="BR67" s="72" t="str">
        <f aca="false">IF(OR(BR$4="",$C67="",$D67=""),"",IF(AND($C67&lt;EDATE(BR$4,1),$D67&gt;=BR$4),1,""))</f>
        <v/>
      </c>
      <c r="BS67" s="72" t="str">
        <f aca="false">IF(OR(BS$4="",$C67="",$D67=""),"",IF(AND($C67&lt;EDATE(BS$4,1),$D67&gt;=BS$4),1,""))</f>
        <v/>
      </c>
      <c r="BT67" s="72" t="str">
        <f aca="false">IF(OR(BT$4="",$C67="",$D67=""),"",IF(AND($C67&lt;EDATE(BT$4,1),$D67&gt;=BT$4),1,""))</f>
        <v/>
      </c>
      <c r="BU67" s="72" t="str">
        <f aca="false">IF(OR(BU$4="",$C67="",$D67=""),"",IF(AND($C67&lt;EDATE(BU$4,1),$D67&gt;=BU$4),1,""))</f>
        <v/>
      </c>
      <c r="BV67" s="72" t="str">
        <f aca="false">IF(OR(BV$4="",$C67="",$D67=""),"",IF(AND($C67&lt;EDATE(BV$4,1),$D67&gt;=BV$4),1,""))</f>
        <v/>
      </c>
      <c r="BW67" s="72" t="str">
        <f aca="false">IF(OR(BW$4="",$C67="",$D67=""),"",IF(AND($C67&lt;EDATE(BW$4,1),$D67&gt;=BW$4),1,""))</f>
        <v/>
      </c>
      <c r="BX67" s="72" t="str">
        <f aca="false">IF(OR(BX$4="",$C67="",$D67=""),"",IF(AND($C67&lt;EDATE(BX$4,1),$D67&gt;=BX$4),1,""))</f>
        <v/>
      </c>
      <c r="BY67" s="72" t="str">
        <f aca="false">IF(OR(BY$4="",$C67="",$D67=""),"",IF(AND($C67&lt;EDATE(BY$4,1),$D67&gt;=BY$4),1,""))</f>
        <v/>
      </c>
    </row>
    <row r="68" customFormat="false" ht="15" hidden="false" customHeight="false" outlineLevel="0" collapsed="false">
      <c r="A68" s="61" t="str">
        <f aca="false">IF(BOE!$A37="","",BOE!$A37)</f>
        <v/>
      </c>
      <c r="B68" s="61" t="str">
        <f aca="false">IF(BOE!$A37="","",BOE!$C37)</f>
        <v/>
      </c>
      <c r="C68" s="62" t="str">
        <f aca="false">IF(OR(BOE!$A37="",BOE!$E37&lt;&gt;"Y"),"",BOE!$O37)</f>
        <v/>
      </c>
      <c r="D68" s="62" t="str">
        <f aca="false">IF(OR(BOE!$A37="",BOE!$E37&lt;&gt;"Y"),"",BOE!$P37)</f>
        <v/>
      </c>
      <c r="E68" s="63" t="str">
        <f aca="false">IF(OR(BOE!$A37="",BOE!$E37&lt;&gt;"Y"),"",IF(Inputs!$B$7="P90",BOE!$T37,BOE!$R37))</f>
        <v/>
      </c>
      <c r="F68" s="72" t="str">
        <f aca="false">IF(OR(F$4="",$C68="",$D68=""),"",IF(AND($C68&lt;EDATE(F$4,1),$D68&gt;=F$4),1,""))</f>
        <v/>
      </c>
      <c r="G68" s="72" t="str">
        <f aca="false">IF(OR(G$4="",$C68="",$D68=""),"",IF(AND($C68&lt;EDATE(G$4,1),$D68&gt;=G$4),1,""))</f>
        <v/>
      </c>
      <c r="H68" s="72" t="str">
        <f aca="false">IF(OR(H$4="",$C68="",$D68=""),"",IF(AND($C68&lt;EDATE(H$4,1),$D68&gt;=H$4),1,""))</f>
        <v/>
      </c>
      <c r="I68" s="72" t="str">
        <f aca="false">IF(OR(I$4="",$C68="",$D68=""),"",IF(AND($C68&lt;EDATE(I$4,1),$D68&gt;=I$4),1,""))</f>
        <v/>
      </c>
      <c r="J68" s="72" t="str">
        <f aca="false">IF(OR(J$4="",$C68="",$D68=""),"",IF(AND($C68&lt;EDATE(J$4,1),$D68&gt;=J$4),1,""))</f>
        <v/>
      </c>
      <c r="K68" s="72" t="str">
        <f aca="false">IF(OR(K$4="",$C68="",$D68=""),"",IF(AND($C68&lt;EDATE(K$4,1),$D68&gt;=K$4),1,""))</f>
        <v/>
      </c>
      <c r="L68" s="72" t="str">
        <f aca="false">IF(OR(L$4="",$C68="",$D68=""),"",IF(AND($C68&lt;EDATE(L$4,1),$D68&gt;=L$4),1,""))</f>
        <v/>
      </c>
      <c r="M68" s="72" t="str">
        <f aca="false">IF(OR(M$4="",$C68="",$D68=""),"",IF(AND($C68&lt;EDATE(M$4,1),$D68&gt;=M$4),1,""))</f>
        <v/>
      </c>
      <c r="N68" s="72" t="str">
        <f aca="false">IF(OR(N$4="",$C68="",$D68=""),"",IF(AND($C68&lt;EDATE(N$4,1),$D68&gt;=N$4),1,""))</f>
        <v/>
      </c>
      <c r="O68" s="72" t="str">
        <f aca="false">IF(OR(O$4="",$C68="",$D68=""),"",IF(AND($C68&lt;EDATE(O$4,1),$D68&gt;=O$4),1,""))</f>
        <v/>
      </c>
      <c r="P68" s="72" t="str">
        <f aca="false">IF(OR(P$4="",$C68="",$D68=""),"",IF(AND($C68&lt;EDATE(P$4,1),$D68&gt;=P$4),1,""))</f>
        <v/>
      </c>
      <c r="Q68" s="72" t="str">
        <f aca="false">IF(OR(Q$4="",$C68="",$D68=""),"",IF(AND($C68&lt;EDATE(Q$4,1),$D68&gt;=Q$4),1,""))</f>
        <v/>
      </c>
      <c r="R68" s="72" t="str">
        <f aca="false">IF(OR(R$4="",$C68="",$D68=""),"",IF(AND($C68&lt;EDATE(R$4,1),$D68&gt;=R$4),1,""))</f>
        <v/>
      </c>
      <c r="S68" s="72" t="str">
        <f aca="false">IF(OR(S$4="",$C68="",$D68=""),"",IF(AND($C68&lt;EDATE(S$4,1),$D68&gt;=S$4),1,""))</f>
        <v/>
      </c>
      <c r="T68" s="72" t="str">
        <f aca="false">IF(OR(T$4="",$C68="",$D68=""),"",IF(AND($C68&lt;EDATE(T$4,1),$D68&gt;=T$4),1,""))</f>
        <v/>
      </c>
      <c r="U68" s="72" t="str">
        <f aca="false">IF(OR(U$4="",$C68="",$D68=""),"",IF(AND($C68&lt;EDATE(U$4,1),$D68&gt;=U$4),1,""))</f>
        <v/>
      </c>
      <c r="V68" s="72" t="str">
        <f aca="false">IF(OR(V$4="",$C68="",$D68=""),"",IF(AND($C68&lt;EDATE(V$4,1),$D68&gt;=V$4),1,""))</f>
        <v/>
      </c>
      <c r="W68" s="72" t="str">
        <f aca="false">IF(OR(W$4="",$C68="",$D68=""),"",IF(AND($C68&lt;EDATE(W$4,1),$D68&gt;=W$4),1,""))</f>
        <v/>
      </c>
      <c r="X68" s="72" t="str">
        <f aca="false">IF(OR(X$4="",$C68="",$D68=""),"",IF(AND($C68&lt;EDATE(X$4,1),$D68&gt;=X$4),1,""))</f>
        <v/>
      </c>
      <c r="Y68" s="72" t="str">
        <f aca="false">IF(OR(Y$4="",$C68="",$D68=""),"",IF(AND($C68&lt;EDATE(Y$4,1),$D68&gt;=Y$4),1,""))</f>
        <v/>
      </c>
      <c r="Z68" s="72" t="str">
        <f aca="false">IF(OR(Z$4="",$C68="",$D68=""),"",IF(AND($C68&lt;EDATE(Z$4,1),$D68&gt;=Z$4),1,""))</f>
        <v/>
      </c>
      <c r="AA68" s="72" t="str">
        <f aca="false">IF(OR(AA$4="",$C68="",$D68=""),"",IF(AND($C68&lt;EDATE(AA$4,1),$D68&gt;=AA$4),1,""))</f>
        <v/>
      </c>
      <c r="AB68" s="72" t="str">
        <f aca="false">IF(OR(AB$4="",$C68="",$D68=""),"",IF(AND($C68&lt;EDATE(AB$4,1),$D68&gt;=AB$4),1,""))</f>
        <v/>
      </c>
      <c r="AC68" s="72" t="str">
        <f aca="false">IF(OR(AC$4="",$C68="",$D68=""),"",IF(AND($C68&lt;EDATE(AC$4,1),$D68&gt;=AC$4),1,""))</f>
        <v/>
      </c>
      <c r="AD68" s="72" t="str">
        <f aca="false">IF(OR(AD$4="",$C68="",$D68=""),"",IF(AND($C68&lt;EDATE(AD$4,1),$D68&gt;=AD$4),1,""))</f>
        <v/>
      </c>
      <c r="AE68" s="72" t="str">
        <f aca="false">IF(OR(AE$4="",$C68="",$D68=""),"",IF(AND($C68&lt;EDATE(AE$4,1),$D68&gt;=AE$4),1,""))</f>
        <v/>
      </c>
      <c r="AF68" s="72" t="str">
        <f aca="false">IF(OR(AF$4="",$C68="",$D68=""),"",IF(AND($C68&lt;EDATE(AF$4,1),$D68&gt;=AF$4),1,""))</f>
        <v/>
      </c>
      <c r="AG68" s="72" t="str">
        <f aca="false">IF(OR(AG$4="",$C68="",$D68=""),"",IF(AND($C68&lt;EDATE(AG$4,1),$D68&gt;=AG$4),1,""))</f>
        <v/>
      </c>
      <c r="AH68" s="72" t="str">
        <f aca="false">IF(OR(AH$4="",$C68="",$D68=""),"",IF(AND($C68&lt;EDATE(AH$4,1),$D68&gt;=AH$4),1,""))</f>
        <v/>
      </c>
      <c r="AI68" s="72" t="str">
        <f aca="false">IF(OR(AI$4="",$C68="",$D68=""),"",IF(AND($C68&lt;EDATE(AI$4,1),$D68&gt;=AI$4),1,""))</f>
        <v/>
      </c>
      <c r="AJ68" s="72" t="str">
        <f aca="false">IF(OR(AJ$4="",$C68="",$D68=""),"",IF(AND($C68&lt;EDATE(AJ$4,1),$D68&gt;=AJ$4),1,""))</f>
        <v/>
      </c>
      <c r="AK68" s="72" t="str">
        <f aca="false">IF(OR(AK$4="",$C68="",$D68=""),"",IF(AND($C68&lt;EDATE(AK$4,1),$D68&gt;=AK$4),1,""))</f>
        <v/>
      </c>
      <c r="AL68" s="72" t="str">
        <f aca="false">IF(OR(AL$4="",$C68="",$D68=""),"",IF(AND($C68&lt;EDATE(AL$4,1),$D68&gt;=AL$4),1,""))</f>
        <v/>
      </c>
      <c r="AM68" s="72" t="str">
        <f aca="false">IF(OR(AM$4="",$C68="",$D68=""),"",IF(AND($C68&lt;EDATE(AM$4,1),$D68&gt;=AM$4),1,""))</f>
        <v/>
      </c>
      <c r="AN68" s="72" t="str">
        <f aca="false">IF(OR(AN$4="",$C68="",$D68=""),"",IF(AND($C68&lt;EDATE(AN$4,1),$D68&gt;=AN$4),1,""))</f>
        <v/>
      </c>
      <c r="AO68" s="72" t="str">
        <f aca="false">IF(OR(AO$4="",$C68="",$D68=""),"",IF(AND($C68&lt;EDATE(AO$4,1),$D68&gt;=AO$4),1,""))</f>
        <v/>
      </c>
      <c r="AP68" s="72" t="str">
        <f aca="false">IF(OR(AP$4="",$C68="",$D68=""),"",IF(AND($C68&lt;EDATE(AP$4,1),$D68&gt;=AP$4),1,""))</f>
        <v/>
      </c>
      <c r="AQ68" s="72" t="str">
        <f aca="false">IF(OR(AQ$4="",$C68="",$D68=""),"",IF(AND($C68&lt;EDATE(AQ$4,1),$D68&gt;=AQ$4),1,""))</f>
        <v/>
      </c>
      <c r="AR68" s="72" t="str">
        <f aca="false">IF(OR(AR$4="",$C68="",$D68=""),"",IF(AND($C68&lt;EDATE(AR$4,1),$D68&gt;=AR$4),1,""))</f>
        <v/>
      </c>
      <c r="AS68" s="72" t="str">
        <f aca="false">IF(OR(AS$4="",$C68="",$D68=""),"",IF(AND($C68&lt;EDATE(AS$4,1),$D68&gt;=AS$4),1,""))</f>
        <v/>
      </c>
      <c r="AT68" s="72" t="str">
        <f aca="false">IF(OR(AT$4="",$C68="",$D68=""),"",IF(AND($C68&lt;EDATE(AT$4,1),$D68&gt;=AT$4),1,""))</f>
        <v/>
      </c>
      <c r="AU68" s="72" t="str">
        <f aca="false">IF(OR(AU$4="",$C68="",$D68=""),"",IF(AND($C68&lt;EDATE(AU$4,1),$D68&gt;=AU$4),1,""))</f>
        <v/>
      </c>
      <c r="AV68" s="72" t="str">
        <f aca="false">IF(OR(AV$4="",$C68="",$D68=""),"",IF(AND($C68&lt;EDATE(AV$4,1),$D68&gt;=AV$4),1,""))</f>
        <v/>
      </c>
      <c r="AW68" s="72" t="str">
        <f aca="false">IF(OR(AW$4="",$C68="",$D68=""),"",IF(AND($C68&lt;EDATE(AW$4,1),$D68&gt;=AW$4),1,""))</f>
        <v/>
      </c>
      <c r="AX68" s="72" t="str">
        <f aca="false">IF(OR(AX$4="",$C68="",$D68=""),"",IF(AND($C68&lt;EDATE(AX$4,1),$D68&gt;=AX$4),1,""))</f>
        <v/>
      </c>
      <c r="AY68" s="72" t="str">
        <f aca="false">IF(OR(AY$4="",$C68="",$D68=""),"",IF(AND($C68&lt;EDATE(AY$4,1),$D68&gt;=AY$4),1,""))</f>
        <v/>
      </c>
      <c r="AZ68" s="72" t="str">
        <f aca="false">IF(OR(AZ$4="",$C68="",$D68=""),"",IF(AND($C68&lt;EDATE(AZ$4,1),$D68&gt;=AZ$4),1,""))</f>
        <v/>
      </c>
      <c r="BA68" s="72" t="str">
        <f aca="false">IF(OR(BA$4="",$C68="",$D68=""),"",IF(AND($C68&lt;EDATE(BA$4,1),$D68&gt;=BA$4),1,""))</f>
        <v/>
      </c>
      <c r="BB68" s="72" t="str">
        <f aca="false">IF(OR(BB$4="",$C68="",$D68=""),"",IF(AND($C68&lt;EDATE(BB$4,1),$D68&gt;=BB$4),1,""))</f>
        <v/>
      </c>
      <c r="BC68" s="72" t="str">
        <f aca="false">IF(OR(BC$4="",$C68="",$D68=""),"",IF(AND($C68&lt;EDATE(BC$4,1),$D68&gt;=BC$4),1,""))</f>
        <v/>
      </c>
      <c r="BD68" s="72" t="str">
        <f aca="false">IF(OR(BD$4="",$C68="",$D68=""),"",IF(AND($C68&lt;EDATE(BD$4,1),$D68&gt;=BD$4),1,""))</f>
        <v/>
      </c>
      <c r="BE68" s="72" t="str">
        <f aca="false">IF(OR(BE$4="",$C68="",$D68=""),"",IF(AND($C68&lt;EDATE(BE$4,1),$D68&gt;=BE$4),1,""))</f>
        <v/>
      </c>
      <c r="BF68" s="72" t="str">
        <f aca="false">IF(OR(BF$4="",$C68="",$D68=""),"",IF(AND($C68&lt;EDATE(BF$4,1),$D68&gt;=BF$4),1,""))</f>
        <v/>
      </c>
      <c r="BG68" s="72" t="str">
        <f aca="false">IF(OR(BG$4="",$C68="",$D68=""),"",IF(AND($C68&lt;EDATE(BG$4,1),$D68&gt;=BG$4),1,""))</f>
        <v/>
      </c>
      <c r="BH68" s="72" t="str">
        <f aca="false">IF(OR(BH$4="",$C68="",$D68=""),"",IF(AND($C68&lt;EDATE(BH$4,1),$D68&gt;=BH$4),1,""))</f>
        <v/>
      </c>
      <c r="BI68" s="72" t="str">
        <f aca="false">IF(OR(BI$4="",$C68="",$D68=""),"",IF(AND($C68&lt;EDATE(BI$4,1),$D68&gt;=BI$4),1,""))</f>
        <v/>
      </c>
      <c r="BJ68" s="72" t="str">
        <f aca="false">IF(OR(BJ$4="",$C68="",$D68=""),"",IF(AND($C68&lt;EDATE(BJ$4,1),$D68&gt;=BJ$4),1,""))</f>
        <v/>
      </c>
      <c r="BK68" s="72" t="str">
        <f aca="false">IF(OR(BK$4="",$C68="",$D68=""),"",IF(AND($C68&lt;EDATE(BK$4,1),$D68&gt;=BK$4),1,""))</f>
        <v/>
      </c>
      <c r="BL68" s="72" t="str">
        <f aca="false">IF(OR(BL$4="",$C68="",$D68=""),"",IF(AND($C68&lt;EDATE(BL$4,1),$D68&gt;=BL$4),1,""))</f>
        <v/>
      </c>
      <c r="BM68" s="72" t="str">
        <f aca="false">IF(OR(BM$4="",$C68="",$D68=""),"",IF(AND($C68&lt;EDATE(BM$4,1),$D68&gt;=BM$4),1,""))</f>
        <v/>
      </c>
      <c r="BN68" s="72" t="str">
        <f aca="false">IF(OR(BN$4="",$C68="",$D68=""),"",IF(AND($C68&lt;EDATE(BN$4,1),$D68&gt;=BN$4),1,""))</f>
        <v/>
      </c>
      <c r="BO68" s="72" t="str">
        <f aca="false">IF(OR(BO$4="",$C68="",$D68=""),"",IF(AND($C68&lt;EDATE(BO$4,1),$D68&gt;=BO$4),1,""))</f>
        <v/>
      </c>
      <c r="BP68" s="72" t="str">
        <f aca="false">IF(OR(BP$4="",$C68="",$D68=""),"",IF(AND($C68&lt;EDATE(BP$4,1),$D68&gt;=BP$4),1,""))</f>
        <v/>
      </c>
      <c r="BQ68" s="72" t="str">
        <f aca="false">IF(OR(BQ$4="",$C68="",$D68=""),"",IF(AND($C68&lt;EDATE(BQ$4,1),$D68&gt;=BQ$4),1,""))</f>
        <v/>
      </c>
      <c r="BR68" s="72" t="str">
        <f aca="false">IF(OR(BR$4="",$C68="",$D68=""),"",IF(AND($C68&lt;EDATE(BR$4,1),$D68&gt;=BR$4),1,""))</f>
        <v/>
      </c>
      <c r="BS68" s="72" t="str">
        <f aca="false">IF(OR(BS$4="",$C68="",$D68=""),"",IF(AND($C68&lt;EDATE(BS$4,1),$D68&gt;=BS$4),1,""))</f>
        <v/>
      </c>
      <c r="BT68" s="72" t="str">
        <f aca="false">IF(OR(BT$4="",$C68="",$D68=""),"",IF(AND($C68&lt;EDATE(BT$4,1),$D68&gt;=BT$4),1,""))</f>
        <v/>
      </c>
      <c r="BU68" s="72" t="str">
        <f aca="false">IF(OR(BU$4="",$C68="",$D68=""),"",IF(AND($C68&lt;EDATE(BU$4,1),$D68&gt;=BU$4),1,""))</f>
        <v/>
      </c>
      <c r="BV68" s="72" t="str">
        <f aca="false">IF(OR(BV$4="",$C68="",$D68=""),"",IF(AND($C68&lt;EDATE(BV$4,1),$D68&gt;=BV$4),1,""))</f>
        <v/>
      </c>
      <c r="BW68" s="72" t="str">
        <f aca="false">IF(OR(BW$4="",$C68="",$D68=""),"",IF(AND($C68&lt;EDATE(BW$4,1),$D68&gt;=BW$4),1,""))</f>
        <v/>
      </c>
      <c r="BX68" s="72" t="str">
        <f aca="false">IF(OR(BX$4="",$C68="",$D68=""),"",IF(AND($C68&lt;EDATE(BX$4,1),$D68&gt;=BX$4),1,""))</f>
        <v/>
      </c>
      <c r="BY68" s="72" t="str">
        <f aca="false">IF(OR(BY$4="",$C68="",$D68=""),"",IF(AND($C68&lt;EDATE(BY$4,1),$D68&gt;=BY$4),1,""))</f>
        <v/>
      </c>
    </row>
    <row r="69" customFormat="false" ht="15" hidden="false" customHeight="false" outlineLevel="0" collapsed="false">
      <c r="A69" s="61" t="str">
        <f aca="false">IF(BOE!$A38="","",BOE!$A38)</f>
        <v/>
      </c>
      <c r="B69" s="61" t="str">
        <f aca="false">IF(BOE!$A38="","",BOE!$C38)</f>
        <v/>
      </c>
      <c r="C69" s="62" t="str">
        <f aca="false">IF(OR(BOE!$A38="",BOE!$E38&lt;&gt;"Y"),"",BOE!$O38)</f>
        <v/>
      </c>
      <c r="D69" s="62" t="str">
        <f aca="false">IF(OR(BOE!$A38="",BOE!$E38&lt;&gt;"Y"),"",BOE!$P38)</f>
        <v/>
      </c>
      <c r="E69" s="63" t="str">
        <f aca="false">IF(OR(BOE!$A38="",BOE!$E38&lt;&gt;"Y"),"",IF(Inputs!$B$7="P90",BOE!$T38,BOE!$R38))</f>
        <v/>
      </c>
      <c r="F69" s="72" t="str">
        <f aca="false">IF(OR(F$4="",$C69="",$D69=""),"",IF(AND($C69&lt;EDATE(F$4,1),$D69&gt;=F$4),1,""))</f>
        <v/>
      </c>
      <c r="G69" s="72" t="str">
        <f aca="false">IF(OR(G$4="",$C69="",$D69=""),"",IF(AND($C69&lt;EDATE(G$4,1),$D69&gt;=G$4),1,""))</f>
        <v/>
      </c>
      <c r="H69" s="72" t="str">
        <f aca="false">IF(OR(H$4="",$C69="",$D69=""),"",IF(AND($C69&lt;EDATE(H$4,1),$D69&gt;=H$4),1,""))</f>
        <v/>
      </c>
      <c r="I69" s="72" t="str">
        <f aca="false">IF(OR(I$4="",$C69="",$D69=""),"",IF(AND($C69&lt;EDATE(I$4,1),$D69&gt;=I$4),1,""))</f>
        <v/>
      </c>
      <c r="J69" s="72" t="str">
        <f aca="false">IF(OR(J$4="",$C69="",$D69=""),"",IF(AND($C69&lt;EDATE(J$4,1),$D69&gt;=J$4),1,""))</f>
        <v/>
      </c>
      <c r="K69" s="72" t="str">
        <f aca="false">IF(OR(K$4="",$C69="",$D69=""),"",IF(AND($C69&lt;EDATE(K$4,1),$D69&gt;=K$4),1,""))</f>
        <v/>
      </c>
      <c r="L69" s="72" t="str">
        <f aca="false">IF(OR(L$4="",$C69="",$D69=""),"",IF(AND($C69&lt;EDATE(L$4,1),$D69&gt;=L$4),1,""))</f>
        <v/>
      </c>
      <c r="M69" s="72" t="str">
        <f aca="false">IF(OR(M$4="",$C69="",$D69=""),"",IF(AND($C69&lt;EDATE(M$4,1),$D69&gt;=M$4),1,""))</f>
        <v/>
      </c>
      <c r="N69" s="72" t="str">
        <f aca="false">IF(OR(N$4="",$C69="",$D69=""),"",IF(AND($C69&lt;EDATE(N$4,1),$D69&gt;=N$4),1,""))</f>
        <v/>
      </c>
      <c r="O69" s="72" t="str">
        <f aca="false">IF(OR(O$4="",$C69="",$D69=""),"",IF(AND($C69&lt;EDATE(O$4,1),$D69&gt;=O$4),1,""))</f>
        <v/>
      </c>
      <c r="P69" s="72" t="str">
        <f aca="false">IF(OR(P$4="",$C69="",$D69=""),"",IF(AND($C69&lt;EDATE(P$4,1),$D69&gt;=P$4),1,""))</f>
        <v/>
      </c>
      <c r="Q69" s="72" t="str">
        <f aca="false">IF(OR(Q$4="",$C69="",$D69=""),"",IF(AND($C69&lt;EDATE(Q$4,1),$D69&gt;=Q$4),1,""))</f>
        <v/>
      </c>
      <c r="R69" s="72" t="str">
        <f aca="false">IF(OR(R$4="",$C69="",$D69=""),"",IF(AND($C69&lt;EDATE(R$4,1),$D69&gt;=R$4),1,""))</f>
        <v/>
      </c>
      <c r="S69" s="72" t="str">
        <f aca="false">IF(OR(S$4="",$C69="",$D69=""),"",IF(AND($C69&lt;EDATE(S$4,1),$D69&gt;=S$4),1,""))</f>
        <v/>
      </c>
      <c r="T69" s="72" t="str">
        <f aca="false">IF(OR(T$4="",$C69="",$D69=""),"",IF(AND($C69&lt;EDATE(T$4,1),$D69&gt;=T$4),1,""))</f>
        <v/>
      </c>
      <c r="U69" s="72" t="str">
        <f aca="false">IF(OR(U$4="",$C69="",$D69=""),"",IF(AND($C69&lt;EDATE(U$4,1),$D69&gt;=U$4),1,""))</f>
        <v/>
      </c>
      <c r="V69" s="72" t="str">
        <f aca="false">IF(OR(V$4="",$C69="",$D69=""),"",IF(AND($C69&lt;EDATE(V$4,1),$D69&gt;=V$4),1,""))</f>
        <v/>
      </c>
      <c r="W69" s="72" t="str">
        <f aca="false">IF(OR(W$4="",$C69="",$D69=""),"",IF(AND($C69&lt;EDATE(W$4,1),$D69&gt;=W$4),1,""))</f>
        <v/>
      </c>
      <c r="X69" s="72" t="str">
        <f aca="false">IF(OR(X$4="",$C69="",$D69=""),"",IF(AND($C69&lt;EDATE(X$4,1),$D69&gt;=X$4),1,""))</f>
        <v/>
      </c>
      <c r="Y69" s="72" t="str">
        <f aca="false">IF(OR(Y$4="",$C69="",$D69=""),"",IF(AND($C69&lt;EDATE(Y$4,1),$D69&gt;=Y$4),1,""))</f>
        <v/>
      </c>
      <c r="Z69" s="72" t="str">
        <f aca="false">IF(OR(Z$4="",$C69="",$D69=""),"",IF(AND($C69&lt;EDATE(Z$4,1),$D69&gt;=Z$4),1,""))</f>
        <v/>
      </c>
      <c r="AA69" s="72" t="str">
        <f aca="false">IF(OR(AA$4="",$C69="",$D69=""),"",IF(AND($C69&lt;EDATE(AA$4,1),$D69&gt;=AA$4),1,""))</f>
        <v/>
      </c>
      <c r="AB69" s="72" t="str">
        <f aca="false">IF(OR(AB$4="",$C69="",$D69=""),"",IF(AND($C69&lt;EDATE(AB$4,1),$D69&gt;=AB$4),1,""))</f>
        <v/>
      </c>
      <c r="AC69" s="72" t="str">
        <f aca="false">IF(OR(AC$4="",$C69="",$D69=""),"",IF(AND($C69&lt;EDATE(AC$4,1),$D69&gt;=AC$4),1,""))</f>
        <v/>
      </c>
      <c r="AD69" s="72" t="str">
        <f aca="false">IF(OR(AD$4="",$C69="",$D69=""),"",IF(AND($C69&lt;EDATE(AD$4,1),$D69&gt;=AD$4),1,""))</f>
        <v/>
      </c>
      <c r="AE69" s="72" t="str">
        <f aca="false">IF(OR(AE$4="",$C69="",$D69=""),"",IF(AND($C69&lt;EDATE(AE$4,1),$D69&gt;=AE$4),1,""))</f>
        <v/>
      </c>
      <c r="AF69" s="72" t="str">
        <f aca="false">IF(OR(AF$4="",$C69="",$D69=""),"",IF(AND($C69&lt;EDATE(AF$4,1),$D69&gt;=AF$4),1,""))</f>
        <v/>
      </c>
      <c r="AG69" s="72" t="str">
        <f aca="false">IF(OR(AG$4="",$C69="",$D69=""),"",IF(AND($C69&lt;EDATE(AG$4,1),$D69&gt;=AG$4),1,""))</f>
        <v/>
      </c>
      <c r="AH69" s="72" t="str">
        <f aca="false">IF(OR(AH$4="",$C69="",$D69=""),"",IF(AND($C69&lt;EDATE(AH$4,1),$D69&gt;=AH$4),1,""))</f>
        <v/>
      </c>
      <c r="AI69" s="72" t="str">
        <f aca="false">IF(OR(AI$4="",$C69="",$D69=""),"",IF(AND($C69&lt;EDATE(AI$4,1),$D69&gt;=AI$4),1,""))</f>
        <v/>
      </c>
      <c r="AJ69" s="72" t="str">
        <f aca="false">IF(OR(AJ$4="",$C69="",$D69=""),"",IF(AND($C69&lt;EDATE(AJ$4,1),$D69&gt;=AJ$4),1,""))</f>
        <v/>
      </c>
      <c r="AK69" s="72" t="str">
        <f aca="false">IF(OR(AK$4="",$C69="",$D69=""),"",IF(AND($C69&lt;EDATE(AK$4,1),$D69&gt;=AK$4),1,""))</f>
        <v/>
      </c>
      <c r="AL69" s="72" t="str">
        <f aca="false">IF(OR(AL$4="",$C69="",$D69=""),"",IF(AND($C69&lt;EDATE(AL$4,1),$D69&gt;=AL$4),1,""))</f>
        <v/>
      </c>
      <c r="AM69" s="72" t="str">
        <f aca="false">IF(OR(AM$4="",$C69="",$D69=""),"",IF(AND($C69&lt;EDATE(AM$4,1),$D69&gt;=AM$4),1,""))</f>
        <v/>
      </c>
      <c r="AN69" s="72" t="str">
        <f aca="false">IF(OR(AN$4="",$C69="",$D69=""),"",IF(AND($C69&lt;EDATE(AN$4,1),$D69&gt;=AN$4),1,""))</f>
        <v/>
      </c>
      <c r="AO69" s="72" t="str">
        <f aca="false">IF(OR(AO$4="",$C69="",$D69=""),"",IF(AND($C69&lt;EDATE(AO$4,1),$D69&gt;=AO$4),1,""))</f>
        <v/>
      </c>
      <c r="AP69" s="72" t="str">
        <f aca="false">IF(OR(AP$4="",$C69="",$D69=""),"",IF(AND($C69&lt;EDATE(AP$4,1),$D69&gt;=AP$4),1,""))</f>
        <v/>
      </c>
      <c r="AQ69" s="72" t="str">
        <f aca="false">IF(OR(AQ$4="",$C69="",$D69=""),"",IF(AND($C69&lt;EDATE(AQ$4,1),$D69&gt;=AQ$4),1,""))</f>
        <v/>
      </c>
      <c r="AR69" s="72" t="str">
        <f aca="false">IF(OR(AR$4="",$C69="",$D69=""),"",IF(AND($C69&lt;EDATE(AR$4,1),$D69&gt;=AR$4),1,""))</f>
        <v/>
      </c>
      <c r="AS69" s="72" t="str">
        <f aca="false">IF(OR(AS$4="",$C69="",$D69=""),"",IF(AND($C69&lt;EDATE(AS$4,1),$D69&gt;=AS$4),1,""))</f>
        <v/>
      </c>
      <c r="AT69" s="72" t="str">
        <f aca="false">IF(OR(AT$4="",$C69="",$D69=""),"",IF(AND($C69&lt;EDATE(AT$4,1),$D69&gt;=AT$4),1,""))</f>
        <v/>
      </c>
      <c r="AU69" s="72" t="str">
        <f aca="false">IF(OR(AU$4="",$C69="",$D69=""),"",IF(AND($C69&lt;EDATE(AU$4,1),$D69&gt;=AU$4),1,""))</f>
        <v/>
      </c>
      <c r="AV69" s="72" t="str">
        <f aca="false">IF(OR(AV$4="",$C69="",$D69=""),"",IF(AND($C69&lt;EDATE(AV$4,1),$D69&gt;=AV$4),1,""))</f>
        <v/>
      </c>
      <c r="AW69" s="72" t="str">
        <f aca="false">IF(OR(AW$4="",$C69="",$D69=""),"",IF(AND($C69&lt;EDATE(AW$4,1),$D69&gt;=AW$4),1,""))</f>
        <v/>
      </c>
      <c r="AX69" s="72" t="str">
        <f aca="false">IF(OR(AX$4="",$C69="",$D69=""),"",IF(AND($C69&lt;EDATE(AX$4,1),$D69&gt;=AX$4),1,""))</f>
        <v/>
      </c>
      <c r="AY69" s="72" t="str">
        <f aca="false">IF(OR(AY$4="",$C69="",$D69=""),"",IF(AND($C69&lt;EDATE(AY$4,1),$D69&gt;=AY$4),1,""))</f>
        <v/>
      </c>
      <c r="AZ69" s="72" t="str">
        <f aca="false">IF(OR(AZ$4="",$C69="",$D69=""),"",IF(AND($C69&lt;EDATE(AZ$4,1),$D69&gt;=AZ$4),1,""))</f>
        <v/>
      </c>
      <c r="BA69" s="72" t="str">
        <f aca="false">IF(OR(BA$4="",$C69="",$D69=""),"",IF(AND($C69&lt;EDATE(BA$4,1),$D69&gt;=BA$4),1,""))</f>
        <v/>
      </c>
      <c r="BB69" s="72" t="str">
        <f aca="false">IF(OR(BB$4="",$C69="",$D69=""),"",IF(AND($C69&lt;EDATE(BB$4,1),$D69&gt;=BB$4),1,""))</f>
        <v/>
      </c>
      <c r="BC69" s="72" t="str">
        <f aca="false">IF(OR(BC$4="",$C69="",$D69=""),"",IF(AND($C69&lt;EDATE(BC$4,1),$D69&gt;=BC$4),1,""))</f>
        <v/>
      </c>
      <c r="BD69" s="72" t="str">
        <f aca="false">IF(OR(BD$4="",$C69="",$D69=""),"",IF(AND($C69&lt;EDATE(BD$4,1),$D69&gt;=BD$4),1,""))</f>
        <v/>
      </c>
      <c r="BE69" s="72" t="str">
        <f aca="false">IF(OR(BE$4="",$C69="",$D69=""),"",IF(AND($C69&lt;EDATE(BE$4,1),$D69&gt;=BE$4),1,""))</f>
        <v/>
      </c>
      <c r="BF69" s="72" t="str">
        <f aca="false">IF(OR(BF$4="",$C69="",$D69=""),"",IF(AND($C69&lt;EDATE(BF$4,1),$D69&gt;=BF$4),1,""))</f>
        <v/>
      </c>
      <c r="BG69" s="72" t="str">
        <f aca="false">IF(OR(BG$4="",$C69="",$D69=""),"",IF(AND($C69&lt;EDATE(BG$4,1),$D69&gt;=BG$4),1,""))</f>
        <v/>
      </c>
      <c r="BH69" s="72" t="str">
        <f aca="false">IF(OR(BH$4="",$C69="",$D69=""),"",IF(AND($C69&lt;EDATE(BH$4,1),$D69&gt;=BH$4),1,""))</f>
        <v/>
      </c>
      <c r="BI69" s="72" t="str">
        <f aca="false">IF(OR(BI$4="",$C69="",$D69=""),"",IF(AND($C69&lt;EDATE(BI$4,1),$D69&gt;=BI$4),1,""))</f>
        <v/>
      </c>
      <c r="BJ69" s="72" t="str">
        <f aca="false">IF(OR(BJ$4="",$C69="",$D69=""),"",IF(AND($C69&lt;EDATE(BJ$4,1),$D69&gt;=BJ$4),1,""))</f>
        <v/>
      </c>
      <c r="BK69" s="72" t="str">
        <f aca="false">IF(OR(BK$4="",$C69="",$D69=""),"",IF(AND($C69&lt;EDATE(BK$4,1),$D69&gt;=BK$4),1,""))</f>
        <v/>
      </c>
      <c r="BL69" s="72" t="str">
        <f aca="false">IF(OR(BL$4="",$C69="",$D69=""),"",IF(AND($C69&lt;EDATE(BL$4,1),$D69&gt;=BL$4),1,""))</f>
        <v/>
      </c>
      <c r="BM69" s="72" t="str">
        <f aca="false">IF(OR(BM$4="",$C69="",$D69=""),"",IF(AND($C69&lt;EDATE(BM$4,1),$D69&gt;=BM$4),1,""))</f>
        <v/>
      </c>
      <c r="BN69" s="72" t="str">
        <f aca="false">IF(OR(BN$4="",$C69="",$D69=""),"",IF(AND($C69&lt;EDATE(BN$4,1),$D69&gt;=BN$4),1,""))</f>
        <v/>
      </c>
      <c r="BO69" s="72" t="str">
        <f aca="false">IF(OR(BO$4="",$C69="",$D69=""),"",IF(AND($C69&lt;EDATE(BO$4,1),$D69&gt;=BO$4),1,""))</f>
        <v/>
      </c>
      <c r="BP69" s="72" t="str">
        <f aca="false">IF(OR(BP$4="",$C69="",$D69=""),"",IF(AND($C69&lt;EDATE(BP$4,1),$D69&gt;=BP$4),1,""))</f>
        <v/>
      </c>
      <c r="BQ69" s="72" t="str">
        <f aca="false">IF(OR(BQ$4="",$C69="",$D69=""),"",IF(AND($C69&lt;EDATE(BQ$4,1),$D69&gt;=BQ$4),1,""))</f>
        <v/>
      </c>
      <c r="BR69" s="72" t="str">
        <f aca="false">IF(OR(BR$4="",$C69="",$D69=""),"",IF(AND($C69&lt;EDATE(BR$4,1),$D69&gt;=BR$4),1,""))</f>
        <v/>
      </c>
      <c r="BS69" s="72" t="str">
        <f aca="false">IF(OR(BS$4="",$C69="",$D69=""),"",IF(AND($C69&lt;EDATE(BS$4,1),$D69&gt;=BS$4),1,""))</f>
        <v/>
      </c>
      <c r="BT69" s="72" t="str">
        <f aca="false">IF(OR(BT$4="",$C69="",$D69=""),"",IF(AND($C69&lt;EDATE(BT$4,1),$D69&gt;=BT$4),1,""))</f>
        <v/>
      </c>
      <c r="BU69" s="72" t="str">
        <f aca="false">IF(OR(BU$4="",$C69="",$D69=""),"",IF(AND($C69&lt;EDATE(BU$4,1),$D69&gt;=BU$4),1,""))</f>
        <v/>
      </c>
      <c r="BV69" s="72" t="str">
        <f aca="false">IF(OR(BV$4="",$C69="",$D69=""),"",IF(AND($C69&lt;EDATE(BV$4,1),$D69&gt;=BV$4),1,""))</f>
        <v/>
      </c>
      <c r="BW69" s="72" t="str">
        <f aca="false">IF(OR(BW$4="",$C69="",$D69=""),"",IF(AND($C69&lt;EDATE(BW$4,1),$D69&gt;=BW$4),1,""))</f>
        <v/>
      </c>
      <c r="BX69" s="72" t="str">
        <f aca="false">IF(OR(BX$4="",$C69="",$D69=""),"",IF(AND($C69&lt;EDATE(BX$4,1),$D69&gt;=BX$4),1,""))</f>
        <v/>
      </c>
      <c r="BY69" s="72" t="str">
        <f aca="false">IF(OR(BY$4="",$C69="",$D69=""),"",IF(AND($C69&lt;EDATE(BY$4,1),$D69&gt;=BY$4),1,""))</f>
        <v/>
      </c>
    </row>
    <row r="70" customFormat="false" ht="15" hidden="false" customHeight="false" outlineLevel="0" collapsed="false">
      <c r="A70" s="61" t="str">
        <f aca="false">IF(BOE!$A39="","",BOE!$A39)</f>
        <v/>
      </c>
      <c r="B70" s="61" t="str">
        <f aca="false">IF(BOE!$A39="","",BOE!$C39)</f>
        <v/>
      </c>
      <c r="C70" s="62" t="str">
        <f aca="false">IF(OR(BOE!$A39="",BOE!$E39&lt;&gt;"Y"),"",BOE!$O39)</f>
        <v/>
      </c>
      <c r="D70" s="62" t="str">
        <f aca="false">IF(OR(BOE!$A39="",BOE!$E39&lt;&gt;"Y"),"",BOE!$P39)</f>
        <v/>
      </c>
      <c r="E70" s="63" t="str">
        <f aca="false">IF(OR(BOE!$A39="",BOE!$E39&lt;&gt;"Y"),"",IF(Inputs!$B$7="P90",BOE!$T39,BOE!$R39))</f>
        <v/>
      </c>
      <c r="F70" s="72" t="str">
        <f aca="false">IF(OR(F$4="",$C70="",$D70=""),"",IF(AND($C70&lt;EDATE(F$4,1),$D70&gt;=F$4),1,""))</f>
        <v/>
      </c>
      <c r="G70" s="72" t="str">
        <f aca="false">IF(OR(G$4="",$C70="",$D70=""),"",IF(AND($C70&lt;EDATE(G$4,1),$D70&gt;=G$4),1,""))</f>
        <v/>
      </c>
      <c r="H70" s="72" t="str">
        <f aca="false">IF(OR(H$4="",$C70="",$D70=""),"",IF(AND($C70&lt;EDATE(H$4,1),$D70&gt;=H$4),1,""))</f>
        <v/>
      </c>
      <c r="I70" s="72" t="str">
        <f aca="false">IF(OR(I$4="",$C70="",$D70=""),"",IF(AND($C70&lt;EDATE(I$4,1),$D70&gt;=I$4),1,""))</f>
        <v/>
      </c>
      <c r="J70" s="72" t="str">
        <f aca="false">IF(OR(J$4="",$C70="",$D70=""),"",IF(AND($C70&lt;EDATE(J$4,1),$D70&gt;=J$4),1,""))</f>
        <v/>
      </c>
      <c r="K70" s="72" t="str">
        <f aca="false">IF(OR(K$4="",$C70="",$D70=""),"",IF(AND($C70&lt;EDATE(K$4,1),$D70&gt;=K$4),1,""))</f>
        <v/>
      </c>
      <c r="L70" s="72" t="str">
        <f aca="false">IF(OR(L$4="",$C70="",$D70=""),"",IF(AND($C70&lt;EDATE(L$4,1),$D70&gt;=L$4),1,""))</f>
        <v/>
      </c>
      <c r="M70" s="72" t="str">
        <f aca="false">IF(OR(M$4="",$C70="",$D70=""),"",IF(AND($C70&lt;EDATE(M$4,1),$D70&gt;=M$4),1,""))</f>
        <v/>
      </c>
      <c r="N70" s="72" t="str">
        <f aca="false">IF(OR(N$4="",$C70="",$D70=""),"",IF(AND($C70&lt;EDATE(N$4,1),$D70&gt;=N$4),1,""))</f>
        <v/>
      </c>
      <c r="O70" s="72" t="str">
        <f aca="false">IF(OR(O$4="",$C70="",$D70=""),"",IF(AND($C70&lt;EDATE(O$4,1),$D70&gt;=O$4),1,""))</f>
        <v/>
      </c>
      <c r="P70" s="72" t="str">
        <f aca="false">IF(OR(P$4="",$C70="",$D70=""),"",IF(AND($C70&lt;EDATE(P$4,1),$D70&gt;=P$4),1,""))</f>
        <v/>
      </c>
      <c r="Q70" s="72" t="str">
        <f aca="false">IF(OR(Q$4="",$C70="",$D70=""),"",IF(AND($C70&lt;EDATE(Q$4,1),$D70&gt;=Q$4),1,""))</f>
        <v/>
      </c>
      <c r="R70" s="72" t="str">
        <f aca="false">IF(OR(R$4="",$C70="",$D70=""),"",IF(AND($C70&lt;EDATE(R$4,1),$D70&gt;=R$4),1,""))</f>
        <v/>
      </c>
      <c r="S70" s="72" t="str">
        <f aca="false">IF(OR(S$4="",$C70="",$D70=""),"",IF(AND($C70&lt;EDATE(S$4,1),$D70&gt;=S$4),1,""))</f>
        <v/>
      </c>
      <c r="T70" s="72" t="str">
        <f aca="false">IF(OR(T$4="",$C70="",$D70=""),"",IF(AND($C70&lt;EDATE(T$4,1),$D70&gt;=T$4),1,""))</f>
        <v/>
      </c>
      <c r="U70" s="72" t="str">
        <f aca="false">IF(OR(U$4="",$C70="",$D70=""),"",IF(AND($C70&lt;EDATE(U$4,1),$D70&gt;=U$4),1,""))</f>
        <v/>
      </c>
      <c r="V70" s="72" t="str">
        <f aca="false">IF(OR(V$4="",$C70="",$D70=""),"",IF(AND($C70&lt;EDATE(V$4,1),$D70&gt;=V$4),1,""))</f>
        <v/>
      </c>
      <c r="W70" s="72" t="str">
        <f aca="false">IF(OR(W$4="",$C70="",$D70=""),"",IF(AND($C70&lt;EDATE(W$4,1),$D70&gt;=W$4),1,""))</f>
        <v/>
      </c>
      <c r="X70" s="72" t="str">
        <f aca="false">IF(OR(X$4="",$C70="",$D70=""),"",IF(AND($C70&lt;EDATE(X$4,1),$D70&gt;=X$4),1,""))</f>
        <v/>
      </c>
      <c r="Y70" s="72" t="str">
        <f aca="false">IF(OR(Y$4="",$C70="",$D70=""),"",IF(AND($C70&lt;EDATE(Y$4,1),$D70&gt;=Y$4),1,""))</f>
        <v/>
      </c>
      <c r="Z70" s="72" t="str">
        <f aca="false">IF(OR(Z$4="",$C70="",$D70=""),"",IF(AND($C70&lt;EDATE(Z$4,1),$D70&gt;=Z$4),1,""))</f>
        <v/>
      </c>
      <c r="AA70" s="72" t="str">
        <f aca="false">IF(OR(AA$4="",$C70="",$D70=""),"",IF(AND($C70&lt;EDATE(AA$4,1),$D70&gt;=AA$4),1,""))</f>
        <v/>
      </c>
      <c r="AB70" s="72" t="str">
        <f aca="false">IF(OR(AB$4="",$C70="",$D70=""),"",IF(AND($C70&lt;EDATE(AB$4,1),$D70&gt;=AB$4),1,""))</f>
        <v/>
      </c>
      <c r="AC70" s="72" t="str">
        <f aca="false">IF(OR(AC$4="",$C70="",$D70=""),"",IF(AND($C70&lt;EDATE(AC$4,1),$D70&gt;=AC$4),1,""))</f>
        <v/>
      </c>
      <c r="AD70" s="72" t="str">
        <f aca="false">IF(OR(AD$4="",$C70="",$D70=""),"",IF(AND($C70&lt;EDATE(AD$4,1),$D70&gt;=AD$4),1,""))</f>
        <v/>
      </c>
      <c r="AE70" s="72" t="str">
        <f aca="false">IF(OR(AE$4="",$C70="",$D70=""),"",IF(AND($C70&lt;EDATE(AE$4,1),$D70&gt;=AE$4),1,""))</f>
        <v/>
      </c>
      <c r="AF70" s="72" t="str">
        <f aca="false">IF(OR(AF$4="",$C70="",$D70=""),"",IF(AND($C70&lt;EDATE(AF$4,1),$D70&gt;=AF$4),1,""))</f>
        <v/>
      </c>
      <c r="AG70" s="72" t="str">
        <f aca="false">IF(OR(AG$4="",$C70="",$D70=""),"",IF(AND($C70&lt;EDATE(AG$4,1),$D70&gt;=AG$4),1,""))</f>
        <v/>
      </c>
      <c r="AH70" s="72" t="str">
        <f aca="false">IF(OR(AH$4="",$C70="",$D70=""),"",IF(AND($C70&lt;EDATE(AH$4,1),$D70&gt;=AH$4),1,""))</f>
        <v/>
      </c>
      <c r="AI70" s="72" t="str">
        <f aca="false">IF(OR(AI$4="",$C70="",$D70=""),"",IF(AND($C70&lt;EDATE(AI$4,1),$D70&gt;=AI$4),1,""))</f>
        <v/>
      </c>
      <c r="AJ70" s="72" t="str">
        <f aca="false">IF(OR(AJ$4="",$C70="",$D70=""),"",IF(AND($C70&lt;EDATE(AJ$4,1),$D70&gt;=AJ$4),1,""))</f>
        <v/>
      </c>
      <c r="AK70" s="72" t="str">
        <f aca="false">IF(OR(AK$4="",$C70="",$D70=""),"",IF(AND($C70&lt;EDATE(AK$4,1),$D70&gt;=AK$4),1,""))</f>
        <v/>
      </c>
      <c r="AL70" s="72" t="str">
        <f aca="false">IF(OR(AL$4="",$C70="",$D70=""),"",IF(AND($C70&lt;EDATE(AL$4,1),$D70&gt;=AL$4),1,""))</f>
        <v/>
      </c>
      <c r="AM70" s="72" t="str">
        <f aca="false">IF(OR(AM$4="",$C70="",$D70=""),"",IF(AND($C70&lt;EDATE(AM$4,1),$D70&gt;=AM$4),1,""))</f>
        <v/>
      </c>
      <c r="AN70" s="72" t="str">
        <f aca="false">IF(OR(AN$4="",$C70="",$D70=""),"",IF(AND($C70&lt;EDATE(AN$4,1),$D70&gt;=AN$4),1,""))</f>
        <v/>
      </c>
      <c r="AO70" s="72" t="str">
        <f aca="false">IF(OR(AO$4="",$C70="",$D70=""),"",IF(AND($C70&lt;EDATE(AO$4,1),$D70&gt;=AO$4),1,""))</f>
        <v/>
      </c>
      <c r="AP70" s="72" t="str">
        <f aca="false">IF(OR(AP$4="",$C70="",$D70=""),"",IF(AND($C70&lt;EDATE(AP$4,1),$D70&gt;=AP$4),1,""))</f>
        <v/>
      </c>
      <c r="AQ70" s="72" t="str">
        <f aca="false">IF(OR(AQ$4="",$C70="",$D70=""),"",IF(AND($C70&lt;EDATE(AQ$4,1),$D70&gt;=AQ$4),1,""))</f>
        <v/>
      </c>
      <c r="AR70" s="72" t="str">
        <f aca="false">IF(OR(AR$4="",$C70="",$D70=""),"",IF(AND($C70&lt;EDATE(AR$4,1),$D70&gt;=AR$4),1,""))</f>
        <v/>
      </c>
      <c r="AS70" s="72" t="str">
        <f aca="false">IF(OR(AS$4="",$C70="",$D70=""),"",IF(AND($C70&lt;EDATE(AS$4,1),$D70&gt;=AS$4),1,""))</f>
        <v/>
      </c>
      <c r="AT70" s="72" t="str">
        <f aca="false">IF(OR(AT$4="",$C70="",$D70=""),"",IF(AND($C70&lt;EDATE(AT$4,1),$D70&gt;=AT$4),1,""))</f>
        <v/>
      </c>
      <c r="AU70" s="72" t="str">
        <f aca="false">IF(OR(AU$4="",$C70="",$D70=""),"",IF(AND($C70&lt;EDATE(AU$4,1),$D70&gt;=AU$4),1,""))</f>
        <v/>
      </c>
      <c r="AV70" s="72" t="str">
        <f aca="false">IF(OR(AV$4="",$C70="",$D70=""),"",IF(AND($C70&lt;EDATE(AV$4,1),$D70&gt;=AV$4),1,""))</f>
        <v/>
      </c>
      <c r="AW70" s="72" t="str">
        <f aca="false">IF(OR(AW$4="",$C70="",$D70=""),"",IF(AND($C70&lt;EDATE(AW$4,1),$D70&gt;=AW$4),1,""))</f>
        <v/>
      </c>
      <c r="AX70" s="72" t="str">
        <f aca="false">IF(OR(AX$4="",$C70="",$D70=""),"",IF(AND($C70&lt;EDATE(AX$4,1),$D70&gt;=AX$4),1,""))</f>
        <v/>
      </c>
      <c r="AY70" s="72" t="str">
        <f aca="false">IF(OR(AY$4="",$C70="",$D70=""),"",IF(AND($C70&lt;EDATE(AY$4,1),$D70&gt;=AY$4),1,""))</f>
        <v/>
      </c>
      <c r="AZ70" s="72" t="str">
        <f aca="false">IF(OR(AZ$4="",$C70="",$D70=""),"",IF(AND($C70&lt;EDATE(AZ$4,1),$D70&gt;=AZ$4),1,""))</f>
        <v/>
      </c>
      <c r="BA70" s="72" t="str">
        <f aca="false">IF(OR(BA$4="",$C70="",$D70=""),"",IF(AND($C70&lt;EDATE(BA$4,1),$D70&gt;=BA$4),1,""))</f>
        <v/>
      </c>
      <c r="BB70" s="72" t="str">
        <f aca="false">IF(OR(BB$4="",$C70="",$D70=""),"",IF(AND($C70&lt;EDATE(BB$4,1),$D70&gt;=BB$4),1,""))</f>
        <v/>
      </c>
      <c r="BC70" s="72" t="str">
        <f aca="false">IF(OR(BC$4="",$C70="",$D70=""),"",IF(AND($C70&lt;EDATE(BC$4,1),$D70&gt;=BC$4),1,""))</f>
        <v/>
      </c>
      <c r="BD70" s="72" t="str">
        <f aca="false">IF(OR(BD$4="",$C70="",$D70=""),"",IF(AND($C70&lt;EDATE(BD$4,1),$D70&gt;=BD$4),1,""))</f>
        <v/>
      </c>
      <c r="BE70" s="72" t="str">
        <f aca="false">IF(OR(BE$4="",$C70="",$D70=""),"",IF(AND($C70&lt;EDATE(BE$4,1),$D70&gt;=BE$4),1,""))</f>
        <v/>
      </c>
      <c r="BF70" s="72" t="str">
        <f aca="false">IF(OR(BF$4="",$C70="",$D70=""),"",IF(AND($C70&lt;EDATE(BF$4,1),$D70&gt;=BF$4),1,""))</f>
        <v/>
      </c>
      <c r="BG70" s="72" t="str">
        <f aca="false">IF(OR(BG$4="",$C70="",$D70=""),"",IF(AND($C70&lt;EDATE(BG$4,1),$D70&gt;=BG$4),1,""))</f>
        <v/>
      </c>
      <c r="BH70" s="72" t="str">
        <f aca="false">IF(OR(BH$4="",$C70="",$D70=""),"",IF(AND($C70&lt;EDATE(BH$4,1),$D70&gt;=BH$4),1,""))</f>
        <v/>
      </c>
      <c r="BI70" s="72" t="str">
        <f aca="false">IF(OR(BI$4="",$C70="",$D70=""),"",IF(AND($C70&lt;EDATE(BI$4,1),$D70&gt;=BI$4),1,""))</f>
        <v/>
      </c>
      <c r="BJ70" s="72" t="str">
        <f aca="false">IF(OR(BJ$4="",$C70="",$D70=""),"",IF(AND($C70&lt;EDATE(BJ$4,1),$D70&gt;=BJ$4),1,""))</f>
        <v/>
      </c>
      <c r="BK70" s="72" t="str">
        <f aca="false">IF(OR(BK$4="",$C70="",$D70=""),"",IF(AND($C70&lt;EDATE(BK$4,1),$D70&gt;=BK$4),1,""))</f>
        <v/>
      </c>
      <c r="BL70" s="72" t="str">
        <f aca="false">IF(OR(BL$4="",$C70="",$D70=""),"",IF(AND($C70&lt;EDATE(BL$4,1),$D70&gt;=BL$4),1,""))</f>
        <v/>
      </c>
      <c r="BM70" s="72" t="str">
        <f aca="false">IF(OR(BM$4="",$C70="",$D70=""),"",IF(AND($C70&lt;EDATE(BM$4,1),$D70&gt;=BM$4),1,""))</f>
        <v/>
      </c>
      <c r="BN70" s="72" t="str">
        <f aca="false">IF(OR(BN$4="",$C70="",$D70=""),"",IF(AND($C70&lt;EDATE(BN$4,1),$D70&gt;=BN$4),1,""))</f>
        <v/>
      </c>
      <c r="BO70" s="72" t="str">
        <f aca="false">IF(OR(BO$4="",$C70="",$D70=""),"",IF(AND($C70&lt;EDATE(BO$4,1),$D70&gt;=BO$4),1,""))</f>
        <v/>
      </c>
      <c r="BP70" s="72" t="str">
        <f aca="false">IF(OR(BP$4="",$C70="",$D70=""),"",IF(AND($C70&lt;EDATE(BP$4,1),$D70&gt;=BP$4),1,""))</f>
        <v/>
      </c>
      <c r="BQ70" s="72" t="str">
        <f aca="false">IF(OR(BQ$4="",$C70="",$D70=""),"",IF(AND($C70&lt;EDATE(BQ$4,1),$D70&gt;=BQ$4),1,""))</f>
        <v/>
      </c>
      <c r="BR70" s="72" t="str">
        <f aca="false">IF(OR(BR$4="",$C70="",$D70=""),"",IF(AND($C70&lt;EDATE(BR$4,1),$D70&gt;=BR$4),1,""))</f>
        <v/>
      </c>
      <c r="BS70" s="72" t="str">
        <f aca="false">IF(OR(BS$4="",$C70="",$D70=""),"",IF(AND($C70&lt;EDATE(BS$4,1),$D70&gt;=BS$4),1,""))</f>
        <v/>
      </c>
      <c r="BT70" s="72" t="str">
        <f aca="false">IF(OR(BT$4="",$C70="",$D70=""),"",IF(AND($C70&lt;EDATE(BT$4,1),$D70&gt;=BT$4),1,""))</f>
        <v/>
      </c>
      <c r="BU70" s="72" t="str">
        <f aca="false">IF(OR(BU$4="",$C70="",$D70=""),"",IF(AND($C70&lt;EDATE(BU$4,1),$D70&gt;=BU$4),1,""))</f>
        <v/>
      </c>
      <c r="BV70" s="72" t="str">
        <f aca="false">IF(OR(BV$4="",$C70="",$D70=""),"",IF(AND($C70&lt;EDATE(BV$4,1),$D70&gt;=BV$4),1,""))</f>
        <v/>
      </c>
      <c r="BW70" s="72" t="str">
        <f aca="false">IF(OR(BW$4="",$C70="",$D70=""),"",IF(AND($C70&lt;EDATE(BW$4,1),$D70&gt;=BW$4),1,""))</f>
        <v/>
      </c>
      <c r="BX70" s="72" t="str">
        <f aca="false">IF(OR(BX$4="",$C70="",$D70=""),"",IF(AND($C70&lt;EDATE(BX$4,1),$D70&gt;=BX$4),1,""))</f>
        <v/>
      </c>
      <c r="BY70" s="72" t="str">
        <f aca="false">IF(OR(BY$4="",$C70="",$D70=""),"",IF(AND($C70&lt;EDATE(BY$4,1),$D70&gt;=BY$4),1,""))</f>
        <v/>
      </c>
    </row>
    <row r="71" customFormat="false" ht="15" hidden="false" customHeight="false" outlineLevel="0" collapsed="false">
      <c r="A71" s="61" t="str">
        <f aca="false">IF(BOE!$A40="","",BOE!$A40)</f>
        <v/>
      </c>
      <c r="B71" s="61" t="str">
        <f aca="false">IF(BOE!$A40="","",BOE!$C40)</f>
        <v/>
      </c>
      <c r="C71" s="62" t="str">
        <f aca="false">IF(OR(BOE!$A40="",BOE!$E40&lt;&gt;"Y"),"",BOE!$O40)</f>
        <v/>
      </c>
      <c r="D71" s="62" t="str">
        <f aca="false">IF(OR(BOE!$A40="",BOE!$E40&lt;&gt;"Y"),"",BOE!$P40)</f>
        <v/>
      </c>
      <c r="E71" s="63" t="str">
        <f aca="false">IF(OR(BOE!$A40="",BOE!$E40&lt;&gt;"Y"),"",IF(Inputs!$B$7="P90",BOE!$T40,BOE!$R40))</f>
        <v/>
      </c>
      <c r="F71" s="72" t="str">
        <f aca="false">IF(OR(F$4="",$C71="",$D71=""),"",IF(AND($C71&lt;EDATE(F$4,1),$D71&gt;=F$4),1,""))</f>
        <v/>
      </c>
      <c r="G71" s="72" t="str">
        <f aca="false">IF(OR(G$4="",$C71="",$D71=""),"",IF(AND($C71&lt;EDATE(G$4,1),$D71&gt;=G$4),1,""))</f>
        <v/>
      </c>
      <c r="H71" s="72" t="str">
        <f aca="false">IF(OR(H$4="",$C71="",$D71=""),"",IF(AND($C71&lt;EDATE(H$4,1),$D71&gt;=H$4),1,""))</f>
        <v/>
      </c>
      <c r="I71" s="72" t="str">
        <f aca="false">IF(OR(I$4="",$C71="",$D71=""),"",IF(AND($C71&lt;EDATE(I$4,1),$D71&gt;=I$4),1,""))</f>
        <v/>
      </c>
      <c r="J71" s="72" t="str">
        <f aca="false">IF(OR(J$4="",$C71="",$D71=""),"",IF(AND($C71&lt;EDATE(J$4,1),$D71&gt;=J$4),1,""))</f>
        <v/>
      </c>
      <c r="K71" s="72" t="str">
        <f aca="false">IF(OR(K$4="",$C71="",$D71=""),"",IF(AND($C71&lt;EDATE(K$4,1),$D71&gt;=K$4),1,""))</f>
        <v/>
      </c>
      <c r="L71" s="72" t="str">
        <f aca="false">IF(OR(L$4="",$C71="",$D71=""),"",IF(AND($C71&lt;EDATE(L$4,1),$D71&gt;=L$4),1,""))</f>
        <v/>
      </c>
      <c r="M71" s="72" t="str">
        <f aca="false">IF(OR(M$4="",$C71="",$D71=""),"",IF(AND($C71&lt;EDATE(M$4,1),$D71&gt;=M$4),1,""))</f>
        <v/>
      </c>
      <c r="N71" s="72" t="str">
        <f aca="false">IF(OR(N$4="",$C71="",$D71=""),"",IF(AND($C71&lt;EDATE(N$4,1),$D71&gt;=N$4),1,""))</f>
        <v/>
      </c>
      <c r="O71" s="72" t="str">
        <f aca="false">IF(OR(O$4="",$C71="",$D71=""),"",IF(AND($C71&lt;EDATE(O$4,1),$D71&gt;=O$4),1,""))</f>
        <v/>
      </c>
      <c r="P71" s="72" t="str">
        <f aca="false">IF(OR(P$4="",$C71="",$D71=""),"",IF(AND($C71&lt;EDATE(P$4,1),$D71&gt;=P$4),1,""))</f>
        <v/>
      </c>
      <c r="Q71" s="72" t="str">
        <f aca="false">IF(OR(Q$4="",$C71="",$D71=""),"",IF(AND($C71&lt;EDATE(Q$4,1),$D71&gt;=Q$4),1,""))</f>
        <v/>
      </c>
      <c r="R71" s="72" t="str">
        <f aca="false">IF(OR(R$4="",$C71="",$D71=""),"",IF(AND($C71&lt;EDATE(R$4,1),$D71&gt;=R$4),1,""))</f>
        <v/>
      </c>
      <c r="S71" s="72" t="str">
        <f aca="false">IF(OR(S$4="",$C71="",$D71=""),"",IF(AND($C71&lt;EDATE(S$4,1),$D71&gt;=S$4),1,""))</f>
        <v/>
      </c>
      <c r="T71" s="72" t="str">
        <f aca="false">IF(OR(T$4="",$C71="",$D71=""),"",IF(AND($C71&lt;EDATE(T$4,1),$D71&gt;=T$4),1,""))</f>
        <v/>
      </c>
      <c r="U71" s="72" t="str">
        <f aca="false">IF(OR(U$4="",$C71="",$D71=""),"",IF(AND($C71&lt;EDATE(U$4,1),$D71&gt;=U$4),1,""))</f>
        <v/>
      </c>
      <c r="V71" s="72" t="str">
        <f aca="false">IF(OR(V$4="",$C71="",$D71=""),"",IF(AND($C71&lt;EDATE(V$4,1),$D71&gt;=V$4),1,""))</f>
        <v/>
      </c>
      <c r="W71" s="72" t="str">
        <f aca="false">IF(OR(W$4="",$C71="",$D71=""),"",IF(AND($C71&lt;EDATE(W$4,1),$D71&gt;=W$4),1,""))</f>
        <v/>
      </c>
      <c r="X71" s="72" t="str">
        <f aca="false">IF(OR(X$4="",$C71="",$D71=""),"",IF(AND($C71&lt;EDATE(X$4,1),$D71&gt;=X$4),1,""))</f>
        <v/>
      </c>
      <c r="Y71" s="72" t="str">
        <f aca="false">IF(OR(Y$4="",$C71="",$D71=""),"",IF(AND($C71&lt;EDATE(Y$4,1),$D71&gt;=Y$4),1,""))</f>
        <v/>
      </c>
      <c r="Z71" s="72" t="str">
        <f aca="false">IF(OR(Z$4="",$C71="",$D71=""),"",IF(AND($C71&lt;EDATE(Z$4,1),$D71&gt;=Z$4),1,""))</f>
        <v/>
      </c>
      <c r="AA71" s="72" t="str">
        <f aca="false">IF(OR(AA$4="",$C71="",$D71=""),"",IF(AND($C71&lt;EDATE(AA$4,1),$D71&gt;=AA$4),1,""))</f>
        <v/>
      </c>
      <c r="AB71" s="72" t="str">
        <f aca="false">IF(OR(AB$4="",$C71="",$D71=""),"",IF(AND($C71&lt;EDATE(AB$4,1),$D71&gt;=AB$4),1,""))</f>
        <v/>
      </c>
      <c r="AC71" s="72" t="str">
        <f aca="false">IF(OR(AC$4="",$C71="",$D71=""),"",IF(AND($C71&lt;EDATE(AC$4,1),$D71&gt;=AC$4),1,""))</f>
        <v/>
      </c>
      <c r="AD71" s="72" t="str">
        <f aca="false">IF(OR(AD$4="",$C71="",$D71=""),"",IF(AND($C71&lt;EDATE(AD$4,1),$D71&gt;=AD$4),1,""))</f>
        <v/>
      </c>
      <c r="AE71" s="72" t="str">
        <f aca="false">IF(OR(AE$4="",$C71="",$D71=""),"",IF(AND($C71&lt;EDATE(AE$4,1),$D71&gt;=AE$4),1,""))</f>
        <v/>
      </c>
      <c r="AF71" s="72" t="str">
        <f aca="false">IF(OR(AF$4="",$C71="",$D71=""),"",IF(AND($C71&lt;EDATE(AF$4,1),$D71&gt;=AF$4),1,""))</f>
        <v/>
      </c>
      <c r="AG71" s="72" t="str">
        <f aca="false">IF(OR(AG$4="",$C71="",$D71=""),"",IF(AND($C71&lt;EDATE(AG$4,1),$D71&gt;=AG$4),1,""))</f>
        <v/>
      </c>
      <c r="AH71" s="72" t="str">
        <f aca="false">IF(OR(AH$4="",$C71="",$D71=""),"",IF(AND($C71&lt;EDATE(AH$4,1),$D71&gt;=AH$4),1,""))</f>
        <v/>
      </c>
      <c r="AI71" s="72" t="str">
        <f aca="false">IF(OR(AI$4="",$C71="",$D71=""),"",IF(AND($C71&lt;EDATE(AI$4,1),$D71&gt;=AI$4),1,""))</f>
        <v/>
      </c>
      <c r="AJ71" s="72" t="str">
        <f aca="false">IF(OR(AJ$4="",$C71="",$D71=""),"",IF(AND($C71&lt;EDATE(AJ$4,1),$D71&gt;=AJ$4),1,""))</f>
        <v/>
      </c>
      <c r="AK71" s="72" t="str">
        <f aca="false">IF(OR(AK$4="",$C71="",$D71=""),"",IF(AND($C71&lt;EDATE(AK$4,1),$D71&gt;=AK$4),1,""))</f>
        <v/>
      </c>
      <c r="AL71" s="72" t="str">
        <f aca="false">IF(OR(AL$4="",$C71="",$D71=""),"",IF(AND($C71&lt;EDATE(AL$4,1),$D71&gt;=AL$4),1,""))</f>
        <v/>
      </c>
      <c r="AM71" s="72" t="str">
        <f aca="false">IF(OR(AM$4="",$C71="",$D71=""),"",IF(AND($C71&lt;EDATE(AM$4,1),$D71&gt;=AM$4),1,""))</f>
        <v/>
      </c>
      <c r="AN71" s="72" t="str">
        <f aca="false">IF(OR(AN$4="",$C71="",$D71=""),"",IF(AND($C71&lt;EDATE(AN$4,1),$D71&gt;=AN$4),1,""))</f>
        <v/>
      </c>
      <c r="AO71" s="72" t="str">
        <f aca="false">IF(OR(AO$4="",$C71="",$D71=""),"",IF(AND($C71&lt;EDATE(AO$4,1),$D71&gt;=AO$4),1,""))</f>
        <v/>
      </c>
      <c r="AP71" s="72" t="str">
        <f aca="false">IF(OR(AP$4="",$C71="",$D71=""),"",IF(AND($C71&lt;EDATE(AP$4,1),$D71&gt;=AP$4),1,""))</f>
        <v/>
      </c>
      <c r="AQ71" s="72" t="str">
        <f aca="false">IF(OR(AQ$4="",$C71="",$D71=""),"",IF(AND($C71&lt;EDATE(AQ$4,1),$D71&gt;=AQ$4),1,""))</f>
        <v/>
      </c>
      <c r="AR71" s="72" t="str">
        <f aca="false">IF(OR(AR$4="",$C71="",$D71=""),"",IF(AND($C71&lt;EDATE(AR$4,1),$D71&gt;=AR$4),1,""))</f>
        <v/>
      </c>
      <c r="AS71" s="72" t="str">
        <f aca="false">IF(OR(AS$4="",$C71="",$D71=""),"",IF(AND($C71&lt;EDATE(AS$4,1),$D71&gt;=AS$4),1,""))</f>
        <v/>
      </c>
      <c r="AT71" s="72" t="str">
        <f aca="false">IF(OR(AT$4="",$C71="",$D71=""),"",IF(AND($C71&lt;EDATE(AT$4,1),$D71&gt;=AT$4),1,""))</f>
        <v/>
      </c>
      <c r="AU71" s="72" t="str">
        <f aca="false">IF(OR(AU$4="",$C71="",$D71=""),"",IF(AND($C71&lt;EDATE(AU$4,1),$D71&gt;=AU$4),1,""))</f>
        <v/>
      </c>
      <c r="AV71" s="72" t="str">
        <f aca="false">IF(OR(AV$4="",$C71="",$D71=""),"",IF(AND($C71&lt;EDATE(AV$4,1),$D71&gt;=AV$4),1,""))</f>
        <v/>
      </c>
      <c r="AW71" s="72" t="str">
        <f aca="false">IF(OR(AW$4="",$C71="",$D71=""),"",IF(AND($C71&lt;EDATE(AW$4,1),$D71&gt;=AW$4),1,""))</f>
        <v/>
      </c>
      <c r="AX71" s="72" t="str">
        <f aca="false">IF(OR(AX$4="",$C71="",$D71=""),"",IF(AND($C71&lt;EDATE(AX$4,1),$D71&gt;=AX$4),1,""))</f>
        <v/>
      </c>
      <c r="AY71" s="72" t="str">
        <f aca="false">IF(OR(AY$4="",$C71="",$D71=""),"",IF(AND($C71&lt;EDATE(AY$4,1),$D71&gt;=AY$4),1,""))</f>
        <v/>
      </c>
      <c r="AZ71" s="72" t="str">
        <f aca="false">IF(OR(AZ$4="",$C71="",$D71=""),"",IF(AND($C71&lt;EDATE(AZ$4,1),$D71&gt;=AZ$4),1,""))</f>
        <v/>
      </c>
      <c r="BA71" s="72" t="str">
        <f aca="false">IF(OR(BA$4="",$C71="",$D71=""),"",IF(AND($C71&lt;EDATE(BA$4,1),$D71&gt;=BA$4),1,""))</f>
        <v/>
      </c>
      <c r="BB71" s="72" t="str">
        <f aca="false">IF(OR(BB$4="",$C71="",$D71=""),"",IF(AND($C71&lt;EDATE(BB$4,1),$D71&gt;=BB$4),1,""))</f>
        <v/>
      </c>
      <c r="BC71" s="72" t="str">
        <f aca="false">IF(OR(BC$4="",$C71="",$D71=""),"",IF(AND($C71&lt;EDATE(BC$4,1),$D71&gt;=BC$4),1,""))</f>
        <v/>
      </c>
      <c r="BD71" s="72" t="str">
        <f aca="false">IF(OR(BD$4="",$C71="",$D71=""),"",IF(AND($C71&lt;EDATE(BD$4,1),$D71&gt;=BD$4),1,""))</f>
        <v/>
      </c>
      <c r="BE71" s="72" t="str">
        <f aca="false">IF(OR(BE$4="",$C71="",$D71=""),"",IF(AND($C71&lt;EDATE(BE$4,1),$D71&gt;=BE$4),1,""))</f>
        <v/>
      </c>
      <c r="BF71" s="72" t="str">
        <f aca="false">IF(OR(BF$4="",$C71="",$D71=""),"",IF(AND($C71&lt;EDATE(BF$4,1),$D71&gt;=BF$4),1,""))</f>
        <v/>
      </c>
      <c r="BG71" s="72" t="str">
        <f aca="false">IF(OR(BG$4="",$C71="",$D71=""),"",IF(AND($C71&lt;EDATE(BG$4,1),$D71&gt;=BG$4),1,""))</f>
        <v/>
      </c>
      <c r="BH71" s="72" t="str">
        <f aca="false">IF(OR(BH$4="",$C71="",$D71=""),"",IF(AND($C71&lt;EDATE(BH$4,1),$D71&gt;=BH$4),1,""))</f>
        <v/>
      </c>
      <c r="BI71" s="72" t="str">
        <f aca="false">IF(OR(BI$4="",$C71="",$D71=""),"",IF(AND($C71&lt;EDATE(BI$4,1),$D71&gt;=BI$4),1,""))</f>
        <v/>
      </c>
      <c r="BJ71" s="72" t="str">
        <f aca="false">IF(OR(BJ$4="",$C71="",$D71=""),"",IF(AND($C71&lt;EDATE(BJ$4,1),$D71&gt;=BJ$4),1,""))</f>
        <v/>
      </c>
      <c r="BK71" s="72" t="str">
        <f aca="false">IF(OR(BK$4="",$C71="",$D71=""),"",IF(AND($C71&lt;EDATE(BK$4,1),$D71&gt;=BK$4),1,""))</f>
        <v/>
      </c>
      <c r="BL71" s="72" t="str">
        <f aca="false">IF(OR(BL$4="",$C71="",$D71=""),"",IF(AND($C71&lt;EDATE(BL$4,1),$D71&gt;=BL$4),1,""))</f>
        <v/>
      </c>
      <c r="BM71" s="72" t="str">
        <f aca="false">IF(OR(BM$4="",$C71="",$D71=""),"",IF(AND($C71&lt;EDATE(BM$4,1),$D71&gt;=BM$4),1,""))</f>
        <v/>
      </c>
      <c r="BN71" s="72" t="str">
        <f aca="false">IF(OR(BN$4="",$C71="",$D71=""),"",IF(AND($C71&lt;EDATE(BN$4,1),$D71&gt;=BN$4),1,""))</f>
        <v/>
      </c>
      <c r="BO71" s="72" t="str">
        <f aca="false">IF(OR(BO$4="",$C71="",$D71=""),"",IF(AND($C71&lt;EDATE(BO$4,1),$D71&gt;=BO$4),1,""))</f>
        <v/>
      </c>
      <c r="BP71" s="72" t="str">
        <f aca="false">IF(OR(BP$4="",$C71="",$D71=""),"",IF(AND($C71&lt;EDATE(BP$4,1),$D71&gt;=BP$4),1,""))</f>
        <v/>
      </c>
      <c r="BQ71" s="72" t="str">
        <f aca="false">IF(OR(BQ$4="",$C71="",$D71=""),"",IF(AND($C71&lt;EDATE(BQ$4,1),$D71&gt;=BQ$4),1,""))</f>
        <v/>
      </c>
      <c r="BR71" s="72" t="str">
        <f aca="false">IF(OR(BR$4="",$C71="",$D71=""),"",IF(AND($C71&lt;EDATE(BR$4,1),$D71&gt;=BR$4),1,""))</f>
        <v/>
      </c>
      <c r="BS71" s="72" t="str">
        <f aca="false">IF(OR(BS$4="",$C71="",$D71=""),"",IF(AND($C71&lt;EDATE(BS$4,1),$D71&gt;=BS$4),1,""))</f>
        <v/>
      </c>
      <c r="BT71" s="72" t="str">
        <f aca="false">IF(OR(BT$4="",$C71="",$D71=""),"",IF(AND($C71&lt;EDATE(BT$4,1),$D71&gt;=BT$4),1,""))</f>
        <v/>
      </c>
      <c r="BU71" s="72" t="str">
        <f aca="false">IF(OR(BU$4="",$C71="",$D71=""),"",IF(AND($C71&lt;EDATE(BU$4,1),$D71&gt;=BU$4),1,""))</f>
        <v/>
      </c>
      <c r="BV71" s="72" t="str">
        <f aca="false">IF(OR(BV$4="",$C71="",$D71=""),"",IF(AND($C71&lt;EDATE(BV$4,1),$D71&gt;=BV$4),1,""))</f>
        <v/>
      </c>
      <c r="BW71" s="72" t="str">
        <f aca="false">IF(OR(BW$4="",$C71="",$D71=""),"",IF(AND($C71&lt;EDATE(BW$4,1),$D71&gt;=BW$4),1,""))</f>
        <v/>
      </c>
      <c r="BX71" s="72" t="str">
        <f aca="false">IF(OR(BX$4="",$C71="",$D71=""),"",IF(AND($C71&lt;EDATE(BX$4,1),$D71&gt;=BX$4),1,""))</f>
        <v/>
      </c>
      <c r="BY71" s="72" t="str">
        <f aca="false">IF(OR(BY$4="",$C71="",$D71=""),"",IF(AND($C71&lt;EDATE(BY$4,1),$D71&gt;=BY$4),1,""))</f>
        <v/>
      </c>
    </row>
    <row r="72" customFormat="false" ht="15" hidden="false" customHeight="false" outlineLevel="0" collapsed="false">
      <c r="A72" s="61" t="str">
        <f aca="false">IF(BOE!$A41="","",BOE!$A41)</f>
        <v/>
      </c>
      <c r="B72" s="61" t="str">
        <f aca="false">IF(BOE!$A41="","",BOE!$C41)</f>
        <v/>
      </c>
      <c r="C72" s="62" t="str">
        <f aca="false">IF(OR(BOE!$A41="",BOE!$E41&lt;&gt;"Y"),"",BOE!$O41)</f>
        <v/>
      </c>
      <c r="D72" s="62" t="str">
        <f aca="false">IF(OR(BOE!$A41="",BOE!$E41&lt;&gt;"Y"),"",BOE!$P41)</f>
        <v/>
      </c>
      <c r="E72" s="63" t="str">
        <f aca="false">IF(OR(BOE!$A41="",BOE!$E41&lt;&gt;"Y"),"",IF(Inputs!$B$7="P90",BOE!$T41,BOE!$R41))</f>
        <v/>
      </c>
      <c r="F72" s="72" t="str">
        <f aca="false">IF(OR(F$4="",$C72="",$D72=""),"",IF(AND($C72&lt;EDATE(F$4,1),$D72&gt;=F$4),1,""))</f>
        <v/>
      </c>
      <c r="G72" s="72" t="str">
        <f aca="false">IF(OR(G$4="",$C72="",$D72=""),"",IF(AND($C72&lt;EDATE(G$4,1),$D72&gt;=G$4),1,""))</f>
        <v/>
      </c>
      <c r="H72" s="72" t="str">
        <f aca="false">IF(OR(H$4="",$C72="",$D72=""),"",IF(AND($C72&lt;EDATE(H$4,1),$D72&gt;=H$4),1,""))</f>
        <v/>
      </c>
      <c r="I72" s="72" t="str">
        <f aca="false">IF(OR(I$4="",$C72="",$D72=""),"",IF(AND($C72&lt;EDATE(I$4,1),$D72&gt;=I$4),1,""))</f>
        <v/>
      </c>
      <c r="J72" s="72" t="str">
        <f aca="false">IF(OR(J$4="",$C72="",$D72=""),"",IF(AND($C72&lt;EDATE(J$4,1),$D72&gt;=J$4),1,""))</f>
        <v/>
      </c>
      <c r="K72" s="72" t="str">
        <f aca="false">IF(OR(K$4="",$C72="",$D72=""),"",IF(AND($C72&lt;EDATE(K$4,1),$D72&gt;=K$4),1,""))</f>
        <v/>
      </c>
      <c r="L72" s="72" t="str">
        <f aca="false">IF(OR(L$4="",$C72="",$D72=""),"",IF(AND($C72&lt;EDATE(L$4,1),$D72&gt;=L$4),1,""))</f>
        <v/>
      </c>
      <c r="M72" s="72" t="str">
        <f aca="false">IF(OR(M$4="",$C72="",$D72=""),"",IF(AND($C72&lt;EDATE(M$4,1),$D72&gt;=M$4),1,""))</f>
        <v/>
      </c>
      <c r="N72" s="72" t="str">
        <f aca="false">IF(OR(N$4="",$C72="",$D72=""),"",IF(AND($C72&lt;EDATE(N$4,1),$D72&gt;=N$4),1,""))</f>
        <v/>
      </c>
      <c r="O72" s="72" t="str">
        <f aca="false">IF(OR(O$4="",$C72="",$D72=""),"",IF(AND($C72&lt;EDATE(O$4,1),$D72&gt;=O$4),1,""))</f>
        <v/>
      </c>
      <c r="P72" s="72" t="str">
        <f aca="false">IF(OR(P$4="",$C72="",$D72=""),"",IF(AND($C72&lt;EDATE(P$4,1),$D72&gt;=P$4),1,""))</f>
        <v/>
      </c>
      <c r="Q72" s="72" t="str">
        <f aca="false">IF(OR(Q$4="",$C72="",$D72=""),"",IF(AND($C72&lt;EDATE(Q$4,1),$D72&gt;=Q$4),1,""))</f>
        <v/>
      </c>
      <c r="R72" s="72" t="str">
        <f aca="false">IF(OR(R$4="",$C72="",$D72=""),"",IF(AND($C72&lt;EDATE(R$4,1),$D72&gt;=R$4),1,""))</f>
        <v/>
      </c>
      <c r="S72" s="72" t="str">
        <f aca="false">IF(OR(S$4="",$C72="",$D72=""),"",IF(AND($C72&lt;EDATE(S$4,1),$D72&gt;=S$4),1,""))</f>
        <v/>
      </c>
      <c r="T72" s="72" t="str">
        <f aca="false">IF(OR(T$4="",$C72="",$D72=""),"",IF(AND($C72&lt;EDATE(T$4,1),$D72&gt;=T$4),1,""))</f>
        <v/>
      </c>
      <c r="U72" s="72" t="str">
        <f aca="false">IF(OR(U$4="",$C72="",$D72=""),"",IF(AND($C72&lt;EDATE(U$4,1),$D72&gt;=U$4),1,""))</f>
        <v/>
      </c>
      <c r="V72" s="72" t="str">
        <f aca="false">IF(OR(V$4="",$C72="",$D72=""),"",IF(AND($C72&lt;EDATE(V$4,1),$D72&gt;=V$4),1,""))</f>
        <v/>
      </c>
      <c r="W72" s="72" t="str">
        <f aca="false">IF(OR(W$4="",$C72="",$D72=""),"",IF(AND($C72&lt;EDATE(W$4,1),$D72&gt;=W$4),1,""))</f>
        <v/>
      </c>
      <c r="X72" s="72" t="str">
        <f aca="false">IF(OR(X$4="",$C72="",$D72=""),"",IF(AND($C72&lt;EDATE(X$4,1),$D72&gt;=X$4),1,""))</f>
        <v/>
      </c>
      <c r="Y72" s="72" t="str">
        <f aca="false">IF(OR(Y$4="",$C72="",$D72=""),"",IF(AND($C72&lt;EDATE(Y$4,1),$D72&gt;=Y$4),1,""))</f>
        <v/>
      </c>
      <c r="Z72" s="72" t="str">
        <f aca="false">IF(OR(Z$4="",$C72="",$D72=""),"",IF(AND($C72&lt;EDATE(Z$4,1),$D72&gt;=Z$4),1,""))</f>
        <v/>
      </c>
      <c r="AA72" s="72" t="str">
        <f aca="false">IF(OR(AA$4="",$C72="",$D72=""),"",IF(AND($C72&lt;EDATE(AA$4,1),$D72&gt;=AA$4),1,""))</f>
        <v/>
      </c>
      <c r="AB72" s="72" t="str">
        <f aca="false">IF(OR(AB$4="",$C72="",$D72=""),"",IF(AND($C72&lt;EDATE(AB$4,1),$D72&gt;=AB$4),1,""))</f>
        <v/>
      </c>
      <c r="AC72" s="72" t="str">
        <f aca="false">IF(OR(AC$4="",$C72="",$D72=""),"",IF(AND($C72&lt;EDATE(AC$4,1),$D72&gt;=AC$4),1,""))</f>
        <v/>
      </c>
      <c r="AD72" s="72" t="str">
        <f aca="false">IF(OR(AD$4="",$C72="",$D72=""),"",IF(AND($C72&lt;EDATE(AD$4,1),$D72&gt;=AD$4),1,""))</f>
        <v/>
      </c>
      <c r="AE72" s="72" t="str">
        <f aca="false">IF(OR(AE$4="",$C72="",$D72=""),"",IF(AND($C72&lt;EDATE(AE$4,1),$D72&gt;=AE$4),1,""))</f>
        <v/>
      </c>
      <c r="AF72" s="72" t="str">
        <f aca="false">IF(OR(AF$4="",$C72="",$D72=""),"",IF(AND($C72&lt;EDATE(AF$4,1),$D72&gt;=AF$4),1,""))</f>
        <v/>
      </c>
      <c r="AG72" s="72" t="str">
        <f aca="false">IF(OR(AG$4="",$C72="",$D72=""),"",IF(AND($C72&lt;EDATE(AG$4,1),$D72&gt;=AG$4),1,""))</f>
        <v/>
      </c>
      <c r="AH72" s="72" t="str">
        <f aca="false">IF(OR(AH$4="",$C72="",$D72=""),"",IF(AND($C72&lt;EDATE(AH$4,1),$D72&gt;=AH$4),1,""))</f>
        <v/>
      </c>
      <c r="AI72" s="72" t="str">
        <f aca="false">IF(OR(AI$4="",$C72="",$D72=""),"",IF(AND($C72&lt;EDATE(AI$4,1),$D72&gt;=AI$4),1,""))</f>
        <v/>
      </c>
      <c r="AJ72" s="72" t="str">
        <f aca="false">IF(OR(AJ$4="",$C72="",$D72=""),"",IF(AND($C72&lt;EDATE(AJ$4,1),$D72&gt;=AJ$4),1,""))</f>
        <v/>
      </c>
      <c r="AK72" s="72" t="str">
        <f aca="false">IF(OR(AK$4="",$C72="",$D72=""),"",IF(AND($C72&lt;EDATE(AK$4,1),$D72&gt;=AK$4),1,""))</f>
        <v/>
      </c>
      <c r="AL72" s="72" t="str">
        <f aca="false">IF(OR(AL$4="",$C72="",$D72=""),"",IF(AND($C72&lt;EDATE(AL$4,1),$D72&gt;=AL$4),1,""))</f>
        <v/>
      </c>
      <c r="AM72" s="72" t="str">
        <f aca="false">IF(OR(AM$4="",$C72="",$D72=""),"",IF(AND($C72&lt;EDATE(AM$4,1),$D72&gt;=AM$4),1,""))</f>
        <v/>
      </c>
      <c r="AN72" s="72" t="str">
        <f aca="false">IF(OR(AN$4="",$C72="",$D72=""),"",IF(AND($C72&lt;EDATE(AN$4,1),$D72&gt;=AN$4),1,""))</f>
        <v/>
      </c>
      <c r="AO72" s="72" t="str">
        <f aca="false">IF(OR(AO$4="",$C72="",$D72=""),"",IF(AND($C72&lt;EDATE(AO$4,1),$D72&gt;=AO$4),1,""))</f>
        <v/>
      </c>
      <c r="AP72" s="72" t="str">
        <f aca="false">IF(OR(AP$4="",$C72="",$D72=""),"",IF(AND($C72&lt;EDATE(AP$4,1),$D72&gt;=AP$4),1,""))</f>
        <v/>
      </c>
      <c r="AQ72" s="72" t="str">
        <f aca="false">IF(OR(AQ$4="",$C72="",$D72=""),"",IF(AND($C72&lt;EDATE(AQ$4,1),$D72&gt;=AQ$4),1,""))</f>
        <v/>
      </c>
      <c r="AR72" s="72" t="str">
        <f aca="false">IF(OR(AR$4="",$C72="",$D72=""),"",IF(AND($C72&lt;EDATE(AR$4,1),$D72&gt;=AR$4),1,""))</f>
        <v/>
      </c>
      <c r="AS72" s="72" t="str">
        <f aca="false">IF(OR(AS$4="",$C72="",$D72=""),"",IF(AND($C72&lt;EDATE(AS$4,1),$D72&gt;=AS$4),1,""))</f>
        <v/>
      </c>
      <c r="AT72" s="72" t="str">
        <f aca="false">IF(OR(AT$4="",$C72="",$D72=""),"",IF(AND($C72&lt;EDATE(AT$4,1),$D72&gt;=AT$4),1,""))</f>
        <v/>
      </c>
      <c r="AU72" s="72" t="str">
        <f aca="false">IF(OR(AU$4="",$C72="",$D72=""),"",IF(AND($C72&lt;EDATE(AU$4,1),$D72&gt;=AU$4),1,""))</f>
        <v/>
      </c>
      <c r="AV72" s="72" t="str">
        <f aca="false">IF(OR(AV$4="",$C72="",$D72=""),"",IF(AND($C72&lt;EDATE(AV$4,1),$D72&gt;=AV$4),1,""))</f>
        <v/>
      </c>
      <c r="AW72" s="72" t="str">
        <f aca="false">IF(OR(AW$4="",$C72="",$D72=""),"",IF(AND($C72&lt;EDATE(AW$4,1),$D72&gt;=AW$4),1,""))</f>
        <v/>
      </c>
      <c r="AX72" s="72" t="str">
        <f aca="false">IF(OR(AX$4="",$C72="",$D72=""),"",IF(AND($C72&lt;EDATE(AX$4,1),$D72&gt;=AX$4),1,""))</f>
        <v/>
      </c>
      <c r="AY72" s="72" t="str">
        <f aca="false">IF(OR(AY$4="",$C72="",$D72=""),"",IF(AND($C72&lt;EDATE(AY$4,1),$D72&gt;=AY$4),1,""))</f>
        <v/>
      </c>
      <c r="AZ72" s="72" t="str">
        <f aca="false">IF(OR(AZ$4="",$C72="",$D72=""),"",IF(AND($C72&lt;EDATE(AZ$4,1),$D72&gt;=AZ$4),1,""))</f>
        <v/>
      </c>
      <c r="BA72" s="72" t="str">
        <f aca="false">IF(OR(BA$4="",$C72="",$D72=""),"",IF(AND($C72&lt;EDATE(BA$4,1),$D72&gt;=BA$4),1,""))</f>
        <v/>
      </c>
      <c r="BB72" s="72" t="str">
        <f aca="false">IF(OR(BB$4="",$C72="",$D72=""),"",IF(AND($C72&lt;EDATE(BB$4,1),$D72&gt;=BB$4),1,""))</f>
        <v/>
      </c>
      <c r="BC72" s="72" t="str">
        <f aca="false">IF(OR(BC$4="",$C72="",$D72=""),"",IF(AND($C72&lt;EDATE(BC$4,1),$D72&gt;=BC$4),1,""))</f>
        <v/>
      </c>
      <c r="BD72" s="72" t="str">
        <f aca="false">IF(OR(BD$4="",$C72="",$D72=""),"",IF(AND($C72&lt;EDATE(BD$4,1),$D72&gt;=BD$4),1,""))</f>
        <v/>
      </c>
      <c r="BE72" s="72" t="str">
        <f aca="false">IF(OR(BE$4="",$C72="",$D72=""),"",IF(AND($C72&lt;EDATE(BE$4,1),$D72&gt;=BE$4),1,""))</f>
        <v/>
      </c>
      <c r="BF72" s="72" t="str">
        <f aca="false">IF(OR(BF$4="",$C72="",$D72=""),"",IF(AND($C72&lt;EDATE(BF$4,1),$D72&gt;=BF$4),1,""))</f>
        <v/>
      </c>
      <c r="BG72" s="72" t="str">
        <f aca="false">IF(OR(BG$4="",$C72="",$D72=""),"",IF(AND($C72&lt;EDATE(BG$4,1),$D72&gt;=BG$4),1,""))</f>
        <v/>
      </c>
      <c r="BH72" s="72" t="str">
        <f aca="false">IF(OR(BH$4="",$C72="",$D72=""),"",IF(AND($C72&lt;EDATE(BH$4,1),$D72&gt;=BH$4),1,""))</f>
        <v/>
      </c>
      <c r="BI72" s="72" t="str">
        <f aca="false">IF(OR(BI$4="",$C72="",$D72=""),"",IF(AND($C72&lt;EDATE(BI$4,1),$D72&gt;=BI$4),1,""))</f>
        <v/>
      </c>
      <c r="BJ72" s="72" t="str">
        <f aca="false">IF(OR(BJ$4="",$C72="",$D72=""),"",IF(AND($C72&lt;EDATE(BJ$4,1),$D72&gt;=BJ$4),1,""))</f>
        <v/>
      </c>
      <c r="BK72" s="72" t="str">
        <f aca="false">IF(OR(BK$4="",$C72="",$D72=""),"",IF(AND($C72&lt;EDATE(BK$4,1),$D72&gt;=BK$4),1,""))</f>
        <v/>
      </c>
      <c r="BL72" s="72" t="str">
        <f aca="false">IF(OR(BL$4="",$C72="",$D72=""),"",IF(AND($C72&lt;EDATE(BL$4,1),$D72&gt;=BL$4),1,""))</f>
        <v/>
      </c>
      <c r="BM72" s="72" t="str">
        <f aca="false">IF(OR(BM$4="",$C72="",$D72=""),"",IF(AND($C72&lt;EDATE(BM$4,1),$D72&gt;=BM$4),1,""))</f>
        <v/>
      </c>
      <c r="BN72" s="72" t="str">
        <f aca="false">IF(OR(BN$4="",$C72="",$D72=""),"",IF(AND($C72&lt;EDATE(BN$4,1),$D72&gt;=BN$4),1,""))</f>
        <v/>
      </c>
      <c r="BO72" s="72" t="str">
        <f aca="false">IF(OR(BO$4="",$C72="",$D72=""),"",IF(AND($C72&lt;EDATE(BO$4,1),$D72&gt;=BO$4),1,""))</f>
        <v/>
      </c>
      <c r="BP72" s="72" t="str">
        <f aca="false">IF(OR(BP$4="",$C72="",$D72=""),"",IF(AND($C72&lt;EDATE(BP$4,1),$D72&gt;=BP$4),1,""))</f>
        <v/>
      </c>
      <c r="BQ72" s="72" t="str">
        <f aca="false">IF(OR(BQ$4="",$C72="",$D72=""),"",IF(AND($C72&lt;EDATE(BQ$4,1),$D72&gt;=BQ$4),1,""))</f>
        <v/>
      </c>
      <c r="BR72" s="72" t="str">
        <f aca="false">IF(OR(BR$4="",$C72="",$D72=""),"",IF(AND($C72&lt;EDATE(BR$4,1),$D72&gt;=BR$4),1,""))</f>
        <v/>
      </c>
      <c r="BS72" s="72" t="str">
        <f aca="false">IF(OR(BS$4="",$C72="",$D72=""),"",IF(AND($C72&lt;EDATE(BS$4,1),$D72&gt;=BS$4),1,""))</f>
        <v/>
      </c>
      <c r="BT72" s="72" t="str">
        <f aca="false">IF(OR(BT$4="",$C72="",$D72=""),"",IF(AND($C72&lt;EDATE(BT$4,1),$D72&gt;=BT$4),1,""))</f>
        <v/>
      </c>
      <c r="BU72" s="72" t="str">
        <f aca="false">IF(OR(BU$4="",$C72="",$D72=""),"",IF(AND($C72&lt;EDATE(BU$4,1),$D72&gt;=BU$4),1,""))</f>
        <v/>
      </c>
      <c r="BV72" s="72" t="str">
        <f aca="false">IF(OR(BV$4="",$C72="",$D72=""),"",IF(AND($C72&lt;EDATE(BV$4,1),$D72&gt;=BV$4),1,""))</f>
        <v/>
      </c>
      <c r="BW72" s="72" t="str">
        <f aca="false">IF(OR(BW$4="",$C72="",$D72=""),"",IF(AND($C72&lt;EDATE(BW$4,1),$D72&gt;=BW$4),1,""))</f>
        <v/>
      </c>
      <c r="BX72" s="72" t="str">
        <f aca="false">IF(OR(BX$4="",$C72="",$D72=""),"",IF(AND($C72&lt;EDATE(BX$4,1),$D72&gt;=BX$4),1,""))</f>
        <v/>
      </c>
      <c r="BY72" s="72" t="str">
        <f aca="false">IF(OR(BY$4="",$C72="",$D72=""),"",IF(AND($C72&lt;EDATE(BY$4,1),$D72&gt;=BY$4),1,""))</f>
        <v/>
      </c>
    </row>
    <row r="73" customFormat="false" ht="15" hidden="false" customHeight="false" outlineLevel="0" collapsed="false">
      <c r="A73" s="61" t="str">
        <f aca="false">IF(BOE!$A42="","",BOE!$A42)</f>
        <v/>
      </c>
      <c r="B73" s="61" t="str">
        <f aca="false">IF(BOE!$A42="","",BOE!$C42)</f>
        <v/>
      </c>
      <c r="C73" s="62" t="str">
        <f aca="false">IF(OR(BOE!$A42="",BOE!$E42&lt;&gt;"Y"),"",BOE!$O42)</f>
        <v/>
      </c>
      <c r="D73" s="62" t="str">
        <f aca="false">IF(OR(BOE!$A42="",BOE!$E42&lt;&gt;"Y"),"",BOE!$P42)</f>
        <v/>
      </c>
      <c r="E73" s="63" t="str">
        <f aca="false">IF(OR(BOE!$A42="",BOE!$E42&lt;&gt;"Y"),"",IF(Inputs!$B$7="P90",BOE!$T42,BOE!$R42))</f>
        <v/>
      </c>
      <c r="F73" s="72" t="str">
        <f aca="false">IF(OR(F$4="",$C73="",$D73=""),"",IF(AND($C73&lt;EDATE(F$4,1),$D73&gt;=F$4),1,""))</f>
        <v/>
      </c>
      <c r="G73" s="72" t="str">
        <f aca="false">IF(OR(G$4="",$C73="",$D73=""),"",IF(AND($C73&lt;EDATE(G$4,1),$D73&gt;=G$4),1,""))</f>
        <v/>
      </c>
      <c r="H73" s="72" t="str">
        <f aca="false">IF(OR(H$4="",$C73="",$D73=""),"",IF(AND($C73&lt;EDATE(H$4,1),$D73&gt;=H$4),1,""))</f>
        <v/>
      </c>
      <c r="I73" s="72" t="str">
        <f aca="false">IF(OR(I$4="",$C73="",$D73=""),"",IF(AND($C73&lt;EDATE(I$4,1),$D73&gt;=I$4),1,""))</f>
        <v/>
      </c>
      <c r="J73" s="72" t="str">
        <f aca="false">IF(OR(J$4="",$C73="",$D73=""),"",IF(AND($C73&lt;EDATE(J$4,1),$D73&gt;=J$4),1,""))</f>
        <v/>
      </c>
      <c r="K73" s="72" t="str">
        <f aca="false">IF(OR(K$4="",$C73="",$D73=""),"",IF(AND($C73&lt;EDATE(K$4,1),$D73&gt;=K$4),1,""))</f>
        <v/>
      </c>
      <c r="L73" s="72" t="str">
        <f aca="false">IF(OR(L$4="",$C73="",$D73=""),"",IF(AND($C73&lt;EDATE(L$4,1),$D73&gt;=L$4),1,""))</f>
        <v/>
      </c>
      <c r="M73" s="72" t="str">
        <f aca="false">IF(OR(M$4="",$C73="",$D73=""),"",IF(AND($C73&lt;EDATE(M$4,1),$D73&gt;=M$4),1,""))</f>
        <v/>
      </c>
      <c r="N73" s="72" t="str">
        <f aca="false">IF(OR(N$4="",$C73="",$D73=""),"",IF(AND($C73&lt;EDATE(N$4,1),$D73&gt;=N$4),1,""))</f>
        <v/>
      </c>
      <c r="O73" s="72" t="str">
        <f aca="false">IF(OR(O$4="",$C73="",$D73=""),"",IF(AND($C73&lt;EDATE(O$4,1),$D73&gt;=O$4),1,""))</f>
        <v/>
      </c>
      <c r="P73" s="72" t="str">
        <f aca="false">IF(OR(P$4="",$C73="",$D73=""),"",IF(AND($C73&lt;EDATE(P$4,1),$D73&gt;=P$4),1,""))</f>
        <v/>
      </c>
      <c r="Q73" s="72" t="str">
        <f aca="false">IF(OR(Q$4="",$C73="",$D73=""),"",IF(AND($C73&lt;EDATE(Q$4,1),$D73&gt;=Q$4),1,""))</f>
        <v/>
      </c>
      <c r="R73" s="72" t="str">
        <f aca="false">IF(OR(R$4="",$C73="",$D73=""),"",IF(AND($C73&lt;EDATE(R$4,1),$D73&gt;=R$4),1,""))</f>
        <v/>
      </c>
      <c r="S73" s="72" t="str">
        <f aca="false">IF(OR(S$4="",$C73="",$D73=""),"",IF(AND($C73&lt;EDATE(S$4,1),$D73&gt;=S$4),1,""))</f>
        <v/>
      </c>
      <c r="T73" s="72" t="str">
        <f aca="false">IF(OR(T$4="",$C73="",$D73=""),"",IF(AND($C73&lt;EDATE(T$4,1),$D73&gt;=T$4),1,""))</f>
        <v/>
      </c>
      <c r="U73" s="72" t="str">
        <f aca="false">IF(OR(U$4="",$C73="",$D73=""),"",IF(AND($C73&lt;EDATE(U$4,1),$D73&gt;=U$4),1,""))</f>
        <v/>
      </c>
      <c r="V73" s="72" t="str">
        <f aca="false">IF(OR(V$4="",$C73="",$D73=""),"",IF(AND($C73&lt;EDATE(V$4,1),$D73&gt;=V$4),1,""))</f>
        <v/>
      </c>
      <c r="W73" s="72" t="str">
        <f aca="false">IF(OR(W$4="",$C73="",$D73=""),"",IF(AND($C73&lt;EDATE(W$4,1),$D73&gt;=W$4),1,""))</f>
        <v/>
      </c>
      <c r="X73" s="72" t="str">
        <f aca="false">IF(OR(X$4="",$C73="",$D73=""),"",IF(AND($C73&lt;EDATE(X$4,1),$D73&gt;=X$4),1,""))</f>
        <v/>
      </c>
      <c r="Y73" s="72" t="str">
        <f aca="false">IF(OR(Y$4="",$C73="",$D73=""),"",IF(AND($C73&lt;EDATE(Y$4,1),$D73&gt;=Y$4),1,""))</f>
        <v/>
      </c>
      <c r="Z73" s="72" t="str">
        <f aca="false">IF(OR(Z$4="",$C73="",$D73=""),"",IF(AND($C73&lt;EDATE(Z$4,1),$D73&gt;=Z$4),1,""))</f>
        <v/>
      </c>
      <c r="AA73" s="72" t="str">
        <f aca="false">IF(OR(AA$4="",$C73="",$D73=""),"",IF(AND($C73&lt;EDATE(AA$4,1),$D73&gt;=AA$4),1,""))</f>
        <v/>
      </c>
      <c r="AB73" s="72" t="str">
        <f aca="false">IF(OR(AB$4="",$C73="",$D73=""),"",IF(AND($C73&lt;EDATE(AB$4,1),$D73&gt;=AB$4),1,""))</f>
        <v/>
      </c>
      <c r="AC73" s="72" t="str">
        <f aca="false">IF(OR(AC$4="",$C73="",$D73=""),"",IF(AND($C73&lt;EDATE(AC$4,1),$D73&gt;=AC$4),1,""))</f>
        <v/>
      </c>
      <c r="AD73" s="72" t="str">
        <f aca="false">IF(OR(AD$4="",$C73="",$D73=""),"",IF(AND($C73&lt;EDATE(AD$4,1),$D73&gt;=AD$4),1,""))</f>
        <v/>
      </c>
      <c r="AE73" s="72" t="str">
        <f aca="false">IF(OR(AE$4="",$C73="",$D73=""),"",IF(AND($C73&lt;EDATE(AE$4,1),$D73&gt;=AE$4),1,""))</f>
        <v/>
      </c>
      <c r="AF73" s="72" t="str">
        <f aca="false">IF(OR(AF$4="",$C73="",$D73=""),"",IF(AND($C73&lt;EDATE(AF$4,1),$D73&gt;=AF$4),1,""))</f>
        <v/>
      </c>
      <c r="AG73" s="72" t="str">
        <f aca="false">IF(OR(AG$4="",$C73="",$D73=""),"",IF(AND($C73&lt;EDATE(AG$4,1),$D73&gt;=AG$4),1,""))</f>
        <v/>
      </c>
      <c r="AH73" s="72" t="str">
        <f aca="false">IF(OR(AH$4="",$C73="",$D73=""),"",IF(AND($C73&lt;EDATE(AH$4,1),$D73&gt;=AH$4),1,""))</f>
        <v/>
      </c>
      <c r="AI73" s="72" t="str">
        <f aca="false">IF(OR(AI$4="",$C73="",$D73=""),"",IF(AND($C73&lt;EDATE(AI$4,1),$D73&gt;=AI$4),1,""))</f>
        <v/>
      </c>
      <c r="AJ73" s="72" t="str">
        <f aca="false">IF(OR(AJ$4="",$C73="",$D73=""),"",IF(AND($C73&lt;EDATE(AJ$4,1),$D73&gt;=AJ$4),1,""))</f>
        <v/>
      </c>
      <c r="AK73" s="72" t="str">
        <f aca="false">IF(OR(AK$4="",$C73="",$D73=""),"",IF(AND($C73&lt;EDATE(AK$4,1),$D73&gt;=AK$4),1,""))</f>
        <v/>
      </c>
      <c r="AL73" s="72" t="str">
        <f aca="false">IF(OR(AL$4="",$C73="",$D73=""),"",IF(AND($C73&lt;EDATE(AL$4,1),$D73&gt;=AL$4),1,""))</f>
        <v/>
      </c>
      <c r="AM73" s="72" t="str">
        <f aca="false">IF(OR(AM$4="",$C73="",$D73=""),"",IF(AND($C73&lt;EDATE(AM$4,1),$D73&gt;=AM$4),1,""))</f>
        <v/>
      </c>
      <c r="AN73" s="72" t="str">
        <f aca="false">IF(OR(AN$4="",$C73="",$D73=""),"",IF(AND($C73&lt;EDATE(AN$4,1),$D73&gt;=AN$4),1,""))</f>
        <v/>
      </c>
      <c r="AO73" s="72" t="str">
        <f aca="false">IF(OR(AO$4="",$C73="",$D73=""),"",IF(AND($C73&lt;EDATE(AO$4,1),$D73&gt;=AO$4),1,""))</f>
        <v/>
      </c>
      <c r="AP73" s="72" t="str">
        <f aca="false">IF(OR(AP$4="",$C73="",$D73=""),"",IF(AND($C73&lt;EDATE(AP$4,1),$D73&gt;=AP$4),1,""))</f>
        <v/>
      </c>
      <c r="AQ73" s="72" t="str">
        <f aca="false">IF(OR(AQ$4="",$C73="",$D73=""),"",IF(AND($C73&lt;EDATE(AQ$4,1),$D73&gt;=AQ$4),1,""))</f>
        <v/>
      </c>
      <c r="AR73" s="72" t="str">
        <f aca="false">IF(OR(AR$4="",$C73="",$D73=""),"",IF(AND($C73&lt;EDATE(AR$4,1),$D73&gt;=AR$4),1,""))</f>
        <v/>
      </c>
      <c r="AS73" s="72" t="str">
        <f aca="false">IF(OR(AS$4="",$C73="",$D73=""),"",IF(AND($C73&lt;EDATE(AS$4,1),$D73&gt;=AS$4),1,""))</f>
        <v/>
      </c>
      <c r="AT73" s="72" t="str">
        <f aca="false">IF(OR(AT$4="",$C73="",$D73=""),"",IF(AND($C73&lt;EDATE(AT$4,1),$D73&gt;=AT$4),1,""))</f>
        <v/>
      </c>
      <c r="AU73" s="72" t="str">
        <f aca="false">IF(OR(AU$4="",$C73="",$D73=""),"",IF(AND($C73&lt;EDATE(AU$4,1),$D73&gt;=AU$4),1,""))</f>
        <v/>
      </c>
      <c r="AV73" s="72" t="str">
        <f aca="false">IF(OR(AV$4="",$C73="",$D73=""),"",IF(AND($C73&lt;EDATE(AV$4,1),$D73&gt;=AV$4),1,""))</f>
        <v/>
      </c>
      <c r="AW73" s="72" t="str">
        <f aca="false">IF(OR(AW$4="",$C73="",$D73=""),"",IF(AND($C73&lt;EDATE(AW$4,1),$D73&gt;=AW$4),1,""))</f>
        <v/>
      </c>
      <c r="AX73" s="72" t="str">
        <f aca="false">IF(OR(AX$4="",$C73="",$D73=""),"",IF(AND($C73&lt;EDATE(AX$4,1),$D73&gt;=AX$4),1,""))</f>
        <v/>
      </c>
      <c r="AY73" s="72" t="str">
        <f aca="false">IF(OR(AY$4="",$C73="",$D73=""),"",IF(AND($C73&lt;EDATE(AY$4,1),$D73&gt;=AY$4),1,""))</f>
        <v/>
      </c>
      <c r="AZ73" s="72" t="str">
        <f aca="false">IF(OR(AZ$4="",$C73="",$D73=""),"",IF(AND($C73&lt;EDATE(AZ$4,1),$D73&gt;=AZ$4),1,""))</f>
        <v/>
      </c>
      <c r="BA73" s="72" t="str">
        <f aca="false">IF(OR(BA$4="",$C73="",$D73=""),"",IF(AND($C73&lt;EDATE(BA$4,1),$D73&gt;=BA$4),1,""))</f>
        <v/>
      </c>
      <c r="BB73" s="72" t="str">
        <f aca="false">IF(OR(BB$4="",$C73="",$D73=""),"",IF(AND($C73&lt;EDATE(BB$4,1),$D73&gt;=BB$4),1,""))</f>
        <v/>
      </c>
      <c r="BC73" s="72" t="str">
        <f aca="false">IF(OR(BC$4="",$C73="",$D73=""),"",IF(AND($C73&lt;EDATE(BC$4,1),$D73&gt;=BC$4),1,""))</f>
        <v/>
      </c>
      <c r="BD73" s="72" t="str">
        <f aca="false">IF(OR(BD$4="",$C73="",$D73=""),"",IF(AND($C73&lt;EDATE(BD$4,1),$D73&gt;=BD$4),1,""))</f>
        <v/>
      </c>
      <c r="BE73" s="72" t="str">
        <f aca="false">IF(OR(BE$4="",$C73="",$D73=""),"",IF(AND($C73&lt;EDATE(BE$4,1),$D73&gt;=BE$4),1,""))</f>
        <v/>
      </c>
      <c r="BF73" s="72" t="str">
        <f aca="false">IF(OR(BF$4="",$C73="",$D73=""),"",IF(AND($C73&lt;EDATE(BF$4,1),$D73&gt;=BF$4),1,""))</f>
        <v/>
      </c>
      <c r="BG73" s="72" t="str">
        <f aca="false">IF(OR(BG$4="",$C73="",$D73=""),"",IF(AND($C73&lt;EDATE(BG$4,1),$D73&gt;=BG$4),1,""))</f>
        <v/>
      </c>
      <c r="BH73" s="72" t="str">
        <f aca="false">IF(OR(BH$4="",$C73="",$D73=""),"",IF(AND($C73&lt;EDATE(BH$4,1),$D73&gt;=BH$4),1,""))</f>
        <v/>
      </c>
      <c r="BI73" s="72" t="str">
        <f aca="false">IF(OR(BI$4="",$C73="",$D73=""),"",IF(AND($C73&lt;EDATE(BI$4,1),$D73&gt;=BI$4),1,""))</f>
        <v/>
      </c>
      <c r="BJ73" s="72" t="str">
        <f aca="false">IF(OR(BJ$4="",$C73="",$D73=""),"",IF(AND($C73&lt;EDATE(BJ$4,1),$D73&gt;=BJ$4),1,""))</f>
        <v/>
      </c>
      <c r="BK73" s="72" t="str">
        <f aca="false">IF(OR(BK$4="",$C73="",$D73=""),"",IF(AND($C73&lt;EDATE(BK$4,1),$D73&gt;=BK$4),1,""))</f>
        <v/>
      </c>
      <c r="BL73" s="72" t="str">
        <f aca="false">IF(OR(BL$4="",$C73="",$D73=""),"",IF(AND($C73&lt;EDATE(BL$4,1),$D73&gt;=BL$4),1,""))</f>
        <v/>
      </c>
      <c r="BM73" s="72" t="str">
        <f aca="false">IF(OR(BM$4="",$C73="",$D73=""),"",IF(AND($C73&lt;EDATE(BM$4,1),$D73&gt;=BM$4),1,""))</f>
        <v/>
      </c>
      <c r="BN73" s="72" t="str">
        <f aca="false">IF(OR(BN$4="",$C73="",$D73=""),"",IF(AND($C73&lt;EDATE(BN$4,1),$D73&gt;=BN$4),1,""))</f>
        <v/>
      </c>
      <c r="BO73" s="72" t="str">
        <f aca="false">IF(OR(BO$4="",$C73="",$D73=""),"",IF(AND($C73&lt;EDATE(BO$4,1),$D73&gt;=BO$4),1,""))</f>
        <v/>
      </c>
      <c r="BP73" s="72" t="str">
        <f aca="false">IF(OR(BP$4="",$C73="",$D73=""),"",IF(AND($C73&lt;EDATE(BP$4,1),$D73&gt;=BP$4),1,""))</f>
        <v/>
      </c>
      <c r="BQ73" s="72" t="str">
        <f aca="false">IF(OR(BQ$4="",$C73="",$D73=""),"",IF(AND($C73&lt;EDATE(BQ$4,1),$D73&gt;=BQ$4),1,""))</f>
        <v/>
      </c>
      <c r="BR73" s="72" t="str">
        <f aca="false">IF(OR(BR$4="",$C73="",$D73=""),"",IF(AND($C73&lt;EDATE(BR$4,1),$D73&gt;=BR$4),1,""))</f>
        <v/>
      </c>
      <c r="BS73" s="72" t="str">
        <f aca="false">IF(OR(BS$4="",$C73="",$D73=""),"",IF(AND($C73&lt;EDATE(BS$4,1),$D73&gt;=BS$4),1,""))</f>
        <v/>
      </c>
      <c r="BT73" s="72" t="str">
        <f aca="false">IF(OR(BT$4="",$C73="",$D73=""),"",IF(AND($C73&lt;EDATE(BT$4,1),$D73&gt;=BT$4),1,""))</f>
        <v/>
      </c>
      <c r="BU73" s="72" t="str">
        <f aca="false">IF(OR(BU$4="",$C73="",$D73=""),"",IF(AND($C73&lt;EDATE(BU$4,1),$D73&gt;=BU$4),1,""))</f>
        <v/>
      </c>
      <c r="BV73" s="72" t="str">
        <f aca="false">IF(OR(BV$4="",$C73="",$D73=""),"",IF(AND($C73&lt;EDATE(BV$4,1),$D73&gt;=BV$4),1,""))</f>
        <v/>
      </c>
      <c r="BW73" s="72" t="str">
        <f aca="false">IF(OR(BW$4="",$C73="",$D73=""),"",IF(AND($C73&lt;EDATE(BW$4,1),$D73&gt;=BW$4),1,""))</f>
        <v/>
      </c>
      <c r="BX73" s="72" t="str">
        <f aca="false">IF(OR(BX$4="",$C73="",$D73=""),"",IF(AND($C73&lt;EDATE(BX$4,1),$D73&gt;=BX$4),1,""))</f>
        <v/>
      </c>
      <c r="BY73" s="72" t="str">
        <f aca="false">IF(OR(BY$4="",$C73="",$D73=""),"",IF(AND($C73&lt;EDATE(BY$4,1),$D73&gt;=BY$4),1,""))</f>
        <v/>
      </c>
    </row>
    <row r="74" customFormat="false" ht="15" hidden="false" customHeight="false" outlineLevel="0" collapsed="false">
      <c r="A74" s="61" t="str">
        <f aca="false">IF(BOE!$A43="","",BOE!$A43)</f>
        <v/>
      </c>
      <c r="B74" s="61" t="str">
        <f aca="false">IF(BOE!$A43="","",BOE!$C43)</f>
        <v/>
      </c>
      <c r="C74" s="62" t="str">
        <f aca="false">IF(OR(BOE!$A43="",BOE!$E43&lt;&gt;"Y"),"",BOE!$O43)</f>
        <v/>
      </c>
      <c r="D74" s="62" t="str">
        <f aca="false">IF(OR(BOE!$A43="",BOE!$E43&lt;&gt;"Y"),"",BOE!$P43)</f>
        <v/>
      </c>
      <c r="E74" s="63" t="str">
        <f aca="false">IF(OR(BOE!$A43="",BOE!$E43&lt;&gt;"Y"),"",IF(Inputs!$B$7="P90",BOE!$T43,BOE!$R43))</f>
        <v/>
      </c>
      <c r="F74" s="72" t="str">
        <f aca="false">IF(OR(F$4="",$C74="",$D74=""),"",IF(AND($C74&lt;EDATE(F$4,1),$D74&gt;=F$4),1,""))</f>
        <v/>
      </c>
      <c r="G74" s="72" t="str">
        <f aca="false">IF(OR(G$4="",$C74="",$D74=""),"",IF(AND($C74&lt;EDATE(G$4,1),$D74&gt;=G$4),1,""))</f>
        <v/>
      </c>
      <c r="H74" s="72" t="str">
        <f aca="false">IF(OR(H$4="",$C74="",$D74=""),"",IF(AND($C74&lt;EDATE(H$4,1),$D74&gt;=H$4),1,""))</f>
        <v/>
      </c>
      <c r="I74" s="72" t="str">
        <f aca="false">IF(OR(I$4="",$C74="",$D74=""),"",IF(AND($C74&lt;EDATE(I$4,1),$D74&gt;=I$4),1,""))</f>
        <v/>
      </c>
      <c r="J74" s="72" t="str">
        <f aca="false">IF(OR(J$4="",$C74="",$D74=""),"",IF(AND($C74&lt;EDATE(J$4,1),$D74&gt;=J$4),1,""))</f>
        <v/>
      </c>
      <c r="K74" s="72" t="str">
        <f aca="false">IF(OR(K$4="",$C74="",$D74=""),"",IF(AND($C74&lt;EDATE(K$4,1),$D74&gt;=K$4),1,""))</f>
        <v/>
      </c>
      <c r="L74" s="72" t="str">
        <f aca="false">IF(OR(L$4="",$C74="",$D74=""),"",IF(AND($C74&lt;EDATE(L$4,1),$D74&gt;=L$4),1,""))</f>
        <v/>
      </c>
      <c r="M74" s="72" t="str">
        <f aca="false">IF(OR(M$4="",$C74="",$D74=""),"",IF(AND($C74&lt;EDATE(M$4,1),$D74&gt;=M$4),1,""))</f>
        <v/>
      </c>
      <c r="N74" s="72" t="str">
        <f aca="false">IF(OR(N$4="",$C74="",$D74=""),"",IF(AND($C74&lt;EDATE(N$4,1),$D74&gt;=N$4),1,""))</f>
        <v/>
      </c>
      <c r="O74" s="72" t="str">
        <f aca="false">IF(OR(O$4="",$C74="",$D74=""),"",IF(AND($C74&lt;EDATE(O$4,1),$D74&gt;=O$4),1,""))</f>
        <v/>
      </c>
      <c r="P74" s="72" t="str">
        <f aca="false">IF(OR(P$4="",$C74="",$D74=""),"",IF(AND($C74&lt;EDATE(P$4,1),$D74&gt;=P$4),1,""))</f>
        <v/>
      </c>
      <c r="Q74" s="72" t="str">
        <f aca="false">IF(OR(Q$4="",$C74="",$D74=""),"",IF(AND($C74&lt;EDATE(Q$4,1),$D74&gt;=Q$4),1,""))</f>
        <v/>
      </c>
      <c r="R74" s="72" t="str">
        <f aca="false">IF(OR(R$4="",$C74="",$D74=""),"",IF(AND($C74&lt;EDATE(R$4,1),$D74&gt;=R$4),1,""))</f>
        <v/>
      </c>
      <c r="S74" s="72" t="str">
        <f aca="false">IF(OR(S$4="",$C74="",$D74=""),"",IF(AND($C74&lt;EDATE(S$4,1),$D74&gt;=S$4),1,""))</f>
        <v/>
      </c>
      <c r="T74" s="72" t="str">
        <f aca="false">IF(OR(T$4="",$C74="",$D74=""),"",IF(AND($C74&lt;EDATE(T$4,1),$D74&gt;=T$4),1,""))</f>
        <v/>
      </c>
      <c r="U74" s="72" t="str">
        <f aca="false">IF(OR(U$4="",$C74="",$D74=""),"",IF(AND($C74&lt;EDATE(U$4,1),$D74&gt;=U$4),1,""))</f>
        <v/>
      </c>
      <c r="V74" s="72" t="str">
        <f aca="false">IF(OR(V$4="",$C74="",$D74=""),"",IF(AND($C74&lt;EDATE(V$4,1),$D74&gt;=V$4),1,""))</f>
        <v/>
      </c>
      <c r="W74" s="72" t="str">
        <f aca="false">IF(OR(W$4="",$C74="",$D74=""),"",IF(AND($C74&lt;EDATE(W$4,1),$D74&gt;=W$4),1,""))</f>
        <v/>
      </c>
      <c r="X74" s="72" t="str">
        <f aca="false">IF(OR(X$4="",$C74="",$D74=""),"",IF(AND($C74&lt;EDATE(X$4,1),$D74&gt;=X$4),1,""))</f>
        <v/>
      </c>
      <c r="Y74" s="72" t="str">
        <f aca="false">IF(OR(Y$4="",$C74="",$D74=""),"",IF(AND($C74&lt;EDATE(Y$4,1),$D74&gt;=Y$4),1,""))</f>
        <v/>
      </c>
      <c r="Z74" s="72" t="str">
        <f aca="false">IF(OR(Z$4="",$C74="",$D74=""),"",IF(AND($C74&lt;EDATE(Z$4,1),$D74&gt;=Z$4),1,""))</f>
        <v/>
      </c>
      <c r="AA74" s="72" t="str">
        <f aca="false">IF(OR(AA$4="",$C74="",$D74=""),"",IF(AND($C74&lt;EDATE(AA$4,1),$D74&gt;=AA$4),1,""))</f>
        <v/>
      </c>
      <c r="AB74" s="72" t="str">
        <f aca="false">IF(OR(AB$4="",$C74="",$D74=""),"",IF(AND($C74&lt;EDATE(AB$4,1),$D74&gt;=AB$4),1,""))</f>
        <v/>
      </c>
      <c r="AC74" s="72" t="str">
        <f aca="false">IF(OR(AC$4="",$C74="",$D74=""),"",IF(AND($C74&lt;EDATE(AC$4,1),$D74&gt;=AC$4),1,""))</f>
        <v/>
      </c>
      <c r="AD74" s="72" t="str">
        <f aca="false">IF(OR(AD$4="",$C74="",$D74=""),"",IF(AND($C74&lt;EDATE(AD$4,1),$D74&gt;=AD$4),1,""))</f>
        <v/>
      </c>
      <c r="AE74" s="72" t="str">
        <f aca="false">IF(OR(AE$4="",$C74="",$D74=""),"",IF(AND($C74&lt;EDATE(AE$4,1),$D74&gt;=AE$4),1,""))</f>
        <v/>
      </c>
      <c r="AF74" s="72" t="str">
        <f aca="false">IF(OR(AF$4="",$C74="",$D74=""),"",IF(AND($C74&lt;EDATE(AF$4,1),$D74&gt;=AF$4),1,""))</f>
        <v/>
      </c>
      <c r="AG74" s="72" t="str">
        <f aca="false">IF(OR(AG$4="",$C74="",$D74=""),"",IF(AND($C74&lt;EDATE(AG$4,1),$D74&gt;=AG$4),1,""))</f>
        <v/>
      </c>
      <c r="AH74" s="72" t="str">
        <f aca="false">IF(OR(AH$4="",$C74="",$D74=""),"",IF(AND($C74&lt;EDATE(AH$4,1),$D74&gt;=AH$4),1,""))</f>
        <v/>
      </c>
      <c r="AI74" s="72" t="str">
        <f aca="false">IF(OR(AI$4="",$C74="",$D74=""),"",IF(AND($C74&lt;EDATE(AI$4,1),$D74&gt;=AI$4),1,""))</f>
        <v/>
      </c>
      <c r="AJ74" s="72" t="str">
        <f aca="false">IF(OR(AJ$4="",$C74="",$D74=""),"",IF(AND($C74&lt;EDATE(AJ$4,1),$D74&gt;=AJ$4),1,""))</f>
        <v/>
      </c>
      <c r="AK74" s="72" t="str">
        <f aca="false">IF(OR(AK$4="",$C74="",$D74=""),"",IF(AND($C74&lt;EDATE(AK$4,1),$D74&gt;=AK$4),1,""))</f>
        <v/>
      </c>
      <c r="AL74" s="72" t="str">
        <f aca="false">IF(OR(AL$4="",$C74="",$D74=""),"",IF(AND($C74&lt;EDATE(AL$4,1),$D74&gt;=AL$4),1,""))</f>
        <v/>
      </c>
      <c r="AM74" s="72" t="str">
        <f aca="false">IF(OR(AM$4="",$C74="",$D74=""),"",IF(AND($C74&lt;EDATE(AM$4,1),$D74&gt;=AM$4),1,""))</f>
        <v/>
      </c>
      <c r="AN74" s="72" t="str">
        <f aca="false">IF(OR(AN$4="",$C74="",$D74=""),"",IF(AND($C74&lt;EDATE(AN$4,1),$D74&gt;=AN$4),1,""))</f>
        <v/>
      </c>
      <c r="AO74" s="72" t="str">
        <f aca="false">IF(OR(AO$4="",$C74="",$D74=""),"",IF(AND($C74&lt;EDATE(AO$4,1),$D74&gt;=AO$4),1,""))</f>
        <v/>
      </c>
      <c r="AP74" s="72" t="str">
        <f aca="false">IF(OR(AP$4="",$C74="",$D74=""),"",IF(AND($C74&lt;EDATE(AP$4,1),$D74&gt;=AP$4),1,""))</f>
        <v/>
      </c>
      <c r="AQ74" s="72" t="str">
        <f aca="false">IF(OR(AQ$4="",$C74="",$D74=""),"",IF(AND($C74&lt;EDATE(AQ$4,1),$D74&gt;=AQ$4),1,""))</f>
        <v/>
      </c>
      <c r="AR74" s="72" t="str">
        <f aca="false">IF(OR(AR$4="",$C74="",$D74=""),"",IF(AND($C74&lt;EDATE(AR$4,1),$D74&gt;=AR$4),1,""))</f>
        <v/>
      </c>
      <c r="AS74" s="72" t="str">
        <f aca="false">IF(OR(AS$4="",$C74="",$D74=""),"",IF(AND($C74&lt;EDATE(AS$4,1),$D74&gt;=AS$4),1,""))</f>
        <v/>
      </c>
      <c r="AT74" s="72" t="str">
        <f aca="false">IF(OR(AT$4="",$C74="",$D74=""),"",IF(AND($C74&lt;EDATE(AT$4,1),$D74&gt;=AT$4),1,""))</f>
        <v/>
      </c>
      <c r="AU74" s="72" t="str">
        <f aca="false">IF(OR(AU$4="",$C74="",$D74=""),"",IF(AND($C74&lt;EDATE(AU$4,1),$D74&gt;=AU$4),1,""))</f>
        <v/>
      </c>
      <c r="AV74" s="72" t="str">
        <f aca="false">IF(OR(AV$4="",$C74="",$D74=""),"",IF(AND($C74&lt;EDATE(AV$4,1),$D74&gt;=AV$4),1,""))</f>
        <v/>
      </c>
      <c r="AW74" s="72" t="str">
        <f aca="false">IF(OR(AW$4="",$C74="",$D74=""),"",IF(AND($C74&lt;EDATE(AW$4,1),$D74&gt;=AW$4),1,""))</f>
        <v/>
      </c>
      <c r="AX74" s="72" t="str">
        <f aca="false">IF(OR(AX$4="",$C74="",$D74=""),"",IF(AND($C74&lt;EDATE(AX$4,1),$D74&gt;=AX$4),1,""))</f>
        <v/>
      </c>
      <c r="AY74" s="72" t="str">
        <f aca="false">IF(OR(AY$4="",$C74="",$D74=""),"",IF(AND($C74&lt;EDATE(AY$4,1),$D74&gt;=AY$4),1,""))</f>
        <v/>
      </c>
      <c r="AZ74" s="72" t="str">
        <f aca="false">IF(OR(AZ$4="",$C74="",$D74=""),"",IF(AND($C74&lt;EDATE(AZ$4,1),$D74&gt;=AZ$4),1,""))</f>
        <v/>
      </c>
      <c r="BA74" s="72" t="str">
        <f aca="false">IF(OR(BA$4="",$C74="",$D74=""),"",IF(AND($C74&lt;EDATE(BA$4,1),$D74&gt;=BA$4),1,""))</f>
        <v/>
      </c>
      <c r="BB74" s="72" t="str">
        <f aca="false">IF(OR(BB$4="",$C74="",$D74=""),"",IF(AND($C74&lt;EDATE(BB$4,1),$D74&gt;=BB$4),1,""))</f>
        <v/>
      </c>
      <c r="BC74" s="72" t="str">
        <f aca="false">IF(OR(BC$4="",$C74="",$D74=""),"",IF(AND($C74&lt;EDATE(BC$4,1),$D74&gt;=BC$4),1,""))</f>
        <v/>
      </c>
      <c r="BD74" s="72" t="str">
        <f aca="false">IF(OR(BD$4="",$C74="",$D74=""),"",IF(AND($C74&lt;EDATE(BD$4,1),$D74&gt;=BD$4),1,""))</f>
        <v/>
      </c>
      <c r="BE74" s="72" t="str">
        <f aca="false">IF(OR(BE$4="",$C74="",$D74=""),"",IF(AND($C74&lt;EDATE(BE$4,1),$D74&gt;=BE$4),1,""))</f>
        <v/>
      </c>
      <c r="BF74" s="72" t="str">
        <f aca="false">IF(OR(BF$4="",$C74="",$D74=""),"",IF(AND($C74&lt;EDATE(BF$4,1),$D74&gt;=BF$4),1,""))</f>
        <v/>
      </c>
      <c r="BG74" s="72" t="str">
        <f aca="false">IF(OR(BG$4="",$C74="",$D74=""),"",IF(AND($C74&lt;EDATE(BG$4,1),$D74&gt;=BG$4),1,""))</f>
        <v/>
      </c>
      <c r="BH74" s="72" t="str">
        <f aca="false">IF(OR(BH$4="",$C74="",$D74=""),"",IF(AND($C74&lt;EDATE(BH$4,1),$D74&gt;=BH$4),1,""))</f>
        <v/>
      </c>
      <c r="BI74" s="72" t="str">
        <f aca="false">IF(OR(BI$4="",$C74="",$D74=""),"",IF(AND($C74&lt;EDATE(BI$4,1),$D74&gt;=BI$4),1,""))</f>
        <v/>
      </c>
      <c r="BJ74" s="72" t="str">
        <f aca="false">IF(OR(BJ$4="",$C74="",$D74=""),"",IF(AND($C74&lt;EDATE(BJ$4,1),$D74&gt;=BJ$4),1,""))</f>
        <v/>
      </c>
      <c r="BK74" s="72" t="str">
        <f aca="false">IF(OR(BK$4="",$C74="",$D74=""),"",IF(AND($C74&lt;EDATE(BK$4,1),$D74&gt;=BK$4),1,""))</f>
        <v/>
      </c>
      <c r="BL74" s="72" t="str">
        <f aca="false">IF(OR(BL$4="",$C74="",$D74=""),"",IF(AND($C74&lt;EDATE(BL$4,1),$D74&gt;=BL$4),1,""))</f>
        <v/>
      </c>
      <c r="BM74" s="72" t="str">
        <f aca="false">IF(OR(BM$4="",$C74="",$D74=""),"",IF(AND($C74&lt;EDATE(BM$4,1),$D74&gt;=BM$4),1,""))</f>
        <v/>
      </c>
      <c r="BN74" s="72" t="str">
        <f aca="false">IF(OR(BN$4="",$C74="",$D74=""),"",IF(AND($C74&lt;EDATE(BN$4,1),$D74&gt;=BN$4),1,""))</f>
        <v/>
      </c>
      <c r="BO74" s="72" t="str">
        <f aca="false">IF(OR(BO$4="",$C74="",$D74=""),"",IF(AND($C74&lt;EDATE(BO$4,1),$D74&gt;=BO$4),1,""))</f>
        <v/>
      </c>
      <c r="BP74" s="72" t="str">
        <f aca="false">IF(OR(BP$4="",$C74="",$D74=""),"",IF(AND($C74&lt;EDATE(BP$4,1),$D74&gt;=BP$4),1,""))</f>
        <v/>
      </c>
      <c r="BQ74" s="72" t="str">
        <f aca="false">IF(OR(BQ$4="",$C74="",$D74=""),"",IF(AND($C74&lt;EDATE(BQ$4,1),$D74&gt;=BQ$4),1,""))</f>
        <v/>
      </c>
      <c r="BR74" s="72" t="str">
        <f aca="false">IF(OR(BR$4="",$C74="",$D74=""),"",IF(AND($C74&lt;EDATE(BR$4,1),$D74&gt;=BR$4),1,""))</f>
        <v/>
      </c>
      <c r="BS74" s="72" t="str">
        <f aca="false">IF(OR(BS$4="",$C74="",$D74=""),"",IF(AND($C74&lt;EDATE(BS$4,1),$D74&gt;=BS$4),1,""))</f>
        <v/>
      </c>
      <c r="BT74" s="72" t="str">
        <f aca="false">IF(OR(BT$4="",$C74="",$D74=""),"",IF(AND($C74&lt;EDATE(BT$4,1),$D74&gt;=BT$4),1,""))</f>
        <v/>
      </c>
      <c r="BU74" s="72" t="str">
        <f aca="false">IF(OR(BU$4="",$C74="",$D74=""),"",IF(AND($C74&lt;EDATE(BU$4,1),$D74&gt;=BU$4),1,""))</f>
        <v/>
      </c>
      <c r="BV74" s="72" t="str">
        <f aca="false">IF(OR(BV$4="",$C74="",$D74=""),"",IF(AND($C74&lt;EDATE(BV$4,1),$D74&gt;=BV$4),1,""))</f>
        <v/>
      </c>
      <c r="BW74" s="72" t="str">
        <f aca="false">IF(OR(BW$4="",$C74="",$D74=""),"",IF(AND($C74&lt;EDATE(BW$4,1),$D74&gt;=BW$4),1,""))</f>
        <v/>
      </c>
      <c r="BX74" s="72" t="str">
        <f aca="false">IF(OR(BX$4="",$C74="",$D74=""),"",IF(AND($C74&lt;EDATE(BX$4,1),$D74&gt;=BX$4),1,""))</f>
        <v/>
      </c>
      <c r="BY74" s="72" t="str">
        <f aca="false">IF(OR(BY$4="",$C74="",$D74=""),"",IF(AND($C74&lt;EDATE(BY$4,1),$D74&gt;=BY$4),1,""))</f>
        <v/>
      </c>
    </row>
    <row r="75" customFormat="false" ht="15" hidden="false" customHeight="false" outlineLevel="0" collapsed="false">
      <c r="A75" s="61" t="str">
        <f aca="false">IF(BOE!$A44="","",BOE!$A44)</f>
        <v/>
      </c>
      <c r="B75" s="61" t="str">
        <f aca="false">IF(BOE!$A44="","",BOE!$C44)</f>
        <v/>
      </c>
      <c r="C75" s="62" t="str">
        <f aca="false">IF(OR(BOE!$A44="",BOE!$E44&lt;&gt;"Y"),"",BOE!$O44)</f>
        <v/>
      </c>
      <c r="D75" s="62" t="str">
        <f aca="false">IF(OR(BOE!$A44="",BOE!$E44&lt;&gt;"Y"),"",BOE!$P44)</f>
        <v/>
      </c>
      <c r="E75" s="63" t="str">
        <f aca="false">IF(OR(BOE!$A44="",BOE!$E44&lt;&gt;"Y"),"",IF(Inputs!$B$7="P90",BOE!$T44,BOE!$R44))</f>
        <v/>
      </c>
      <c r="F75" s="72" t="str">
        <f aca="false">IF(OR(F$4="",$C75="",$D75=""),"",IF(AND($C75&lt;EDATE(F$4,1),$D75&gt;=F$4),1,""))</f>
        <v/>
      </c>
      <c r="G75" s="72" t="str">
        <f aca="false">IF(OR(G$4="",$C75="",$D75=""),"",IF(AND($C75&lt;EDATE(G$4,1),$D75&gt;=G$4),1,""))</f>
        <v/>
      </c>
      <c r="H75" s="72" t="str">
        <f aca="false">IF(OR(H$4="",$C75="",$D75=""),"",IF(AND($C75&lt;EDATE(H$4,1),$D75&gt;=H$4),1,""))</f>
        <v/>
      </c>
      <c r="I75" s="72" t="str">
        <f aca="false">IF(OR(I$4="",$C75="",$D75=""),"",IF(AND($C75&lt;EDATE(I$4,1),$D75&gt;=I$4),1,""))</f>
        <v/>
      </c>
      <c r="J75" s="72" t="str">
        <f aca="false">IF(OR(J$4="",$C75="",$D75=""),"",IF(AND($C75&lt;EDATE(J$4,1),$D75&gt;=J$4),1,""))</f>
        <v/>
      </c>
      <c r="K75" s="72" t="str">
        <f aca="false">IF(OR(K$4="",$C75="",$D75=""),"",IF(AND($C75&lt;EDATE(K$4,1),$D75&gt;=K$4),1,""))</f>
        <v/>
      </c>
      <c r="L75" s="72" t="str">
        <f aca="false">IF(OR(L$4="",$C75="",$D75=""),"",IF(AND($C75&lt;EDATE(L$4,1),$D75&gt;=L$4),1,""))</f>
        <v/>
      </c>
      <c r="M75" s="72" t="str">
        <f aca="false">IF(OR(M$4="",$C75="",$D75=""),"",IF(AND($C75&lt;EDATE(M$4,1),$D75&gt;=M$4),1,""))</f>
        <v/>
      </c>
      <c r="N75" s="72" t="str">
        <f aca="false">IF(OR(N$4="",$C75="",$D75=""),"",IF(AND($C75&lt;EDATE(N$4,1),$D75&gt;=N$4),1,""))</f>
        <v/>
      </c>
      <c r="O75" s="72" t="str">
        <f aca="false">IF(OR(O$4="",$C75="",$D75=""),"",IF(AND($C75&lt;EDATE(O$4,1),$D75&gt;=O$4),1,""))</f>
        <v/>
      </c>
      <c r="P75" s="72" t="str">
        <f aca="false">IF(OR(P$4="",$C75="",$D75=""),"",IF(AND($C75&lt;EDATE(P$4,1),$D75&gt;=P$4),1,""))</f>
        <v/>
      </c>
      <c r="Q75" s="72" t="str">
        <f aca="false">IF(OR(Q$4="",$C75="",$D75=""),"",IF(AND($C75&lt;EDATE(Q$4,1),$D75&gt;=Q$4),1,""))</f>
        <v/>
      </c>
      <c r="R75" s="72" t="str">
        <f aca="false">IF(OR(R$4="",$C75="",$D75=""),"",IF(AND($C75&lt;EDATE(R$4,1),$D75&gt;=R$4),1,""))</f>
        <v/>
      </c>
      <c r="S75" s="72" t="str">
        <f aca="false">IF(OR(S$4="",$C75="",$D75=""),"",IF(AND($C75&lt;EDATE(S$4,1),$D75&gt;=S$4),1,""))</f>
        <v/>
      </c>
      <c r="T75" s="72" t="str">
        <f aca="false">IF(OR(T$4="",$C75="",$D75=""),"",IF(AND($C75&lt;EDATE(T$4,1),$D75&gt;=T$4),1,""))</f>
        <v/>
      </c>
      <c r="U75" s="72" t="str">
        <f aca="false">IF(OR(U$4="",$C75="",$D75=""),"",IF(AND($C75&lt;EDATE(U$4,1),$D75&gt;=U$4),1,""))</f>
        <v/>
      </c>
      <c r="V75" s="72" t="str">
        <f aca="false">IF(OR(V$4="",$C75="",$D75=""),"",IF(AND($C75&lt;EDATE(V$4,1),$D75&gt;=V$4),1,""))</f>
        <v/>
      </c>
      <c r="W75" s="72" t="str">
        <f aca="false">IF(OR(W$4="",$C75="",$D75=""),"",IF(AND($C75&lt;EDATE(W$4,1),$D75&gt;=W$4),1,""))</f>
        <v/>
      </c>
      <c r="X75" s="72" t="str">
        <f aca="false">IF(OR(X$4="",$C75="",$D75=""),"",IF(AND($C75&lt;EDATE(X$4,1),$D75&gt;=X$4),1,""))</f>
        <v/>
      </c>
      <c r="Y75" s="72" t="str">
        <f aca="false">IF(OR(Y$4="",$C75="",$D75=""),"",IF(AND($C75&lt;EDATE(Y$4,1),$D75&gt;=Y$4),1,""))</f>
        <v/>
      </c>
      <c r="Z75" s="72" t="str">
        <f aca="false">IF(OR(Z$4="",$C75="",$D75=""),"",IF(AND($C75&lt;EDATE(Z$4,1),$D75&gt;=Z$4),1,""))</f>
        <v/>
      </c>
      <c r="AA75" s="72" t="str">
        <f aca="false">IF(OR(AA$4="",$C75="",$D75=""),"",IF(AND($C75&lt;EDATE(AA$4,1),$D75&gt;=AA$4),1,""))</f>
        <v/>
      </c>
      <c r="AB75" s="72" t="str">
        <f aca="false">IF(OR(AB$4="",$C75="",$D75=""),"",IF(AND($C75&lt;EDATE(AB$4,1),$D75&gt;=AB$4),1,""))</f>
        <v/>
      </c>
      <c r="AC75" s="72" t="str">
        <f aca="false">IF(OR(AC$4="",$C75="",$D75=""),"",IF(AND($C75&lt;EDATE(AC$4,1),$D75&gt;=AC$4),1,""))</f>
        <v/>
      </c>
      <c r="AD75" s="72" t="str">
        <f aca="false">IF(OR(AD$4="",$C75="",$D75=""),"",IF(AND($C75&lt;EDATE(AD$4,1),$D75&gt;=AD$4),1,""))</f>
        <v/>
      </c>
      <c r="AE75" s="72" t="str">
        <f aca="false">IF(OR(AE$4="",$C75="",$D75=""),"",IF(AND($C75&lt;EDATE(AE$4,1),$D75&gt;=AE$4),1,""))</f>
        <v/>
      </c>
      <c r="AF75" s="72" t="str">
        <f aca="false">IF(OR(AF$4="",$C75="",$D75=""),"",IF(AND($C75&lt;EDATE(AF$4,1),$D75&gt;=AF$4),1,""))</f>
        <v/>
      </c>
      <c r="AG75" s="72" t="str">
        <f aca="false">IF(OR(AG$4="",$C75="",$D75=""),"",IF(AND($C75&lt;EDATE(AG$4,1),$D75&gt;=AG$4),1,""))</f>
        <v/>
      </c>
      <c r="AH75" s="72" t="str">
        <f aca="false">IF(OR(AH$4="",$C75="",$D75=""),"",IF(AND($C75&lt;EDATE(AH$4,1),$D75&gt;=AH$4),1,""))</f>
        <v/>
      </c>
      <c r="AI75" s="72" t="str">
        <f aca="false">IF(OR(AI$4="",$C75="",$D75=""),"",IF(AND($C75&lt;EDATE(AI$4,1),$D75&gt;=AI$4),1,""))</f>
        <v/>
      </c>
      <c r="AJ75" s="72" t="str">
        <f aca="false">IF(OR(AJ$4="",$C75="",$D75=""),"",IF(AND($C75&lt;EDATE(AJ$4,1),$D75&gt;=AJ$4),1,""))</f>
        <v/>
      </c>
      <c r="AK75" s="72" t="str">
        <f aca="false">IF(OR(AK$4="",$C75="",$D75=""),"",IF(AND($C75&lt;EDATE(AK$4,1),$D75&gt;=AK$4),1,""))</f>
        <v/>
      </c>
      <c r="AL75" s="72" t="str">
        <f aca="false">IF(OR(AL$4="",$C75="",$D75=""),"",IF(AND($C75&lt;EDATE(AL$4,1),$D75&gt;=AL$4),1,""))</f>
        <v/>
      </c>
      <c r="AM75" s="72" t="str">
        <f aca="false">IF(OR(AM$4="",$C75="",$D75=""),"",IF(AND($C75&lt;EDATE(AM$4,1),$D75&gt;=AM$4),1,""))</f>
        <v/>
      </c>
      <c r="AN75" s="72" t="str">
        <f aca="false">IF(OR(AN$4="",$C75="",$D75=""),"",IF(AND($C75&lt;EDATE(AN$4,1),$D75&gt;=AN$4),1,""))</f>
        <v/>
      </c>
      <c r="AO75" s="72" t="str">
        <f aca="false">IF(OR(AO$4="",$C75="",$D75=""),"",IF(AND($C75&lt;EDATE(AO$4,1),$D75&gt;=AO$4),1,""))</f>
        <v/>
      </c>
      <c r="AP75" s="72" t="str">
        <f aca="false">IF(OR(AP$4="",$C75="",$D75=""),"",IF(AND($C75&lt;EDATE(AP$4,1),$D75&gt;=AP$4),1,""))</f>
        <v/>
      </c>
      <c r="AQ75" s="72" t="str">
        <f aca="false">IF(OR(AQ$4="",$C75="",$D75=""),"",IF(AND($C75&lt;EDATE(AQ$4,1),$D75&gt;=AQ$4),1,""))</f>
        <v/>
      </c>
      <c r="AR75" s="72" t="str">
        <f aca="false">IF(OR(AR$4="",$C75="",$D75=""),"",IF(AND($C75&lt;EDATE(AR$4,1),$D75&gt;=AR$4),1,""))</f>
        <v/>
      </c>
      <c r="AS75" s="72" t="str">
        <f aca="false">IF(OR(AS$4="",$C75="",$D75=""),"",IF(AND($C75&lt;EDATE(AS$4,1),$D75&gt;=AS$4),1,""))</f>
        <v/>
      </c>
      <c r="AT75" s="72" t="str">
        <f aca="false">IF(OR(AT$4="",$C75="",$D75=""),"",IF(AND($C75&lt;EDATE(AT$4,1),$D75&gt;=AT$4),1,""))</f>
        <v/>
      </c>
      <c r="AU75" s="72" t="str">
        <f aca="false">IF(OR(AU$4="",$C75="",$D75=""),"",IF(AND($C75&lt;EDATE(AU$4,1),$D75&gt;=AU$4),1,""))</f>
        <v/>
      </c>
      <c r="AV75" s="72" t="str">
        <f aca="false">IF(OR(AV$4="",$C75="",$D75=""),"",IF(AND($C75&lt;EDATE(AV$4,1),$D75&gt;=AV$4),1,""))</f>
        <v/>
      </c>
      <c r="AW75" s="72" t="str">
        <f aca="false">IF(OR(AW$4="",$C75="",$D75=""),"",IF(AND($C75&lt;EDATE(AW$4,1),$D75&gt;=AW$4),1,""))</f>
        <v/>
      </c>
      <c r="AX75" s="72" t="str">
        <f aca="false">IF(OR(AX$4="",$C75="",$D75=""),"",IF(AND($C75&lt;EDATE(AX$4,1),$D75&gt;=AX$4),1,""))</f>
        <v/>
      </c>
      <c r="AY75" s="72" t="str">
        <f aca="false">IF(OR(AY$4="",$C75="",$D75=""),"",IF(AND($C75&lt;EDATE(AY$4,1),$D75&gt;=AY$4),1,""))</f>
        <v/>
      </c>
      <c r="AZ75" s="72" t="str">
        <f aca="false">IF(OR(AZ$4="",$C75="",$D75=""),"",IF(AND($C75&lt;EDATE(AZ$4,1),$D75&gt;=AZ$4),1,""))</f>
        <v/>
      </c>
      <c r="BA75" s="72" t="str">
        <f aca="false">IF(OR(BA$4="",$C75="",$D75=""),"",IF(AND($C75&lt;EDATE(BA$4,1),$D75&gt;=BA$4),1,""))</f>
        <v/>
      </c>
      <c r="BB75" s="72" t="str">
        <f aca="false">IF(OR(BB$4="",$C75="",$D75=""),"",IF(AND($C75&lt;EDATE(BB$4,1),$D75&gt;=BB$4),1,""))</f>
        <v/>
      </c>
      <c r="BC75" s="72" t="str">
        <f aca="false">IF(OR(BC$4="",$C75="",$D75=""),"",IF(AND($C75&lt;EDATE(BC$4,1),$D75&gt;=BC$4),1,""))</f>
        <v/>
      </c>
      <c r="BD75" s="72" t="str">
        <f aca="false">IF(OR(BD$4="",$C75="",$D75=""),"",IF(AND($C75&lt;EDATE(BD$4,1),$D75&gt;=BD$4),1,""))</f>
        <v/>
      </c>
      <c r="BE75" s="72" t="str">
        <f aca="false">IF(OR(BE$4="",$C75="",$D75=""),"",IF(AND($C75&lt;EDATE(BE$4,1),$D75&gt;=BE$4),1,""))</f>
        <v/>
      </c>
      <c r="BF75" s="72" t="str">
        <f aca="false">IF(OR(BF$4="",$C75="",$D75=""),"",IF(AND($C75&lt;EDATE(BF$4,1),$D75&gt;=BF$4),1,""))</f>
        <v/>
      </c>
      <c r="BG75" s="72" t="str">
        <f aca="false">IF(OR(BG$4="",$C75="",$D75=""),"",IF(AND($C75&lt;EDATE(BG$4,1),$D75&gt;=BG$4),1,""))</f>
        <v/>
      </c>
      <c r="BH75" s="72" t="str">
        <f aca="false">IF(OR(BH$4="",$C75="",$D75=""),"",IF(AND($C75&lt;EDATE(BH$4,1),$D75&gt;=BH$4),1,""))</f>
        <v/>
      </c>
      <c r="BI75" s="72" t="str">
        <f aca="false">IF(OR(BI$4="",$C75="",$D75=""),"",IF(AND($C75&lt;EDATE(BI$4,1),$D75&gt;=BI$4),1,""))</f>
        <v/>
      </c>
      <c r="BJ75" s="72" t="str">
        <f aca="false">IF(OR(BJ$4="",$C75="",$D75=""),"",IF(AND($C75&lt;EDATE(BJ$4,1),$D75&gt;=BJ$4),1,""))</f>
        <v/>
      </c>
      <c r="BK75" s="72" t="str">
        <f aca="false">IF(OR(BK$4="",$C75="",$D75=""),"",IF(AND($C75&lt;EDATE(BK$4,1),$D75&gt;=BK$4),1,""))</f>
        <v/>
      </c>
      <c r="BL75" s="72" t="str">
        <f aca="false">IF(OR(BL$4="",$C75="",$D75=""),"",IF(AND($C75&lt;EDATE(BL$4,1),$D75&gt;=BL$4),1,""))</f>
        <v/>
      </c>
      <c r="BM75" s="72" t="str">
        <f aca="false">IF(OR(BM$4="",$C75="",$D75=""),"",IF(AND($C75&lt;EDATE(BM$4,1),$D75&gt;=BM$4),1,""))</f>
        <v/>
      </c>
      <c r="BN75" s="72" t="str">
        <f aca="false">IF(OR(BN$4="",$C75="",$D75=""),"",IF(AND($C75&lt;EDATE(BN$4,1),$D75&gt;=BN$4),1,""))</f>
        <v/>
      </c>
      <c r="BO75" s="72" t="str">
        <f aca="false">IF(OR(BO$4="",$C75="",$D75=""),"",IF(AND($C75&lt;EDATE(BO$4,1),$D75&gt;=BO$4),1,""))</f>
        <v/>
      </c>
      <c r="BP75" s="72" t="str">
        <f aca="false">IF(OR(BP$4="",$C75="",$D75=""),"",IF(AND($C75&lt;EDATE(BP$4,1),$D75&gt;=BP$4),1,""))</f>
        <v/>
      </c>
      <c r="BQ75" s="72" t="str">
        <f aca="false">IF(OR(BQ$4="",$C75="",$D75=""),"",IF(AND($C75&lt;EDATE(BQ$4,1),$D75&gt;=BQ$4),1,""))</f>
        <v/>
      </c>
      <c r="BR75" s="72" t="str">
        <f aca="false">IF(OR(BR$4="",$C75="",$D75=""),"",IF(AND($C75&lt;EDATE(BR$4,1),$D75&gt;=BR$4),1,""))</f>
        <v/>
      </c>
      <c r="BS75" s="72" t="str">
        <f aca="false">IF(OR(BS$4="",$C75="",$D75=""),"",IF(AND($C75&lt;EDATE(BS$4,1),$D75&gt;=BS$4),1,""))</f>
        <v/>
      </c>
      <c r="BT75" s="72" t="str">
        <f aca="false">IF(OR(BT$4="",$C75="",$D75=""),"",IF(AND($C75&lt;EDATE(BT$4,1),$D75&gt;=BT$4),1,""))</f>
        <v/>
      </c>
      <c r="BU75" s="72" t="str">
        <f aca="false">IF(OR(BU$4="",$C75="",$D75=""),"",IF(AND($C75&lt;EDATE(BU$4,1),$D75&gt;=BU$4),1,""))</f>
        <v/>
      </c>
      <c r="BV75" s="72" t="str">
        <f aca="false">IF(OR(BV$4="",$C75="",$D75=""),"",IF(AND($C75&lt;EDATE(BV$4,1),$D75&gt;=BV$4),1,""))</f>
        <v/>
      </c>
      <c r="BW75" s="72" t="str">
        <f aca="false">IF(OR(BW$4="",$C75="",$D75=""),"",IF(AND($C75&lt;EDATE(BW$4,1),$D75&gt;=BW$4),1,""))</f>
        <v/>
      </c>
      <c r="BX75" s="72" t="str">
        <f aca="false">IF(OR(BX$4="",$C75="",$D75=""),"",IF(AND($C75&lt;EDATE(BX$4,1),$D75&gt;=BX$4),1,""))</f>
        <v/>
      </c>
      <c r="BY75" s="72" t="str">
        <f aca="false">IF(OR(BY$4="",$C75="",$D75=""),"",IF(AND($C75&lt;EDATE(BY$4,1),$D75&gt;=BY$4),1,""))</f>
        <v/>
      </c>
    </row>
    <row r="76" customFormat="false" ht="15" hidden="false" customHeight="false" outlineLevel="0" collapsed="false">
      <c r="A76" s="61" t="str">
        <f aca="false">IF(BOE!$A45="","",BOE!$A45)</f>
        <v/>
      </c>
      <c r="B76" s="61" t="str">
        <f aca="false">IF(BOE!$A45="","",BOE!$C45)</f>
        <v/>
      </c>
      <c r="C76" s="62" t="str">
        <f aca="false">IF(OR(BOE!$A45="",BOE!$E45&lt;&gt;"Y"),"",BOE!$O45)</f>
        <v/>
      </c>
      <c r="D76" s="62" t="str">
        <f aca="false">IF(OR(BOE!$A45="",BOE!$E45&lt;&gt;"Y"),"",BOE!$P45)</f>
        <v/>
      </c>
      <c r="E76" s="63" t="str">
        <f aca="false">IF(OR(BOE!$A45="",BOE!$E45&lt;&gt;"Y"),"",IF(Inputs!$B$7="P90",BOE!$T45,BOE!$R45))</f>
        <v/>
      </c>
      <c r="F76" s="72" t="str">
        <f aca="false">IF(OR(F$4="",$C76="",$D76=""),"",IF(AND($C76&lt;EDATE(F$4,1),$D76&gt;=F$4),1,""))</f>
        <v/>
      </c>
      <c r="G76" s="72" t="str">
        <f aca="false">IF(OR(G$4="",$C76="",$D76=""),"",IF(AND($C76&lt;EDATE(G$4,1),$D76&gt;=G$4),1,""))</f>
        <v/>
      </c>
      <c r="H76" s="72" t="str">
        <f aca="false">IF(OR(H$4="",$C76="",$D76=""),"",IF(AND($C76&lt;EDATE(H$4,1),$D76&gt;=H$4),1,""))</f>
        <v/>
      </c>
      <c r="I76" s="72" t="str">
        <f aca="false">IF(OR(I$4="",$C76="",$D76=""),"",IF(AND($C76&lt;EDATE(I$4,1),$D76&gt;=I$4),1,""))</f>
        <v/>
      </c>
      <c r="J76" s="72" t="str">
        <f aca="false">IF(OR(J$4="",$C76="",$D76=""),"",IF(AND($C76&lt;EDATE(J$4,1),$D76&gt;=J$4),1,""))</f>
        <v/>
      </c>
      <c r="K76" s="72" t="str">
        <f aca="false">IF(OR(K$4="",$C76="",$D76=""),"",IF(AND($C76&lt;EDATE(K$4,1),$D76&gt;=K$4),1,""))</f>
        <v/>
      </c>
      <c r="L76" s="72" t="str">
        <f aca="false">IF(OR(L$4="",$C76="",$D76=""),"",IF(AND($C76&lt;EDATE(L$4,1),$D76&gt;=L$4),1,""))</f>
        <v/>
      </c>
      <c r="M76" s="72" t="str">
        <f aca="false">IF(OR(M$4="",$C76="",$D76=""),"",IF(AND($C76&lt;EDATE(M$4,1),$D76&gt;=M$4),1,""))</f>
        <v/>
      </c>
      <c r="N76" s="72" t="str">
        <f aca="false">IF(OR(N$4="",$C76="",$D76=""),"",IF(AND($C76&lt;EDATE(N$4,1),$D76&gt;=N$4),1,""))</f>
        <v/>
      </c>
      <c r="O76" s="72" t="str">
        <f aca="false">IF(OR(O$4="",$C76="",$D76=""),"",IF(AND($C76&lt;EDATE(O$4,1),$D76&gt;=O$4),1,""))</f>
        <v/>
      </c>
      <c r="P76" s="72" t="str">
        <f aca="false">IF(OR(P$4="",$C76="",$D76=""),"",IF(AND($C76&lt;EDATE(P$4,1),$D76&gt;=P$4),1,""))</f>
        <v/>
      </c>
      <c r="Q76" s="72" t="str">
        <f aca="false">IF(OR(Q$4="",$C76="",$D76=""),"",IF(AND($C76&lt;EDATE(Q$4,1),$D76&gt;=Q$4),1,""))</f>
        <v/>
      </c>
      <c r="R76" s="72" t="str">
        <f aca="false">IF(OR(R$4="",$C76="",$D76=""),"",IF(AND($C76&lt;EDATE(R$4,1),$D76&gt;=R$4),1,""))</f>
        <v/>
      </c>
      <c r="S76" s="72" t="str">
        <f aca="false">IF(OR(S$4="",$C76="",$D76=""),"",IF(AND($C76&lt;EDATE(S$4,1),$D76&gt;=S$4),1,""))</f>
        <v/>
      </c>
      <c r="T76" s="72" t="str">
        <f aca="false">IF(OR(T$4="",$C76="",$D76=""),"",IF(AND($C76&lt;EDATE(T$4,1),$D76&gt;=T$4),1,""))</f>
        <v/>
      </c>
      <c r="U76" s="72" t="str">
        <f aca="false">IF(OR(U$4="",$C76="",$D76=""),"",IF(AND($C76&lt;EDATE(U$4,1),$D76&gt;=U$4),1,""))</f>
        <v/>
      </c>
      <c r="V76" s="72" t="str">
        <f aca="false">IF(OR(V$4="",$C76="",$D76=""),"",IF(AND($C76&lt;EDATE(V$4,1),$D76&gt;=V$4),1,""))</f>
        <v/>
      </c>
      <c r="W76" s="72" t="str">
        <f aca="false">IF(OR(W$4="",$C76="",$D76=""),"",IF(AND($C76&lt;EDATE(W$4,1),$D76&gt;=W$4),1,""))</f>
        <v/>
      </c>
      <c r="X76" s="72" t="str">
        <f aca="false">IF(OR(X$4="",$C76="",$D76=""),"",IF(AND($C76&lt;EDATE(X$4,1),$D76&gt;=X$4),1,""))</f>
        <v/>
      </c>
      <c r="Y76" s="72" t="str">
        <f aca="false">IF(OR(Y$4="",$C76="",$D76=""),"",IF(AND($C76&lt;EDATE(Y$4,1),$D76&gt;=Y$4),1,""))</f>
        <v/>
      </c>
      <c r="Z76" s="72" t="str">
        <f aca="false">IF(OR(Z$4="",$C76="",$D76=""),"",IF(AND($C76&lt;EDATE(Z$4,1),$D76&gt;=Z$4),1,""))</f>
        <v/>
      </c>
      <c r="AA76" s="72" t="str">
        <f aca="false">IF(OR(AA$4="",$C76="",$D76=""),"",IF(AND($C76&lt;EDATE(AA$4,1),$D76&gt;=AA$4),1,""))</f>
        <v/>
      </c>
      <c r="AB76" s="72" t="str">
        <f aca="false">IF(OR(AB$4="",$C76="",$D76=""),"",IF(AND($C76&lt;EDATE(AB$4,1),$D76&gt;=AB$4),1,""))</f>
        <v/>
      </c>
      <c r="AC76" s="72" t="str">
        <f aca="false">IF(OR(AC$4="",$C76="",$D76=""),"",IF(AND($C76&lt;EDATE(AC$4,1),$D76&gt;=AC$4),1,""))</f>
        <v/>
      </c>
      <c r="AD76" s="72" t="str">
        <f aca="false">IF(OR(AD$4="",$C76="",$D76=""),"",IF(AND($C76&lt;EDATE(AD$4,1),$D76&gt;=AD$4),1,""))</f>
        <v/>
      </c>
      <c r="AE76" s="72" t="str">
        <f aca="false">IF(OR(AE$4="",$C76="",$D76=""),"",IF(AND($C76&lt;EDATE(AE$4,1),$D76&gt;=AE$4),1,""))</f>
        <v/>
      </c>
      <c r="AF76" s="72" t="str">
        <f aca="false">IF(OR(AF$4="",$C76="",$D76=""),"",IF(AND($C76&lt;EDATE(AF$4,1),$D76&gt;=AF$4),1,""))</f>
        <v/>
      </c>
      <c r="AG76" s="72" t="str">
        <f aca="false">IF(OR(AG$4="",$C76="",$D76=""),"",IF(AND($C76&lt;EDATE(AG$4,1),$D76&gt;=AG$4),1,""))</f>
        <v/>
      </c>
      <c r="AH76" s="72" t="str">
        <f aca="false">IF(OR(AH$4="",$C76="",$D76=""),"",IF(AND($C76&lt;EDATE(AH$4,1),$D76&gt;=AH$4),1,""))</f>
        <v/>
      </c>
      <c r="AI76" s="72" t="str">
        <f aca="false">IF(OR(AI$4="",$C76="",$D76=""),"",IF(AND($C76&lt;EDATE(AI$4,1),$D76&gt;=AI$4),1,""))</f>
        <v/>
      </c>
      <c r="AJ76" s="72" t="str">
        <f aca="false">IF(OR(AJ$4="",$C76="",$D76=""),"",IF(AND($C76&lt;EDATE(AJ$4,1),$D76&gt;=AJ$4),1,""))</f>
        <v/>
      </c>
      <c r="AK76" s="72" t="str">
        <f aca="false">IF(OR(AK$4="",$C76="",$D76=""),"",IF(AND($C76&lt;EDATE(AK$4,1),$D76&gt;=AK$4),1,""))</f>
        <v/>
      </c>
      <c r="AL76" s="72" t="str">
        <f aca="false">IF(OR(AL$4="",$C76="",$D76=""),"",IF(AND($C76&lt;EDATE(AL$4,1),$D76&gt;=AL$4),1,""))</f>
        <v/>
      </c>
      <c r="AM76" s="72" t="str">
        <f aca="false">IF(OR(AM$4="",$C76="",$D76=""),"",IF(AND($C76&lt;EDATE(AM$4,1),$D76&gt;=AM$4),1,""))</f>
        <v/>
      </c>
      <c r="AN76" s="72" t="str">
        <f aca="false">IF(OR(AN$4="",$C76="",$D76=""),"",IF(AND($C76&lt;EDATE(AN$4,1),$D76&gt;=AN$4),1,""))</f>
        <v/>
      </c>
      <c r="AO76" s="72" t="str">
        <f aca="false">IF(OR(AO$4="",$C76="",$D76=""),"",IF(AND($C76&lt;EDATE(AO$4,1),$D76&gt;=AO$4),1,""))</f>
        <v/>
      </c>
      <c r="AP76" s="72" t="str">
        <f aca="false">IF(OR(AP$4="",$C76="",$D76=""),"",IF(AND($C76&lt;EDATE(AP$4,1),$D76&gt;=AP$4),1,""))</f>
        <v/>
      </c>
      <c r="AQ76" s="72" t="str">
        <f aca="false">IF(OR(AQ$4="",$C76="",$D76=""),"",IF(AND($C76&lt;EDATE(AQ$4,1),$D76&gt;=AQ$4),1,""))</f>
        <v/>
      </c>
      <c r="AR76" s="72" t="str">
        <f aca="false">IF(OR(AR$4="",$C76="",$D76=""),"",IF(AND($C76&lt;EDATE(AR$4,1),$D76&gt;=AR$4),1,""))</f>
        <v/>
      </c>
      <c r="AS76" s="72" t="str">
        <f aca="false">IF(OR(AS$4="",$C76="",$D76=""),"",IF(AND($C76&lt;EDATE(AS$4,1),$D76&gt;=AS$4),1,""))</f>
        <v/>
      </c>
      <c r="AT76" s="72" t="str">
        <f aca="false">IF(OR(AT$4="",$C76="",$D76=""),"",IF(AND($C76&lt;EDATE(AT$4,1),$D76&gt;=AT$4),1,""))</f>
        <v/>
      </c>
      <c r="AU76" s="72" t="str">
        <f aca="false">IF(OR(AU$4="",$C76="",$D76=""),"",IF(AND($C76&lt;EDATE(AU$4,1),$D76&gt;=AU$4),1,""))</f>
        <v/>
      </c>
      <c r="AV76" s="72" t="str">
        <f aca="false">IF(OR(AV$4="",$C76="",$D76=""),"",IF(AND($C76&lt;EDATE(AV$4,1),$D76&gt;=AV$4),1,""))</f>
        <v/>
      </c>
      <c r="AW76" s="72" t="str">
        <f aca="false">IF(OR(AW$4="",$C76="",$D76=""),"",IF(AND($C76&lt;EDATE(AW$4,1),$D76&gt;=AW$4),1,""))</f>
        <v/>
      </c>
      <c r="AX76" s="72" t="str">
        <f aca="false">IF(OR(AX$4="",$C76="",$D76=""),"",IF(AND($C76&lt;EDATE(AX$4,1),$D76&gt;=AX$4),1,""))</f>
        <v/>
      </c>
      <c r="AY76" s="72" t="str">
        <f aca="false">IF(OR(AY$4="",$C76="",$D76=""),"",IF(AND($C76&lt;EDATE(AY$4,1),$D76&gt;=AY$4),1,""))</f>
        <v/>
      </c>
      <c r="AZ76" s="72" t="str">
        <f aca="false">IF(OR(AZ$4="",$C76="",$D76=""),"",IF(AND($C76&lt;EDATE(AZ$4,1),$D76&gt;=AZ$4),1,""))</f>
        <v/>
      </c>
      <c r="BA76" s="72" t="str">
        <f aca="false">IF(OR(BA$4="",$C76="",$D76=""),"",IF(AND($C76&lt;EDATE(BA$4,1),$D76&gt;=BA$4),1,""))</f>
        <v/>
      </c>
      <c r="BB76" s="72" t="str">
        <f aca="false">IF(OR(BB$4="",$C76="",$D76=""),"",IF(AND($C76&lt;EDATE(BB$4,1),$D76&gt;=BB$4),1,""))</f>
        <v/>
      </c>
      <c r="BC76" s="72" t="str">
        <f aca="false">IF(OR(BC$4="",$C76="",$D76=""),"",IF(AND($C76&lt;EDATE(BC$4,1),$D76&gt;=BC$4),1,""))</f>
        <v/>
      </c>
      <c r="BD76" s="72" t="str">
        <f aca="false">IF(OR(BD$4="",$C76="",$D76=""),"",IF(AND($C76&lt;EDATE(BD$4,1),$D76&gt;=BD$4),1,""))</f>
        <v/>
      </c>
      <c r="BE76" s="72" t="str">
        <f aca="false">IF(OR(BE$4="",$C76="",$D76=""),"",IF(AND($C76&lt;EDATE(BE$4,1),$D76&gt;=BE$4),1,""))</f>
        <v/>
      </c>
      <c r="BF76" s="72" t="str">
        <f aca="false">IF(OR(BF$4="",$C76="",$D76=""),"",IF(AND($C76&lt;EDATE(BF$4,1),$D76&gt;=BF$4),1,""))</f>
        <v/>
      </c>
      <c r="BG76" s="72" t="str">
        <f aca="false">IF(OR(BG$4="",$C76="",$D76=""),"",IF(AND($C76&lt;EDATE(BG$4,1),$D76&gt;=BG$4),1,""))</f>
        <v/>
      </c>
      <c r="BH76" s="72" t="str">
        <f aca="false">IF(OR(BH$4="",$C76="",$D76=""),"",IF(AND($C76&lt;EDATE(BH$4,1),$D76&gt;=BH$4),1,""))</f>
        <v/>
      </c>
      <c r="BI76" s="72" t="str">
        <f aca="false">IF(OR(BI$4="",$C76="",$D76=""),"",IF(AND($C76&lt;EDATE(BI$4,1),$D76&gt;=BI$4),1,""))</f>
        <v/>
      </c>
      <c r="BJ76" s="72" t="str">
        <f aca="false">IF(OR(BJ$4="",$C76="",$D76=""),"",IF(AND($C76&lt;EDATE(BJ$4,1),$D76&gt;=BJ$4),1,""))</f>
        <v/>
      </c>
      <c r="BK76" s="72" t="str">
        <f aca="false">IF(OR(BK$4="",$C76="",$D76=""),"",IF(AND($C76&lt;EDATE(BK$4,1),$D76&gt;=BK$4),1,""))</f>
        <v/>
      </c>
      <c r="BL76" s="72" t="str">
        <f aca="false">IF(OR(BL$4="",$C76="",$D76=""),"",IF(AND($C76&lt;EDATE(BL$4,1),$D76&gt;=BL$4),1,""))</f>
        <v/>
      </c>
      <c r="BM76" s="72" t="str">
        <f aca="false">IF(OR(BM$4="",$C76="",$D76=""),"",IF(AND($C76&lt;EDATE(BM$4,1),$D76&gt;=BM$4),1,""))</f>
        <v/>
      </c>
      <c r="BN76" s="72" t="str">
        <f aca="false">IF(OR(BN$4="",$C76="",$D76=""),"",IF(AND($C76&lt;EDATE(BN$4,1),$D76&gt;=BN$4),1,""))</f>
        <v/>
      </c>
      <c r="BO76" s="72" t="str">
        <f aca="false">IF(OR(BO$4="",$C76="",$D76=""),"",IF(AND($C76&lt;EDATE(BO$4,1),$D76&gt;=BO$4),1,""))</f>
        <v/>
      </c>
      <c r="BP76" s="72" t="str">
        <f aca="false">IF(OR(BP$4="",$C76="",$D76=""),"",IF(AND($C76&lt;EDATE(BP$4,1),$D76&gt;=BP$4),1,""))</f>
        <v/>
      </c>
      <c r="BQ76" s="72" t="str">
        <f aca="false">IF(OR(BQ$4="",$C76="",$D76=""),"",IF(AND($C76&lt;EDATE(BQ$4,1),$D76&gt;=BQ$4),1,""))</f>
        <v/>
      </c>
      <c r="BR76" s="72" t="str">
        <f aca="false">IF(OR(BR$4="",$C76="",$D76=""),"",IF(AND($C76&lt;EDATE(BR$4,1),$D76&gt;=BR$4),1,""))</f>
        <v/>
      </c>
      <c r="BS76" s="72" t="str">
        <f aca="false">IF(OR(BS$4="",$C76="",$D76=""),"",IF(AND($C76&lt;EDATE(BS$4,1),$D76&gt;=BS$4),1,""))</f>
        <v/>
      </c>
      <c r="BT76" s="72" t="str">
        <f aca="false">IF(OR(BT$4="",$C76="",$D76=""),"",IF(AND($C76&lt;EDATE(BT$4,1),$D76&gt;=BT$4),1,""))</f>
        <v/>
      </c>
      <c r="BU76" s="72" t="str">
        <f aca="false">IF(OR(BU$4="",$C76="",$D76=""),"",IF(AND($C76&lt;EDATE(BU$4,1),$D76&gt;=BU$4),1,""))</f>
        <v/>
      </c>
      <c r="BV76" s="72" t="str">
        <f aca="false">IF(OR(BV$4="",$C76="",$D76=""),"",IF(AND($C76&lt;EDATE(BV$4,1),$D76&gt;=BV$4),1,""))</f>
        <v/>
      </c>
      <c r="BW76" s="72" t="str">
        <f aca="false">IF(OR(BW$4="",$C76="",$D76=""),"",IF(AND($C76&lt;EDATE(BW$4,1),$D76&gt;=BW$4),1,""))</f>
        <v/>
      </c>
      <c r="BX76" s="72" t="str">
        <f aca="false">IF(OR(BX$4="",$C76="",$D76=""),"",IF(AND($C76&lt;EDATE(BX$4,1),$D76&gt;=BX$4),1,""))</f>
        <v/>
      </c>
      <c r="BY76" s="72" t="str">
        <f aca="false">IF(OR(BY$4="",$C76="",$D76=""),"",IF(AND($C76&lt;EDATE(BY$4,1),$D76&gt;=BY$4),1,""))</f>
        <v/>
      </c>
    </row>
    <row r="77" customFormat="false" ht="15" hidden="false" customHeight="false" outlineLevel="0" collapsed="false">
      <c r="A77" s="61" t="str">
        <f aca="false">IF(BOE!$A46="","",BOE!$A46)</f>
        <v/>
      </c>
      <c r="B77" s="61" t="str">
        <f aca="false">IF(BOE!$A46="","",BOE!$C46)</f>
        <v/>
      </c>
      <c r="C77" s="62" t="str">
        <f aca="false">IF(OR(BOE!$A46="",BOE!$E46&lt;&gt;"Y"),"",BOE!$O46)</f>
        <v/>
      </c>
      <c r="D77" s="62" t="str">
        <f aca="false">IF(OR(BOE!$A46="",BOE!$E46&lt;&gt;"Y"),"",BOE!$P46)</f>
        <v/>
      </c>
      <c r="E77" s="63" t="str">
        <f aca="false">IF(OR(BOE!$A46="",BOE!$E46&lt;&gt;"Y"),"",IF(Inputs!$B$7="P90",BOE!$T46,BOE!$R46))</f>
        <v/>
      </c>
      <c r="F77" s="72" t="str">
        <f aca="false">IF(OR(F$4="",$C77="",$D77=""),"",IF(AND($C77&lt;EDATE(F$4,1),$D77&gt;=F$4),1,""))</f>
        <v/>
      </c>
      <c r="G77" s="72" t="str">
        <f aca="false">IF(OR(G$4="",$C77="",$D77=""),"",IF(AND($C77&lt;EDATE(G$4,1),$D77&gt;=G$4),1,""))</f>
        <v/>
      </c>
      <c r="H77" s="72" t="str">
        <f aca="false">IF(OR(H$4="",$C77="",$D77=""),"",IF(AND($C77&lt;EDATE(H$4,1),$D77&gt;=H$4),1,""))</f>
        <v/>
      </c>
      <c r="I77" s="72" t="str">
        <f aca="false">IF(OR(I$4="",$C77="",$D77=""),"",IF(AND($C77&lt;EDATE(I$4,1),$D77&gt;=I$4),1,""))</f>
        <v/>
      </c>
      <c r="J77" s="72" t="str">
        <f aca="false">IF(OR(J$4="",$C77="",$D77=""),"",IF(AND($C77&lt;EDATE(J$4,1),$D77&gt;=J$4),1,""))</f>
        <v/>
      </c>
      <c r="K77" s="72" t="str">
        <f aca="false">IF(OR(K$4="",$C77="",$D77=""),"",IF(AND($C77&lt;EDATE(K$4,1),$D77&gt;=K$4),1,""))</f>
        <v/>
      </c>
      <c r="L77" s="72" t="str">
        <f aca="false">IF(OR(L$4="",$C77="",$D77=""),"",IF(AND($C77&lt;EDATE(L$4,1),$D77&gt;=L$4),1,""))</f>
        <v/>
      </c>
      <c r="M77" s="72" t="str">
        <f aca="false">IF(OR(M$4="",$C77="",$D77=""),"",IF(AND($C77&lt;EDATE(M$4,1),$D77&gt;=M$4),1,""))</f>
        <v/>
      </c>
      <c r="N77" s="72" t="str">
        <f aca="false">IF(OR(N$4="",$C77="",$D77=""),"",IF(AND($C77&lt;EDATE(N$4,1),$D77&gt;=N$4),1,""))</f>
        <v/>
      </c>
      <c r="O77" s="72" t="str">
        <f aca="false">IF(OR(O$4="",$C77="",$D77=""),"",IF(AND($C77&lt;EDATE(O$4,1),$D77&gt;=O$4),1,""))</f>
        <v/>
      </c>
      <c r="P77" s="72" t="str">
        <f aca="false">IF(OR(P$4="",$C77="",$D77=""),"",IF(AND($C77&lt;EDATE(P$4,1),$D77&gt;=P$4),1,""))</f>
        <v/>
      </c>
      <c r="Q77" s="72" t="str">
        <f aca="false">IF(OR(Q$4="",$C77="",$D77=""),"",IF(AND($C77&lt;EDATE(Q$4,1),$D77&gt;=Q$4),1,""))</f>
        <v/>
      </c>
      <c r="R77" s="72" t="str">
        <f aca="false">IF(OR(R$4="",$C77="",$D77=""),"",IF(AND($C77&lt;EDATE(R$4,1),$D77&gt;=R$4),1,""))</f>
        <v/>
      </c>
      <c r="S77" s="72" t="str">
        <f aca="false">IF(OR(S$4="",$C77="",$D77=""),"",IF(AND($C77&lt;EDATE(S$4,1),$D77&gt;=S$4),1,""))</f>
        <v/>
      </c>
      <c r="T77" s="72" t="str">
        <f aca="false">IF(OR(T$4="",$C77="",$D77=""),"",IF(AND($C77&lt;EDATE(T$4,1),$D77&gt;=T$4),1,""))</f>
        <v/>
      </c>
      <c r="U77" s="72" t="str">
        <f aca="false">IF(OR(U$4="",$C77="",$D77=""),"",IF(AND($C77&lt;EDATE(U$4,1),$D77&gt;=U$4),1,""))</f>
        <v/>
      </c>
      <c r="V77" s="72" t="str">
        <f aca="false">IF(OR(V$4="",$C77="",$D77=""),"",IF(AND($C77&lt;EDATE(V$4,1),$D77&gt;=V$4),1,""))</f>
        <v/>
      </c>
      <c r="W77" s="72" t="str">
        <f aca="false">IF(OR(W$4="",$C77="",$D77=""),"",IF(AND($C77&lt;EDATE(W$4,1),$D77&gt;=W$4),1,""))</f>
        <v/>
      </c>
      <c r="X77" s="72" t="str">
        <f aca="false">IF(OR(X$4="",$C77="",$D77=""),"",IF(AND($C77&lt;EDATE(X$4,1),$D77&gt;=X$4),1,""))</f>
        <v/>
      </c>
      <c r="Y77" s="72" t="str">
        <f aca="false">IF(OR(Y$4="",$C77="",$D77=""),"",IF(AND($C77&lt;EDATE(Y$4,1),$D77&gt;=Y$4),1,""))</f>
        <v/>
      </c>
      <c r="Z77" s="72" t="str">
        <f aca="false">IF(OR(Z$4="",$C77="",$D77=""),"",IF(AND($C77&lt;EDATE(Z$4,1),$D77&gt;=Z$4),1,""))</f>
        <v/>
      </c>
      <c r="AA77" s="72" t="str">
        <f aca="false">IF(OR(AA$4="",$C77="",$D77=""),"",IF(AND($C77&lt;EDATE(AA$4,1),$D77&gt;=AA$4),1,""))</f>
        <v/>
      </c>
      <c r="AB77" s="72" t="str">
        <f aca="false">IF(OR(AB$4="",$C77="",$D77=""),"",IF(AND($C77&lt;EDATE(AB$4,1),$D77&gt;=AB$4),1,""))</f>
        <v/>
      </c>
      <c r="AC77" s="72" t="str">
        <f aca="false">IF(OR(AC$4="",$C77="",$D77=""),"",IF(AND($C77&lt;EDATE(AC$4,1),$D77&gt;=AC$4),1,""))</f>
        <v/>
      </c>
      <c r="AD77" s="72" t="str">
        <f aca="false">IF(OR(AD$4="",$C77="",$D77=""),"",IF(AND($C77&lt;EDATE(AD$4,1),$D77&gt;=AD$4),1,""))</f>
        <v/>
      </c>
      <c r="AE77" s="72" t="str">
        <f aca="false">IF(OR(AE$4="",$C77="",$D77=""),"",IF(AND($C77&lt;EDATE(AE$4,1),$D77&gt;=AE$4),1,""))</f>
        <v/>
      </c>
      <c r="AF77" s="72" t="str">
        <f aca="false">IF(OR(AF$4="",$C77="",$D77=""),"",IF(AND($C77&lt;EDATE(AF$4,1),$D77&gt;=AF$4),1,""))</f>
        <v/>
      </c>
      <c r="AG77" s="72" t="str">
        <f aca="false">IF(OR(AG$4="",$C77="",$D77=""),"",IF(AND($C77&lt;EDATE(AG$4,1),$D77&gt;=AG$4),1,""))</f>
        <v/>
      </c>
      <c r="AH77" s="72" t="str">
        <f aca="false">IF(OR(AH$4="",$C77="",$D77=""),"",IF(AND($C77&lt;EDATE(AH$4,1),$D77&gt;=AH$4),1,""))</f>
        <v/>
      </c>
      <c r="AI77" s="72" t="str">
        <f aca="false">IF(OR(AI$4="",$C77="",$D77=""),"",IF(AND($C77&lt;EDATE(AI$4,1),$D77&gt;=AI$4),1,""))</f>
        <v/>
      </c>
      <c r="AJ77" s="72" t="str">
        <f aca="false">IF(OR(AJ$4="",$C77="",$D77=""),"",IF(AND($C77&lt;EDATE(AJ$4,1),$D77&gt;=AJ$4),1,""))</f>
        <v/>
      </c>
      <c r="AK77" s="72" t="str">
        <f aca="false">IF(OR(AK$4="",$C77="",$D77=""),"",IF(AND($C77&lt;EDATE(AK$4,1),$D77&gt;=AK$4),1,""))</f>
        <v/>
      </c>
      <c r="AL77" s="72" t="str">
        <f aca="false">IF(OR(AL$4="",$C77="",$D77=""),"",IF(AND($C77&lt;EDATE(AL$4,1),$D77&gt;=AL$4),1,""))</f>
        <v/>
      </c>
      <c r="AM77" s="72" t="str">
        <f aca="false">IF(OR(AM$4="",$C77="",$D77=""),"",IF(AND($C77&lt;EDATE(AM$4,1),$D77&gt;=AM$4),1,""))</f>
        <v/>
      </c>
      <c r="AN77" s="72" t="str">
        <f aca="false">IF(OR(AN$4="",$C77="",$D77=""),"",IF(AND($C77&lt;EDATE(AN$4,1),$D77&gt;=AN$4),1,""))</f>
        <v/>
      </c>
      <c r="AO77" s="72" t="str">
        <f aca="false">IF(OR(AO$4="",$C77="",$D77=""),"",IF(AND($C77&lt;EDATE(AO$4,1),$D77&gt;=AO$4),1,""))</f>
        <v/>
      </c>
      <c r="AP77" s="72" t="str">
        <f aca="false">IF(OR(AP$4="",$C77="",$D77=""),"",IF(AND($C77&lt;EDATE(AP$4,1),$D77&gt;=AP$4),1,""))</f>
        <v/>
      </c>
      <c r="AQ77" s="72" t="str">
        <f aca="false">IF(OR(AQ$4="",$C77="",$D77=""),"",IF(AND($C77&lt;EDATE(AQ$4,1),$D77&gt;=AQ$4),1,""))</f>
        <v/>
      </c>
      <c r="AR77" s="72" t="str">
        <f aca="false">IF(OR(AR$4="",$C77="",$D77=""),"",IF(AND($C77&lt;EDATE(AR$4,1),$D77&gt;=AR$4),1,""))</f>
        <v/>
      </c>
      <c r="AS77" s="72" t="str">
        <f aca="false">IF(OR(AS$4="",$C77="",$D77=""),"",IF(AND($C77&lt;EDATE(AS$4,1),$D77&gt;=AS$4),1,""))</f>
        <v/>
      </c>
      <c r="AT77" s="72" t="str">
        <f aca="false">IF(OR(AT$4="",$C77="",$D77=""),"",IF(AND($C77&lt;EDATE(AT$4,1),$D77&gt;=AT$4),1,""))</f>
        <v/>
      </c>
      <c r="AU77" s="72" t="str">
        <f aca="false">IF(OR(AU$4="",$C77="",$D77=""),"",IF(AND($C77&lt;EDATE(AU$4,1),$D77&gt;=AU$4),1,""))</f>
        <v/>
      </c>
      <c r="AV77" s="72" t="str">
        <f aca="false">IF(OR(AV$4="",$C77="",$D77=""),"",IF(AND($C77&lt;EDATE(AV$4,1),$D77&gt;=AV$4),1,""))</f>
        <v/>
      </c>
      <c r="AW77" s="72" t="str">
        <f aca="false">IF(OR(AW$4="",$C77="",$D77=""),"",IF(AND($C77&lt;EDATE(AW$4,1),$D77&gt;=AW$4),1,""))</f>
        <v/>
      </c>
      <c r="AX77" s="72" t="str">
        <f aca="false">IF(OR(AX$4="",$C77="",$D77=""),"",IF(AND($C77&lt;EDATE(AX$4,1),$D77&gt;=AX$4),1,""))</f>
        <v/>
      </c>
      <c r="AY77" s="72" t="str">
        <f aca="false">IF(OR(AY$4="",$C77="",$D77=""),"",IF(AND($C77&lt;EDATE(AY$4,1),$D77&gt;=AY$4),1,""))</f>
        <v/>
      </c>
      <c r="AZ77" s="72" t="str">
        <f aca="false">IF(OR(AZ$4="",$C77="",$D77=""),"",IF(AND($C77&lt;EDATE(AZ$4,1),$D77&gt;=AZ$4),1,""))</f>
        <v/>
      </c>
      <c r="BA77" s="72" t="str">
        <f aca="false">IF(OR(BA$4="",$C77="",$D77=""),"",IF(AND($C77&lt;EDATE(BA$4,1),$D77&gt;=BA$4),1,""))</f>
        <v/>
      </c>
      <c r="BB77" s="72" t="str">
        <f aca="false">IF(OR(BB$4="",$C77="",$D77=""),"",IF(AND($C77&lt;EDATE(BB$4,1),$D77&gt;=BB$4),1,""))</f>
        <v/>
      </c>
      <c r="BC77" s="72" t="str">
        <f aca="false">IF(OR(BC$4="",$C77="",$D77=""),"",IF(AND($C77&lt;EDATE(BC$4,1),$D77&gt;=BC$4),1,""))</f>
        <v/>
      </c>
      <c r="BD77" s="72" t="str">
        <f aca="false">IF(OR(BD$4="",$C77="",$D77=""),"",IF(AND($C77&lt;EDATE(BD$4,1),$D77&gt;=BD$4),1,""))</f>
        <v/>
      </c>
      <c r="BE77" s="72" t="str">
        <f aca="false">IF(OR(BE$4="",$C77="",$D77=""),"",IF(AND($C77&lt;EDATE(BE$4,1),$D77&gt;=BE$4),1,""))</f>
        <v/>
      </c>
      <c r="BF77" s="72" t="str">
        <f aca="false">IF(OR(BF$4="",$C77="",$D77=""),"",IF(AND($C77&lt;EDATE(BF$4,1),$D77&gt;=BF$4),1,""))</f>
        <v/>
      </c>
      <c r="BG77" s="72" t="str">
        <f aca="false">IF(OR(BG$4="",$C77="",$D77=""),"",IF(AND($C77&lt;EDATE(BG$4,1),$D77&gt;=BG$4),1,""))</f>
        <v/>
      </c>
      <c r="BH77" s="72" t="str">
        <f aca="false">IF(OR(BH$4="",$C77="",$D77=""),"",IF(AND($C77&lt;EDATE(BH$4,1),$D77&gt;=BH$4),1,""))</f>
        <v/>
      </c>
      <c r="BI77" s="72" t="str">
        <f aca="false">IF(OR(BI$4="",$C77="",$D77=""),"",IF(AND($C77&lt;EDATE(BI$4,1),$D77&gt;=BI$4),1,""))</f>
        <v/>
      </c>
      <c r="BJ77" s="72" t="str">
        <f aca="false">IF(OR(BJ$4="",$C77="",$D77=""),"",IF(AND($C77&lt;EDATE(BJ$4,1),$D77&gt;=BJ$4),1,""))</f>
        <v/>
      </c>
      <c r="BK77" s="72" t="str">
        <f aca="false">IF(OR(BK$4="",$C77="",$D77=""),"",IF(AND($C77&lt;EDATE(BK$4,1),$D77&gt;=BK$4),1,""))</f>
        <v/>
      </c>
      <c r="BL77" s="72" t="str">
        <f aca="false">IF(OR(BL$4="",$C77="",$D77=""),"",IF(AND($C77&lt;EDATE(BL$4,1),$D77&gt;=BL$4),1,""))</f>
        <v/>
      </c>
      <c r="BM77" s="72" t="str">
        <f aca="false">IF(OR(BM$4="",$C77="",$D77=""),"",IF(AND($C77&lt;EDATE(BM$4,1),$D77&gt;=BM$4),1,""))</f>
        <v/>
      </c>
      <c r="BN77" s="72" t="str">
        <f aca="false">IF(OR(BN$4="",$C77="",$D77=""),"",IF(AND($C77&lt;EDATE(BN$4,1),$D77&gt;=BN$4),1,""))</f>
        <v/>
      </c>
      <c r="BO77" s="72" t="str">
        <f aca="false">IF(OR(BO$4="",$C77="",$D77=""),"",IF(AND($C77&lt;EDATE(BO$4,1),$D77&gt;=BO$4),1,""))</f>
        <v/>
      </c>
      <c r="BP77" s="72" t="str">
        <f aca="false">IF(OR(BP$4="",$C77="",$D77=""),"",IF(AND($C77&lt;EDATE(BP$4,1),$D77&gt;=BP$4),1,""))</f>
        <v/>
      </c>
      <c r="BQ77" s="72" t="str">
        <f aca="false">IF(OR(BQ$4="",$C77="",$D77=""),"",IF(AND($C77&lt;EDATE(BQ$4,1),$D77&gt;=BQ$4),1,""))</f>
        <v/>
      </c>
      <c r="BR77" s="72" t="str">
        <f aca="false">IF(OR(BR$4="",$C77="",$D77=""),"",IF(AND($C77&lt;EDATE(BR$4,1),$D77&gt;=BR$4),1,""))</f>
        <v/>
      </c>
      <c r="BS77" s="72" t="str">
        <f aca="false">IF(OR(BS$4="",$C77="",$D77=""),"",IF(AND($C77&lt;EDATE(BS$4,1),$D77&gt;=BS$4),1,""))</f>
        <v/>
      </c>
      <c r="BT77" s="72" t="str">
        <f aca="false">IF(OR(BT$4="",$C77="",$D77=""),"",IF(AND($C77&lt;EDATE(BT$4,1),$D77&gt;=BT$4),1,""))</f>
        <v/>
      </c>
      <c r="BU77" s="72" t="str">
        <f aca="false">IF(OR(BU$4="",$C77="",$D77=""),"",IF(AND($C77&lt;EDATE(BU$4,1),$D77&gt;=BU$4),1,""))</f>
        <v/>
      </c>
      <c r="BV77" s="72" t="str">
        <f aca="false">IF(OR(BV$4="",$C77="",$D77=""),"",IF(AND($C77&lt;EDATE(BV$4,1),$D77&gt;=BV$4),1,""))</f>
        <v/>
      </c>
      <c r="BW77" s="72" t="str">
        <f aca="false">IF(OR(BW$4="",$C77="",$D77=""),"",IF(AND($C77&lt;EDATE(BW$4,1),$D77&gt;=BW$4),1,""))</f>
        <v/>
      </c>
      <c r="BX77" s="72" t="str">
        <f aca="false">IF(OR(BX$4="",$C77="",$D77=""),"",IF(AND($C77&lt;EDATE(BX$4,1),$D77&gt;=BX$4),1,""))</f>
        <v/>
      </c>
      <c r="BY77" s="72" t="str">
        <f aca="false">IF(OR(BY$4="",$C77="",$D77=""),"",IF(AND($C77&lt;EDATE(BY$4,1),$D77&gt;=BY$4),1,""))</f>
        <v/>
      </c>
    </row>
    <row r="78" customFormat="false" ht="15" hidden="false" customHeight="false" outlineLevel="0" collapsed="false">
      <c r="A78" s="61" t="str">
        <f aca="false">IF(BOE!$A47="","",BOE!$A47)</f>
        <v/>
      </c>
      <c r="B78" s="61" t="str">
        <f aca="false">IF(BOE!$A47="","",BOE!$C47)</f>
        <v/>
      </c>
      <c r="C78" s="62" t="str">
        <f aca="false">IF(OR(BOE!$A47="",BOE!$E47&lt;&gt;"Y"),"",BOE!$O47)</f>
        <v/>
      </c>
      <c r="D78" s="62" t="str">
        <f aca="false">IF(OR(BOE!$A47="",BOE!$E47&lt;&gt;"Y"),"",BOE!$P47)</f>
        <v/>
      </c>
      <c r="E78" s="63" t="str">
        <f aca="false">IF(OR(BOE!$A47="",BOE!$E47&lt;&gt;"Y"),"",IF(Inputs!$B$7="P90",BOE!$T47,BOE!$R47))</f>
        <v/>
      </c>
      <c r="F78" s="72" t="str">
        <f aca="false">IF(OR(F$4="",$C78="",$D78=""),"",IF(AND($C78&lt;EDATE(F$4,1),$D78&gt;=F$4),1,""))</f>
        <v/>
      </c>
      <c r="G78" s="72" t="str">
        <f aca="false">IF(OR(G$4="",$C78="",$D78=""),"",IF(AND($C78&lt;EDATE(G$4,1),$D78&gt;=G$4),1,""))</f>
        <v/>
      </c>
      <c r="H78" s="72" t="str">
        <f aca="false">IF(OR(H$4="",$C78="",$D78=""),"",IF(AND($C78&lt;EDATE(H$4,1),$D78&gt;=H$4),1,""))</f>
        <v/>
      </c>
      <c r="I78" s="72" t="str">
        <f aca="false">IF(OR(I$4="",$C78="",$D78=""),"",IF(AND($C78&lt;EDATE(I$4,1),$D78&gt;=I$4),1,""))</f>
        <v/>
      </c>
      <c r="J78" s="72" t="str">
        <f aca="false">IF(OR(J$4="",$C78="",$D78=""),"",IF(AND($C78&lt;EDATE(J$4,1),$D78&gt;=J$4),1,""))</f>
        <v/>
      </c>
      <c r="K78" s="72" t="str">
        <f aca="false">IF(OR(K$4="",$C78="",$D78=""),"",IF(AND($C78&lt;EDATE(K$4,1),$D78&gt;=K$4),1,""))</f>
        <v/>
      </c>
      <c r="L78" s="72" t="str">
        <f aca="false">IF(OR(L$4="",$C78="",$D78=""),"",IF(AND($C78&lt;EDATE(L$4,1),$D78&gt;=L$4),1,""))</f>
        <v/>
      </c>
      <c r="M78" s="72" t="str">
        <f aca="false">IF(OR(M$4="",$C78="",$D78=""),"",IF(AND($C78&lt;EDATE(M$4,1),$D78&gt;=M$4),1,""))</f>
        <v/>
      </c>
      <c r="N78" s="72" t="str">
        <f aca="false">IF(OR(N$4="",$C78="",$D78=""),"",IF(AND($C78&lt;EDATE(N$4,1),$D78&gt;=N$4),1,""))</f>
        <v/>
      </c>
      <c r="O78" s="72" t="str">
        <f aca="false">IF(OR(O$4="",$C78="",$D78=""),"",IF(AND($C78&lt;EDATE(O$4,1),$D78&gt;=O$4),1,""))</f>
        <v/>
      </c>
      <c r="P78" s="72" t="str">
        <f aca="false">IF(OR(P$4="",$C78="",$D78=""),"",IF(AND($C78&lt;EDATE(P$4,1),$D78&gt;=P$4),1,""))</f>
        <v/>
      </c>
      <c r="Q78" s="72" t="str">
        <f aca="false">IF(OR(Q$4="",$C78="",$D78=""),"",IF(AND($C78&lt;EDATE(Q$4,1),$D78&gt;=Q$4),1,""))</f>
        <v/>
      </c>
      <c r="R78" s="72" t="str">
        <f aca="false">IF(OR(R$4="",$C78="",$D78=""),"",IF(AND($C78&lt;EDATE(R$4,1),$D78&gt;=R$4),1,""))</f>
        <v/>
      </c>
      <c r="S78" s="72" t="str">
        <f aca="false">IF(OR(S$4="",$C78="",$D78=""),"",IF(AND($C78&lt;EDATE(S$4,1),$D78&gt;=S$4),1,""))</f>
        <v/>
      </c>
      <c r="T78" s="72" t="str">
        <f aca="false">IF(OR(T$4="",$C78="",$D78=""),"",IF(AND($C78&lt;EDATE(T$4,1),$D78&gt;=T$4),1,""))</f>
        <v/>
      </c>
      <c r="U78" s="72" t="str">
        <f aca="false">IF(OR(U$4="",$C78="",$D78=""),"",IF(AND($C78&lt;EDATE(U$4,1),$D78&gt;=U$4),1,""))</f>
        <v/>
      </c>
      <c r="V78" s="72" t="str">
        <f aca="false">IF(OR(V$4="",$C78="",$D78=""),"",IF(AND($C78&lt;EDATE(V$4,1),$D78&gt;=V$4),1,""))</f>
        <v/>
      </c>
      <c r="W78" s="72" t="str">
        <f aca="false">IF(OR(W$4="",$C78="",$D78=""),"",IF(AND($C78&lt;EDATE(W$4,1),$D78&gt;=W$4),1,""))</f>
        <v/>
      </c>
      <c r="X78" s="72" t="str">
        <f aca="false">IF(OR(X$4="",$C78="",$D78=""),"",IF(AND($C78&lt;EDATE(X$4,1),$D78&gt;=X$4),1,""))</f>
        <v/>
      </c>
      <c r="Y78" s="72" t="str">
        <f aca="false">IF(OR(Y$4="",$C78="",$D78=""),"",IF(AND($C78&lt;EDATE(Y$4,1),$D78&gt;=Y$4),1,""))</f>
        <v/>
      </c>
      <c r="Z78" s="72" t="str">
        <f aca="false">IF(OR(Z$4="",$C78="",$D78=""),"",IF(AND($C78&lt;EDATE(Z$4,1),$D78&gt;=Z$4),1,""))</f>
        <v/>
      </c>
      <c r="AA78" s="72" t="str">
        <f aca="false">IF(OR(AA$4="",$C78="",$D78=""),"",IF(AND($C78&lt;EDATE(AA$4,1),$D78&gt;=AA$4),1,""))</f>
        <v/>
      </c>
      <c r="AB78" s="72" t="str">
        <f aca="false">IF(OR(AB$4="",$C78="",$D78=""),"",IF(AND($C78&lt;EDATE(AB$4,1),$D78&gt;=AB$4),1,""))</f>
        <v/>
      </c>
      <c r="AC78" s="72" t="str">
        <f aca="false">IF(OR(AC$4="",$C78="",$D78=""),"",IF(AND($C78&lt;EDATE(AC$4,1),$D78&gt;=AC$4),1,""))</f>
        <v/>
      </c>
      <c r="AD78" s="72" t="str">
        <f aca="false">IF(OR(AD$4="",$C78="",$D78=""),"",IF(AND($C78&lt;EDATE(AD$4,1),$D78&gt;=AD$4),1,""))</f>
        <v/>
      </c>
      <c r="AE78" s="72" t="str">
        <f aca="false">IF(OR(AE$4="",$C78="",$D78=""),"",IF(AND($C78&lt;EDATE(AE$4,1),$D78&gt;=AE$4),1,""))</f>
        <v/>
      </c>
      <c r="AF78" s="72" t="str">
        <f aca="false">IF(OR(AF$4="",$C78="",$D78=""),"",IF(AND($C78&lt;EDATE(AF$4,1),$D78&gt;=AF$4),1,""))</f>
        <v/>
      </c>
      <c r="AG78" s="72" t="str">
        <f aca="false">IF(OR(AG$4="",$C78="",$D78=""),"",IF(AND($C78&lt;EDATE(AG$4,1),$D78&gt;=AG$4),1,""))</f>
        <v/>
      </c>
      <c r="AH78" s="72" t="str">
        <f aca="false">IF(OR(AH$4="",$C78="",$D78=""),"",IF(AND($C78&lt;EDATE(AH$4,1),$D78&gt;=AH$4),1,""))</f>
        <v/>
      </c>
      <c r="AI78" s="72" t="str">
        <f aca="false">IF(OR(AI$4="",$C78="",$D78=""),"",IF(AND($C78&lt;EDATE(AI$4,1),$D78&gt;=AI$4),1,""))</f>
        <v/>
      </c>
      <c r="AJ78" s="72" t="str">
        <f aca="false">IF(OR(AJ$4="",$C78="",$D78=""),"",IF(AND($C78&lt;EDATE(AJ$4,1),$D78&gt;=AJ$4),1,""))</f>
        <v/>
      </c>
      <c r="AK78" s="72" t="str">
        <f aca="false">IF(OR(AK$4="",$C78="",$D78=""),"",IF(AND($C78&lt;EDATE(AK$4,1),$D78&gt;=AK$4),1,""))</f>
        <v/>
      </c>
      <c r="AL78" s="72" t="str">
        <f aca="false">IF(OR(AL$4="",$C78="",$D78=""),"",IF(AND($C78&lt;EDATE(AL$4,1),$D78&gt;=AL$4),1,""))</f>
        <v/>
      </c>
      <c r="AM78" s="72" t="str">
        <f aca="false">IF(OR(AM$4="",$C78="",$D78=""),"",IF(AND($C78&lt;EDATE(AM$4,1),$D78&gt;=AM$4),1,""))</f>
        <v/>
      </c>
      <c r="AN78" s="72" t="str">
        <f aca="false">IF(OR(AN$4="",$C78="",$D78=""),"",IF(AND($C78&lt;EDATE(AN$4,1),$D78&gt;=AN$4),1,""))</f>
        <v/>
      </c>
      <c r="AO78" s="72" t="str">
        <f aca="false">IF(OR(AO$4="",$C78="",$D78=""),"",IF(AND($C78&lt;EDATE(AO$4,1),$D78&gt;=AO$4),1,""))</f>
        <v/>
      </c>
      <c r="AP78" s="72" t="str">
        <f aca="false">IF(OR(AP$4="",$C78="",$D78=""),"",IF(AND($C78&lt;EDATE(AP$4,1),$D78&gt;=AP$4),1,""))</f>
        <v/>
      </c>
      <c r="AQ78" s="72" t="str">
        <f aca="false">IF(OR(AQ$4="",$C78="",$D78=""),"",IF(AND($C78&lt;EDATE(AQ$4,1),$D78&gt;=AQ$4),1,""))</f>
        <v/>
      </c>
      <c r="AR78" s="72" t="str">
        <f aca="false">IF(OR(AR$4="",$C78="",$D78=""),"",IF(AND($C78&lt;EDATE(AR$4,1),$D78&gt;=AR$4),1,""))</f>
        <v/>
      </c>
      <c r="AS78" s="72" t="str">
        <f aca="false">IF(OR(AS$4="",$C78="",$D78=""),"",IF(AND($C78&lt;EDATE(AS$4,1),$D78&gt;=AS$4),1,""))</f>
        <v/>
      </c>
      <c r="AT78" s="72" t="str">
        <f aca="false">IF(OR(AT$4="",$C78="",$D78=""),"",IF(AND($C78&lt;EDATE(AT$4,1),$D78&gt;=AT$4),1,""))</f>
        <v/>
      </c>
      <c r="AU78" s="72" t="str">
        <f aca="false">IF(OR(AU$4="",$C78="",$D78=""),"",IF(AND($C78&lt;EDATE(AU$4,1),$D78&gt;=AU$4),1,""))</f>
        <v/>
      </c>
      <c r="AV78" s="72" t="str">
        <f aca="false">IF(OR(AV$4="",$C78="",$D78=""),"",IF(AND($C78&lt;EDATE(AV$4,1),$D78&gt;=AV$4),1,""))</f>
        <v/>
      </c>
      <c r="AW78" s="72" t="str">
        <f aca="false">IF(OR(AW$4="",$C78="",$D78=""),"",IF(AND($C78&lt;EDATE(AW$4,1),$D78&gt;=AW$4),1,""))</f>
        <v/>
      </c>
      <c r="AX78" s="72" t="str">
        <f aca="false">IF(OR(AX$4="",$C78="",$D78=""),"",IF(AND($C78&lt;EDATE(AX$4,1),$D78&gt;=AX$4),1,""))</f>
        <v/>
      </c>
      <c r="AY78" s="72" t="str">
        <f aca="false">IF(OR(AY$4="",$C78="",$D78=""),"",IF(AND($C78&lt;EDATE(AY$4,1),$D78&gt;=AY$4),1,""))</f>
        <v/>
      </c>
      <c r="AZ78" s="72" t="str">
        <f aca="false">IF(OR(AZ$4="",$C78="",$D78=""),"",IF(AND($C78&lt;EDATE(AZ$4,1),$D78&gt;=AZ$4),1,""))</f>
        <v/>
      </c>
      <c r="BA78" s="72" t="str">
        <f aca="false">IF(OR(BA$4="",$C78="",$D78=""),"",IF(AND($C78&lt;EDATE(BA$4,1),$D78&gt;=BA$4),1,""))</f>
        <v/>
      </c>
      <c r="BB78" s="72" t="str">
        <f aca="false">IF(OR(BB$4="",$C78="",$D78=""),"",IF(AND($C78&lt;EDATE(BB$4,1),$D78&gt;=BB$4),1,""))</f>
        <v/>
      </c>
      <c r="BC78" s="72" t="str">
        <f aca="false">IF(OR(BC$4="",$C78="",$D78=""),"",IF(AND($C78&lt;EDATE(BC$4,1),$D78&gt;=BC$4),1,""))</f>
        <v/>
      </c>
      <c r="BD78" s="72" t="str">
        <f aca="false">IF(OR(BD$4="",$C78="",$D78=""),"",IF(AND($C78&lt;EDATE(BD$4,1),$D78&gt;=BD$4),1,""))</f>
        <v/>
      </c>
      <c r="BE78" s="72" t="str">
        <f aca="false">IF(OR(BE$4="",$C78="",$D78=""),"",IF(AND($C78&lt;EDATE(BE$4,1),$D78&gt;=BE$4),1,""))</f>
        <v/>
      </c>
      <c r="BF78" s="72" t="str">
        <f aca="false">IF(OR(BF$4="",$C78="",$D78=""),"",IF(AND($C78&lt;EDATE(BF$4,1),$D78&gt;=BF$4),1,""))</f>
        <v/>
      </c>
      <c r="BG78" s="72" t="str">
        <f aca="false">IF(OR(BG$4="",$C78="",$D78=""),"",IF(AND($C78&lt;EDATE(BG$4,1),$D78&gt;=BG$4),1,""))</f>
        <v/>
      </c>
      <c r="BH78" s="72" t="str">
        <f aca="false">IF(OR(BH$4="",$C78="",$D78=""),"",IF(AND($C78&lt;EDATE(BH$4,1),$D78&gt;=BH$4),1,""))</f>
        <v/>
      </c>
      <c r="BI78" s="72" t="str">
        <f aca="false">IF(OR(BI$4="",$C78="",$D78=""),"",IF(AND($C78&lt;EDATE(BI$4,1),$D78&gt;=BI$4),1,""))</f>
        <v/>
      </c>
      <c r="BJ78" s="72" t="str">
        <f aca="false">IF(OR(BJ$4="",$C78="",$D78=""),"",IF(AND($C78&lt;EDATE(BJ$4,1),$D78&gt;=BJ$4),1,""))</f>
        <v/>
      </c>
      <c r="BK78" s="72" t="str">
        <f aca="false">IF(OR(BK$4="",$C78="",$D78=""),"",IF(AND($C78&lt;EDATE(BK$4,1),$D78&gt;=BK$4),1,""))</f>
        <v/>
      </c>
      <c r="BL78" s="72" t="str">
        <f aca="false">IF(OR(BL$4="",$C78="",$D78=""),"",IF(AND($C78&lt;EDATE(BL$4,1),$D78&gt;=BL$4),1,""))</f>
        <v/>
      </c>
      <c r="BM78" s="72" t="str">
        <f aca="false">IF(OR(BM$4="",$C78="",$D78=""),"",IF(AND($C78&lt;EDATE(BM$4,1),$D78&gt;=BM$4),1,""))</f>
        <v/>
      </c>
      <c r="BN78" s="72" t="str">
        <f aca="false">IF(OR(BN$4="",$C78="",$D78=""),"",IF(AND($C78&lt;EDATE(BN$4,1),$D78&gt;=BN$4),1,""))</f>
        <v/>
      </c>
      <c r="BO78" s="72" t="str">
        <f aca="false">IF(OR(BO$4="",$C78="",$D78=""),"",IF(AND($C78&lt;EDATE(BO$4,1),$D78&gt;=BO$4),1,""))</f>
        <v/>
      </c>
      <c r="BP78" s="72" t="str">
        <f aca="false">IF(OR(BP$4="",$C78="",$D78=""),"",IF(AND($C78&lt;EDATE(BP$4,1),$D78&gt;=BP$4),1,""))</f>
        <v/>
      </c>
      <c r="BQ78" s="72" t="str">
        <f aca="false">IF(OR(BQ$4="",$C78="",$D78=""),"",IF(AND($C78&lt;EDATE(BQ$4,1),$D78&gt;=BQ$4),1,""))</f>
        <v/>
      </c>
      <c r="BR78" s="72" t="str">
        <f aca="false">IF(OR(BR$4="",$C78="",$D78=""),"",IF(AND($C78&lt;EDATE(BR$4,1),$D78&gt;=BR$4),1,""))</f>
        <v/>
      </c>
      <c r="BS78" s="72" t="str">
        <f aca="false">IF(OR(BS$4="",$C78="",$D78=""),"",IF(AND($C78&lt;EDATE(BS$4,1),$D78&gt;=BS$4),1,""))</f>
        <v/>
      </c>
      <c r="BT78" s="72" t="str">
        <f aca="false">IF(OR(BT$4="",$C78="",$D78=""),"",IF(AND($C78&lt;EDATE(BT$4,1),$D78&gt;=BT$4),1,""))</f>
        <v/>
      </c>
      <c r="BU78" s="72" t="str">
        <f aca="false">IF(OR(BU$4="",$C78="",$D78=""),"",IF(AND($C78&lt;EDATE(BU$4,1),$D78&gt;=BU$4),1,""))</f>
        <v/>
      </c>
      <c r="BV78" s="72" t="str">
        <f aca="false">IF(OR(BV$4="",$C78="",$D78=""),"",IF(AND($C78&lt;EDATE(BV$4,1),$D78&gt;=BV$4),1,""))</f>
        <v/>
      </c>
      <c r="BW78" s="72" t="str">
        <f aca="false">IF(OR(BW$4="",$C78="",$D78=""),"",IF(AND($C78&lt;EDATE(BW$4,1),$D78&gt;=BW$4),1,""))</f>
        <v/>
      </c>
      <c r="BX78" s="72" t="str">
        <f aca="false">IF(OR(BX$4="",$C78="",$D78=""),"",IF(AND($C78&lt;EDATE(BX$4,1),$D78&gt;=BX$4),1,""))</f>
        <v/>
      </c>
      <c r="BY78" s="72" t="str">
        <f aca="false">IF(OR(BY$4="",$C78="",$D78=""),"",IF(AND($C78&lt;EDATE(BY$4,1),$D78&gt;=BY$4),1,""))</f>
        <v/>
      </c>
    </row>
    <row r="79" customFormat="false" ht="15" hidden="false" customHeight="false" outlineLevel="0" collapsed="false">
      <c r="A79" s="61" t="str">
        <f aca="false">IF(BOE!$A48="","",BOE!$A48)</f>
        <v/>
      </c>
      <c r="B79" s="61" t="str">
        <f aca="false">IF(BOE!$A48="","",BOE!$C48)</f>
        <v/>
      </c>
      <c r="C79" s="62" t="str">
        <f aca="false">IF(OR(BOE!$A48="",BOE!$E48&lt;&gt;"Y"),"",BOE!$O48)</f>
        <v/>
      </c>
      <c r="D79" s="62" t="str">
        <f aca="false">IF(OR(BOE!$A48="",BOE!$E48&lt;&gt;"Y"),"",BOE!$P48)</f>
        <v/>
      </c>
      <c r="E79" s="63" t="str">
        <f aca="false">IF(OR(BOE!$A48="",BOE!$E48&lt;&gt;"Y"),"",IF(Inputs!$B$7="P90",BOE!$T48,BOE!$R48))</f>
        <v/>
      </c>
      <c r="F79" s="72" t="str">
        <f aca="false">IF(OR(F$4="",$C79="",$D79=""),"",IF(AND($C79&lt;EDATE(F$4,1),$D79&gt;=F$4),1,""))</f>
        <v/>
      </c>
      <c r="G79" s="72" t="str">
        <f aca="false">IF(OR(G$4="",$C79="",$D79=""),"",IF(AND($C79&lt;EDATE(G$4,1),$D79&gt;=G$4),1,""))</f>
        <v/>
      </c>
      <c r="H79" s="72" t="str">
        <f aca="false">IF(OR(H$4="",$C79="",$D79=""),"",IF(AND($C79&lt;EDATE(H$4,1),$D79&gt;=H$4),1,""))</f>
        <v/>
      </c>
      <c r="I79" s="72" t="str">
        <f aca="false">IF(OR(I$4="",$C79="",$D79=""),"",IF(AND($C79&lt;EDATE(I$4,1),$D79&gt;=I$4),1,""))</f>
        <v/>
      </c>
      <c r="J79" s="72" t="str">
        <f aca="false">IF(OR(J$4="",$C79="",$D79=""),"",IF(AND($C79&lt;EDATE(J$4,1),$D79&gt;=J$4),1,""))</f>
        <v/>
      </c>
      <c r="K79" s="72" t="str">
        <f aca="false">IF(OR(K$4="",$C79="",$D79=""),"",IF(AND($C79&lt;EDATE(K$4,1),$D79&gt;=K$4),1,""))</f>
        <v/>
      </c>
      <c r="L79" s="72" t="str">
        <f aca="false">IF(OR(L$4="",$C79="",$D79=""),"",IF(AND($C79&lt;EDATE(L$4,1),$D79&gt;=L$4),1,""))</f>
        <v/>
      </c>
      <c r="M79" s="72" t="str">
        <f aca="false">IF(OR(M$4="",$C79="",$D79=""),"",IF(AND($C79&lt;EDATE(M$4,1),$D79&gt;=M$4),1,""))</f>
        <v/>
      </c>
      <c r="N79" s="72" t="str">
        <f aca="false">IF(OR(N$4="",$C79="",$D79=""),"",IF(AND($C79&lt;EDATE(N$4,1),$D79&gt;=N$4),1,""))</f>
        <v/>
      </c>
      <c r="O79" s="72" t="str">
        <f aca="false">IF(OR(O$4="",$C79="",$D79=""),"",IF(AND($C79&lt;EDATE(O$4,1),$D79&gt;=O$4),1,""))</f>
        <v/>
      </c>
      <c r="P79" s="72" t="str">
        <f aca="false">IF(OR(P$4="",$C79="",$D79=""),"",IF(AND($C79&lt;EDATE(P$4,1),$D79&gt;=P$4),1,""))</f>
        <v/>
      </c>
      <c r="Q79" s="72" t="str">
        <f aca="false">IF(OR(Q$4="",$C79="",$D79=""),"",IF(AND($C79&lt;EDATE(Q$4,1),$D79&gt;=Q$4),1,""))</f>
        <v/>
      </c>
      <c r="R79" s="72" t="str">
        <f aca="false">IF(OR(R$4="",$C79="",$D79=""),"",IF(AND($C79&lt;EDATE(R$4,1),$D79&gt;=R$4),1,""))</f>
        <v/>
      </c>
      <c r="S79" s="72" t="str">
        <f aca="false">IF(OR(S$4="",$C79="",$D79=""),"",IF(AND($C79&lt;EDATE(S$4,1),$D79&gt;=S$4),1,""))</f>
        <v/>
      </c>
      <c r="T79" s="72" t="str">
        <f aca="false">IF(OR(T$4="",$C79="",$D79=""),"",IF(AND($C79&lt;EDATE(T$4,1),$D79&gt;=T$4),1,""))</f>
        <v/>
      </c>
      <c r="U79" s="72" t="str">
        <f aca="false">IF(OR(U$4="",$C79="",$D79=""),"",IF(AND($C79&lt;EDATE(U$4,1),$D79&gt;=U$4),1,""))</f>
        <v/>
      </c>
      <c r="V79" s="72" t="str">
        <f aca="false">IF(OR(V$4="",$C79="",$D79=""),"",IF(AND($C79&lt;EDATE(V$4,1),$D79&gt;=V$4),1,""))</f>
        <v/>
      </c>
      <c r="W79" s="72" t="str">
        <f aca="false">IF(OR(W$4="",$C79="",$D79=""),"",IF(AND($C79&lt;EDATE(W$4,1),$D79&gt;=W$4),1,""))</f>
        <v/>
      </c>
      <c r="X79" s="72" t="str">
        <f aca="false">IF(OR(X$4="",$C79="",$D79=""),"",IF(AND($C79&lt;EDATE(X$4,1),$D79&gt;=X$4),1,""))</f>
        <v/>
      </c>
      <c r="Y79" s="72" t="str">
        <f aca="false">IF(OR(Y$4="",$C79="",$D79=""),"",IF(AND($C79&lt;EDATE(Y$4,1),$D79&gt;=Y$4),1,""))</f>
        <v/>
      </c>
      <c r="Z79" s="72" t="str">
        <f aca="false">IF(OR(Z$4="",$C79="",$D79=""),"",IF(AND($C79&lt;EDATE(Z$4,1),$D79&gt;=Z$4),1,""))</f>
        <v/>
      </c>
      <c r="AA79" s="72" t="str">
        <f aca="false">IF(OR(AA$4="",$C79="",$D79=""),"",IF(AND($C79&lt;EDATE(AA$4,1),$D79&gt;=AA$4),1,""))</f>
        <v/>
      </c>
      <c r="AB79" s="72" t="str">
        <f aca="false">IF(OR(AB$4="",$C79="",$D79=""),"",IF(AND($C79&lt;EDATE(AB$4,1),$D79&gt;=AB$4),1,""))</f>
        <v/>
      </c>
      <c r="AC79" s="72" t="str">
        <f aca="false">IF(OR(AC$4="",$C79="",$D79=""),"",IF(AND($C79&lt;EDATE(AC$4,1),$D79&gt;=AC$4),1,""))</f>
        <v/>
      </c>
      <c r="AD79" s="72" t="str">
        <f aca="false">IF(OR(AD$4="",$C79="",$D79=""),"",IF(AND($C79&lt;EDATE(AD$4,1),$D79&gt;=AD$4),1,""))</f>
        <v/>
      </c>
      <c r="AE79" s="72" t="str">
        <f aca="false">IF(OR(AE$4="",$C79="",$D79=""),"",IF(AND($C79&lt;EDATE(AE$4,1),$D79&gt;=AE$4),1,""))</f>
        <v/>
      </c>
      <c r="AF79" s="72" t="str">
        <f aca="false">IF(OR(AF$4="",$C79="",$D79=""),"",IF(AND($C79&lt;EDATE(AF$4,1),$D79&gt;=AF$4),1,""))</f>
        <v/>
      </c>
      <c r="AG79" s="72" t="str">
        <f aca="false">IF(OR(AG$4="",$C79="",$D79=""),"",IF(AND($C79&lt;EDATE(AG$4,1),$D79&gt;=AG$4),1,""))</f>
        <v/>
      </c>
      <c r="AH79" s="72" t="str">
        <f aca="false">IF(OR(AH$4="",$C79="",$D79=""),"",IF(AND($C79&lt;EDATE(AH$4,1),$D79&gt;=AH$4),1,""))</f>
        <v/>
      </c>
      <c r="AI79" s="72" t="str">
        <f aca="false">IF(OR(AI$4="",$C79="",$D79=""),"",IF(AND($C79&lt;EDATE(AI$4,1),$D79&gt;=AI$4),1,""))</f>
        <v/>
      </c>
      <c r="AJ79" s="72" t="str">
        <f aca="false">IF(OR(AJ$4="",$C79="",$D79=""),"",IF(AND($C79&lt;EDATE(AJ$4,1),$D79&gt;=AJ$4),1,""))</f>
        <v/>
      </c>
      <c r="AK79" s="72" t="str">
        <f aca="false">IF(OR(AK$4="",$C79="",$D79=""),"",IF(AND($C79&lt;EDATE(AK$4,1),$D79&gt;=AK$4),1,""))</f>
        <v/>
      </c>
      <c r="AL79" s="72" t="str">
        <f aca="false">IF(OR(AL$4="",$C79="",$D79=""),"",IF(AND($C79&lt;EDATE(AL$4,1),$D79&gt;=AL$4),1,""))</f>
        <v/>
      </c>
      <c r="AM79" s="72" t="str">
        <f aca="false">IF(OR(AM$4="",$C79="",$D79=""),"",IF(AND($C79&lt;EDATE(AM$4,1),$D79&gt;=AM$4),1,""))</f>
        <v/>
      </c>
      <c r="AN79" s="72" t="str">
        <f aca="false">IF(OR(AN$4="",$C79="",$D79=""),"",IF(AND($C79&lt;EDATE(AN$4,1),$D79&gt;=AN$4),1,""))</f>
        <v/>
      </c>
      <c r="AO79" s="72" t="str">
        <f aca="false">IF(OR(AO$4="",$C79="",$D79=""),"",IF(AND($C79&lt;EDATE(AO$4,1),$D79&gt;=AO$4),1,""))</f>
        <v/>
      </c>
      <c r="AP79" s="72" t="str">
        <f aca="false">IF(OR(AP$4="",$C79="",$D79=""),"",IF(AND($C79&lt;EDATE(AP$4,1),$D79&gt;=AP$4),1,""))</f>
        <v/>
      </c>
      <c r="AQ79" s="72" t="str">
        <f aca="false">IF(OR(AQ$4="",$C79="",$D79=""),"",IF(AND($C79&lt;EDATE(AQ$4,1),$D79&gt;=AQ$4),1,""))</f>
        <v/>
      </c>
      <c r="AR79" s="72" t="str">
        <f aca="false">IF(OR(AR$4="",$C79="",$D79=""),"",IF(AND($C79&lt;EDATE(AR$4,1),$D79&gt;=AR$4),1,""))</f>
        <v/>
      </c>
      <c r="AS79" s="72" t="str">
        <f aca="false">IF(OR(AS$4="",$C79="",$D79=""),"",IF(AND($C79&lt;EDATE(AS$4,1),$D79&gt;=AS$4),1,""))</f>
        <v/>
      </c>
      <c r="AT79" s="72" t="str">
        <f aca="false">IF(OR(AT$4="",$C79="",$D79=""),"",IF(AND($C79&lt;EDATE(AT$4,1),$D79&gt;=AT$4),1,""))</f>
        <v/>
      </c>
      <c r="AU79" s="72" t="str">
        <f aca="false">IF(OR(AU$4="",$C79="",$D79=""),"",IF(AND($C79&lt;EDATE(AU$4,1),$D79&gt;=AU$4),1,""))</f>
        <v/>
      </c>
      <c r="AV79" s="72" t="str">
        <f aca="false">IF(OR(AV$4="",$C79="",$D79=""),"",IF(AND($C79&lt;EDATE(AV$4,1),$D79&gt;=AV$4),1,""))</f>
        <v/>
      </c>
      <c r="AW79" s="72" t="str">
        <f aca="false">IF(OR(AW$4="",$C79="",$D79=""),"",IF(AND($C79&lt;EDATE(AW$4,1),$D79&gt;=AW$4),1,""))</f>
        <v/>
      </c>
      <c r="AX79" s="72" t="str">
        <f aca="false">IF(OR(AX$4="",$C79="",$D79=""),"",IF(AND($C79&lt;EDATE(AX$4,1),$D79&gt;=AX$4),1,""))</f>
        <v/>
      </c>
      <c r="AY79" s="72" t="str">
        <f aca="false">IF(OR(AY$4="",$C79="",$D79=""),"",IF(AND($C79&lt;EDATE(AY$4,1),$D79&gt;=AY$4),1,""))</f>
        <v/>
      </c>
      <c r="AZ79" s="72" t="str">
        <f aca="false">IF(OR(AZ$4="",$C79="",$D79=""),"",IF(AND($C79&lt;EDATE(AZ$4,1),$D79&gt;=AZ$4),1,""))</f>
        <v/>
      </c>
      <c r="BA79" s="72" t="str">
        <f aca="false">IF(OR(BA$4="",$C79="",$D79=""),"",IF(AND($C79&lt;EDATE(BA$4,1),$D79&gt;=BA$4),1,""))</f>
        <v/>
      </c>
      <c r="BB79" s="72" t="str">
        <f aca="false">IF(OR(BB$4="",$C79="",$D79=""),"",IF(AND($C79&lt;EDATE(BB$4,1),$D79&gt;=BB$4),1,""))</f>
        <v/>
      </c>
      <c r="BC79" s="72" t="str">
        <f aca="false">IF(OR(BC$4="",$C79="",$D79=""),"",IF(AND($C79&lt;EDATE(BC$4,1),$D79&gt;=BC$4),1,""))</f>
        <v/>
      </c>
      <c r="BD79" s="72" t="str">
        <f aca="false">IF(OR(BD$4="",$C79="",$D79=""),"",IF(AND($C79&lt;EDATE(BD$4,1),$D79&gt;=BD$4),1,""))</f>
        <v/>
      </c>
      <c r="BE79" s="72" t="str">
        <f aca="false">IF(OR(BE$4="",$C79="",$D79=""),"",IF(AND($C79&lt;EDATE(BE$4,1),$D79&gt;=BE$4),1,""))</f>
        <v/>
      </c>
      <c r="BF79" s="72" t="str">
        <f aca="false">IF(OR(BF$4="",$C79="",$D79=""),"",IF(AND($C79&lt;EDATE(BF$4,1),$D79&gt;=BF$4),1,""))</f>
        <v/>
      </c>
      <c r="BG79" s="72" t="str">
        <f aca="false">IF(OR(BG$4="",$C79="",$D79=""),"",IF(AND($C79&lt;EDATE(BG$4,1),$D79&gt;=BG$4),1,""))</f>
        <v/>
      </c>
      <c r="BH79" s="72" t="str">
        <f aca="false">IF(OR(BH$4="",$C79="",$D79=""),"",IF(AND($C79&lt;EDATE(BH$4,1),$D79&gt;=BH$4),1,""))</f>
        <v/>
      </c>
      <c r="BI79" s="72" t="str">
        <f aca="false">IF(OR(BI$4="",$C79="",$D79=""),"",IF(AND($C79&lt;EDATE(BI$4,1),$D79&gt;=BI$4),1,""))</f>
        <v/>
      </c>
      <c r="BJ79" s="72" t="str">
        <f aca="false">IF(OR(BJ$4="",$C79="",$D79=""),"",IF(AND($C79&lt;EDATE(BJ$4,1),$D79&gt;=BJ$4),1,""))</f>
        <v/>
      </c>
      <c r="BK79" s="72" t="str">
        <f aca="false">IF(OR(BK$4="",$C79="",$D79=""),"",IF(AND($C79&lt;EDATE(BK$4,1),$D79&gt;=BK$4),1,""))</f>
        <v/>
      </c>
      <c r="BL79" s="72" t="str">
        <f aca="false">IF(OR(BL$4="",$C79="",$D79=""),"",IF(AND($C79&lt;EDATE(BL$4,1),$D79&gt;=BL$4),1,""))</f>
        <v/>
      </c>
      <c r="BM79" s="72" t="str">
        <f aca="false">IF(OR(BM$4="",$C79="",$D79=""),"",IF(AND($C79&lt;EDATE(BM$4,1),$D79&gt;=BM$4),1,""))</f>
        <v/>
      </c>
      <c r="BN79" s="72" t="str">
        <f aca="false">IF(OR(BN$4="",$C79="",$D79=""),"",IF(AND($C79&lt;EDATE(BN$4,1),$D79&gt;=BN$4),1,""))</f>
        <v/>
      </c>
      <c r="BO79" s="72" t="str">
        <f aca="false">IF(OR(BO$4="",$C79="",$D79=""),"",IF(AND($C79&lt;EDATE(BO$4,1),$D79&gt;=BO$4),1,""))</f>
        <v/>
      </c>
      <c r="BP79" s="72" t="str">
        <f aca="false">IF(OR(BP$4="",$C79="",$D79=""),"",IF(AND($C79&lt;EDATE(BP$4,1),$D79&gt;=BP$4),1,""))</f>
        <v/>
      </c>
      <c r="BQ79" s="72" t="str">
        <f aca="false">IF(OR(BQ$4="",$C79="",$D79=""),"",IF(AND($C79&lt;EDATE(BQ$4,1),$D79&gt;=BQ$4),1,""))</f>
        <v/>
      </c>
      <c r="BR79" s="72" t="str">
        <f aca="false">IF(OR(BR$4="",$C79="",$D79=""),"",IF(AND($C79&lt;EDATE(BR$4,1),$D79&gt;=BR$4),1,""))</f>
        <v/>
      </c>
      <c r="BS79" s="72" t="str">
        <f aca="false">IF(OR(BS$4="",$C79="",$D79=""),"",IF(AND($C79&lt;EDATE(BS$4,1),$D79&gt;=BS$4),1,""))</f>
        <v/>
      </c>
      <c r="BT79" s="72" t="str">
        <f aca="false">IF(OR(BT$4="",$C79="",$D79=""),"",IF(AND($C79&lt;EDATE(BT$4,1),$D79&gt;=BT$4),1,""))</f>
        <v/>
      </c>
      <c r="BU79" s="72" t="str">
        <f aca="false">IF(OR(BU$4="",$C79="",$D79=""),"",IF(AND($C79&lt;EDATE(BU$4,1),$D79&gt;=BU$4),1,""))</f>
        <v/>
      </c>
      <c r="BV79" s="72" t="str">
        <f aca="false">IF(OR(BV$4="",$C79="",$D79=""),"",IF(AND($C79&lt;EDATE(BV$4,1),$D79&gt;=BV$4),1,""))</f>
        <v/>
      </c>
      <c r="BW79" s="72" t="str">
        <f aca="false">IF(OR(BW$4="",$C79="",$D79=""),"",IF(AND($C79&lt;EDATE(BW$4,1),$D79&gt;=BW$4),1,""))</f>
        <v/>
      </c>
      <c r="BX79" s="72" t="str">
        <f aca="false">IF(OR(BX$4="",$C79="",$D79=""),"",IF(AND($C79&lt;EDATE(BX$4,1),$D79&gt;=BX$4),1,""))</f>
        <v/>
      </c>
      <c r="BY79" s="72" t="str">
        <f aca="false">IF(OR(BY$4="",$C79="",$D79=""),"",IF(AND($C79&lt;EDATE(BY$4,1),$D79&gt;=BY$4),1,""))</f>
        <v/>
      </c>
    </row>
    <row r="80" customFormat="false" ht="15" hidden="false" customHeight="false" outlineLevel="0" collapsed="false">
      <c r="A80" s="61" t="str">
        <f aca="false">IF(BOE!$A49="","",BOE!$A49)</f>
        <v/>
      </c>
      <c r="B80" s="61" t="str">
        <f aca="false">IF(BOE!$A49="","",BOE!$C49)</f>
        <v/>
      </c>
      <c r="C80" s="62" t="str">
        <f aca="false">IF(OR(BOE!$A49="",BOE!$E49&lt;&gt;"Y"),"",BOE!$O49)</f>
        <v/>
      </c>
      <c r="D80" s="62" t="str">
        <f aca="false">IF(OR(BOE!$A49="",BOE!$E49&lt;&gt;"Y"),"",BOE!$P49)</f>
        <v/>
      </c>
      <c r="E80" s="63" t="str">
        <f aca="false">IF(OR(BOE!$A49="",BOE!$E49&lt;&gt;"Y"),"",IF(Inputs!$B$7="P90",BOE!$T49,BOE!$R49))</f>
        <v/>
      </c>
      <c r="F80" s="72" t="str">
        <f aca="false">IF(OR(F$4="",$C80="",$D80=""),"",IF(AND($C80&lt;EDATE(F$4,1),$D80&gt;=F$4),1,""))</f>
        <v/>
      </c>
      <c r="G80" s="72" t="str">
        <f aca="false">IF(OR(G$4="",$C80="",$D80=""),"",IF(AND($C80&lt;EDATE(G$4,1),$D80&gt;=G$4),1,""))</f>
        <v/>
      </c>
      <c r="H80" s="72" t="str">
        <f aca="false">IF(OR(H$4="",$C80="",$D80=""),"",IF(AND($C80&lt;EDATE(H$4,1),$D80&gt;=H$4),1,""))</f>
        <v/>
      </c>
      <c r="I80" s="72" t="str">
        <f aca="false">IF(OR(I$4="",$C80="",$D80=""),"",IF(AND($C80&lt;EDATE(I$4,1),$D80&gt;=I$4),1,""))</f>
        <v/>
      </c>
      <c r="J80" s="72" t="str">
        <f aca="false">IF(OR(J$4="",$C80="",$D80=""),"",IF(AND($C80&lt;EDATE(J$4,1),$D80&gt;=J$4),1,""))</f>
        <v/>
      </c>
      <c r="K80" s="72" t="str">
        <f aca="false">IF(OR(K$4="",$C80="",$D80=""),"",IF(AND($C80&lt;EDATE(K$4,1),$D80&gt;=K$4),1,""))</f>
        <v/>
      </c>
      <c r="L80" s="72" t="str">
        <f aca="false">IF(OR(L$4="",$C80="",$D80=""),"",IF(AND($C80&lt;EDATE(L$4,1),$D80&gt;=L$4),1,""))</f>
        <v/>
      </c>
      <c r="M80" s="72" t="str">
        <f aca="false">IF(OR(M$4="",$C80="",$D80=""),"",IF(AND($C80&lt;EDATE(M$4,1),$D80&gt;=M$4),1,""))</f>
        <v/>
      </c>
      <c r="N80" s="72" t="str">
        <f aca="false">IF(OR(N$4="",$C80="",$D80=""),"",IF(AND($C80&lt;EDATE(N$4,1),$D80&gt;=N$4),1,""))</f>
        <v/>
      </c>
      <c r="O80" s="72" t="str">
        <f aca="false">IF(OR(O$4="",$C80="",$D80=""),"",IF(AND($C80&lt;EDATE(O$4,1),$D80&gt;=O$4),1,""))</f>
        <v/>
      </c>
      <c r="P80" s="72" t="str">
        <f aca="false">IF(OR(P$4="",$C80="",$D80=""),"",IF(AND($C80&lt;EDATE(P$4,1),$D80&gt;=P$4),1,""))</f>
        <v/>
      </c>
      <c r="Q80" s="72" t="str">
        <f aca="false">IF(OR(Q$4="",$C80="",$D80=""),"",IF(AND($C80&lt;EDATE(Q$4,1),$D80&gt;=Q$4),1,""))</f>
        <v/>
      </c>
      <c r="R80" s="72" t="str">
        <f aca="false">IF(OR(R$4="",$C80="",$D80=""),"",IF(AND($C80&lt;EDATE(R$4,1),$D80&gt;=R$4),1,""))</f>
        <v/>
      </c>
      <c r="S80" s="72" t="str">
        <f aca="false">IF(OR(S$4="",$C80="",$D80=""),"",IF(AND($C80&lt;EDATE(S$4,1),$D80&gt;=S$4),1,""))</f>
        <v/>
      </c>
      <c r="T80" s="72" t="str">
        <f aca="false">IF(OR(T$4="",$C80="",$D80=""),"",IF(AND($C80&lt;EDATE(T$4,1),$D80&gt;=T$4),1,""))</f>
        <v/>
      </c>
      <c r="U80" s="72" t="str">
        <f aca="false">IF(OR(U$4="",$C80="",$D80=""),"",IF(AND($C80&lt;EDATE(U$4,1),$D80&gt;=U$4),1,""))</f>
        <v/>
      </c>
      <c r="V80" s="72" t="str">
        <f aca="false">IF(OR(V$4="",$C80="",$D80=""),"",IF(AND($C80&lt;EDATE(V$4,1),$D80&gt;=V$4),1,""))</f>
        <v/>
      </c>
      <c r="W80" s="72" t="str">
        <f aca="false">IF(OR(W$4="",$C80="",$D80=""),"",IF(AND($C80&lt;EDATE(W$4,1),$D80&gt;=W$4),1,""))</f>
        <v/>
      </c>
      <c r="X80" s="72" t="str">
        <f aca="false">IF(OR(X$4="",$C80="",$D80=""),"",IF(AND($C80&lt;EDATE(X$4,1),$D80&gt;=X$4),1,""))</f>
        <v/>
      </c>
      <c r="Y80" s="72" t="str">
        <f aca="false">IF(OR(Y$4="",$C80="",$D80=""),"",IF(AND($C80&lt;EDATE(Y$4,1),$D80&gt;=Y$4),1,""))</f>
        <v/>
      </c>
      <c r="Z80" s="72" t="str">
        <f aca="false">IF(OR(Z$4="",$C80="",$D80=""),"",IF(AND($C80&lt;EDATE(Z$4,1),$D80&gt;=Z$4),1,""))</f>
        <v/>
      </c>
      <c r="AA80" s="72" t="str">
        <f aca="false">IF(OR(AA$4="",$C80="",$D80=""),"",IF(AND($C80&lt;EDATE(AA$4,1),$D80&gt;=AA$4),1,""))</f>
        <v/>
      </c>
      <c r="AB80" s="72" t="str">
        <f aca="false">IF(OR(AB$4="",$C80="",$D80=""),"",IF(AND($C80&lt;EDATE(AB$4,1),$D80&gt;=AB$4),1,""))</f>
        <v/>
      </c>
      <c r="AC80" s="72" t="str">
        <f aca="false">IF(OR(AC$4="",$C80="",$D80=""),"",IF(AND($C80&lt;EDATE(AC$4,1),$D80&gt;=AC$4),1,""))</f>
        <v/>
      </c>
      <c r="AD80" s="72" t="str">
        <f aca="false">IF(OR(AD$4="",$C80="",$D80=""),"",IF(AND($C80&lt;EDATE(AD$4,1),$D80&gt;=AD$4),1,""))</f>
        <v/>
      </c>
      <c r="AE80" s="72" t="str">
        <f aca="false">IF(OR(AE$4="",$C80="",$D80=""),"",IF(AND($C80&lt;EDATE(AE$4,1),$D80&gt;=AE$4),1,""))</f>
        <v/>
      </c>
      <c r="AF80" s="72" t="str">
        <f aca="false">IF(OR(AF$4="",$C80="",$D80=""),"",IF(AND($C80&lt;EDATE(AF$4,1),$D80&gt;=AF$4),1,""))</f>
        <v/>
      </c>
      <c r="AG80" s="72" t="str">
        <f aca="false">IF(OR(AG$4="",$C80="",$D80=""),"",IF(AND($C80&lt;EDATE(AG$4,1),$D80&gt;=AG$4),1,""))</f>
        <v/>
      </c>
      <c r="AH80" s="72" t="str">
        <f aca="false">IF(OR(AH$4="",$C80="",$D80=""),"",IF(AND($C80&lt;EDATE(AH$4,1),$D80&gt;=AH$4),1,""))</f>
        <v/>
      </c>
      <c r="AI80" s="72" t="str">
        <f aca="false">IF(OR(AI$4="",$C80="",$D80=""),"",IF(AND($C80&lt;EDATE(AI$4,1),$D80&gt;=AI$4),1,""))</f>
        <v/>
      </c>
      <c r="AJ80" s="72" t="str">
        <f aca="false">IF(OR(AJ$4="",$C80="",$D80=""),"",IF(AND($C80&lt;EDATE(AJ$4,1),$D80&gt;=AJ$4),1,""))</f>
        <v/>
      </c>
      <c r="AK80" s="72" t="str">
        <f aca="false">IF(OR(AK$4="",$C80="",$D80=""),"",IF(AND($C80&lt;EDATE(AK$4,1),$D80&gt;=AK$4),1,""))</f>
        <v/>
      </c>
      <c r="AL80" s="72" t="str">
        <f aca="false">IF(OR(AL$4="",$C80="",$D80=""),"",IF(AND($C80&lt;EDATE(AL$4,1),$D80&gt;=AL$4),1,""))</f>
        <v/>
      </c>
      <c r="AM80" s="72" t="str">
        <f aca="false">IF(OR(AM$4="",$C80="",$D80=""),"",IF(AND($C80&lt;EDATE(AM$4,1),$D80&gt;=AM$4),1,""))</f>
        <v/>
      </c>
      <c r="AN80" s="72" t="str">
        <f aca="false">IF(OR(AN$4="",$C80="",$D80=""),"",IF(AND($C80&lt;EDATE(AN$4,1),$D80&gt;=AN$4),1,""))</f>
        <v/>
      </c>
      <c r="AO80" s="72" t="str">
        <f aca="false">IF(OR(AO$4="",$C80="",$D80=""),"",IF(AND($C80&lt;EDATE(AO$4,1),$D80&gt;=AO$4),1,""))</f>
        <v/>
      </c>
      <c r="AP80" s="72" t="str">
        <f aca="false">IF(OR(AP$4="",$C80="",$D80=""),"",IF(AND($C80&lt;EDATE(AP$4,1),$D80&gt;=AP$4),1,""))</f>
        <v/>
      </c>
      <c r="AQ80" s="72" t="str">
        <f aca="false">IF(OR(AQ$4="",$C80="",$D80=""),"",IF(AND($C80&lt;EDATE(AQ$4,1),$D80&gt;=AQ$4),1,""))</f>
        <v/>
      </c>
      <c r="AR80" s="72" t="str">
        <f aca="false">IF(OR(AR$4="",$C80="",$D80=""),"",IF(AND($C80&lt;EDATE(AR$4,1),$D80&gt;=AR$4),1,""))</f>
        <v/>
      </c>
      <c r="AS80" s="72" t="str">
        <f aca="false">IF(OR(AS$4="",$C80="",$D80=""),"",IF(AND($C80&lt;EDATE(AS$4,1),$D80&gt;=AS$4),1,""))</f>
        <v/>
      </c>
      <c r="AT80" s="72" t="str">
        <f aca="false">IF(OR(AT$4="",$C80="",$D80=""),"",IF(AND($C80&lt;EDATE(AT$4,1),$D80&gt;=AT$4),1,""))</f>
        <v/>
      </c>
      <c r="AU80" s="72" t="str">
        <f aca="false">IF(OR(AU$4="",$C80="",$D80=""),"",IF(AND($C80&lt;EDATE(AU$4,1),$D80&gt;=AU$4),1,""))</f>
        <v/>
      </c>
      <c r="AV80" s="72" t="str">
        <f aca="false">IF(OR(AV$4="",$C80="",$D80=""),"",IF(AND($C80&lt;EDATE(AV$4,1),$D80&gt;=AV$4),1,""))</f>
        <v/>
      </c>
      <c r="AW80" s="72" t="str">
        <f aca="false">IF(OR(AW$4="",$C80="",$D80=""),"",IF(AND($C80&lt;EDATE(AW$4,1),$D80&gt;=AW$4),1,""))</f>
        <v/>
      </c>
      <c r="AX80" s="72" t="str">
        <f aca="false">IF(OR(AX$4="",$C80="",$D80=""),"",IF(AND($C80&lt;EDATE(AX$4,1),$D80&gt;=AX$4),1,""))</f>
        <v/>
      </c>
      <c r="AY80" s="72" t="str">
        <f aca="false">IF(OR(AY$4="",$C80="",$D80=""),"",IF(AND($C80&lt;EDATE(AY$4,1),$D80&gt;=AY$4),1,""))</f>
        <v/>
      </c>
      <c r="AZ80" s="72" t="str">
        <f aca="false">IF(OR(AZ$4="",$C80="",$D80=""),"",IF(AND($C80&lt;EDATE(AZ$4,1),$D80&gt;=AZ$4),1,""))</f>
        <v/>
      </c>
      <c r="BA80" s="72" t="str">
        <f aca="false">IF(OR(BA$4="",$C80="",$D80=""),"",IF(AND($C80&lt;EDATE(BA$4,1),$D80&gt;=BA$4),1,""))</f>
        <v/>
      </c>
      <c r="BB80" s="72" t="str">
        <f aca="false">IF(OR(BB$4="",$C80="",$D80=""),"",IF(AND($C80&lt;EDATE(BB$4,1),$D80&gt;=BB$4),1,""))</f>
        <v/>
      </c>
      <c r="BC80" s="72" t="str">
        <f aca="false">IF(OR(BC$4="",$C80="",$D80=""),"",IF(AND($C80&lt;EDATE(BC$4,1),$D80&gt;=BC$4),1,""))</f>
        <v/>
      </c>
      <c r="BD80" s="72" t="str">
        <f aca="false">IF(OR(BD$4="",$C80="",$D80=""),"",IF(AND($C80&lt;EDATE(BD$4,1),$D80&gt;=BD$4),1,""))</f>
        <v/>
      </c>
      <c r="BE80" s="72" t="str">
        <f aca="false">IF(OR(BE$4="",$C80="",$D80=""),"",IF(AND($C80&lt;EDATE(BE$4,1),$D80&gt;=BE$4),1,""))</f>
        <v/>
      </c>
      <c r="BF80" s="72" t="str">
        <f aca="false">IF(OR(BF$4="",$C80="",$D80=""),"",IF(AND($C80&lt;EDATE(BF$4,1),$D80&gt;=BF$4),1,""))</f>
        <v/>
      </c>
      <c r="BG80" s="72" t="str">
        <f aca="false">IF(OR(BG$4="",$C80="",$D80=""),"",IF(AND($C80&lt;EDATE(BG$4,1),$D80&gt;=BG$4),1,""))</f>
        <v/>
      </c>
      <c r="BH80" s="72" t="str">
        <f aca="false">IF(OR(BH$4="",$C80="",$D80=""),"",IF(AND($C80&lt;EDATE(BH$4,1),$D80&gt;=BH$4),1,""))</f>
        <v/>
      </c>
      <c r="BI80" s="72" t="str">
        <f aca="false">IF(OR(BI$4="",$C80="",$D80=""),"",IF(AND($C80&lt;EDATE(BI$4,1),$D80&gt;=BI$4),1,""))</f>
        <v/>
      </c>
      <c r="BJ80" s="72" t="str">
        <f aca="false">IF(OR(BJ$4="",$C80="",$D80=""),"",IF(AND($C80&lt;EDATE(BJ$4,1),$D80&gt;=BJ$4),1,""))</f>
        <v/>
      </c>
      <c r="BK80" s="72" t="str">
        <f aca="false">IF(OR(BK$4="",$C80="",$D80=""),"",IF(AND($C80&lt;EDATE(BK$4,1),$D80&gt;=BK$4),1,""))</f>
        <v/>
      </c>
      <c r="BL80" s="72" t="str">
        <f aca="false">IF(OR(BL$4="",$C80="",$D80=""),"",IF(AND($C80&lt;EDATE(BL$4,1),$D80&gt;=BL$4),1,""))</f>
        <v/>
      </c>
      <c r="BM80" s="72" t="str">
        <f aca="false">IF(OR(BM$4="",$C80="",$D80=""),"",IF(AND($C80&lt;EDATE(BM$4,1),$D80&gt;=BM$4),1,""))</f>
        <v/>
      </c>
      <c r="BN80" s="72" t="str">
        <f aca="false">IF(OR(BN$4="",$C80="",$D80=""),"",IF(AND($C80&lt;EDATE(BN$4,1),$D80&gt;=BN$4),1,""))</f>
        <v/>
      </c>
      <c r="BO80" s="72" t="str">
        <f aca="false">IF(OR(BO$4="",$C80="",$D80=""),"",IF(AND($C80&lt;EDATE(BO$4,1),$D80&gt;=BO$4),1,""))</f>
        <v/>
      </c>
      <c r="BP80" s="72" t="str">
        <f aca="false">IF(OR(BP$4="",$C80="",$D80=""),"",IF(AND($C80&lt;EDATE(BP$4,1),$D80&gt;=BP$4),1,""))</f>
        <v/>
      </c>
      <c r="BQ80" s="72" t="str">
        <f aca="false">IF(OR(BQ$4="",$C80="",$D80=""),"",IF(AND($C80&lt;EDATE(BQ$4,1),$D80&gt;=BQ$4),1,""))</f>
        <v/>
      </c>
      <c r="BR80" s="72" t="str">
        <f aca="false">IF(OR(BR$4="",$C80="",$D80=""),"",IF(AND($C80&lt;EDATE(BR$4,1),$D80&gt;=BR$4),1,""))</f>
        <v/>
      </c>
      <c r="BS80" s="72" t="str">
        <f aca="false">IF(OR(BS$4="",$C80="",$D80=""),"",IF(AND($C80&lt;EDATE(BS$4,1),$D80&gt;=BS$4),1,""))</f>
        <v/>
      </c>
      <c r="BT80" s="72" t="str">
        <f aca="false">IF(OR(BT$4="",$C80="",$D80=""),"",IF(AND($C80&lt;EDATE(BT$4,1),$D80&gt;=BT$4),1,""))</f>
        <v/>
      </c>
      <c r="BU80" s="72" t="str">
        <f aca="false">IF(OR(BU$4="",$C80="",$D80=""),"",IF(AND($C80&lt;EDATE(BU$4,1),$D80&gt;=BU$4),1,""))</f>
        <v/>
      </c>
      <c r="BV80" s="72" t="str">
        <f aca="false">IF(OR(BV$4="",$C80="",$D80=""),"",IF(AND($C80&lt;EDATE(BV$4,1),$D80&gt;=BV$4),1,""))</f>
        <v/>
      </c>
      <c r="BW80" s="72" t="str">
        <f aca="false">IF(OR(BW$4="",$C80="",$D80=""),"",IF(AND($C80&lt;EDATE(BW$4,1),$D80&gt;=BW$4),1,""))</f>
        <v/>
      </c>
      <c r="BX80" s="72" t="str">
        <f aca="false">IF(OR(BX$4="",$C80="",$D80=""),"",IF(AND($C80&lt;EDATE(BX$4,1),$D80&gt;=BX$4),1,""))</f>
        <v/>
      </c>
      <c r="BY80" s="72" t="str">
        <f aca="false">IF(OR(BY$4="",$C80="",$D80=""),"",IF(AND($C80&lt;EDATE(BY$4,1),$D80&gt;=BY$4),1,""))</f>
        <v/>
      </c>
    </row>
    <row r="81" customFormat="false" ht="15" hidden="false" customHeight="false" outlineLevel="0" collapsed="false">
      <c r="A81" s="61" t="str">
        <f aca="false">IF(BOE!$A50="","",BOE!$A50)</f>
        <v/>
      </c>
      <c r="B81" s="61" t="str">
        <f aca="false">IF(BOE!$A50="","",BOE!$C50)</f>
        <v/>
      </c>
      <c r="C81" s="62" t="str">
        <f aca="false">IF(OR(BOE!$A50="",BOE!$E50&lt;&gt;"Y"),"",BOE!$O50)</f>
        <v/>
      </c>
      <c r="D81" s="62" t="str">
        <f aca="false">IF(OR(BOE!$A50="",BOE!$E50&lt;&gt;"Y"),"",BOE!$P50)</f>
        <v/>
      </c>
      <c r="E81" s="63" t="str">
        <f aca="false">IF(OR(BOE!$A50="",BOE!$E50&lt;&gt;"Y"),"",IF(Inputs!$B$7="P90",BOE!$T50,BOE!$R50))</f>
        <v/>
      </c>
      <c r="F81" s="72" t="str">
        <f aca="false">IF(OR(F$4="",$C81="",$D81=""),"",IF(AND($C81&lt;EDATE(F$4,1),$D81&gt;=F$4),1,""))</f>
        <v/>
      </c>
      <c r="G81" s="72" t="str">
        <f aca="false">IF(OR(G$4="",$C81="",$D81=""),"",IF(AND($C81&lt;EDATE(G$4,1),$D81&gt;=G$4),1,""))</f>
        <v/>
      </c>
      <c r="H81" s="72" t="str">
        <f aca="false">IF(OR(H$4="",$C81="",$D81=""),"",IF(AND($C81&lt;EDATE(H$4,1),$D81&gt;=H$4),1,""))</f>
        <v/>
      </c>
      <c r="I81" s="72" t="str">
        <f aca="false">IF(OR(I$4="",$C81="",$D81=""),"",IF(AND($C81&lt;EDATE(I$4,1),$D81&gt;=I$4),1,""))</f>
        <v/>
      </c>
      <c r="J81" s="72" t="str">
        <f aca="false">IF(OR(J$4="",$C81="",$D81=""),"",IF(AND($C81&lt;EDATE(J$4,1),$D81&gt;=J$4),1,""))</f>
        <v/>
      </c>
      <c r="K81" s="72" t="str">
        <f aca="false">IF(OR(K$4="",$C81="",$D81=""),"",IF(AND($C81&lt;EDATE(K$4,1),$D81&gt;=K$4),1,""))</f>
        <v/>
      </c>
      <c r="L81" s="72" t="str">
        <f aca="false">IF(OR(L$4="",$C81="",$D81=""),"",IF(AND($C81&lt;EDATE(L$4,1),$D81&gt;=L$4),1,""))</f>
        <v/>
      </c>
      <c r="M81" s="72" t="str">
        <f aca="false">IF(OR(M$4="",$C81="",$D81=""),"",IF(AND($C81&lt;EDATE(M$4,1),$D81&gt;=M$4),1,""))</f>
        <v/>
      </c>
      <c r="N81" s="72" t="str">
        <f aca="false">IF(OR(N$4="",$C81="",$D81=""),"",IF(AND($C81&lt;EDATE(N$4,1),$D81&gt;=N$4),1,""))</f>
        <v/>
      </c>
      <c r="O81" s="72" t="str">
        <f aca="false">IF(OR(O$4="",$C81="",$D81=""),"",IF(AND($C81&lt;EDATE(O$4,1),$D81&gt;=O$4),1,""))</f>
        <v/>
      </c>
      <c r="P81" s="72" t="str">
        <f aca="false">IF(OR(P$4="",$C81="",$D81=""),"",IF(AND($C81&lt;EDATE(P$4,1),$D81&gt;=P$4),1,""))</f>
        <v/>
      </c>
      <c r="Q81" s="72" t="str">
        <f aca="false">IF(OR(Q$4="",$C81="",$D81=""),"",IF(AND($C81&lt;EDATE(Q$4,1),$D81&gt;=Q$4),1,""))</f>
        <v/>
      </c>
      <c r="R81" s="72" t="str">
        <f aca="false">IF(OR(R$4="",$C81="",$D81=""),"",IF(AND($C81&lt;EDATE(R$4,1),$D81&gt;=R$4),1,""))</f>
        <v/>
      </c>
      <c r="S81" s="72" t="str">
        <f aca="false">IF(OR(S$4="",$C81="",$D81=""),"",IF(AND($C81&lt;EDATE(S$4,1),$D81&gt;=S$4),1,""))</f>
        <v/>
      </c>
      <c r="T81" s="72" t="str">
        <f aca="false">IF(OR(T$4="",$C81="",$D81=""),"",IF(AND($C81&lt;EDATE(T$4,1),$D81&gt;=T$4),1,""))</f>
        <v/>
      </c>
      <c r="U81" s="72" t="str">
        <f aca="false">IF(OR(U$4="",$C81="",$D81=""),"",IF(AND($C81&lt;EDATE(U$4,1),$D81&gt;=U$4),1,""))</f>
        <v/>
      </c>
      <c r="V81" s="72" t="str">
        <f aca="false">IF(OR(V$4="",$C81="",$D81=""),"",IF(AND($C81&lt;EDATE(V$4,1),$D81&gt;=V$4),1,""))</f>
        <v/>
      </c>
      <c r="W81" s="72" t="str">
        <f aca="false">IF(OR(W$4="",$C81="",$D81=""),"",IF(AND($C81&lt;EDATE(W$4,1),$D81&gt;=W$4),1,""))</f>
        <v/>
      </c>
      <c r="X81" s="72" t="str">
        <f aca="false">IF(OR(X$4="",$C81="",$D81=""),"",IF(AND($C81&lt;EDATE(X$4,1),$D81&gt;=X$4),1,""))</f>
        <v/>
      </c>
      <c r="Y81" s="72" t="str">
        <f aca="false">IF(OR(Y$4="",$C81="",$D81=""),"",IF(AND($C81&lt;EDATE(Y$4,1),$D81&gt;=Y$4),1,""))</f>
        <v/>
      </c>
      <c r="Z81" s="72" t="str">
        <f aca="false">IF(OR(Z$4="",$C81="",$D81=""),"",IF(AND($C81&lt;EDATE(Z$4,1),$D81&gt;=Z$4),1,""))</f>
        <v/>
      </c>
      <c r="AA81" s="72" t="str">
        <f aca="false">IF(OR(AA$4="",$C81="",$D81=""),"",IF(AND($C81&lt;EDATE(AA$4,1),$D81&gt;=AA$4),1,""))</f>
        <v/>
      </c>
      <c r="AB81" s="72" t="str">
        <f aca="false">IF(OR(AB$4="",$C81="",$D81=""),"",IF(AND($C81&lt;EDATE(AB$4,1),$D81&gt;=AB$4),1,""))</f>
        <v/>
      </c>
      <c r="AC81" s="72" t="str">
        <f aca="false">IF(OR(AC$4="",$C81="",$D81=""),"",IF(AND($C81&lt;EDATE(AC$4,1),$D81&gt;=AC$4),1,""))</f>
        <v/>
      </c>
      <c r="AD81" s="72" t="str">
        <f aca="false">IF(OR(AD$4="",$C81="",$D81=""),"",IF(AND($C81&lt;EDATE(AD$4,1),$D81&gt;=AD$4),1,""))</f>
        <v/>
      </c>
      <c r="AE81" s="72" t="str">
        <f aca="false">IF(OR(AE$4="",$C81="",$D81=""),"",IF(AND($C81&lt;EDATE(AE$4,1),$D81&gt;=AE$4),1,""))</f>
        <v/>
      </c>
      <c r="AF81" s="72" t="str">
        <f aca="false">IF(OR(AF$4="",$C81="",$D81=""),"",IF(AND($C81&lt;EDATE(AF$4,1),$D81&gt;=AF$4),1,""))</f>
        <v/>
      </c>
      <c r="AG81" s="72" t="str">
        <f aca="false">IF(OR(AG$4="",$C81="",$D81=""),"",IF(AND($C81&lt;EDATE(AG$4,1),$D81&gt;=AG$4),1,""))</f>
        <v/>
      </c>
      <c r="AH81" s="72" t="str">
        <f aca="false">IF(OR(AH$4="",$C81="",$D81=""),"",IF(AND($C81&lt;EDATE(AH$4,1),$D81&gt;=AH$4),1,""))</f>
        <v/>
      </c>
      <c r="AI81" s="72" t="str">
        <f aca="false">IF(OR(AI$4="",$C81="",$D81=""),"",IF(AND($C81&lt;EDATE(AI$4,1),$D81&gt;=AI$4),1,""))</f>
        <v/>
      </c>
      <c r="AJ81" s="72" t="str">
        <f aca="false">IF(OR(AJ$4="",$C81="",$D81=""),"",IF(AND($C81&lt;EDATE(AJ$4,1),$D81&gt;=AJ$4),1,""))</f>
        <v/>
      </c>
      <c r="AK81" s="72" t="str">
        <f aca="false">IF(OR(AK$4="",$C81="",$D81=""),"",IF(AND($C81&lt;EDATE(AK$4,1),$D81&gt;=AK$4),1,""))</f>
        <v/>
      </c>
      <c r="AL81" s="72" t="str">
        <f aca="false">IF(OR(AL$4="",$C81="",$D81=""),"",IF(AND($C81&lt;EDATE(AL$4,1),$D81&gt;=AL$4),1,""))</f>
        <v/>
      </c>
      <c r="AM81" s="72" t="str">
        <f aca="false">IF(OR(AM$4="",$C81="",$D81=""),"",IF(AND($C81&lt;EDATE(AM$4,1),$D81&gt;=AM$4),1,""))</f>
        <v/>
      </c>
      <c r="AN81" s="72" t="str">
        <f aca="false">IF(OR(AN$4="",$C81="",$D81=""),"",IF(AND($C81&lt;EDATE(AN$4,1),$D81&gt;=AN$4),1,""))</f>
        <v/>
      </c>
      <c r="AO81" s="72" t="str">
        <f aca="false">IF(OR(AO$4="",$C81="",$D81=""),"",IF(AND($C81&lt;EDATE(AO$4,1),$D81&gt;=AO$4),1,""))</f>
        <v/>
      </c>
      <c r="AP81" s="72" t="str">
        <f aca="false">IF(OR(AP$4="",$C81="",$D81=""),"",IF(AND($C81&lt;EDATE(AP$4,1),$D81&gt;=AP$4),1,""))</f>
        <v/>
      </c>
      <c r="AQ81" s="72" t="str">
        <f aca="false">IF(OR(AQ$4="",$C81="",$D81=""),"",IF(AND($C81&lt;EDATE(AQ$4,1),$D81&gt;=AQ$4),1,""))</f>
        <v/>
      </c>
      <c r="AR81" s="72" t="str">
        <f aca="false">IF(OR(AR$4="",$C81="",$D81=""),"",IF(AND($C81&lt;EDATE(AR$4,1),$D81&gt;=AR$4),1,""))</f>
        <v/>
      </c>
      <c r="AS81" s="72" t="str">
        <f aca="false">IF(OR(AS$4="",$C81="",$D81=""),"",IF(AND($C81&lt;EDATE(AS$4,1),$D81&gt;=AS$4),1,""))</f>
        <v/>
      </c>
      <c r="AT81" s="72" t="str">
        <f aca="false">IF(OR(AT$4="",$C81="",$D81=""),"",IF(AND($C81&lt;EDATE(AT$4,1),$D81&gt;=AT$4),1,""))</f>
        <v/>
      </c>
      <c r="AU81" s="72" t="str">
        <f aca="false">IF(OR(AU$4="",$C81="",$D81=""),"",IF(AND($C81&lt;EDATE(AU$4,1),$D81&gt;=AU$4),1,""))</f>
        <v/>
      </c>
      <c r="AV81" s="72" t="str">
        <f aca="false">IF(OR(AV$4="",$C81="",$D81=""),"",IF(AND($C81&lt;EDATE(AV$4,1),$D81&gt;=AV$4),1,""))</f>
        <v/>
      </c>
      <c r="AW81" s="72" t="str">
        <f aca="false">IF(OR(AW$4="",$C81="",$D81=""),"",IF(AND($C81&lt;EDATE(AW$4,1),$D81&gt;=AW$4),1,""))</f>
        <v/>
      </c>
      <c r="AX81" s="72" t="str">
        <f aca="false">IF(OR(AX$4="",$C81="",$D81=""),"",IF(AND($C81&lt;EDATE(AX$4,1),$D81&gt;=AX$4),1,""))</f>
        <v/>
      </c>
      <c r="AY81" s="72" t="str">
        <f aca="false">IF(OR(AY$4="",$C81="",$D81=""),"",IF(AND($C81&lt;EDATE(AY$4,1),$D81&gt;=AY$4),1,""))</f>
        <v/>
      </c>
      <c r="AZ81" s="72" t="str">
        <f aca="false">IF(OR(AZ$4="",$C81="",$D81=""),"",IF(AND($C81&lt;EDATE(AZ$4,1),$D81&gt;=AZ$4),1,""))</f>
        <v/>
      </c>
      <c r="BA81" s="72" t="str">
        <f aca="false">IF(OR(BA$4="",$C81="",$D81=""),"",IF(AND($C81&lt;EDATE(BA$4,1),$D81&gt;=BA$4),1,""))</f>
        <v/>
      </c>
      <c r="BB81" s="72" t="str">
        <f aca="false">IF(OR(BB$4="",$C81="",$D81=""),"",IF(AND($C81&lt;EDATE(BB$4,1),$D81&gt;=BB$4),1,""))</f>
        <v/>
      </c>
      <c r="BC81" s="72" t="str">
        <f aca="false">IF(OR(BC$4="",$C81="",$D81=""),"",IF(AND($C81&lt;EDATE(BC$4,1),$D81&gt;=BC$4),1,""))</f>
        <v/>
      </c>
      <c r="BD81" s="72" t="str">
        <f aca="false">IF(OR(BD$4="",$C81="",$D81=""),"",IF(AND($C81&lt;EDATE(BD$4,1),$D81&gt;=BD$4),1,""))</f>
        <v/>
      </c>
      <c r="BE81" s="72" t="str">
        <f aca="false">IF(OR(BE$4="",$C81="",$D81=""),"",IF(AND($C81&lt;EDATE(BE$4,1),$D81&gt;=BE$4),1,""))</f>
        <v/>
      </c>
      <c r="BF81" s="72" t="str">
        <f aca="false">IF(OR(BF$4="",$C81="",$D81=""),"",IF(AND($C81&lt;EDATE(BF$4,1),$D81&gt;=BF$4),1,""))</f>
        <v/>
      </c>
      <c r="BG81" s="72" t="str">
        <f aca="false">IF(OR(BG$4="",$C81="",$D81=""),"",IF(AND($C81&lt;EDATE(BG$4,1),$D81&gt;=BG$4),1,""))</f>
        <v/>
      </c>
      <c r="BH81" s="72" t="str">
        <f aca="false">IF(OR(BH$4="",$C81="",$D81=""),"",IF(AND($C81&lt;EDATE(BH$4,1),$D81&gt;=BH$4),1,""))</f>
        <v/>
      </c>
      <c r="BI81" s="72" t="str">
        <f aca="false">IF(OR(BI$4="",$C81="",$D81=""),"",IF(AND($C81&lt;EDATE(BI$4,1),$D81&gt;=BI$4),1,""))</f>
        <v/>
      </c>
      <c r="BJ81" s="72" t="str">
        <f aca="false">IF(OR(BJ$4="",$C81="",$D81=""),"",IF(AND($C81&lt;EDATE(BJ$4,1),$D81&gt;=BJ$4),1,""))</f>
        <v/>
      </c>
      <c r="BK81" s="72" t="str">
        <f aca="false">IF(OR(BK$4="",$C81="",$D81=""),"",IF(AND($C81&lt;EDATE(BK$4,1),$D81&gt;=BK$4),1,""))</f>
        <v/>
      </c>
      <c r="BL81" s="72" t="str">
        <f aca="false">IF(OR(BL$4="",$C81="",$D81=""),"",IF(AND($C81&lt;EDATE(BL$4,1),$D81&gt;=BL$4),1,""))</f>
        <v/>
      </c>
      <c r="BM81" s="72" t="str">
        <f aca="false">IF(OR(BM$4="",$C81="",$D81=""),"",IF(AND($C81&lt;EDATE(BM$4,1),$D81&gt;=BM$4),1,""))</f>
        <v/>
      </c>
      <c r="BN81" s="72" t="str">
        <f aca="false">IF(OR(BN$4="",$C81="",$D81=""),"",IF(AND($C81&lt;EDATE(BN$4,1),$D81&gt;=BN$4),1,""))</f>
        <v/>
      </c>
      <c r="BO81" s="72" t="str">
        <f aca="false">IF(OR(BO$4="",$C81="",$D81=""),"",IF(AND($C81&lt;EDATE(BO$4,1),$D81&gt;=BO$4),1,""))</f>
        <v/>
      </c>
      <c r="BP81" s="72" t="str">
        <f aca="false">IF(OR(BP$4="",$C81="",$D81=""),"",IF(AND($C81&lt;EDATE(BP$4,1),$D81&gt;=BP$4),1,""))</f>
        <v/>
      </c>
      <c r="BQ81" s="72" t="str">
        <f aca="false">IF(OR(BQ$4="",$C81="",$D81=""),"",IF(AND($C81&lt;EDATE(BQ$4,1),$D81&gt;=BQ$4),1,""))</f>
        <v/>
      </c>
      <c r="BR81" s="72" t="str">
        <f aca="false">IF(OR(BR$4="",$C81="",$D81=""),"",IF(AND($C81&lt;EDATE(BR$4,1),$D81&gt;=BR$4),1,""))</f>
        <v/>
      </c>
      <c r="BS81" s="72" t="str">
        <f aca="false">IF(OR(BS$4="",$C81="",$D81=""),"",IF(AND($C81&lt;EDATE(BS$4,1),$D81&gt;=BS$4),1,""))</f>
        <v/>
      </c>
      <c r="BT81" s="72" t="str">
        <f aca="false">IF(OR(BT$4="",$C81="",$D81=""),"",IF(AND($C81&lt;EDATE(BT$4,1),$D81&gt;=BT$4),1,""))</f>
        <v/>
      </c>
      <c r="BU81" s="72" t="str">
        <f aca="false">IF(OR(BU$4="",$C81="",$D81=""),"",IF(AND($C81&lt;EDATE(BU$4,1),$D81&gt;=BU$4),1,""))</f>
        <v/>
      </c>
      <c r="BV81" s="72" t="str">
        <f aca="false">IF(OR(BV$4="",$C81="",$D81=""),"",IF(AND($C81&lt;EDATE(BV$4,1),$D81&gt;=BV$4),1,""))</f>
        <v/>
      </c>
      <c r="BW81" s="72" t="str">
        <f aca="false">IF(OR(BW$4="",$C81="",$D81=""),"",IF(AND($C81&lt;EDATE(BW$4,1),$D81&gt;=BW$4),1,""))</f>
        <v/>
      </c>
      <c r="BX81" s="72" t="str">
        <f aca="false">IF(OR(BX$4="",$C81="",$D81=""),"",IF(AND($C81&lt;EDATE(BX$4,1),$D81&gt;=BX$4),1,""))</f>
        <v/>
      </c>
      <c r="BY81" s="72" t="str">
        <f aca="false">IF(OR(BY$4="",$C81="",$D81=""),"",IF(AND($C81&lt;EDATE(BY$4,1),$D81&gt;=BY$4),1,""))</f>
        <v/>
      </c>
    </row>
    <row r="82" customFormat="false" ht="15" hidden="false" customHeight="false" outlineLevel="0" collapsed="false">
      <c r="A82" s="61" t="str">
        <f aca="false">IF(BOE!$A51="","",BOE!$A51)</f>
        <v/>
      </c>
      <c r="B82" s="61" t="str">
        <f aca="false">IF(BOE!$A51="","",BOE!$C51)</f>
        <v/>
      </c>
      <c r="C82" s="62" t="str">
        <f aca="false">IF(OR(BOE!$A51="",BOE!$E51&lt;&gt;"Y"),"",BOE!$O51)</f>
        <v/>
      </c>
      <c r="D82" s="62" t="str">
        <f aca="false">IF(OR(BOE!$A51="",BOE!$E51&lt;&gt;"Y"),"",BOE!$P51)</f>
        <v/>
      </c>
      <c r="E82" s="63" t="str">
        <f aca="false">IF(OR(BOE!$A51="",BOE!$E51&lt;&gt;"Y"),"",IF(Inputs!$B$7="P90",BOE!$T51,BOE!$R51))</f>
        <v/>
      </c>
      <c r="F82" s="72" t="str">
        <f aca="false">IF(OR(F$4="",$C82="",$D82=""),"",IF(AND($C82&lt;EDATE(F$4,1),$D82&gt;=F$4),1,""))</f>
        <v/>
      </c>
      <c r="G82" s="72" t="str">
        <f aca="false">IF(OR(G$4="",$C82="",$D82=""),"",IF(AND($C82&lt;EDATE(G$4,1),$D82&gt;=G$4),1,""))</f>
        <v/>
      </c>
      <c r="H82" s="72" t="str">
        <f aca="false">IF(OR(H$4="",$C82="",$D82=""),"",IF(AND($C82&lt;EDATE(H$4,1),$D82&gt;=H$4),1,""))</f>
        <v/>
      </c>
      <c r="I82" s="72" t="str">
        <f aca="false">IF(OR(I$4="",$C82="",$D82=""),"",IF(AND($C82&lt;EDATE(I$4,1),$D82&gt;=I$4),1,""))</f>
        <v/>
      </c>
      <c r="J82" s="72" t="str">
        <f aca="false">IF(OR(J$4="",$C82="",$D82=""),"",IF(AND($C82&lt;EDATE(J$4,1),$D82&gt;=J$4),1,""))</f>
        <v/>
      </c>
      <c r="K82" s="72" t="str">
        <f aca="false">IF(OR(K$4="",$C82="",$D82=""),"",IF(AND($C82&lt;EDATE(K$4,1),$D82&gt;=K$4),1,""))</f>
        <v/>
      </c>
      <c r="L82" s="72" t="str">
        <f aca="false">IF(OR(L$4="",$C82="",$D82=""),"",IF(AND($C82&lt;EDATE(L$4,1),$D82&gt;=L$4),1,""))</f>
        <v/>
      </c>
      <c r="M82" s="72" t="str">
        <f aca="false">IF(OR(M$4="",$C82="",$D82=""),"",IF(AND($C82&lt;EDATE(M$4,1),$D82&gt;=M$4),1,""))</f>
        <v/>
      </c>
      <c r="N82" s="72" t="str">
        <f aca="false">IF(OR(N$4="",$C82="",$D82=""),"",IF(AND($C82&lt;EDATE(N$4,1),$D82&gt;=N$4),1,""))</f>
        <v/>
      </c>
      <c r="O82" s="72" t="str">
        <f aca="false">IF(OR(O$4="",$C82="",$D82=""),"",IF(AND($C82&lt;EDATE(O$4,1),$D82&gt;=O$4),1,""))</f>
        <v/>
      </c>
      <c r="P82" s="72" t="str">
        <f aca="false">IF(OR(P$4="",$C82="",$D82=""),"",IF(AND($C82&lt;EDATE(P$4,1),$D82&gt;=P$4),1,""))</f>
        <v/>
      </c>
      <c r="Q82" s="72" t="str">
        <f aca="false">IF(OR(Q$4="",$C82="",$D82=""),"",IF(AND($C82&lt;EDATE(Q$4,1),$D82&gt;=Q$4),1,""))</f>
        <v/>
      </c>
      <c r="R82" s="72" t="str">
        <f aca="false">IF(OR(R$4="",$C82="",$D82=""),"",IF(AND($C82&lt;EDATE(R$4,1),$D82&gt;=R$4),1,""))</f>
        <v/>
      </c>
      <c r="S82" s="72" t="str">
        <f aca="false">IF(OR(S$4="",$C82="",$D82=""),"",IF(AND($C82&lt;EDATE(S$4,1),$D82&gt;=S$4),1,""))</f>
        <v/>
      </c>
      <c r="T82" s="72" t="str">
        <f aca="false">IF(OR(T$4="",$C82="",$D82=""),"",IF(AND($C82&lt;EDATE(T$4,1),$D82&gt;=T$4),1,""))</f>
        <v/>
      </c>
      <c r="U82" s="72" t="str">
        <f aca="false">IF(OR(U$4="",$C82="",$D82=""),"",IF(AND($C82&lt;EDATE(U$4,1),$D82&gt;=U$4),1,""))</f>
        <v/>
      </c>
      <c r="V82" s="72" t="str">
        <f aca="false">IF(OR(V$4="",$C82="",$D82=""),"",IF(AND($C82&lt;EDATE(V$4,1),$D82&gt;=V$4),1,""))</f>
        <v/>
      </c>
      <c r="W82" s="72" t="str">
        <f aca="false">IF(OR(W$4="",$C82="",$D82=""),"",IF(AND($C82&lt;EDATE(W$4,1),$D82&gt;=W$4),1,""))</f>
        <v/>
      </c>
      <c r="X82" s="72" t="str">
        <f aca="false">IF(OR(X$4="",$C82="",$D82=""),"",IF(AND($C82&lt;EDATE(X$4,1),$D82&gt;=X$4),1,""))</f>
        <v/>
      </c>
      <c r="Y82" s="72" t="str">
        <f aca="false">IF(OR(Y$4="",$C82="",$D82=""),"",IF(AND($C82&lt;EDATE(Y$4,1),$D82&gt;=Y$4),1,""))</f>
        <v/>
      </c>
      <c r="Z82" s="72" t="str">
        <f aca="false">IF(OR(Z$4="",$C82="",$D82=""),"",IF(AND($C82&lt;EDATE(Z$4,1),$D82&gt;=Z$4),1,""))</f>
        <v/>
      </c>
      <c r="AA82" s="72" t="str">
        <f aca="false">IF(OR(AA$4="",$C82="",$D82=""),"",IF(AND($C82&lt;EDATE(AA$4,1),$D82&gt;=AA$4),1,""))</f>
        <v/>
      </c>
      <c r="AB82" s="72" t="str">
        <f aca="false">IF(OR(AB$4="",$C82="",$D82=""),"",IF(AND($C82&lt;EDATE(AB$4,1),$D82&gt;=AB$4),1,""))</f>
        <v/>
      </c>
      <c r="AC82" s="72" t="str">
        <f aca="false">IF(OR(AC$4="",$C82="",$D82=""),"",IF(AND($C82&lt;EDATE(AC$4,1),$D82&gt;=AC$4),1,""))</f>
        <v/>
      </c>
      <c r="AD82" s="72" t="str">
        <f aca="false">IF(OR(AD$4="",$C82="",$D82=""),"",IF(AND($C82&lt;EDATE(AD$4,1),$D82&gt;=AD$4),1,""))</f>
        <v/>
      </c>
      <c r="AE82" s="72" t="str">
        <f aca="false">IF(OR(AE$4="",$C82="",$D82=""),"",IF(AND($C82&lt;EDATE(AE$4,1),$D82&gt;=AE$4),1,""))</f>
        <v/>
      </c>
      <c r="AF82" s="72" t="str">
        <f aca="false">IF(OR(AF$4="",$C82="",$D82=""),"",IF(AND($C82&lt;EDATE(AF$4,1),$D82&gt;=AF$4),1,""))</f>
        <v/>
      </c>
      <c r="AG82" s="72" t="str">
        <f aca="false">IF(OR(AG$4="",$C82="",$D82=""),"",IF(AND($C82&lt;EDATE(AG$4,1),$D82&gt;=AG$4),1,""))</f>
        <v/>
      </c>
      <c r="AH82" s="72" t="str">
        <f aca="false">IF(OR(AH$4="",$C82="",$D82=""),"",IF(AND($C82&lt;EDATE(AH$4,1),$D82&gt;=AH$4),1,""))</f>
        <v/>
      </c>
      <c r="AI82" s="72" t="str">
        <f aca="false">IF(OR(AI$4="",$C82="",$D82=""),"",IF(AND($C82&lt;EDATE(AI$4,1),$D82&gt;=AI$4),1,""))</f>
        <v/>
      </c>
      <c r="AJ82" s="72" t="str">
        <f aca="false">IF(OR(AJ$4="",$C82="",$D82=""),"",IF(AND($C82&lt;EDATE(AJ$4,1),$D82&gt;=AJ$4),1,""))</f>
        <v/>
      </c>
      <c r="AK82" s="72" t="str">
        <f aca="false">IF(OR(AK$4="",$C82="",$D82=""),"",IF(AND($C82&lt;EDATE(AK$4,1),$D82&gt;=AK$4),1,""))</f>
        <v/>
      </c>
      <c r="AL82" s="72" t="str">
        <f aca="false">IF(OR(AL$4="",$C82="",$D82=""),"",IF(AND($C82&lt;EDATE(AL$4,1),$D82&gt;=AL$4),1,""))</f>
        <v/>
      </c>
      <c r="AM82" s="72" t="str">
        <f aca="false">IF(OR(AM$4="",$C82="",$D82=""),"",IF(AND($C82&lt;EDATE(AM$4,1),$D82&gt;=AM$4),1,""))</f>
        <v/>
      </c>
      <c r="AN82" s="72" t="str">
        <f aca="false">IF(OR(AN$4="",$C82="",$D82=""),"",IF(AND($C82&lt;EDATE(AN$4,1),$D82&gt;=AN$4),1,""))</f>
        <v/>
      </c>
      <c r="AO82" s="72" t="str">
        <f aca="false">IF(OR(AO$4="",$C82="",$D82=""),"",IF(AND($C82&lt;EDATE(AO$4,1),$D82&gt;=AO$4),1,""))</f>
        <v/>
      </c>
      <c r="AP82" s="72" t="str">
        <f aca="false">IF(OR(AP$4="",$C82="",$D82=""),"",IF(AND($C82&lt;EDATE(AP$4,1),$D82&gt;=AP$4),1,""))</f>
        <v/>
      </c>
      <c r="AQ82" s="72" t="str">
        <f aca="false">IF(OR(AQ$4="",$C82="",$D82=""),"",IF(AND($C82&lt;EDATE(AQ$4,1),$D82&gt;=AQ$4),1,""))</f>
        <v/>
      </c>
      <c r="AR82" s="72" t="str">
        <f aca="false">IF(OR(AR$4="",$C82="",$D82=""),"",IF(AND($C82&lt;EDATE(AR$4,1),$D82&gt;=AR$4),1,""))</f>
        <v/>
      </c>
      <c r="AS82" s="72" t="str">
        <f aca="false">IF(OR(AS$4="",$C82="",$D82=""),"",IF(AND($C82&lt;EDATE(AS$4,1),$D82&gt;=AS$4),1,""))</f>
        <v/>
      </c>
      <c r="AT82" s="72" t="str">
        <f aca="false">IF(OR(AT$4="",$C82="",$D82=""),"",IF(AND($C82&lt;EDATE(AT$4,1),$D82&gt;=AT$4),1,""))</f>
        <v/>
      </c>
      <c r="AU82" s="72" t="str">
        <f aca="false">IF(OR(AU$4="",$C82="",$D82=""),"",IF(AND($C82&lt;EDATE(AU$4,1),$D82&gt;=AU$4),1,""))</f>
        <v/>
      </c>
      <c r="AV82" s="72" t="str">
        <f aca="false">IF(OR(AV$4="",$C82="",$D82=""),"",IF(AND($C82&lt;EDATE(AV$4,1),$D82&gt;=AV$4),1,""))</f>
        <v/>
      </c>
      <c r="AW82" s="72" t="str">
        <f aca="false">IF(OR(AW$4="",$C82="",$D82=""),"",IF(AND($C82&lt;EDATE(AW$4,1),$D82&gt;=AW$4),1,""))</f>
        <v/>
      </c>
      <c r="AX82" s="72" t="str">
        <f aca="false">IF(OR(AX$4="",$C82="",$D82=""),"",IF(AND($C82&lt;EDATE(AX$4,1),$D82&gt;=AX$4),1,""))</f>
        <v/>
      </c>
      <c r="AY82" s="72" t="str">
        <f aca="false">IF(OR(AY$4="",$C82="",$D82=""),"",IF(AND($C82&lt;EDATE(AY$4,1),$D82&gt;=AY$4),1,""))</f>
        <v/>
      </c>
      <c r="AZ82" s="72" t="str">
        <f aca="false">IF(OR(AZ$4="",$C82="",$D82=""),"",IF(AND($C82&lt;EDATE(AZ$4,1),$D82&gt;=AZ$4),1,""))</f>
        <v/>
      </c>
      <c r="BA82" s="72" t="str">
        <f aca="false">IF(OR(BA$4="",$C82="",$D82=""),"",IF(AND($C82&lt;EDATE(BA$4,1),$D82&gt;=BA$4),1,""))</f>
        <v/>
      </c>
      <c r="BB82" s="72" t="str">
        <f aca="false">IF(OR(BB$4="",$C82="",$D82=""),"",IF(AND($C82&lt;EDATE(BB$4,1),$D82&gt;=BB$4),1,""))</f>
        <v/>
      </c>
      <c r="BC82" s="72" t="str">
        <f aca="false">IF(OR(BC$4="",$C82="",$D82=""),"",IF(AND($C82&lt;EDATE(BC$4,1),$D82&gt;=BC$4),1,""))</f>
        <v/>
      </c>
      <c r="BD82" s="72" t="str">
        <f aca="false">IF(OR(BD$4="",$C82="",$D82=""),"",IF(AND($C82&lt;EDATE(BD$4,1),$D82&gt;=BD$4),1,""))</f>
        <v/>
      </c>
      <c r="BE82" s="72" t="str">
        <f aca="false">IF(OR(BE$4="",$C82="",$D82=""),"",IF(AND($C82&lt;EDATE(BE$4,1),$D82&gt;=BE$4),1,""))</f>
        <v/>
      </c>
      <c r="BF82" s="72" t="str">
        <f aca="false">IF(OR(BF$4="",$C82="",$D82=""),"",IF(AND($C82&lt;EDATE(BF$4,1),$D82&gt;=BF$4),1,""))</f>
        <v/>
      </c>
      <c r="BG82" s="72" t="str">
        <f aca="false">IF(OR(BG$4="",$C82="",$D82=""),"",IF(AND($C82&lt;EDATE(BG$4,1),$D82&gt;=BG$4),1,""))</f>
        <v/>
      </c>
      <c r="BH82" s="72" t="str">
        <f aca="false">IF(OR(BH$4="",$C82="",$D82=""),"",IF(AND($C82&lt;EDATE(BH$4,1),$D82&gt;=BH$4),1,""))</f>
        <v/>
      </c>
      <c r="BI82" s="72" t="str">
        <f aca="false">IF(OR(BI$4="",$C82="",$D82=""),"",IF(AND($C82&lt;EDATE(BI$4,1),$D82&gt;=BI$4),1,""))</f>
        <v/>
      </c>
      <c r="BJ82" s="72" t="str">
        <f aca="false">IF(OR(BJ$4="",$C82="",$D82=""),"",IF(AND($C82&lt;EDATE(BJ$4,1),$D82&gt;=BJ$4),1,""))</f>
        <v/>
      </c>
      <c r="BK82" s="72" t="str">
        <f aca="false">IF(OR(BK$4="",$C82="",$D82=""),"",IF(AND($C82&lt;EDATE(BK$4,1),$D82&gt;=BK$4),1,""))</f>
        <v/>
      </c>
      <c r="BL82" s="72" t="str">
        <f aca="false">IF(OR(BL$4="",$C82="",$D82=""),"",IF(AND($C82&lt;EDATE(BL$4,1),$D82&gt;=BL$4),1,""))</f>
        <v/>
      </c>
      <c r="BM82" s="72" t="str">
        <f aca="false">IF(OR(BM$4="",$C82="",$D82=""),"",IF(AND($C82&lt;EDATE(BM$4,1),$D82&gt;=BM$4),1,""))</f>
        <v/>
      </c>
      <c r="BN82" s="72" t="str">
        <f aca="false">IF(OR(BN$4="",$C82="",$D82=""),"",IF(AND($C82&lt;EDATE(BN$4,1),$D82&gt;=BN$4),1,""))</f>
        <v/>
      </c>
      <c r="BO82" s="72" t="str">
        <f aca="false">IF(OR(BO$4="",$C82="",$D82=""),"",IF(AND($C82&lt;EDATE(BO$4,1),$D82&gt;=BO$4),1,""))</f>
        <v/>
      </c>
      <c r="BP82" s="72" t="str">
        <f aca="false">IF(OR(BP$4="",$C82="",$D82=""),"",IF(AND($C82&lt;EDATE(BP$4,1),$D82&gt;=BP$4),1,""))</f>
        <v/>
      </c>
      <c r="BQ82" s="72" t="str">
        <f aca="false">IF(OR(BQ$4="",$C82="",$D82=""),"",IF(AND($C82&lt;EDATE(BQ$4,1),$D82&gt;=BQ$4),1,""))</f>
        <v/>
      </c>
      <c r="BR82" s="72" t="str">
        <f aca="false">IF(OR(BR$4="",$C82="",$D82=""),"",IF(AND($C82&lt;EDATE(BR$4,1),$D82&gt;=BR$4),1,""))</f>
        <v/>
      </c>
      <c r="BS82" s="72" t="str">
        <f aca="false">IF(OR(BS$4="",$C82="",$D82=""),"",IF(AND($C82&lt;EDATE(BS$4,1),$D82&gt;=BS$4),1,""))</f>
        <v/>
      </c>
      <c r="BT82" s="72" t="str">
        <f aca="false">IF(OR(BT$4="",$C82="",$D82=""),"",IF(AND($C82&lt;EDATE(BT$4,1),$D82&gt;=BT$4),1,""))</f>
        <v/>
      </c>
      <c r="BU82" s="72" t="str">
        <f aca="false">IF(OR(BU$4="",$C82="",$D82=""),"",IF(AND($C82&lt;EDATE(BU$4,1),$D82&gt;=BU$4),1,""))</f>
        <v/>
      </c>
      <c r="BV82" s="72" t="str">
        <f aca="false">IF(OR(BV$4="",$C82="",$D82=""),"",IF(AND($C82&lt;EDATE(BV$4,1),$D82&gt;=BV$4),1,""))</f>
        <v/>
      </c>
      <c r="BW82" s="72" t="str">
        <f aca="false">IF(OR(BW$4="",$C82="",$D82=""),"",IF(AND($C82&lt;EDATE(BW$4,1),$D82&gt;=BW$4),1,""))</f>
        <v/>
      </c>
      <c r="BX82" s="72" t="str">
        <f aca="false">IF(OR(BX$4="",$C82="",$D82=""),"",IF(AND($C82&lt;EDATE(BX$4,1),$D82&gt;=BX$4),1,""))</f>
        <v/>
      </c>
      <c r="BY82" s="72" t="str">
        <f aca="false">IF(OR(BY$4="",$C82="",$D82=""),"",IF(AND($C82&lt;EDATE(BY$4,1),$D82&gt;=BY$4),1,""))</f>
        <v/>
      </c>
    </row>
    <row r="83" customFormat="false" ht="15" hidden="false" customHeight="false" outlineLevel="0" collapsed="false">
      <c r="A83" s="61" t="str">
        <f aca="false">IF(BOE!$A52="","",BOE!$A52)</f>
        <v/>
      </c>
      <c r="B83" s="61" t="str">
        <f aca="false">IF(BOE!$A52="","",BOE!$C52)</f>
        <v/>
      </c>
      <c r="C83" s="62" t="str">
        <f aca="false">IF(OR(BOE!$A52="",BOE!$E52&lt;&gt;"Y"),"",BOE!$O52)</f>
        <v/>
      </c>
      <c r="D83" s="62" t="str">
        <f aca="false">IF(OR(BOE!$A52="",BOE!$E52&lt;&gt;"Y"),"",BOE!$P52)</f>
        <v/>
      </c>
      <c r="E83" s="63" t="str">
        <f aca="false">IF(OR(BOE!$A52="",BOE!$E52&lt;&gt;"Y"),"",IF(Inputs!$B$7="P90",BOE!$T52,BOE!$R52))</f>
        <v/>
      </c>
      <c r="F83" s="72" t="str">
        <f aca="false">IF(OR(F$4="",$C83="",$D83=""),"",IF(AND($C83&lt;EDATE(F$4,1),$D83&gt;=F$4),1,""))</f>
        <v/>
      </c>
      <c r="G83" s="72" t="str">
        <f aca="false">IF(OR(G$4="",$C83="",$D83=""),"",IF(AND($C83&lt;EDATE(G$4,1),$D83&gt;=G$4),1,""))</f>
        <v/>
      </c>
      <c r="H83" s="72" t="str">
        <f aca="false">IF(OR(H$4="",$C83="",$D83=""),"",IF(AND($C83&lt;EDATE(H$4,1),$D83&gt;=H$4),1,""))</f>
        <v/>
      </c>
      <c r="I83" s="72" t="str">
        <f aca="false">IF(OR(I$4="",$C83="",$D83=""),"",IF(AND($C83&lt;EDATE(I$4,1),$D83&gt;=I$4),1,""))</f>
        <v/>
      </c>
      <c r="J83" s="72" t="str">
        <f aca="false">IF(OR(J$4="",$C83="",$D83=""),"",IF(AND($C83&lt;EDATE(J$4,1),$D83&gt;=J$4),1,""))</f>
        <v/>
      </c>
      <c r="K83" s="72" t="str">
        <f aca="false">IF(OR(K$4="",$C83="",$D83=""),"",IF(AND($C83&lt;EDATE(K$4,1),$D83&gt;=K$4),1,""))</f>
        <v/>
      </c>
      <c r="L83" s="72" t="str">
        <f aca="false">IF(OR(L$4="",$C83="",$D83=""),"",IF(AND($C83&lt;EDATE(L$4,1),$D83&gt;=L$4),1,""))</f>
        <v/>
      </c>
      <c r="M83" s="72" t="str">
        <f aca="false">IF(OR(M$4="",$C83="",$D83=""),"",IF(AND($C83&lt;EDATE(M$4,1),$D83&gt;=M$4),1,""))</f>
        <v/>
      </c>
      <c r="N83" s="72" t="str">
        <f aca="false">IF(OR(N$4="",$C83="",$D83=""),"",IF(AND($C83&lt;EDATE(N$4,1),$D83&gt;=N$4),1,""))</f>
        <v/>
      </c>
      <c r="O83" s="72" t="str">
        <f aca="false">IF(OR(O$4="",$C83="",$D83=""),"",IF(AND($C83&lt;EDATE(O$4,1),$D83&gt;=O$4),1,""))</f>
        <v/>
      </c>
      <c r="P83" s="72" t="str">
        <f aca="false">IF(OR(P$4="",$C83="",$D83=""),"",IF(AND($C83&lt;EDATE(P$4,1),$D83&gt;=P$4),1,""))</f>
        <v/>
      </c>
      <c r="Q83" s="72" t="str">
        <f aca="false">IF(OR(Q$4="",$C83="",$D83=""),"",IF(AND($C83&lt;EDATE(Q$4,1),$D83&gt;=Q$4),1,""))</f>
        <v/>
      </c>
      <c r="R83" s="72" t="str">
        <f aca="false">IF(OR(R$4="",$C83="",$D83=""),"",IF(AND($C83&lt;EDATE(R$4,1),$D83&gt;=R$4),1,""))</f>
        <v/>
      </c>
      <c r="S83" s="72" t="str">
        <f aca="false">IF(OR(S$4="",$C83="",$D83=""),"",IF(AND($C83&lt;EDATE(S$4,1),$D83&gt;=S$4),1,""))</f>
        <v/>
      </c>
      <c r="T83" s="72" t="str">
        <f aca="false">IF(OR(T$4="",$C83="",$D83=""),"",IF(AND($C83&lt;EDATE(T$4,1),$D83&gt;=T$4),1,""))</f>
        <v/>
      </c>
      <c r="U83" s="72" t="str">
        <f aca="false">IF(OR(U$4="",$C83="",$D83=""),"",IF(AND($C83&lt;EDATE(U$4,1),$D83&gt;=U$4),1,""))</f>
        <v/>
      </c>
      <c r="V83" s="72" t="str">
        <f aca="false">IF(OR(V$4="",$C83="",$D83=""),"",IF(AND($C83&lt;EDATE(V$4,1),$D83&gt;=V$4),1,""))</f>
        <v/>
      </c>
      <c r="W83" s="72" t="str">
        <f aca="false">IF(OR(W$4="",$C83="",$D83=""),"",IF(AND($C83&lt;EDATE(W$4,1),$D83&gt;=W$4),1,""))</f>
        <v/>
      </c>
      <c r="X83" s="72" t="str">
        <f aca="false">IF(OR(X$4="",$C83="",$D83=""),"",IF(AND($C83&lt;EDATE(X$4,1),$D83&gt;=X$4),1,""))</f>
        <v/>
      </c>
      <c r="Y83" s="72" t="str">
        <f aca="false">IF(OR(Y$4="",$C83="",$D83=""),"",IF(AND($C83&lt;EDATE(Y$4,1),$D83&gt;=Y$4),1,""))</f>
        <v/>
      </c>
      <c r="Z83" s="72" t="str">
        <f aca="false">IF(OR(Z$4="",$C83="",$D83=""),"",IF(AND($C83&lt;EDATE(Z$4,1),$D83&gt;=Z$4),1,""))</f>
        <v/>
      </c>
      <c r="AA83" s="72" t="str">
        <f aca="false">IF(OR(AA$4="",$C83="",$D83=""),"",IF(AND($C83&lt;EDATE(AA$4,1),$D83&gt;=AA$4),1,""))</f>
        <v/>
      </c>
      <c r="AB83" s="72" t="str">
        <f aca="false">IF(OR(AB$4="",$C83="",$D83=""),"",IF(AND($C83&lt;EDATE(AB$4,1),$D83&gt;=AB$4),1,""))</f>
        <v/>
      </c>
      <c r="AC83" s="72" t="str">
        <f aca="false">IF(OR(AC$4="",$C83="",$D83=""),"",IF(AND($C83&lt;EDATE(AC$4,1),$D83&gt;=AC$4),1,""))</f>
        <v/>
      </c>
      <c r="AD83" s="72" t="str">
        <f aca="false">IF(OR(AD$4="",$C83="",$D83=""),"",IF(AND($C83&lt;EDATE(AD$4,1),$D83&gt;=AD$4),1,""))</f>
        <v/>
      </c>
      <c r="AE83" s="72" t="str">
        <f aca="false">IF(OR(AE$4="",$C83="",$D83=""),"",IF(AND($C83&lt;EDATE(AE$4,1),$D83&gt;=AE$4),1,""))</f>
        <v/>
      </c>
      <c r="AF83" s="72" t="str">
        <f aca="false">IF(OR(AF$4="",$C83="",$D83=""),"",IF(AND($C83&lt;EDATE(AF$4,1),$D83&gt;=AF$4),1,""))</f>
        <v/>
      </c>
      <c r="AG83" s="72" t="str">
        <f aca="false">IF(OR(AG$4="",$C83="",$D83=""),"",IF(AND($C83&lt;EDATE(AG$4,1),$D83&gt;=AG$4),1,""))</f>
        <v/>
      </c>
      <c r="AH83" s="72" t="str">
        <f aca="false">IF(OR(AH$4="",$C83="",$D83=""),"",IF(AND($C83&lt;EDATE(AH$4,1),$D83&gt;=AH$4),1,""))</f>
        <v/>
      </c>
      <c r="AI83" s="72" t="str">
        <f aca="false">IF(OR(AI$4="",$C83="",$D83=""),"",IF(AND($C83&lt;EDATE(AI$4,1),$D83&gt;=AI$4),1,""))</f>
        <v/>
      </c>
      <c r="AJ83" s="72" t="str">
        <f aca="false">IF(OR(AJ$4="",$C83="",$D83=""),"",IF(AND($C83&lt;EDATE(AJ$4,1),$D83&gt;=AJ$4),1,""))</f>
        <v/>
      </c>
      <c r="AK83" s="72" t="str">
        <f aca="false">IF(OR(AK$4="",$C83="",$D83=""),"",IF(AND($C83&lt;EDATE(AK$4,1),$D83&gt;=AK$4),1,""))</f>
        <v/>
      </c>
      <c r="AL83" s="72" t="str">
        <f aca="false">IF(OR(AL$4="",$C83="",$D83=""),"",IF(AND($C83&lt;EDATE(AL$4,1),$D83&gt;=AL$4),1,""))</f>
        <v/>
      </c>
      <c r="AM83" s="72" t="str">
        <f aca="false">IF(OR(AM$4="",$C83="",$D83=""),"",IF(AND($C83&lt;EDATE(AM$4,1),$D83&gt;=AM$4),1,""))</f>
        <v/>
      </c>
      <c r="AN83" s="72" t="str">
        <f aca="false">IF(OR(AN$4="",$C83="",$D83=""),"",IF(AND($C83&lt;EDATE(AN$4,1),$D83&gt;=AN$4),1,""))</f>
        <v/>
      </c>
      <c r="AO83" s="72" t="str">
        <f aca="false">IF(OR(AO$4="",$C83="",$D83=""),"",IF(AND($C83&lt;EDATE(AO$4,1),$D83&gt;=AO$4),1,""))</f>
        <v/>
      </c>
      <c r="AP83" s="72" t="str">
        <f aca="false">IF(OR(AP$4="",$C83="",$D83=""),"",IF(AND($C83&lt;EDATE(AP$4,1),$D83&gt;=AP$4),1,""))</f>
        <v/>
      </c>
      <c r="AQ83" s="72" t="str">
        <f aca="false">IF(OR(AQ$4="",$C83="",$D83=""),"",IF(AND($C83&lt;EDATE(AQ$4,1),$D83&gt;=AQ$4),1,""))</f>
        <v/>
      </c>
      <c r="AR83" s="72" t="str">
        <f aca="false">IF(OR(AR$4="",$C83="",$D83=""),"",IF(AND($C83&lt;EDATE(AR$4,1),$D83&gt;=AR$4),1,""))</f>
        <v/>
      </c>
      <c r="AS83" s="72" t="str">
        <f aca="false">IF(OR(AS$4="",$C83="",$D83=""),"",IF(AND($C83&lt;EDATE(AS$4,1),$D83&gt;=AS$4),1,""))</f>
        <v/>
      </c>
      <c r="AT83" s="72" t="str">
        <f aca="false">IF(OR(AT$4="",$C83="",$D83=""),"",IF(AND($C83&lt;EDATE(AT$4,1),$D83&gt;=AT$4),1,""))</f>
        <v/>
      </c>
      <c r="AU83" s="72" t="str">
        <f aca="false">IF(OR(AU$4="",$C83="",$D83=""),"",IF(AND($C83&lt;EDATE(AU$4,1),$D83&gt;=AU$4),1,""))</f>
        <v/>
      </c>
      <c r="AV83" s="72" t="str">
        <f aca="false">IF(OR(AV$4="",$C83="",$D83=""),"",IF(AND($C83&lt;EDATE(AV$4,1),$D83&gt;=AV$4),1,""))</f>
        <v/>
      </c>
      <c r="AW83" s="72" t="str">
        <f aca="false">IF(OR(AW$4="",$C83="",$D83=""),"",IF(AND($C83&lt;EDATE(AW$4,1),$D83&gt;=AW$4),1,""))</f>
        <v/>
      </c>
      <c r="AX83" s="72" t="str">
        <f aca="false">IF(OR(AX$4="",$C83="",$D83=""),"",IF(AND($C83&lt;EDATE(AX$4,1),$D83&gt;=AX$4),1,""))</f>
        <v/>
      </c>
      <c r="AY83" s="72" t="str">
        <f aca="false">IF(OR(AY$4="",$C83="",$D83=""),"",IF(AND($C83&lt;EDATE(AY$4,1),$D83&gt;=AY$4),1,""))</f>
        <v/>
      </c>
      <c r="AZ83" s="72" t="str">
        <f aca="false">IF(OR(AZ$4="",$C83="",$D83=""),"",IF(AND($C83&lt;EDATE(AZ$4,1),$D83&gt;=AZ$4),1,""))</f>
        <v/>
      </c>
      <c r="BA83" s="72" t="str">
        <f aca="false">IF(OR(BA$4="",$C83="",$D83=""),"",IF(AND($C83&lt;EDATE(BA$4,1),$D83&gt;=BA$4),1,""))</f>
        <v/>
      </c>
      <c r="BB83" s="72" t="str">
        <f aca="false">IF(OR(BB$4="",$C83="",$D83=""),"",IF(AND($C83&lt;EDATE(BB$4,1),$D83&gt;=BB$4),1,""))</f>
        <v/>
      </c>
      <c r="BC83" s="72" t="str">
        <f aca="false">IF(OR(BC$4="",$C83="",$D83=""),"",IF(AND($C83&lt;EDATE(BC$4,1),$D83&gt;=BC$4),1,""))</f>
        <v/>
      </c>
      <c r="BD83" s="72" t="str">
        <f aca="false">IF(OR(BD$4="",$C83="",$D83=""),"",IF(AND($C83&lt;EDATE(BD$4,1),$D83&gt;=BD$4),1,""))</f>
        <v/>
      </c>
      <c r="BE83" s="72" t="str">
        <f aca="false">IF(OR(BE$4="",$C83="",$D83=""),"",IF(AND($C83&lt;EDATE(BE$4,1),$D83&gt;=BE$4),1,""))</f>
        <v/>
      </c>
      <c r="BF83" s="72" t="str">
        <f aca="false">IF(OR(BF$4="",$C83="",$D83=""),"",IF(AND($C83&lt;EDATE(BF$4,1),$D83&gt;=BF$4),1,""))</f>
        <v/>
      </c>
      <c r="BG83" s="72" t="str">
        <f aca="false">IF(OR(BG$4="",$C83="",$D83=""),"",IF(AND($C83&lt;EDATE(BG$4,1),$D83&gt;=BG$4),1,""))</f>
        <v/>
      </c>
      <c r="BH83" s="72" t="str">
        <f aca="false">IF(OR(BH$4="",$C83="",$D83=""),"",IF(AND($C83&lt;EDATE(BH$4,1),$D83&gt;=BH$4),1,""))</f>
        <v/>
      </c>
      <c r="BI83" s="72" t="str">
        <f aca="false">IF(OR(BI$4="",$C83="",$D83=""),"",IF(AND($C83&lt;EDATE(BI$4,1),$D83&gt;=BI$4),1,""))</f>
        <v/>
      </c>
      <c r="BJ83" s="72" t="str">
        <f aca="false">IF(OR(BJ$4="",$C83="",$D83=""),"",IF(AND($C83&lt;EDATE(BJ$4,1),$D83&gt;=BJ$4),1,""))</f>
        <v/>
      </c>
      <c r="BK83" s="72" t="str">
        <f aca="false">IF(OR(BK$4="",$C83="",$D83=""),"",IF(AND($C83&lt;EDATE(BK$4,1),$D83&gt;=BK$4),1,""))</f>
        <v/>
      </c>
      <c r="BL83" s="72" t="str">
        <f aca="false">IF(OR(BL$4="",$C83="",$D83=""),"",IF(AND($C83&lt;EDATE(BL$4,1),$D83&gt;=BL$4),1,""))</f>
        <v/>
      </c>
      <c r="BM83" s="72" t="str">
        <f aca="false">IF(OR(BM$4="",$C83="",$D83=""),"",IF(AND($C83&lt;EDATE(BM$4,1),$D83&gt;=BM$4),1,""))</f>
        <v/>
      </c>
      <c r="BN83" s="72" t="str">
        <f aca="false">IF(OR(BN$4="",$C83="",$D83=""),"",IF(AND($C83&lt;EDATE(BN$4,1),$D83&gt;=BN$4),1,""))</f>
        <v/>
      </c>
      <c r="BO83" s="72" t="str">
        <f aca="false">IF(OR(BO$4="",$C83="",$D83=""),"",IF(AND($C83&lt;EDATE(BO$4,1),$D83&gt;=BO$4),1,""))</f>
        <v/>
      </c>
      <c r="BP83" s="72" t="str">
        <f aca="false">IF(OR(BP$4="",$C83="",$D83=""),"",IF(AND($C83&lt;EDATE(BP$4,1),$D83&gt;=BP$4),1,""))</f>
        <v/>
      </c>
      <c r="BQ83" s="72" t="str">
        <f aca="false">IF(OR(BQ$4="",$C83="",$D83=""),"",IF(AND($C83&lt;EDATE(BQ$4,1),$D83&gt;=BQ$4),1,""))</f>
        <v/>
      </c>
      <c r="BR83" s="72" t="str">
        <f aca="false">IF(OR(BR$4="",$C83="",$D83=""),"",IF(AND($C83&lt;EDATE(BR$4,1),$D83&gt;=BR$4),1,""))</f>
        <v/>
      </c>
      <c r="BS83" s="72" t="str">
        <f aca="false">IF(OR(BS$4="",$C83="",$D83=""),"",IF(AND($C83&lt;EDATE(BS$4,1),$D83&gt;=BS$4),1,""))</f>
        <v/>
      </c>
      <c r="BT83" s="72" t="str">
        <f aca="false">IF(OR(BT$4="",$C83="",$D83=""),"",IF(AND($C83&lt;EDATE(BT$4,1),$D83&gt;=BT$4),1,""))</f>
        <v/>
      </c>
      <c r="BU83" s="72" t="str">
        <f aca="false">IF(OR(BU$4="",$C83="",$D83=""),"",IF(AND($C83&lt;EDATE(BU$4,1),$D83&gt;=BU$4),1,""))</f>
        <v/>
      </c>
      <c r="BV83" s="72" t="str">
        <f aca="false">IF(OR(BV$4="",$C83="",$D83=""),"",IF(AND($C83&lt;EDATE(BV$4,1),$D83&gt;=BV$4),1,""))</f>
        <v/>
      </c>
      <c r="BW83" s="72" t="str">
        <f aca="false">IF(OR(BW$4="",$C83="",$D83=""),"",IF(AND($C83&lt;EDATE(BW$4,1),$D83&gt;=BW$4),1,""))</f>
        <v/>
      </c>
      <c r="BX83" s="72" t="str">
        <f aca="false">IF(OR(BX$4="",$C83="",$D83=""),"",IF(AND($C83&lt;EDATE(BX$4,1),$D83&gt;=BX$4),1,""))</f>
        <v/>
      </c>
      <c r="BY83" s="72" t="str">
        <f aca="false">IF(OR(BY$4="",$C83="",$D83=""),"",IF(AND($C83&lt;EDATE(BY$4,1),$D83&gt;=BY$4),1,""))</f>
        <v/>
      </c>
    </row>
    <row r="84" customFormat="false" ht="15" hidden="false" customHeight="false" outlineLevel="0" collapsed="false">
      <c r="A84" s="61" t="str">
        <f aca="false">IF(BOE!$A53="","",BOE!$A53)</f>
        <v/>
      </c>
      <c r="B84" s="61" t="str">
        <f aca="false">IF(BOE!$A53="","",BOE!$C53)</f>
        <v/>
      </c>
      <c r="C84" s="62" t="str">
        <f aca="false">IF(OR(BOE!$A53="",BOE!$E53&lt;&gt;"Y"),"",BOE!$O53)</f>
        <v/>
      </c>
      <c r="D84" s="62" t="str">
        <f aca="false">IF(OR(BOE!$A53="",BOE!$E53&lt;&gt;"Y"),"",BOE!$P53)</f>
        <v/>
      </c>
      <c r="E84" s="63" t="str">
        <f aca="false">IF(OR(BOE!$A53="",BOE!$E53&lt;&gt;"Y"),"",IF(Inputs!$B$7="P90",BOE!$T53,BOE!$R53))</f>
        <v/>
      </c>
      <c r="F84" s="72" t="str">
        <f aca="false">IF(OR(F$4="",$C84="",$D84=""),"",IF(AND($C84&lt;EDATE(F$4,1),$D84&gt;=F$4),1,""))</f>
        <v/>
      </c>
      <c r="G84" s="72" t="str">
        <f aca="false">IF(OR(G$4="",$C84="",$D84=""),"",IF(AND($C84&lt;EDATE(G$4,1),$D84&gt;=G$4),1,""))</f>
        <v/>
      </c>
      <c r="H84" s="72" t="str">
        <f aca="false">IF(OR(H$4="",$C84="",$D84=""),"",IF(AND($C84&lt;EDATE(H$4,1),$D84&gt;=H$4),1,""))</f>
        <v/>
      </c>
      <c r="I84" s="72" t="str">
        <f aca="false">IF(OR(I$4="",$C84="",$D84=""),"",IF(AND($C84&lt;EDATE(I$4,1),$D84&gt;=I$4),1,""))</f>
        <v/>
      </c>
      <c r="J84" s="72" t="str">
        <f aca="false">IF(OR(J$4="",$C84="",$D84=""),"",IF(AND($C84&lt;EDATE(J$4,1),$D84&gt;=J$4),1,""))</f>
        <v/>
      </c>
      <c r="K84" s="72" t="str">
        <f aca="false">IF(OR(K$4="",$C84="",$D84=""),"",IF(AND($C84&lt;EDATE(K$4,1),$D84&gt;=K$4),1,""))</f>
        <v/>
      </c>
      <c r="L84" s="72" t="str">
        <f aca="false">IF(OR(L$4="",$C84="",$D84=""),"",IF(AND($C84&lt;EDATE(L$4,1),$D84&gt;=L$4),1,""))</f>
        <v/>
      </c>
      <c r="M84" s="72" t="str">
        <f aca="false">IF(OR(M$4="",$C84="",$D84=""),"",IF(AND($C84&lt;EDATE(M$4,1),$D84&gt;=M$4),1,""))</f>
        <v/>
      </c>
      <c r="N84" s="72" t="str">
        <f aca="false">IF(OR(N$4="",$C84="",$D84=""),"",IF(AND($C84&lt;EDATE(N$4,1),$D84&gt;=N$4),1,""))</f>
        <v/>
      </c>
      <c r="O84" s="72" t="str">
        <f aca="false">IF(OR(O$4="",$C84="",$D84=""),"",IF(AND($C84&lt;EDATE(O$4,1),$D84&gt;=O$4),1,""))</f>
        <v/>
      </c>
      <c r="P84" s="72" t="str">
        <f aca="false">IF(OR(P$4="",$C84="",$D84=""),"",IF(AND($C84&lt;EDATE(P$4,1),$D84&gt;=P$4),1,""))</f>
        <v/>
      </c>
      <c r="Q84" s="72" t="str">
        <f aca="false">IF(OR(Q$4="",$C84="",$D84=""),"",IF(AND($C84&lt;EDATE(Q$4,1),$D84&gt;=Q$4),1,""))</f>
        <v/>
      </c>
      <c r="R84" s="72" t="str">
        <f aca="false">IF(OR(R$4="",$C84="",$D84=""),"",IF(AND($C84&lt;EDATE(R$4,1),$D84&gt;=R$4),1,""))</f>
        <v/>
      </c>
      <c r="S84" s="72" t="str">
        <f aca="false">IF(OR(S$4="",$C84="",$D84=""),"",IF(AND($C84&lt;EDATE(S$4,1),$D84&gt;=S$4),1,""))</f>
        <v/>
      </c>
      <c r="T84" s="72" t="str">
        <f aca="false">IF(OR(T$4="",$C84="",$D84=""),"",IF(AND($C84&lt;EDATE(T$4,1),$D84&gt;=T$4),1,""))</f>
        <v/>
      </c>
      <c r="U84" s="72" t="str">
        <f aca="false">IF(OR(U$4="",$C84="",$D84=""),"",IF(AND($C84&lt;EDATE(U$4,1),$D84&gt;=U$4),1,""))</f>
        <v/>
      </c>
      <c r="V84" s="72" t="str">
        <f aca="false">IF(OR(V$4="",$C84="",$D84=""),"",IF(AND($C84&lt;EDATE(V$4,1),$D84&gt;=V$4),1,""))</f>
        <v/>
      </c>
      <c r="W84" s="72" t="str">
        <f aca="false">IF(OR(W$4="",$C84="",$D84=""),"",IF(AND($C84&lt;EDATE(W$4,1),$D84&gt;=W$4),1,""))</f>
        <v/>
      </c>
      <c r="X84" s="72" t="str">
        <f aca="false">IF(OR(X$4="",$C84="",$D84=""),"",IF(AND($C84&lt;EDATE(X$4,1),$D84&gt;=X$4),1,""))</f>
        <v/>
      </c>
      <c r="Y84" s="72" t="str">
        <f aca="false">IF(OR(Y$4="",$C84="",$D84=""),"",IF(AND($C84&lt;EDATE(Y$4,1),$D84&gt;=Y$4),1,""))</f>
        <v/>
      </c>
      <c r="Z84" s="72" t="str">
        <f aca="false">IF(OR(Z$4="",$C84="",$D84=""),"",IF(AND($C84&lt;EDATE(Z$4,1),$D84&gt;=Z$4),1,""))</f>
        <v/>
      </c>
      <c r="AA84" s="72" t="str">
        <f aca="false">IF(OR(AA$4="",$C84="",$D84=""),"",IF(AND($C84&lt;EDATE(AA$4,1),$D84&gt;=AA$4),1,""))</f>
        <v/>
      </c>
      <c r="AB84" s="72" t="str">
        <f aca="false">IF(OR(AB$4="",$C84="",$D84=""),"",IF(AND($C84&lt;EDATE(AB$4,1),$D84&gt;=AB$4),1,""))</f>
        <v/>
      </c>
      <c r="AC84" s="72" t="str">
        <f aca="false">IF(OR(AC$4="",$C84="",$D84=""),"",IF(AND($C84&lt;EDATE(AC$4,1),$D84&gt;=AC$4),1,""))</f>
        <v/>
      </c>
      <c r="AD84" s="72" t="str">
        <f aca="false">IF(OR(AD$4="",$C84="",$D84=""),"",IF(AND($C84&lt;EDATE(AD$4,1),$D84&gt;=AD$4),1,""))</f>
        <v/>
      </c>
      <c r="AE84" s="72" t="str">
        <f aca="false">IF(OR(AE$4="",$C84="",$D84=""),"",IF(AND($C84&lt;EDATE(AE$4,1),$D84&gt;=AE$4),1,""))</f>
        <v/>
      </c>
      <c r="AF84" s="72" t="str">
        <f aca="false">IF(OR(AF$4="",$C84="",$D84=""),"",IF(AND($C84&lt;EDATE(AF$4,1),$D84&gt;=AF$4),1,""))</f>
        <v/>
      </c>
      <c r="AG84" s="72" t="str">
        <f aca="false">IF(OR(AG$4="",$C84="",$D84=""),"",IF(AND($C84&lt;EDATE(AG$4,1),$D84&gt;=AG$4),1,""))</f>
        <v/>
      </c>
      <c r="AH84" s="72" t="str">
        <f aca="false">IF(OR(AH$4="",$C84="",$D84=""),"",IF(AND($C84&lt;EDATE(AH$4,1),$D84&gt;=AH$4),1,""))</f>
        <v/>
      </c>
      <c r="AI84" s="72" t="str">
        <f aca="false">IF(OR(AI$4="",$C84="",$D84=""),"",IF(AND($C84&lt;EDATE(AI$4,1),$D84&gt;=AI$4),1,""))</f>
        <v/>
      </c>
      <c r="AJ84" s="72" t="str">
        <f aca="false">IF(OR(AJ$4="",$C84="",$D84=""),"",IF(AND($C84&lt;EDATE(AJ$4,1),$D84&gt;=AJ$4),1,""))</f>
        <v/>
      </c>
      <c r="AK84" s="72" t="str">
        <f aca="false">IF(OR(AK$4="",$C84="",$D84=""),"",IF(AND($C84&lt;EDATE(AK$4,1),$D84&gt;=AK$4),1,""))</f>
        <v/>
      </c>
      <c r="AL84" s="72" t="str">
        <f aca="false">IF(OR(AL$4="",$C84="",$D84=""),"",IF(AND($C84&lt;EDATE(AL$4,1),$D84&gt;=AL$4),1,""))</f>
        <v/>
      </c>
      <c r="AM84" s="72" t="str">
        <f aca="false">IF(OR(AM$4="",$C84="",$D84=""),"",IF(AND($C84&lt;EDATE(AM$4,1),$D84&gt;=AM$4),1,""))</f>
        <v/>
      </c>
      <c r="AN84" s="72" t="str">
        <f aca="false">IF(OR(AN$4="",$C84="",$D84=""),"",IF(AND($C84&lt;EDATE(AN$4,1),$D84&gt;=AN$4),1,""))</f>
        <v/>
      </c>
      <c r="AO84" s="72" t="str">
        <f aca="false">IF(OR(AO$4="",$C84="",$D84=""),"",IF(AND($C84&lt;EDATE(AO$4,1),$D84&gt;=AO$4),1,""))</f>
        <v/>
      </c>
      <c r="AP84" s="72" t="str">
        <f aca="false">IF(OR(AP$4="",$C84="",$D84=""),"",IF(AND($C84&lt;EDATE(AP$4,1),$D84&gt;=AP$4),1,""))</f>
        <v/>
      </c>
      <c r="AQ84" s="72" t="str">
        <f aca="false">IF(OR(AQ$4="",$C84="",$D84=""),"",IF(AND($C84&lt;EDATE(AQ$4,1),$D84&gt;=AQ$4),1,""))</f>
        <v/>
      </c>
      <c r="AR84" s="72" t="str">
        <f aca="false">IF(OR(AR$4="",$C84="",$D84=""),"",IF(AND($C84&lt;EDATE(AR$4,1),$D84&gt;=AR$4),1,""))</f>
        <v/>
      </c>
      <c r="AS84" s="72" t="str">
        <f aca="false">IF(OR(AS$4="",$C84="",$D84=""),"",IF(AND($C84&lt;EDATE(AS$4,1),$D84&gt;=AS$4),1,""))</f>
        <v/>
      </c>
      <c r="AT84" s="72" t="str">
        <f aca="false">IF(OR(AT$4="",$C84="",$D84=""),"",IF(AND($C84&lt;EDATE(AT$4,1),$D84&gt;=AT$4),1,""))</f>
        <v/>
      </c>
      <c r="AU84" s="72" t="str">
        <f aca="false">IF(OR(AU$4="",$C84="",$D84=""),"",IF(AND($C84&lt;EDATE(AU$4,1),$D84&gt;=AU$4),1,""))</f>
        <v/>
      </c>
      <c r="AV84" s="72" t="str">
        <f aca="false">IF(OR(AV$4="",$C84="",$D84=""),"",IF(AND($C84&lt;EDATE(AV$4,1),$D84&gt;=AV$4),1,""))</f>
        <v/>
      </c>
      <c r="AW84" s="72" t="str">
        <f aca="false">IF(OR(AW$4="",$C84="",$D84=""),"",IF(AND($C84&lt;EDATE(AW$4,1),$D84&gt;=AW$4),1,""))</f>
        <v/>
      </c>
      <c r="AX84" s="72" t="str">
        <f aca="false">IF(OR(AX$4="",$C84="",$D84=""),"",IF(AND($C84&lt;EDATE(AX$4,1),$D84&gt;=AX$4),1,""))</f>
        <v/>
      </c>
      <c r="AY84" s="72" t="str">
        <f aca="false">IF(OR(AY$4="",$C84="",$D84=""),"",IF(AND($C84&lt;EDATE(AY$4,1),$D84&gt;=AY$4),1,""))</f>
        <v/>
      </c>
      <c r="AZ84" s="72" t="str">
        <f aca="false">IF(OR(AZ$4="",$C84="",$D84=""),"",IF(AND($C84&lt;EDATE(AZ$4,1),$D84&gt;=AZ$4),1,""))</f>
        <v/>
      </c>
      <c r="BA84" s="72" t="str">
        <f aca="false">IF(OR(BA$4="",$C84="",$D84=""),"",IF(AND($C84&lt;EDATE(BA$4,1),$D84&gt;=BA$4),1,""))</f>
        <v/>
      </c>
      <c r="BB84" s="72" t="str">
        <f aca="false">IF(OR(BB$4="",$C84="",$D84=""),"",IF(AND($C84&lt;EDATE(BB$4,1),$D84&gt;=BB$4),1,""))</f>
        <v/>
      </c>
      <c r="BC84" s="72" t="str">
        <f aca="false">IF(OR(BC$4="",$C84="",$D84=""),"",IF(AND($C84&lt;EDATE(BC$4,1),$D84&gt;=BC$4),1,""))</f>
        <v/>
      </c>
      <c r="BD84" s="72" t="str">
        <f aca="false">IF(OR(BD$4="",$C84="",$D84=""),"",IF(AND($C84&lt;EDATE(BD$4,1),$D84&gt;=BD$4),1,""))</f>
        <v/>
      </c>
      <c r="BE84" s="72" t="str">
        <f aca="false">IF(OR(BE$4="",$C84="",$D84=""),"",IF(AND($C84&lt;EDATE(BE$4,1),$D84&gt;=BE$4),1,""))</f>
        <v/>
      </c>
      <c r="BF84" s="72" t="str">
        <f aca="false">IF(OR(BF$4="",$C84="",$D84=""),"",IF(AND($C84&lt;EDATE(BF$4,1),$D84&gt;=BF$4),1,""))</f>
        <v/>
      </c>
      <c r="BG84" s="72" t="str">
        <f aca="false">IF(OR(BG$4="",$C84="",$D84=""),"",IF(AND($C84&lt;EDATE(BG$4,1),$D84&gt;=BG$4),1,""))</f>
        <v/>
      </c>
      <c r="BH84" s="72" t="str">
        <f aca="false">IF(OR(BH$4="",$C84="",$D84=""),"",IF(AND($C84&lt;EDATE(BH$4,1),$D84&gt;=BH$4),1,""))</f>
        <v/>
      </c>
      <c r="BI84" s="72" t="str">
        <f aca="false">IF(OR(BI$4="",$C84="",$D84=""),"",IF(AND($C84&lt;EDATE(BI$4,1),$D84&gt;=BI$4),1,""))</f>
        <v/>
      </c>
      <c r="BJ84" s="72" t="str">
        <f aca="false">IF(OR(BJ$4="",$C84="",$D84=""),"",IF(AND($C84&lt;EDATE(BJ$4,1),$D84&gt;=BJ$4),1,""))</f>
        <v/>
      </c>
      <c r="BK84" s="72" t="str">
        <f aca="false">IF(OR(BK$4="",$C84="",$D84=""),"",IF(AND($C84&lt;EDATE(BK$4,1),$D84&gt;=BK$4),1,""))</f>
        <v/>
      </c>
      <c r="BL84" s="72" t="str">
        <f aca="false">IF(OR(BL$4="",$C84="",$D84=""),"",IF(AND($C84&lt;EDATE(BL$4,1),$D84&gt;=BL$4),1,""))</f>
        <v/>
      </c>
      <c r="BM84" s="72" t="str">
        <f aca="false">IF(OR(BM$4="",$C84="",$D84=""),"",IF(AND($C84&lt;EDATE(BM$4,1),$D84&gt;=BM$4),1,""))</f>
        <v/>
      </c>
      <c r="BN84" s="72" t="str">
        <f aca="false">IF(OR(BN$4="",$C84="",$D84=""),"",IF(AND($C84&lt;EDATE(BN$4,1),$D84&gt;=BN$4),1,""))</f>
        <v/>
      </c>
      <c r="BO84" s="72" t="str">
        <f aca="false">IF(OR(BO$4="",$C84="",$D84=""),"",IF(AND($C84&lt;EDATE(BO$4,1),$D84&gt;=BO$4),1,""))</f>
        <v/>
      </c>
      <c r="BP84" s="72" t="str">
        <f aca="false">IF(OR(BP$4="",$C84="",$D84=""),"",IF(AND($C84&lt;EDATE(BP$4,1),$D84&gt;=BP$4),1,""))</f>
        <v/>
      </c>
      <c r="BQ84" s="72" t="str">
        <f aca="false">IF(OR(BQ$4="",$C84="",$D84=""),"",IF(AND($C84&lt;EDATE(BQ$4,1),$D84&gt;=BQ$4),1,""))</f>
        <v/>
      </c>
      <c r="BR84" s="72" t="str">
        <f aca="false">IF(OR(BR$4="",$C84="",$D84=""),"",IF(AND($C84&lt;EDATE(BR$4,1),$D84&gt;=BR$4),1,""))</f>
        <v/>
      </c>
      <c r="BS84" s="72" t="str">
        <f aca="false">IF(OR(BS$4="",$C84="",$D84=""),"",IF(AND($C84&lt;EDATE(BS$4,1),$D84&gt;=BS$4),1,""))</f>
        <v/>
      </c>
      <c r="BT84" s="72" t="str">
        <f aca="false">IF(OR(BT$4="",$C84="",$D84=""),"",IF(AND($C84&lt;EDATE(BT$4,1),$D84&gt;=BT$4),1,""))</f>
        <v/>
      </c>
      <c r="BU84" s="72" t="str">
        <f aca="false">IF(OR(BU$4="",$C84="",$D84=""),"",IF(AND($C84&lt;EDATE(BU$4,1),$D84&gt;=BU$4),1,""))</f>
        <v/>
      </c>
      <c r="BV84" s="72" t="str">
        <f aca="false">IF(OR(BV$4="",$C84="",$D84=""),"",IF(AND($C84&lt;EDATE(BV$4,1),$D84&gt;=BV$4),1,""))</f>
        <v/>
      </c>
      <c r="BW84" s="72" t="str">
        <f aca="false">IF(OR(BW$4="",$C84="",$D84=""),"",IF(AND($C84&lt;EDATE(BW$4,1),$D84&gt;=BW$4),1,""))</f>
        <v/>
      </c>
      <c r="BX84" s="72" t="str">
        <f aca="false">IF(OR(BX$4="",$C84="",$D84=""),"",IF(AND($C84&lt;EDATE(BX$4,1),$D84&gt;=BX$4),1,""))</f>
        <v/>
      </c>
      <c r="BY84" s="72" t="str">
        <f aca="false">IF(OR(BY$4="",$C84="",$D84=""),"",IF(AND($C84&lt;EDATE(BY$4,1),$D84&gt;=BY$4),1,""))</f>
        <v/>
      </c>
    </row>
    <row r="85" customFormat="false" ht="15" hidden="false" customHeight="false" outlineLevel="0" collapsed="false">
      <c r="A85" s="61" t="str">
        <f aca="false">IF(BOE!$A54="","",BOE!$A54)</f>
        <v/>
      </c>
      <c r="B85" s="61" t="str">
        <f aca="false">IF(BOE!$A54="","",BOE!$C54)</f>
        <v/>
      </c>
      <c r="C85" s="62" t="str">
        <f aca="false">IF(OR(BOE!$A54="",BOE!$E54&lt;&gt;"Y"),"",BOE!$O54)</f>
        <v/>
      </c>
      <c r="D85" s="62" t="str">
        <f aca="false">IF(OR(BOE!$A54="",BOE!$E54&lt;&gt;"Y"),"",BOE!$P54)</f>
        <v/>
      </c>
      <c r="E85" s="63" t="str">
        <f aca="false">IF(OR(BOE!$A54="",BOE!$E54&lt;&gt;"Y"),"",IF(Inputs!$B$7="P90",BOE!$T54,BOE!$R54))</f>
        <v/>
      </c>
      <c r="F85" s="72" t="str">
        <f aca="false">IF(OR(F$4="",$C85="",$D85=""),"",IF(AND($C85&lt;EDATE(F$4,1),$D85&gt;=F$4),1,""))</f>
        <v/>
      </c>
      <c r="G85" s="72" t="str">
        <f aca="false">IF(OR(G$4="",$C85="",$D85=""),"",IF(AND($C85&lt;EDATE(G$4,1),$D85&gt;=G$4),1,""))</f>
        <v/>
      </c>
      <c r="H85" s="72" t="str">
        <f aca="false">IF(OR(H$4="",$C85="",$D85=""),"",IF(AND($C85&lt;EDATE(H$4,1),$D85&gt;=H$4),1,""))</f>
        <v/>
      </c>
      <c r="I85" s="72" t="str">
        <f aca="false">IF(OR(I$4="",$C85="",$D85=""),"",IF(AND($C85&lt;EDATE(I$4,1),$D85&gt;=I$4),1,""))</f>
        <v/>
      </c>
      <c r="J85" s="72" t="str">
        <f aca="false">IF(OR(J$4="",$C85="",$D85=""),"",IF(AND($C85&lt;EDATE(J$4,1),$D85&gt;=J$4),1,""))</f>
        <v/>
      </c>
      <c r="K85" s="72" t="str">
        <f aca="false">IF(OR(K$4="",$C85="",$D85=""),"",IF(AND($C85&lt;EDATE(K$4,1),$D85&gt;=K$4),1,""))</f>
        <v/>
      </c>
      <c r="L85" s="72" t="str">
        <f aca="false">IF(OR(L$4="",$C85="",$D85=""),"",IF(AND($C85&lt;EDATE(L$4,1),$D85&gt;=L$4),1,""))</f>
        <v/>
      </c>
      <c r="M85" s="72" t="str">
        <f aca="false">IF(OR(M$4="",$C85="",$D85=""),"",IF(AND($C85&lt;EDATE(M$4,1),$D85&gt;=M$4),1,""))</f>
        <v/>
      </c>
      <c r="N85" s="72" t="str">
        <f aca="false">IF(OR(N$4="",$C85="",$D85=""),"",IF(AND($C85&lt;EDATE(N$4,1),$D85&gt;=N$4),1,""))</f>
        <v/>
      </c>
      <c r="O85" s="72" t="str">
        <f aca="false">IF(OR(O$4="",$C85="",$D85=""),"",IF(AND($C85&lt;EDATE(O$4,1),$D85&gt;=O$4),1,""))</f>
        <v/>
      </c>
      <c r="P85" s="72" t="str">
        <f aca="false">IF(OR(P$4="",$C85="",$D85=""),"",IF(AND($C85&lt;EDATE(P$4,1),$D85&gt;=P$4),1,""))</f>
        <v/>
      </c>
      <c r="Q85" s="72" t="str">
        <f aca="false">IF(OR(Q$4="",$C85="",$D85=""),"",IF(AND($C85&lt;EDATE(Q$4,1),$D85&gt;=Q$4),1,""))</f>
        <v/>
      </c>
      <c r="R85" s="72" t="str">
        <f aca="false">IF(OR(R$4="",$C85="",$D85=""),"",IF(AND($C85&lt;EDATE(R$4,1),$D85&gt;=R$4),1,""))</f>
        <v/>
      </c>
      <c r="S85" s="72" t="str">
        <f aca="false">IF(OR(S$4="",$C85="",$D85=""),"",IF(AND($C85&lt;EDATE(S$4,1),$D85&gt;=S$4),1,""))</f>
        <v/>
      </c>
      <c r="T85" s="72" t="str">
        <f aca="false">IF(OR(T$4="",$C85="",$D85=""),"",IF(AND($C85&lt;EDATE(T$4,1),$D85&gt;=T$4),1,""))</f>
        <v/>
      </c>
      <c r="U85" s="72" t="str">
        <f aca="false">IF(OR(U$4="",$C85="",$D85=""),"",IF(AND($C85&lt;EDATE(U$4,1),$D85&gt;=U$4),1,""))</f>
        <v/>
      </c>
      <c r="V85" s="72" t="str">
        <f aca="false">IF(OR(V$4="",$C85="",$D85=""),"",IF(AND($C85&lt;EDATE(V$4,1),$D85&gt;=V$4),1,""))</f>
        <v/>
      </c>
      <c r="W85" s="72" t="str">
        <f aca="false">IF(OR(W$4="",$C85="",$D85=""),"",IF(AND($C85&lt;EDATE(W$4,1),$D85&gt;=W$4),1,""))</f>
        <v/>
      </c>
      <c r="X85" s="72" t="str">
        <f aca="false">IF(OR(X$4="",$C85="",$D85=""),"",IF(AND($C85&lt;EDATE(X$4,1),$D85&gt;=X$4),1,""))</f>
        <v/>
      </c>
      <c r="Y85" s="72" t="str">
        <f aca="false">IF(OR(Y$4="",$C85="",$D85=""),"",IF(AND($C85&lt;EDATE(Y$4,1),$D85&gt;=Y$4),1,""))</f>
        <v/>
      </c>
      <c r="Z85" s="72" t="str">
        <f aca="false">IF(OR(Z$4="",$C85="",$D85=""),"",IF(AND($C85&lt;EDATE(Z$4,1),$D85&gt;=Z$4),1,""))</f>
        <v/>
      </c>
      <c r="AA85" s="72" t="str">
        <f aca="false">IF(OR(AA$4="",$C85="",$D85=""),"",IF(AND($C85&lt;EDATE(AA$4,1),$D85&gt;=AA$4),1,""))</f>
        <v/>
      </c>
      <c r="AB85" s="72" t="str">
        <f aca="false">IF(OR(AB$4="",$C85="",$D85=""),"",IF(AND($C85&lt;EDATE(AB$4,1),$D85&gt;=AB$4),1,""))</f>
        <v/>
      </c>
      <c r="AC85" s="72" t="str">
        <f aca="false">IF(OR(AC$4="",$C85="",$D85=""),"",IF(AND($C85&lt;EDATE(AC$4,1),$D85&gt;=AC$4),1,""))</f>
        <v/>
      </c>
      <c r="AD85" s="72" t="str">
        <f aca="false">IF(OR(AD$4="",$C85="",$D85=""),"",IF(AND($C85&lt;EDATE(AD$4,1),$D85&gt;=AD$4),1,""))</f>
        <v/>
      </c>
      <c r="AE85" s="72" t="str">
        <f aca="false">IF(OR(AE$4="",$C85="",$D85=""),"",IF(AND($C85&lt;EDATE(AE$4,1),$D85&gt;=AE$4),1,""))</f>
        <v/>
      </c>
      <c r="AF85" s="72" t="str">
        <f aca="false">IF(OR(AF$4="",$C85="",$D85=""),"",IF(AND($C85&lt;EDATE(AF$4,1),$D85&gt;=AF$4),1,""))</f>
        <v/>
      </c>
      <c r="AG85" s="72" t="str">
        <f aca="false">IF(OR(AG$4="",$C85="",$D85=""),"",IF(AND($C85&lt;EDATE(AG$4,1),$D85&gt;=AG$4),1,""))</f>
        <v/>
      </c>
      <c r="AH85" s="72" t="str">
        <f aca="false">IF(OR(AH$4="",$C85="",$D85=""),"",IF(AND($C85&lt;EDATE(AH$4,1),$D85&gt;=AH$4),1,""))</f>
        <v/>
      </c>
      <c r="AI85" s="72" t="str">
        <f aca="false">IF(OR(AI$4="",$C85="",$D85=""),"",IF(AND($C85&lt;EDATE(AI$4,1),$D85&gt;=AI$4),1,""))</f>
        <v/>
      </c>
      <c r="AJ85" s="72" t="str">
        <f aca="false">IF(OR(AJ$4="",$C85="",$D85=""),"",IF(AND($C85&lt;EDATE(AJ$4,1),$D85&gt;=AJ$4),1,""))</f>
        <v/>
      </c>
      <c r="AK85" s="72" t="str">
        <f aca="false">IF(OR(AK$4="",$C85="",$D85=""),"",IF(AND($C85&lt;EDATE(AK$4,1),$D85&gt;=AK$4),1,""))</f>
        <v/>
      </c>
      <c r="AL85" s="72" t="str">
        <f aca="false">IF(OR(AL$4="",$C85="",$D85=""),"",IF(AND($C85&lt;EDATE(AL$4,1),$D85&gt;=AL$4),1,""))</f>
        <v/>
      </c>
      <c r="AM85" s="72" t="str">
        <f aca="false">IF(OR(AM$4="",$C85="",$D85=""),"",IF(AND($C85&lt;EDATE(AM$4,1),$D85&gt;=AM$4),1,""))</f>
        <v/>
      </c>
      <c r="AN85" s="72" t="str">
        <f aca="false">IF(OR(AN$4="",$C85="",$D85=""),"",IF(AND($C85&lt;EDATE(AN$4,1),$D85&gt;=AN$4),1,""))</f>
        <v/>
      </c>
      <c r="AO85" s="72" t="str">
        <f aca="false">IF(OR(AO$4="",$C85="",$D85=""),"",IF(AND($C85&lt;EDATE(AO$4,1),$D85&gt;=AO$4),1,""))</f>
        <v/>
      </c>
      <c r="AP85" s="72" t="str">
        <f aca="false">IF(OR(AP$4="",$C85="",$D85=""),"",IF(AND($C85&lt;EDATE(AP$4,1),$D85&gt;=AP$4),1,""))</f>
        <v/>
      </c>
      <c r="AQ85" s="72" t="str">
        <f aca="false">IF(OR(AQ$4="",$C85="",$D85=""),"",IF(AND($C85&lt;EDATE(AQ$4,1),$D85&gt;=AQ$4),1,""))</f>
        <v/>
      </c>
      <c r="AR85" s="72" t="str">
        <f aca="false">IF(OR(AR$4="",$C85="",$D85=""),"",IF(AND($C85&lt;EDATE(AR$4,1),$D85&gt;=AR$4),1,""))</f>
        <v/>
      </c>
      <c r="AS85" s="72" t="str">
        <f aca="false">IF(OR(AS$4="",$C85="",$D85=""),"",IF(AND($C85&lt;EDATE(AS$4,1),$D85&gt;=AS$4),1,""))</f>
        <v/>
      </c>
      <c r="AT85" s="72" t="str">
        <f aca="false">IF(OR(AT$4="",$C85="",$D85=""),"",IF(AND($C85&lt;EDATE(AT$4,1),$D85&gt;=AT$4),1,""))</f>
        <v/>
      </c>
      <c r="AU85" s="72" t="str">
        <f aca="false">IF(OR(AU$4="",$C85="",$D85=""),"",IF(AND($C85&lt;EDATE(AU$4,1),$D85&gt;=AU$4),1,""))</f>
        <v/>
      </c>
      <c r="AV85" s="72" t="str">
        <f aca="false">IF(OR(AV$4="",$C85="",$D85=""),"",IF(AND($C85&lt;EDATE(AV$4,1),$D85&gt;=AV$4),1,""))</f>
        <v/>
      </c>
      <c r="AW85" s="72" t="str">
        <f aca="false">IF(OR(AW$4="",$C85="",$D85=""),"",IF(AND($C85&lt;EDATE(AW$4,1),$D85&gt;=AW$4),1,""))</f>
        <v/>
      </c>
      <c r="AX85" s="72" t="str">
        <f aca="false">IF(OR(AX$4="",$C85="",$D85=""),"",IF(AND($C85&lt;EDATE(AX$4,1),$D85&gt;=AX$4),1,""))</f>
        <v/>
      </c>
      <c r="AY85" s="72" t="str">
        <f aca="false">IF(OR(AY$4="",$C85="",$D85=""),"",IF(AND($C85&lt;EDATE(AY$4,1),$D85&gt;=AY$4),1,""))</f>
        <v/>
      </c>
      <c r="AZ85" s="72" t="str">
        <f aca="false">IF(OR(AZ$4="",$C85="",$D85=""),"",IF(AND($C85&lt;EDATE(AZ$4,1),$D85&gt;=AZ$4),1,""))</f>
        <v/>
      </c>
      <c r="BA85" s="72" t="str">
        <f aca="false">IF(OR(BA$4="",$C85="",$D85=""),"",IF(AND($C85&lt;EDATE(BA$4,1),$D85&gt;=BA$4),1,""))</f>
        <v/>
      </c>
      <c r="BB85" s="72" t="str">
        <f aca="false">IF(OR(BB$4="",$C85="",$D85=""),"",IF(AND($C85&lt;EDATE(BB$4,1),$D85&gt;=BB$4),1,""))</f>
        <v/>
      </c>
      <c r="BC85" s="72" t="str">
        <f aca="false">IF(OR(BC$4="",$C85="",$D85=""),"",IF(AND($C85&lt;EDATE(BC$4,1),$D85&gt;=BC$4),1,""))</f>
        <v/>
      </c>
      <c r="BD85" s="72" t="str">
        <f aca="false">IF(OR(BD$4="",$C85="",$D85=""),"",IF(AND($C85&lt;EDATE(BD$4,1),$D85&gt;=BD$4),1,""))</f>
        <v/>
      </c>
      <c r="BE85" s="72" t="str">
        <f aca="false">IF(OR(BE$4="",$C85="",$D85=""),"",IF(AND($C85&lt;EDATE(BE$4,1),$D85&gt;=BE$4),1,""))</f>
        <v/>
      </c>
      <c r="BF85" s="72" t="str">
        <f aca="false">IF(OR(BF$4="",$C85="",$D85=""),"",IF(AND($C85&lt;EDATE(BF$4,1),$D85&gt;=BF$4),1,""))</f>
        <v/>
      </c>
      <c r="BG85" s="72" t="str">
        <f aca="false">IF(OR(BG$4="",$C85="",$D85=""),"",IF(AND($C85&lt;EDATE(BG$4,1),$D85&gt;=BG$4),1,""))</f>
        <v/>
      </c>
      <c r="BH85" s="72" t="str">
        <f aca="false">IF(OR(BH$4="",$C85="",$D85=""),"",IF(AND($C85&lt;EDATE(BH$4,1),$D85&gt;=BH$4),1,""))</f>
        <v/>
      </c>
      <c r="BI85" s="72" t="str">
        <f aca="false">IF(OR(BI$4="",$C85="",$D85=""),"",IF(AND($C85&lt;EDATE(BI$4,1),$D85&gt;=BI$4),1,""))</f>
        <v/>
      </c>
      <c r="BJ85" s="72" t="str">
        <f aca="false">IF(OR(BJ$4="",$C85="",$D85=""),"",IF(AND($C85&lt;EDATE(BJ$4,1),$D85&gt;=BJ$4),1,""))</f>
        <v/>
      </c>
      <c r="BK85" s="72" t="str">
        <f aca="false">IF(OR(BK$4="",$C85="",$D85=""),"",IF(AND($C85&lt;EDATE(BK$4,1),$D85&gt;=BK$4),1,""))</f>
        <v/>
      </c>
      <c r="BL85" s="72" t="str">
        <f aca="false">IF(OR(BL$4="",$C85="",$D85=""),"",IF(AND($C85&lt;EDATE(BL$4,1),$D85&gt;=BL$4),1,""))</f>
        <v/>
      </c>
      <c r="BM85" s="72" t="str">
        <f aca="false">IF(OR(BM$4="",$C85="",$D85=""),"",IF(AND($C85&lt;EDATE(BM$4,1),$D85&gt;=BM$4),1,""))</f>
        <v/>
      </c>
      <c r="BN85" s="72" t="str">
        <f aca="false">IF(OR(BN$4="",$C85="",$D85=""),"",IF(AND($C85&lt;EDATE(BN$4,1),$D85&gt;=BN$4),1,""))</f>
        <v/>
      </c>
      <c r="BO85" s="72" t="str">
        <f aca="false">IF(OR(BO$4="",$C85="",$D85=""),"",IF(AND($C85&lt;EDATE(BO$4,1),$D85&gt;=BO$4),1,""))</f>
        <v/>
      </c>
      <c r="BP85" s="72" t="str">
        <f aca="false">IF(OR(BP$4="",$C85="",$D85=""),"",IF(AND($C85&lt;EDATE(BP$4,1),$D85&gt;=BP$4),1,""))</f>
        <v/>
      </c>
      <c r="BQ85" s="72" t="str">
        <f aca="false">IF(OR(BQ$4="",$C85="",$D85=""),"",IF(AND($C85&lt;EDATE(BQ$4,1),$D85&gt;=BQ$4),1,""))</f>
        <v/>
      </c>
      <c r="BR85" s="72" t="str">
        <f aca="false">IF(OR(BR$4="",$C85="",$D85=""),"",IF(AND($C85&lt;EDATE(BR$4,1),$D85&gt;=BR$4),1,""))</f>
        <v/>
      </c>
      <c r="BS85" s="72" t="str">
        <f aca="false">IF(OR(BS$4="",$C85="",$D85=""),"",IF(AND($C85&lt;EDATE(BS$4,1),$D85&gt;=BS$4),1,""))</f>
        <v/>
      </c>
      <c r="BT85" s="72" t="str">
        <f aca="false">IF(OR(BT$4="",$C85="",$D85=""),"",IF(AND($C85&lt;EDATE(BT$4,1),$D85&gt;=BT$4),1,""))</f>
        <v/>
      </c>
      <c r="BU85" s="72" t="str">
        <f aca="false">IF(OR(BU$4="",$C85="",$D85=""),"",IF(AND($C85&lt;EDATE(BU$4,1),$D85&gt;=BU$4),1,""))</f>
        <v/>
      </c>
      <c r="BV85" s="72" t="str">
        <f aca="false">IF(OR(BV$4="",$C85="",$D85=""),"",IF(AND($C85&lt;EDATE(BV$4,1),$D85&gt;=BV$4),1,""))</f>
        <v/>
      </c>
      <c r="BW85" s="72" t="str">
        <f aca="false">IF(OR(BW$4="",$C85="",$D85=""),"",IF(AND($C85&lt;EDATE(BW$4,1),$D85&gt;=BW$4),1,""))</f>
        <v/>
      </c>
      <c r="BX85" s="72" t="str">
        <f aca="false">IF(OR(BX$4="",$C85="",$D85=""),"",IF(AND($C85&lt;EDATE(BX$4,1),$D85&gt;=BX$4),1,""))</f>
        <v/>
      </c>
      <c r="BY85" s="72" t="str">
        <f aca="false">IF(OR(BY$4="",$C85="",$D85=""),"",IF(AND($C85&lt;EDATE(BY$4,1),$D85&gt;=BY$4),1,""))</f>
        <v/>
      </c>
    </row>
    <row r="86" customFormat="false" ht="15" hidden="false" customHeight="false" outlineLevel="0" collapsed="false">
      <c r="A86" s="61" t="str">
        <f aca="false">IF(BOE!$A55="","",BOE!$A55)</f>
        <v/>
      </c>
      <c r="B86" s="61" t="str">
        <f aca="false">IF(BOE!$A55="","",BOE!$C55)</f>
        <v/>
      </c>
      <c r="C86" s="62" t="str">
        <f aca="false">IF(OR(BOE!$A55="",BOE!$E55&lt;&gt;"Y"),"",BOE!$O55)</f>
        <v/>
      </c>
      <c r="D86" s="62" t="str">
        <f aca="false">IF(OR(BOE!$A55="",BOE!$E55&lt;&gt;"Y"),"",BOE!$P55)</f>
        <v/>
      </c>
      <c r="E86" s="63" t="str">
        <f aca="false">IF(OR(BOE!$A55="",BOE!$E55&lt;&gt;"Y"),"",IF(Inputs!$B$7="P90",BOE!$T55,BOE!$R55))</f>
        <v/>
      </c>
      <c r="F86" s="72" t="str">
        <f aca="false">IF(OR(F$4="",$C86="",$D86=""),"",IF(AND($C86&lt;EDATE(F$4,1),$D86&gt;=F$4),1,""))</f>
        <v/>
      </c>
      <c r="G86" s="72" t="str">
        <f aca="false">IF(OR(G$4="",$C86="",$D86=""),"",IF(AND($C86&lt;EDATE(G$4,1),$D86&gt;=G$4),1,""))</f>
        <v/>
      </c>
      <c r="H86" s="72" t="str">
        <f aca="false">IF(OR(H$4="",$C86="",$D86=""),"",IF(AND($C86&lt;EDATE(H$4,1),$D86&gt;=H$4),1,""))</f>
        <v/>
      </c>
      <c r="I86" s="72" t="str">
        <f aca="false">IF(OR(I$4="",$C86="",$D86=""),"",IF(AND($C86&lt;EDATE(I$4,1),$D86&gt;=I$4),1,""))</f>
        <v/>
      </c>
      <c r="J86" s="72" t="str">
        <f aca="false">IF(OR(J$4="",$C86="",$D86=""),"",IF(AND($C86&lt;EDATE(J$4,1),$D86&gt;=J$4),1,""))</f>
        <v/>
      </c>
      <c r="K86" s="72" t="str">
        <f aca="false">IF(OR(K$4="",$C86="",$D86=""),"",IF(AND($C86&lt;EDATE(K$4,1),$D86&gt;=K$4),1,""))</f>
        <v/>
      </c>
      <c r="L86" s="72" t="str">
        <f aca="false">IF(OR(L$4="",$C86="",$D86=""),"",IF(AND($C86&lt;EDATE(L$4,1),$D86&gt;=L$4),1,""))</f>
        <v/>
      </c>
      <c r="M86" s="72" t="str">
        <f aca="false">IF(OR(M$4="",$C86="",$D86=""),"",IF(AND($C86&lt;EDATE(M$4,1),$D86&gt;=M$4),1,""))</f>
        <v/>
      </c>
      <c r="N86" s="72" t="str">
        <f aca="false">IF(OR(N$4="",$C86="",$D86=""),"",IF(AND($C86&lt;EDATE(N$4,1),$D86&gt;=N$4),1,""))</f>
        <v/>
      </c>
      <c r="O86" s="72" t="str">
        <f aca="false">IF(OR(O$4="",$C86="",$D86=""),"",IF(AND($C86&lt;EDATE(O$4,1),$D86&gt;=O$4),1,""))</f>
        <v/>
      </c>
      <c r="P86" s="72" t="str">
        <f aca="false">IF(OR(P$4="",$C86="",$D86=""),"",IF(AND($C86&lt;EDATE(P$4,1),$D86&gt;=P$4),1,""))</f>
        <v/>
      </c>
      <c r="Q86" s="72" t="str">
        <f aca="false">IF(OR(Q$4="",$C86="",$D86=""),"",IF(AND($C86&lt;EDATE(Q$4,1),$D86&gt;=Q$4),1,""))</f>
        <v/>
      </c>
      <c r="R86" s="72" t="str">
        <f aca="false">IF(OR(R$4="",$C86="",$D86=""),"",IF(AND($C86&lt;EDATE(R$4,1),$D86&gt;=R$4),1,""))</f>
        <v/>
      </c>
      <c r="S86" s="72" t="str">
        <f aca="false">IF(OR(S$4="",$C86="",$D86=""),"",IF(AND($C86&lt;EDATE(S$4,1),$D86&gt;=S$4),1,""))</f>
        <v/>
      </c>
      <c r="T86" s="72" t="str">
        <f aca="false">IF(OR(T$4="",$C86="",$D86=""),"",IF(AND($C86&lt;EDATE(T$4,1),$D86&gt;=T$4),1,""))</f>
        <v/>
      </c>
      <c r="U86" s="72" t="str">
        <f aca="false">IF(OR(U$4="",$C86="",$D86=""),"",IF(AND($C86&lt;EDATE(U$4,1),$D86&gt;=U$4),1,""))</f>
        <v/>
      </c>
      <c r="V86" s="72" t="str">
        <f aca="false">IF(OR(V$4="",$C86="",$D86=""),"",IF(AND($C86&lt;EDATE(V$4,1),$D86&gt;=V$4),1,""))</f>
        <v/>
      </c>
      <c r="W86" s="72" t="str">
        <f aca="false">IF(OR(W$4="",$C86="",$D86=""),"",IF(AND($C86&lt;EDATE(W$4,1),$D86&gt;=W$4),1,""))</f>
        <v/>
      </c>
      <c r="X86" s="72" t="str">
        <f aca="false">IF(OR(X$4="",$C86="",$D86=""),"",IF(AND($C86&lt;EDATE(X$4,1),$D86&gt;=X$4),1,""))</f>
        <v/>
      </c>
      <c r="Y86" s="72" t="str">
        <f aca="false">IF(OR(Y$4="",$C86="",$D86=""),"",IF(AND($C86&lt;EDATE(Y$4,1),$D86&gt;=Y$4),1,""))</f>
        <v/>
      </c>
      <c r="Z86" s="72" t="str">
        <f aca="false">IF(OR(Z$4="",$C86="",$D86=""),"",IF(AND($C86&lt;EDATE(Z$4,1),$D86&gt;=Z$4),1,""))</f>
        <v/>
      </c>
      <c r="AA86" s="72" t="str">
        <f aca="false">IF(OR(AA$4="",$C86="",$D86=""),"",IF(AND($C86&lt;EDATE(AA$4,1),$D86&gt;=AA$4),1,""))</f>
        <v/>
      </c>
      <c r="AB86" s="72" t="str">
        <f aca="false">IF(OR(AB$4="",$C86="",$D86=""),"",IF(AND($C86&lt;EDATE(AB$4,1),$D86&gt;=AB$4),1,""))</f>
        <v/>
      </c>
      <c r="AC86" s="72" t="str">
        <f aca="false">IF(OR(AC$4="",$C86="",$D86=""),"",IF(AND($C86&lt;EDATE(AC$4,1),$D86&gt;=AC$4),1,""))</f>
        <v/>
      </c>
      <c r="AD86" s="72" t="str">
        <f aca="false">IF(OR(AD$4="",$C86="",$D86=""),"",IF(AND($C86&lt;EDATE(AD$4,1),$D86&gt;=AD$4),1,""))</f>
        <v/>
      </c>
      <c r="AE86" s="72" t="str">
        <f aca="false">IF(OR(AE$4="",$C86="",$D86=""),"",IF(AND($C86&lt;EDATE(AE$4,1),$D86&gt;=AE$4),1,""))</f>
        <v/>
      </c>
      <c r="AF86" s="72" t="str">
        <f aca="false">IF(OR(AF$4="",$C86="",$D86=""),"",IF(AND($C86&lt;EDATE(AF$4,1),$D86&gt;=AF$4),1,""))</f>
        <v/>
      </c>
      <c r="AG86" s="72" t="str">
        <f aca="false">IF(OR(AG$4="",$C86="",$D86=""),"",IF(AND($C86&lt;EDATE(AG$4,1),$D86&gt;=AG$4),1,""))</f>
        <v/>
      </c>
      <c r="AH86" s="72" t="str">
        <f aca="false">IF(OR(AH$4="",$C86="",$D86=""),"",IF(AND($C86&lt;EDATE(AH$4,1),$D86&gt;=AH$4),1,""))</f>
        <v/>
      </c>
      <c r="AI86" s="72" t="str">
        <f aca="false">IF(OR(AI$4="",$C86="",$D86=""),"",IF(AND($C86&lt;EDATE(AI$4,1),$D86&gt;=AI$4),1,""))</f>
        <v/>
      </c>
      <c r="AJ86" s="72" t="str">
        <f aca="false">IF(OR(AJ$4="",$C86="",$D86=""),"",IF(AND($C86&lt;EDATE(AJ$4,1),$D86&gt;=AJ$4),1,""))</f>
        <v/>
      </c>
      <c r="AK86" s="72" t="str">
        <f aca="false">IF(OR(AK$4="",$C86="",$D86=""),"",IF(AND($C86&lt;EDATE(AK$4,1),$D86&gt;=AK$4),1,""))</f>
        <v/>
      </c>
      <c r="AL86" s="72" t="str">
        <f aca="false">IF(OR(AL$4="",$C86="",$D86=""),"",IF(AND($C86&lt;EDATE(AL$4,1),$D86&gt;=AL$4),1,""))</f>
        <v/>
      </c>
      <c r="AM86" s="72" t="str">
        <f aca="false">IF(OR(AM$4="",$C86="",$D86=""),"",IF(AND($C86&lt;EDATE(AM$4,1),$D86&gt;=AM$4),1,""))</f>
        <v/>
      </c>
      <c r="AN86" s="72" t="str">
        <f aca="false">IF(OR(AN$4="",$C86="",$D86=""),"",IF(AND($C86&lt;EDATE(AN$4,1),$D86&gt;=AN$4),1,""))</f>
        <v/>
      </c>
      <c r="AO86" s="72" t="str">
        <f aca="false">IF(OR(AO$4="",$C86="",$D86=""),"",IF(AND($C86&lt;EDATE(AO$4,1),$D86&gt;=AO$4),1,""))</f>
        <v/>
      </c>
      <c r="AP86" s="72" t="str">
        <f aca="false">IF(OR(AP$4="",$C86="",$D86=""),"",IF(AND($C86&lt;EDATE(AP$4,1),$D86&gt;=AP$4),1,""))</f>
        <v/>
      </c>
      <c r="AQ86" s="72" t="str">
        <f aca="false">IF(OR(AQ$4="",$C86="",$D86=""),"",IF(AND($C86&lt;EDATE(AQ$4,1),$D86&gt;=AQ$4),1,""))</f>
        <v/>
      </c>
      <c r="AR86" s="72" t="str">
        <f aca="false">IF(OR(AR$4="",$C86="",$D86=""),"",IF(AND($C86&lt;EDATE(AR$4,1),$D86&gt;=AR$4),1,""))</f>
        <v/>
      </c>
      <c r="AS86" s="72" t="str">
        <f aca="false">IF(OR(AS$4="",$C86="",$D86=""),"",IF(AND($C86&lt;EDATE(AS$4,1),$D86&gt;=AS$4),1,""))</f>
        <v/>
      </c>
      <c r="AT86" s="72" t="str">
        <f aca="false">IF(OR(AT$4="",$C86="",$D86=""),"",IF(AND($C86&lt;EDATE(AT$4,1),$D86&gt;=AT$4),1,""))</f>
        <v/>
      </c>
      <c r="AU86" s="72" t="str">
        <f aca="false">IF(OR(AU$4="",$C86="",$D86=""),"",IF(AND($C86&lt;EDATE(AU$4,1),$D86&gt;=AU$4),1,""))</f>
        <v/>
      </c>
      <c r="AV86" s="72" t="str">
        <f aca="false">IF(OR(AV$4="",$C86="",$D86=""),"",IF(AND($C86&lt;EDATE(AV$4,1),$D86&gt;=AV$4),1,""))</f>
        <v/>
      </c>
      <c r="AW86" s="72" t="str">
        <f aca="false">IF(OR(AW$4="",$C86="",$D86=""),"",IF(AND($C86&lt;EDATE(AW$4,1),$D86&gt;=AW$4),1,""))</f>
        <v/>
      </c>
      <c r="AX86" s="72" t="str">
        <f aca="false">IF(OR(AX$4="",$C86="",$D86=""),"",IF(AND($C86&lt;EDATE(AX$4,1),$D86&gt;=AX$4),1,""))</f>
        <v/>
      </c>
      <c r="AY86" s="72" t="str">
        <f aca="false">IF(OR(AY$4="",$C86="",$D86=""),"",IF(AND($C86&lt;EDATE(AY$4,1),$D86&gt;=AY$4),1,""))</f>
        <v/>
      </c>
      <c r="AZ86" s="72" t="str">
        <f aca="false">IF(OR(AZ$4="",$C86="",$D86=""),"",IF(AND($C86&lt;EDATE(AZ$4,1),$D86&gt;=AZ$4),1,""))</f>
        <v/>
      </c>
      <c r="BA86" s="72" t="str">
        <f aca="false">IF(OR(BA$4="",$C86="",$D86=""),"",IF(AND($C86&lt;EDATE(BA$4,1),$D86&gt;=BA$4),1,""))</f>
        <v/>
      </c>
      <c r="BB86" s="72" t="str">
        <f aca="false">IF(OR(BB$4="",$C86="",$D86=""),"",IF(AND($C86&lt;EDATE(BB$4,1),$D86&gt;=BB$4),1,""))</f>
        <v/>
      </c>
      <c r="BC86" s="72" t="str">
        <f aca="false">IF(OR(BC$4="",$C86="",$D86=""),"",IF(AND($C86&lt;EDATE(BC$4,1),$D86&gt;=BC$4),1,""))</f>
        <v/>
      </c>
      <c r="BD86" s="72" t="str">
        <f aca="false">IF(OR(BD$4="",$C86="",$D86=""),"",IF(AND($C86&lt;EDATE(BD$4,1),$D86&gt;=BD$4),1,""))</f>
        <v/>
      </c>
      <c r="BE86" s="72" t="str">
        <f aca="false">IF(OR(BE$4="",$C86="",$D86=""),"",IF(AND($C86&lt;EDATE(BE$4,1),$D86&gt;=BE$4),1,""))</f>
        <v/>
      </c>
      <c r="BF86" s="72" t="str">
        <f aca="false">IF(OR(BF$4="",$C86="",$D86=""),"",IF(AND($C86&lt;EDATE(BF$4,1),$D86&gt;=BF$4),1,""))</f>
        <v/>
      </c>
      <c r="BG86" s="72" t="str">
        <f aca="false">IF(OR(BG$4="",$C86="",$D86=""),"",IF(AND($C86&lt;EDATE(BG$4,1),$D86&gt;=BG$4),1,""))</f>
        <v/>
      </c>
      <c r="BH86" s="72" t="str">
        <f aca="false">IF(OR(BH$4="",$C86="",$D86=""),"",IF(AND($C86&lt;EDATE(BH$4,1),$D86&gt;=BH$4),1,""))</f>
        <v/>
      </c>
      <c r="BI86" s="72" t="str">
        <f aca="false">IF(OR(BI$4="",$C86="",$D86=""),"",IF(AND($C86&lt;EDATE(BI$4,1),$D86&gt;=BI$4),1,""))</f>
        <v/>
      </c>
      <c r="BJ86" s="72" t="str">
        <f aca="false">IF(OR(BJ$4="",$C86="",$D86=""),"",IF(AND($C86&lt;EDATE(BJ$4,1),$D86&gt;=BJ$4),1,""))</f>
        <v/>
      </c>
      <c r="BK86" s="72" t="str">
        <f aca="false">IF(OR(BK$4="",$C86="",$D86=""),"",IF(AND($C86&lt;EDATE(BK$4,1),$D86&gt;=BK$4),1,""))</f>
        <v/>
      </c>
      <c r="BL86" s="72" t="str">
        <f aca="false">IF(OR(BL$4="",$C86="",$D86=""),"",IF(AND($C86&lt;EDATE(BL$4,1),$D86&gt;=BL$4),1,""))</f>
        <v/>
      </c>
      <c r="BM86" s="72" t="str">
        <f aca="false">IF(OR(BM$4="",$C86="",$D86=""),"",IF(AND($C86&lt;EDATE(BM$4,1),$D86&gt;=BM$4),1,""))</f>
        <v/>
      </c>
      <c r="BN86" s="72" t="str">
        <f aca="false">IF(OR(BN$4="",$C86="",$D86=""),"",IF(AND($C86&lt;EDATE(BN$4,1),$D86&gt;=BN$4),1,""))</f>
        <v/>
      </c>
      <c r="BO86" s="72" t="str">
        <f aca="false">IF(OR(BO$4="",$C86="",$D86=""),"",IF(AND($C86&lt;EDATE(BO$4,1),$D86&gt;=BO$4),1,""))</f>
        <v/>
      </c>
      <c r="BP86" s="72" t="str">
        <f aca="false">IF(OR(BP$4="",$C86="",$D86=""),"",IF(AND($C86&lt;EDATE(BP$4,1),$D86&gt;=BP$4),1,""))</f>
        <v/>
      </c>
      <c r="BQ86" s="72" t="str">
        <f aca="false">IF(OR(BQ$4="",$C86="",$D86=""),"",IF(AND($C86&lt;EDATE(BQ$4,1),$D86&gt;=BQ$4),1,""))</f>
        <v/>
      </c>
      <c r="BR86" s="72" t="str">
        <f aca="false">IF(OR(BR$4="",$C86="",$D86=""),"",IF(AND($C86&lt;EDATE(BR$4,1),$D86&gt;=BR$4),1,""))</f>
        <v/>
      </c>
      <c r="BS86" s="72" t="str">
        <f aca="false">IF(OR(BS$4="",$C86="",$D86=""),"",IF(AND($C86&lt;EDATE(BS$4,1),$D86&gt;=BS$4),1,""))</f>
        <v/>
      </c>
      <c r="BT86" s="72" t="str">
        <f aca="false">IF(OR(BT$4="",$C86="",$D86=""),"",IF(AND($C86&lt;EDATE(BT$4,1),$D86&gt;=BT$4),1,""))</f>
        <v/>
      </c>
      <c r="BU86" s="72" t="str">
        <f aca="false">IF(OR(BU$4="",$C86="",$D86=""),"",IF(AND($C86&lt;EDATE(BU$4,1),$D86&gt;=BU$4),1,""))</f>
        <v/>
      </c>
      <c r="BV86" s="72" t="str">
        <f aca="false">IF(OR(BV$4="",$C86="",$D86=""),"",IF(AND($C86&lt;EDATE(BV$4,1),$D86&gt;=BV$4),1,""))</f>
        <v/>
      </c>
      <c r="BW86" s="72" t="str">
        <f aca="false">IF(OR(BW$4="",$C86="",$D86=""),"",IF(AND($C86&lt;EDATE(BW$4,1),$D86&gt;=BW$4),1,""))</f>
        <v/>
      </c>
      <c r="BX86" s="72" t="str">
        <f aca="false">IF(OR(BX$4="",$C86="",$D86=""),"",IF(AND($C86&lt;EDATE(BX$4,1),$D86&gt;=BX$4),1,""))</f>
        <v/>
      </c>
      <c r="BY86" s="72" t="str">
        <f aca="false">IF(OR(BY$4="",$C86="",$D86=""),"",IF(AND($C86&lt;EDATE(BY$4,1),$D86&gt;=BY$4),1,""))</f>
        <v/>
      </c>
    </row>
    <row r="87" customFormat="false" ht="15" hidden="false" customHeight="false" outlineLevel="0" collapsed="false">
      <c r="A87" s="61" t="str">
        <f aca="false">IF(BOE!$A56="","",BOE!$A56)</f>
        <v/>
      </c>
      <c r="B87" s="61" t="str">
        <f aca="false">IF(BOE!$A56="","",BOE!$C56)</f>
        <v/>
      </c>
      <c r="C87" s="62" t="str">
        <f aca="false">IF(OR(BOE!$A56="",BOE!$E56&lt;&gt;"Y"),"",BOE!$O56)</f>
        <v/>
      </c>
      <c r="D87" s="62" t="str">
        <f aca="false">IF(OR(BOE!$A56="",BOE!$E56&lt;&gt;"Y"),"",BOE!$P56)</f>
        <v/>
      </c>
      <c r="E87" s="63" t="str">
        <f aca="false">IF(OR(BOE!$A56="",BOE!$E56&lt;&gt;"Y"),"",IF(Inputs!$B$7="P90",BOE!$T56,BOE!$R56))</f>
        <v/>
      </c>
      <c r="F87" s="72" t="str">
        <f aca="false">IF(OR(F$4="",$C87="",$D87=""),"",IF(AND($C87&lt;EDATE(F$4,1),$D87&gt;=F$4),1,""))</f>
        <v/>
      </c>
      <c r="G87" s="72" t="str">
        <f aca="false">IF(OR(G$4="",$C87="",$D87=""),"",IF(AND($C87&lt;EDATE(G$4,1),$D87&gt;=G$4),1,""))</f>
        <v/>
      </c>
      <c r="H87" s="72" t="str">
        <f aca="false">IF(OR(H$4="",$C87="",$D87=""),"",IF(AND($C87&lt;EDATE(H$4,1),$D87&gt;=H$4),1,""))</f>
        <v/>
      </c>
      <c r="I87" s="72" t="str">
        <f aca="false">IF(OR(I$4="",$C87="",$D87=""),"",IF(AND($C87&lt;EDATE(I$4,1),$D87&gt;=I$4),1,""))</f>
        <v/>
      </c>
      <c r="J87" s="72" t="str">
        <f aca="false">IF(OR(J$4="",$C87="",$D87=""),"",IF(AND($C87&lt;EDATE(J$4,1),$D87&gt;=J$4),1,""))</f>
        <v/>
      </c>
      <c r="K87" s="72" t="str">
        <f aca="false">IF(OR(K$4="",$C87="",$D87=""),"",IF(AND($C87&lt;EDATE(K$4,1),$D87&gt;=K$4),1,""))</f>
        <v/>
      </c>
      <c r="L87" s="72" t="str">
        <f aca="false">IF(OR(L$4="",$C87="",$D87=""),"",IF(AND($C87&lt;EDATE(L$4,1),$D87&gt;=L$4),1,""))</f>
        <v/>
      </c>
      <c r="M87" s="72" t="str">
        <f aca="false">IF(OR(M$4="",$C87="",$D87=""),"",IF(AND($C87&lt;EDATE(M$4,1),$D87&gt;=M$4),1,""))</f>
        <v/>
      </c>
      <c r="N87" s="72" t="str">
        <f aca="false">IF(OR(N$4="",$C87="",$D87=""),"",IF(AND($C87&lt;EDATE(N$4,1),$D87&gt;=N$4),1,""))</f>
        <v/>
      </c>
      <c r="O87" s="72" t="str">
        <f aca="false">IF(OR(O$4="",$C87="",$D87=""),"",IF(AND($C87&lt;EDATE(O$4,1),$D87&gt;=O$4),1,""))</f>
        <v/>
      </c>
      <c r="P87" s="72" t="str">
        <f aca="false">IF(OR(P$4="",$C87="",$D87=""),"",IF(AND($C87&lt;EDATE(P$4,1),$D87&gt;=P$4),1,""))</f>
        <v/>
      </c>
      <c r="Q87" s="72" t="str">
        <f aca="false">IF(OR(Q$4="",$C87="",$D87=""),"",IF(AND($C87&lt;EDATE(Q$4,1),$D87&gt;=Q$4),1,""))</f>
        <v/>
      </c>
      <c r="R87" s="72" t="str">
        <f aca="false">IF(OR(R$4="",$C87="",$D87=""),"",IF(AND($C87&lt;EDATE(R$4,1),$D87&gt;=R$4),1,""))</f>
        <v/>
      </c>
      <c r="S87" s="72" t="str">
        <f aca="false">IF(OR(S$4="",$C87="",$D87=""),"",IF(AND($C87&lt;EDATE(S$4,1),$D87&gt;=S$4),1,""))</f>
        <v/>
      </c>
      <c r="T87" s="72" t="str">
        <f aca="false">IF(OR(T$4="",$C87="",$D87=""),"",IF(AND($C87&lt;EDATE(T$4,1),$D87&gt;=T$4),1,""))</f>
        <v/>
      </c>
      <c r="U87" s="72" t="str">
        <f aca="false">IF(OR(U$4="",$C87="",$D87=""),"",IF(AND($C87&lt;EDATE(U$4,1),$D87&gt;=U$4),1,""))</f>
        <v/>
      </c>
      <c r="V87" s="72" t="str">
        <f aca="false">IF(OR(V$4="",$C87="",$D87=""),"",IF(AND($C87&lt;EDATE(V$4,1),$D87&gt;=V$4),1,""))</f>
        <v/>
      </c>
      <c r="W87" s="72" t="str">
        <f aca="false">IF(OR(W$4="",$C87="",$D87=""),"",IF(AND($C87&lt;EDATE(W$4,1),$D87&gt;=W$4),1,""))</f>
        <v/>
      </c>
      <c r="X87" s="72" t="str">
        <f aca="false">IF(OR(X$4="",$C87="",$D87=""),"",IF(AND($C87&lt;EDATE(X$4,1),$D87&gt;=X$4),1,""))</f>
        <v/>
      </c>
      <c r="Y87" s="72" t="str">
        <f aca="false">IF(OR(Y$4="",$C87="",$D87=""),"",IF(AND($C87&lt;EDATE(Y$4,1),$D87&gt;=Y$4),1,""))</f>
        <v/>
      </c>
      <c r="Z87" s="72" t="str">
        <f aca="false">IF(OR(Z$4="",$C87="",$D87=""),"",IF(AND($C87&lt;EDATE(Z$4,1),$D87&gt;=Z$4),1,""))</f>
        <v/>
      </c>
      <c r="AA87" s="72" t="str">
        <f aca="false">IF(OR(AA$4="",$C87="",$D87=""),"",IF(AND($C87&lt;EDATE(AA$4,1),$D87&gt;=AA$4),1,""))</f>
        <v/>
      </c>
      <c r="AB87" s="72" t="str">
        <f aca="false">IF(OR(AB$4="",$C87="",$D87=""),"",IF(AND($C87&lt;EDATE(AB$4,1),$D87&gt;=AB$4),1,""))</f>
        <v/>
      </c>
      <c r="AC87" s="72" t="str">
        <f aca="false">IF(OR(AC$4="",$C87="",$D87=""),"",IF(AND($C87&lt;EDATE(AC$4,1),$D87&gt;=AC$4),1,""))</f>
        <v/>
      </c>
      <c r="AD87" s="72" t="str">
        <f aca="false">IF(OR(AD$4="",$C87="",$D87=""),"",IF(AND($C87&lt;EDATE(AD$4,1),$D87&gt;=AD$4),1,""))</f>
        <v/>
      </c>
      <c r="AE87" s="72" t="str">
        <f aca="false">IF(OR(AE$4="",$C87="",$D87=""),"",IF(AND($C87&lt;EDATE(AE$4,1),$D87&gt;=AE$4),1,""))</f>
        <v/>
      </c>
      <c r="AF87" s="72" t="str">
        <f aca="false">IF(OR(AF$4="",$C87="",$D87=""),"",IF(AND($C87&lt;EDATE(AF$4,1),$D87&gt;=AF$4),1,""))</f>
        <v/>
      </c>
      <c r="AG87" s="72" t="str">
        <f aca="false">IF(OR(AG$4="",$C87="",$D87=""),"",IF(AND($C87&lt;EDATE(AG$4,1),$D87&gt;=AG$4),1,""))</f>
        <v/>
      </c>
      <c r="AH87" s="72" t="str">
        <f aca="false">IF(OR(AH$4="",$C87="",$D87=""),"",IF(AND($C87&lt;EDATE(AH$4,1),$D87&gt;=AH$4),1,""))</f>
        <v/>
      </c>
      <c r="AI87" s="72" t="str">
        <f aca="false">IF(OR(AI$4="",$C87="",$D87=""),"",IF(AND($C87&lt;EDATE(AI$4,1),$D87&gt;=AI$4),1,""))</f>
        <v/>
      </c>
      <c r="AJ87" s="72" t="str">
        <f aca="false">IF(OR(AJ$4="",$C87="",$D87=""),"",IF(AND($C87&lt;EDATE(AJ$4,1),$D87&gt;=AJ$4),1,""))</f>
        <v/>
      </c>
      <c r="AK87" s="72" t="str">
        <f aca="false">IF(OR(AK$4="",$C87="",$D87=""),"",IF(AND($C87&lt;EDATE(AK$4,1),$D87&gt;=AK$4),1,""))</f>
        <v/>
      </c>
      <c r="AL87" s="72" t="str">
        <f aca="false">IF(OR(AL$4="",$C87="",$D87=""),"",IF(AND($C87&lt;EDATE(AL$4,1),$D87&gt;=AL$4),1,""))</f>
        <v/>
      </c>
      <c r="AM87" s="72" t="str">
        <f aca="false">IF(OR(AM$4="",$C87="",$D87=""),"",IF(AND($C87&lt;EDATE(AM$4,1),$D87&gt;=AM$4),1,""))</f>
        <v/>
      </c>
      <c r="AN87" s="72" t="str">
        <f aca="false">IF(OR(AN$4="",$C87="",$D87=""),"",IF(AND($C87&lt;EDATE(AN$4,1),$D87&gt;=AN$4),1,""))</f>
        <v/>
      </c>
      <c r="AO87" s="72" t="str">
        <f aca="false">IF(OR(AO$4="",$C87="",$D87=""),"",IF(AND($C87&lt;EDATE(AO$4,1),$D87&gt;=AO$4),1,""))</f>
        <v/>
      </c>
      <c r="AP87" s="72" t="str">
        <f aca="false">IF(OR(AP$4="",$C87="",$D87=""),"",IF(AND($C87&lt;EDATE(AP$4,1),$D87&gt;=AP$4),1,""))</f>
        <v/>
      </c>
      <c r="AQ87" s="72" t="str">
        <f aca="false">IF(OR(AQ$4="",$C87="",$D87=""),"",IF(AND($C87&lt;EDATE(AQ$4,1),$D87&gt;=AQ$4),1,""))</f>
        <v/>
      </c>
      <c r="AR87" s="72" t="str">
        <f aca="false">IF(OR(AR$4="",$C87="",$D87=""),"",IF(AND($C87&lt;EDATE(AR$4,1),$D87&gt;=AR$4),1,""))</f>
        <v/>
      </c>
      <c r="AS87" s="72" t="str">
        <f aca="false">IF(OR(AS$4="",$C87="",$D87=""),"",IF(AND($C87&lt;EDATE(AS$4,1),$D87&gt;=AS$4),1,""))</f>
        <v/>
      </c>
      <c r="AT87" s="72" t="str">
        <f aca="false">IF(OR(AT$4="",$C87="",$D87=""),"",IF(AND($C87&lt;EDATE(AT$4,1),$D87&gt;=AT$4),1,""))</f>
        <v/>
      </c>
      <c r="AU87" s="72" t="str">
        <f aca="false">IF(OR(AU$4="",$C87="",$D87=""),"",IF(AND($C87&lt;EDATE(AU$4,1),$D87&gt;=AU$4),1,""))</f>
        <v/>
      </c>
      <c r="AV87" s="72" t="str">
        <f aca="false">IF(OR(AV$4="",$C87="",$D87=""),"",IF(AND($C87&lt;EDATE(AV$4,1),$D87&gt;=AV$4),1,""))</f>
        <v/>
      </c>
      <c r="AW87" s="72" t="str">
        <f aca="false">IF(OR(AW$4="",$C87="",$D87=""),"",IF(AND($C87&lt;EDATE(AW$4,1),$D87&gt;=AW$4),1,""))</f>
        <v/>
      </c>
      <c r="AX87" s="72" t="str">
        <f aca="false">IF(OR(AX$4="",$C87="",$D87=""),"",IF(AND($C87&lt;EDATE(AX$4,1),$D87&gt;=AX$4),1,""))</f>
        <v/>
      </c>
      <c r="AY87" s="72" t="str">
        <f aca="false">IF(OR(AY$4="",$C87="",$D87=""),"",IF(AND($C87&lt;EDATE(AY$4,1),$D87&gt;=AY$4),1,""))</f>
        <v/>
      </c>
      <c r="AZ87" s="72" t="str">
        <f aca="false">IF(OR(AZ$4="",$C87="",$D87=""),"",IF(AND($C87&lt;EDATE(AZ$4,1),$D87&gt;=AZ$4),1,""))</f>
        <v/>
      </c>
      <c r="BA87" s="72" t="str">
        <f aca="false">IF(OR(BA$4="",$C87="",$D87=""),"",IF(AND($C87&lt;EDATE(BA$4,1),$D87&gt;=BA$4),1,""))</f>
        <v/>
      </c>
      <c r="BB87" s="72" t="str">
        <f aca="false">IF(OR(BB$4="",$C87="",$D87=""),"",IF(AND($C87&lt;EDATE(BB$4,1),$D87&gt;=BB$4),1,""))</f>
        <v/>
      </c>
      <c r="BC87" s="72" t="str">
        <f aca="false">IF(OR(BC$4="",$C87="",$D87=""),"",IF(AND($C87&lt;EDATE(BC$4,1),$D87&gt;=BC$4),1,""))</f>
        <v/>
      </c>
      <c r="BD87" s="72" t="str">
        <f aca="false">IF(OR(BD$4="",$C87="",$D87=""),"",IF(AND($C87&lt;EDATE(BD$4,1),$D87&gt;=BD$4),1,""))</f>
        <v/>
      </c>
      <c r="BE87" s="72" t="str">
        <f aca="false">IF(OR(BE$4="",$C87="",$D87=""),"",IF(AND($C87&lt;EDATE(BE$4,1),$D87&gt;=BE$4),1,""))</f>
        <v/>
      </c>
      <c r="BF87" s="72" t="str">
        <f aca="false">IF(OR(BF$4="",$C87="",$D87=""),"",IF(AND($C87&lt;EDATE(BF$4,1),$D87&gt;=BF$4),1,""))</f>
        <v/>
      </c>
      <c r="BG87" s="72" t="str">
        <f aca="false">IF(OR(BG$4="",$C87="",$D87=""),"",IF(AND($C87&lt;EDATE(BG$4,1),$D87&gt;=BG$4),1,""))</f>
        <v/>
      </c>
      <c r="BH87" s="72" t="str">
        <f aca="false">IF(OR(BH$4="",$C87="",$D87=""),"",IF(AND($C87&lt;EDATE(BH$4,1),$D87&gt;=BH$4),1,""))</f>
        <v/>
      </c>
      <c r="BI87" s="72" t="str">
        <f aca="false">IF(OR(BI$4="",$C87="",$D87=""),"",IF(AND($C87&lt;EDATE(BI$4,1),$D87&gt;=BI$4),1,""))</f>
        <v/>
      </c>
      <c r="BJ87" s="72" t="str">
        <f aca="false">IF(OR(BJ$4="",$C87="",$D87=""),"",IF(AND($C87&lt;EDATE(BJ$4,1),$D87&gt;=BJ$4),1,""))</f>
        <v/>
      </c>
      <c r="BK87" s="72" t="str">
        <f aca="false">IF(OR(BK$4="",$C87="",$D87=""),"",IF(AND($C87&lt;EDATE(BK$4,1),$D87&gt;=BK$4),1,""))</f>
        <v/>
      </c>
      <c r="BL87" s="72" t="str">
        <f aca="false">IF(OR(BL$4="",$C87="",$D87=""),"",IF(AND($C87&lt;EDATE(BL$4,1),$D87&gt;=BL$4),1,""))</f>
        <v/>
      </c>
      <c r="BM87" s="72" t="str">
        <f aca="false">IF(OR(BM$4="",$C87="",$D87=""),"",IF(AND($C87&lt;EDATE(BM$4,1),$D87&gt;=BM$4),1,""))</f>
        <v/>
      </c>
      <c r="BN87" s="72" t="str">
        <f aca="false">IF(OR(BN$4="",$C87="",$D87=""),"",IF(AND($C87&lt;EDATE(BN$4,1),$D87&gt;=BN$4),1,""))</f>
        <v/>
      </c>
      <c r="BO87" s="72" t="str">
        <f aca="false">IF(OR(BO$4="",$C87="",$D87=""),"",IF(AND($C87&lt;EDATE(BO$4,1),$D87&gt;=BO$4),1,""))</f>
        <v/>
      </c>
      <c r="BP87" s="72" t="str">
        <f aca="false">IF(OR(BP$4="",$C87="",$D87=""),"",IF(AND($C87&lt;EDATE(BP$4,1),$D87&gt;=BP$4),1,""))</f>
        <v/>
      </c>
      <c r="BQ87" s="72" t="str">
        <f aca="false">IF(OR(BQ$4="",$C87="",$D87=""),"",IF(AND($C87&lt;EDATE(BQ$4,1),$D87&gt;=BQ$4),1,""))</f>
        <v/>
      </c>
      <c r="BR87" s="72" t="str">
        <f aca="false">IF(OR(BR$4="",$C87="",$D87=""),"",IF(AND($C87&lt;EDATE(BR$4,1),$D87&gt;=BR$4),1,""))</f>
        <v/>
      </c>
      <c r="BS87" s="72" t="str">
        <f aca="false">IF(OR(BS$4="",$C87="",$D87=""),"",IF(AND($C87&lt;EDATE(BS$4,1),$D87&gt;=BS$4),1,""))</f>
        <v/>
      </c>
      <c r="BT87" s="72" t="str">
        <f aca="false">IF(OR(BT$4="",$C87="",$D87=""),"",IF(AND($C87&lt;EDATE(BT$4,1),$D87&gt;=BT$4),1,""))</f>
        <v/>
      </c>
      <c r="BU87" s="72" t="str">
        <f aca="false">IF(OR(BU$4="",$C87="",$D87=""),"",IF(AND($C87&lt;EDATE(BU$4,1),$D87&gt;=BU$4),1,""))</f>
        <v/>
      </c>
      <c r="BV87" s="72" t="str">
        <f aca="false">IF(OR(BV$4="",$C87="",$D87=""),"",IF(AND($C87&lt;EDATE(BV$4,1),$D87&gt;=BV$4),1,""))</f>
        <v/>
      </c>
      <c r="BW87" s="72" t="str">
        <f aca="false">IF(OR(BW$4="",$C87="",$D87=""),"",IF(AND($C87&lt;EDATE(BW$4,1),$D87&gt;=BW$4),1,""))</f>
        <v/>
      </c>
      <c r="BX87" s="72" t="str">
        <f aca="false">IF(OR(BX$4="",$C87="",$D87=""),"",IF(AND($C87&lt;EDATE(BX$4,1),$D87&gt;=BX$4),1,""))</f>
        <v/>
      </c>
      <c r="BY87" s="72" t="str">
        <f aca="false">IF(OR(BY$4="",$C87="",$D87=""),"",IF(AND($C87&lt;EDATE(BY$4,1),$D87&gt;=BY$4),1,""))</f>
        <v/>
      </c>
    </row>
    <row r="88" customFormat="false" ht="15" hidden="false" customHeight="false" outlineLevel="0" collapsed="false">
      <c r="A88" s="61" t="str">
        <f aca="false">IF(BOE!$A57="","",BOE!$A57)</f>
        <v/>
      </c>
      <c r="B88" s="61" t="str">
        <f aca="false">IF(BOE!$A57="","",BOE!$C57)</f>
        <v/>
      </c>
      <c r="C88" s="62" t="str">
        <f aca="false">IF(OR(BOE!$A57="",BOE!$E57&lt;&gt;"Y"),"",BOE!$O57)</f>
        <v/>
      </c>
      <c r="D88" s="62" t="str">
        <f aca="false">IF(OR(BOE!$A57="",BOE!$E57&lt;&gt;"Y"),"",BOE!$P57)</f>
        <v/>
      </c>
      <c r="E88" s="63" t="str">
        <f aca="false">IF(OR(BOE!$A57="",BOE!$E57&lt;&gt;"Y"),"",IF(Inputs!$B$7="P90",BOE!$T57,BOE!$R57))</f>
        <v/>
      </c>
      <c r="F88" s="72" t="str">
        <f aca="false">IF(OR(F$4="",$C88="",$D88=""),"",IF(AND($C88&lt;EDATE(F$4,1),$D88&gt;=F$4),1,""))</f>
        <v/>
      </c>
      <c r="G88" s="72" t="str">
        <f aca="false">IF(OR(G$4="",$C88="",$D88=""),"",IF(AND($C88&lt;EDATE(G$4,1),$D88&gt;=G$4),1,""))</f>
        <v/>
      </c>
      <c r="H88" s="72" t="str">
        <f aca="false">IF(OR(H$4="",$C88="",$D88=""),"",IF(AND($C88&lt;EDATE(H$4,1),$D88&gt;=H$4),1,""))</f>
        <v/>
      </c>
      <c r="I88" s="72" t="str">
        <f aca="false">IF(OR(I$4="",$C88="",$D88=""),"",IF(AND($C88&lt;EDATE(I$4,1),$D88&gt;=I$4),1,""))</f>
        <v/>
      </c>
      <c r="J88" s="72" t="str">
        <f aca="false">IF(OR(J$4="",$C88="",$D88=""),"",IF(AND($C88&lt;EDATE(J$4,1),$D88&gt;=J$4),1,""))</f>
        <v/>
      </c>
      <c r="K88" s="72" t="str">
        <f aca="false">IF(OR(K$4="",$C88="",$D88=""),"",IF(AND($C88&lt;EDATE(K$4,1),$D88&gt;=K$4),1,""))</f>
        <v/>
      </c>
      <c r="L88" s="72" t="str">
        <f aca="false">IF(OR(L$4="",$C88="",$D88=""),"",IF(AND($C88&lt;EDATE(L$4,1),$D88&gt;=L$4),1,""))</f>
        <v/>
      </c>
      <c r="M88" s="72" t="str">
        <f aca="false">IF(OR(M$4="",$C88="",$D88=""),"",IF(AND($C88&lt;EDATE(M$4,1),$D88&gt;=M$4),1,""))</f>
        <v/>
      </c>
      <c r="N88" s="72" t="str">
        <f aca="false">IF(OR(N$4="",$C88="",$D88=""),"",IF(AND($C88&lt;EDATE(N$4,1),$D88&gt;=N$4),1,""))</f>
        <v/>
      </c>
      <c r="O88" s="72" t="str">
        <f aca="false">IF(OR(O$4="",$C88="",$D88=""),"",IF(AND($C88&lt;EDATE(O$4,1),$D88&gt;=O$4),1,""))</f>
        <v/>
      </c>
      <c r="P88" s="72" t="str">
        <f aca="false">IF(OR(P$4="",$C88="",$D88=""),"",IF(AND($C88&lt;EDATE(P$4,1),$D88&gt;=P$4),1,""))</f>
        <v/>
      </c>
      <c r="Q88" s="72" t="str">
        <f aca="false">IF(OR(Q$4="",$C88="",$D88=""),"",IF(AND($C88&lt;EDATE(Q$4,1),$D88&gt;=Q$4),1,""))</f>
        <v/>
      </c>
      <c r="R88" s="72" t="str">
        <f aca="false">IF(OR(R$4="",$C88="",$D88=""),"",IF(AND($C88&lt;EDATE(R$4,1),$D88&gt;=R$4),1,""))</f>
        <v/>
      </c>
      <c r="S88" s="72" t="str">
        <f aca="false">IF(OR(S$4="",$C88="",$D88=""),"",IF(AND($C88&lt;EDATE(S$4,1),$D88&gt;=S$4),1,""))</f>
        <v/>
      </c>
      <c r="T88" s="72" t="str">
        <f aca="false">IF(OR(T$4="",$C88="",$D88=""),"",IF(AND($C88&lt;EDATE(T$4,1),$D88&gt;=T$4),1,""))</f>
        <v/>
      </c>
      <c r="U88" s="72" t="str">
        <f aca="false">IF(OR(U$4="",$C88="",$D88=""),"",IF(AND($C88&lt;EDATE(U$4,1),$D88&gt;=U$4),1,""))</f>
        <v/>
      </c>
      <c r="V88" s="72" t="str">
        <f aca="false">IF(OR(V$4="",$C88="",$D88=""),"",IF(AND($C88&lt;EDATE(V$4,1),$D88&gt;=V$4),1,""))</f>
        <v/>
      </c>
      <c r="W88" s="72" t="str">
        <f aca="false">IF(OR(W$4="",$C88="",$D88=""),"",IF(AND($C88&lt;EDATE(W$4,1),$D88&gt;=W$4),1,""))</f>
        <v/>
      </c>
      <c r="X88" s="72" t="str">
        <f aca="false">IF(OR(X$4="",$C88="",$D88=""),"",IF(AND($C88&lt;EDATE(X$4,1),$D88&gt;=X$4),1,""))</f>
        <v/>
      </c>
      <c r="Y88" s="72" t="str">
        <f aca="false">IF(OR(Y$4="",$C88="",$D88=""),"",IF(AND($C88&lt;EDATE(Y$4,1),$D88&gt;=Y$4),1,""))</f>
        <v/>
      </c>
      <c r="Z88" s="72" t="str">
        <f aca="false">IF(OR(Z$4="",$C88="",$D88=""),"",IF(AND($C88&lt;EDATE(Z$4,1),$D88&gt;=Z$4),1,""))</f>
        <v/>
      </c>
      <c r="AA88" s="72" t="str">
        <f aca="false">IF(OR(AA$4="",$C88="",$D88=""),"",IF(AND($C88&lt;EDATE(AA$4,1),$D88&gt;=AA$4),1,""))</f>
        <v/>
      </c>
      <c r="AB88" s="72" t="str">
        <f aca="false">IF(OR(AB$4="",$C88="",$D88=""),"",IF(AND($C88&lt;EDATE(AB$4,1),$D88&gt;=AB$4),1,""))</f>
        <v/>
      </c>
      <c r="AC88" s="72" t="str">
        <f aca="false">IF(OR(AC$4="",$C88="",$D88=""),"",IF(AND($C88&lt;EDATE(AC$4,1),$D88&gt;=AC$4),1,""))</f>
        <v/>
      </c>
      <c r="AD88" s="72" t="str">
        <f aca="false">IF(OR(AD$4="",$C88="",$D88=""),"",IF(AND($C88&lt;EDATE(AD$4,1),$D88&gt;=AD$4),1,""))</f>
        <v/>
      </c>
      <c r="AE88" s="72" t="str">
        <f aca="false">IF(OR(AE$4="",$C88="",$D88=""),"",IF(AND($C88&lt;EDATE(AE$4,1),$D88&gt;=AE$4),1,""))</f>
        <v/>
      </c>
      <c r="AF88" s="72" t="str">
        <f aca="false">IF(OR(AF$4="",$C88="",$D88=""),"",IF(AND($C88&lt;EDATE(AF$4,1),$D88&gt;=AF$4),1,""))</f>
        <v/>
      </c>
      <c r="AG88" s="72" t="str">
        <f aca="false">IF(OR(AG$4="",$C88="",$D88=""),"",IF(AND($C88&lt;EDATE(AG$4,1),$D88&gt;=AG$4),1,""))</f>
        <v/>
      </c>
      <c r="AH88" s="72" t="str">
        <f aca="false">IF(OR(AH$4="",$C88="",$D88=""),"",IF(AND($C88&lt;EDATE(AH$4,1),$D88&gt;=AH$4),1,""))</f>
        <v/>
      </c>
      <c r="AI88" s="72" t="str">
        <f aca="false">IF(OR(AI$4="",$C88="",$D88=""),"",IF(AND($C88&lt;EDATE(AI$4,1),$D88&gt;=AI$4),1,""))</f>
        <v/>
      </c>
      <c r="AJ88" s="72" t="str">
        <f aca="false">IF(OR(AJ$4="",$C88="",$D88=""),"",IF(AND($C88&lt;EDATE(AJ$4,1),$D88&gt;=AJ$4),1,""))</f>
        <v/>
      </c>
      <c r="AK88" s="72" t="str">
        <f aca="false">IF(OR(AK$4="",$C88="",$D88=""),"",IF(AND($C88&lt;EDATE(AK$4,1),$D88&gt;=AK$4),1,""))</f>
        <v/>
      </c>
      <c r="AL88" s="72" t="str">
        <f aca="false">IF(OR(AL$4="",$C88="",$D88=""),"",IF(AND($C88&lt;EDATE(AL$4,1),$D88&gt;=AL$4),1,""))</f>
        <v/>
      </c>
      <c r="AM88" s="72" t="str">
        <f aca="false">IF(OR(AM$4="",$C88="",$D88=""),"",IF(AND($C88&lt;EDATE(AM$4,1),$D88&gt;=AM$4),1,""))</f>
        <v/>
      </c>
      <c r="AN88" s="72" t="str">
        <f aca="false">IF(OR(AN$4="",$C88="",$D88=""),"",IF(AND($C88&lt;EDATE(AN$4,1),$D88&gt;=AN$4),1,""))</f>
        <v/>
      </c>
      <c r="AO88" s="72" t="str">
        <f aca="false">IF(OR(AO$4="",$C88="",$D88=""),"",IF(AND($C88&lt;EDATE(AO$4,1),$D88&gt;=AO$4),1,""))</f>
        <v/>
      </c>
      <c r="AP88" s="72" t="str">
        <f aca="false">IF(OR(AP$4="",$C88="",$D88=""),"",IF(AND($C88&lt;EDATE(AP$4,1),$D88&gt;=AP$4),1,""))</f>
        <v/>
      </c>
      <c r="AQ88" s="72" t="str">
        <f aca="false">IF(OR(AQ$4="",$C88="",$D88=""),"",IF(AND($C88&lt;EDATE(AQ$4,1),$D88&gt;=AQ$4),1,""))</f>
        <v/>
      </c>
      <c r="AR88" s="72" t="str">
        <f aca="false">IF(OR(AR$4="",$C88="",$D88=""),"",IF(AND($C88&lt;EDATE(AR$4,1),$D88&gt;=AR$4),1,""))</f>
        <v/>
      </c>
      <c r="AS88" s="72" t="str">
        <f aca="false">IF(OR(AS$4="",$C88="",$D88=""),"",IF(AND($C88&lt;EDATE(AS$4,1),$D88&gt;=AS$4),1,""))</f>
        <v/>
      </c>
      <c r="AT88" s="72" t="str">
        <f aca="false">IF(OR(AT$4="",$C88="",$D88=""),"",IF(AND($C88&lt;EDATE(AT$4,1),$D88&gt;=AT$4),1,""))</f>
        <v/>
      </c>
      <c r="AU88" s="72" t="str">
        <f aca="false">IF(OR(AU$4="",$C88="",$D88=""),"",IF(AND($C88&lt;EDATE(AU$4,1),$D88&gt;=AU$4),1,""))</f>
        <v/>
      </c>
      <c r="AV88" s="72" t="str">
        <f aca="false">IF(OR(AV$4="",$C88="",$D88=""),"",IF(AND($C88&lt;EDATE(AV$4,1),$D88&gt;=AV$4),1,""))</f>
        <v/>
      </c>
      <c r="AW88" s="72" t="str">
        <f aca="false">IF(OR(AW$4="",$C88="",$D88=""),"",IF(AND($C88&lt;EDATE(AW$4,1),$D88&gt;=AW$4),1,""))</f>
        <v/>
      </c>
      <c r="AX88" s="72" t="str">
        <f aca="false">IF(OR(AX$4="",$C88="",$D88=""),"",IF(AND($C88&lt;EDATE(AX$4,1),$D88&gt;=AX$4),1,""))</f>
        <v/>
      </c>
      <c r="AY88" s="72" t="str">
        <f aca="false">IF(OR(AY$4="",$C88="",$D88=""),"",IF(AND($C88&lt;EDATE(AY$4,1),$D88&gt;=AY$4),1,""))</f>
        <v/>
      </c>
      <c r="AZ88" s="72" t="str">
        <f aca="false">IF(OR(AZ$4="",$C88="",$D88=""),"",IF(AND($C88&lt;EDATE(AZ$4,1),$D88&gt;=AZ$4),1,""))</f>
        <v/>
      </c>
      <c r="BA88" s="72" t="str">
        <f aca="false">IF(OR(BA$4="",$C88="",$D88=""),"",IF(AND($C88&lt;EDATE(BA$4,1),$D88&gt;=BA$4),1,""))</f>
        <v/>
      </c>
      <c r="BB88" s="72" t="str">
        <f aca="false">IF(OR(BB$4="",$C88="",$D88=""),"",IF(AND($C88&lt;EDATE(BB$4,1),$D88&gt;=BB$4),1,""))</f>
        <v/>
      </c>
      <c r="BC88" s="72" t="str">
        <f aca="false">IF(OR(BC$4="",$C88="",$D88=""),"",IF(AND($C88&lt;EDATE(BC$4,1),$D88&gt;=BC$4),1,""))</f>
        <v/>
      </c>
      <c r="BD88" s="72" t="str">
        <f aca="false">IF(OR(BD$4="",$C88="",$D88=""),"",IF(AND($C88&lt;EDATE(BD$4,1),$D88&gt;=BD$4),1,""))</f>
        <v/>
      </c>
      <c r="BE88" s="72" t="str">
        <f aca="false">IF(OR(BE$4="",$C88="",$D88=""),"",IF(AND($C88&lt;EDATE(BE$4,1),$D88&gt;=BE$4),1,""))</f>
        <v/>
      </c>
      <c r="BF88" s="72" t="str">
        <f aca="false">IF(OR(BF$4="",$C88="",$D88=""),"",IF(AND($C88&lt;EDATE(BF$4,1),$D88&gt;=BF$4),1,""))</f>
        <v/>
      </c>
      <c r="BG88" s="72" t="str">
        <f aca="false">IF(OR(BG$4="",$C88="",$D88=""),"",IF(AND($C88&lt;EDATE(BG$4,1),$D88&gt;=BG$4),1,""))</f>
        <v/>
      </c>
      <c r="BH88" s="72" t="str">
        <f aca="false">IF(OR(BH$4="",$C88="",$D88=""),"",IF(AND($C88&lt;EDATE(BH$4,1),$D88&gt;=BH$4),1,""))</f>
        <v/>
      </c>
      <c r="BI88" s="72" t="str">
        <f aca="false">IF(OR(BI$4="",$C88="",$D88=""),"",IF(AND($C88&lt;EDATE(BI$4,1),$D88&gt;=BI$4),1,""))</f>
        <v/>
      </c>
      <c r="BJ88" s="72" t="str">
        <f aca="false">IF(OR(BJ$4="",$C88="",$D88=""),"",IF(AND($C88&lt;EDATE(BJ$4,1),$D88&gt;=BJ$4),1,""))</f>
        <v/>
      </c>
      <c r="BK88" s="72" t="str">
        <f aca="false">IF(OR(BK$4="",$C88="",$D88=""),"",IF(AND($C88&lt;EDATE(BK$4,1),$D88&gt;=BK$4),1,""))</f>
        <v/>
      </c>
      <c r="BL88" s="72" t="str">
        <f aca="false">IF(OR(BL$4="",$C88="",$D88=""),"",IF(AND($C88&lt;EDATE(BL$4,1),$D88&gt;=BL$4),1,""))</f>
        <v/>
      </c>
      <c r="BM88" s="72" t="str">
        <f aca="false">IF(OR(BM$4="",$C88="",$D88=""),"",IF(AND($C88&lt;EDATE(BM$4,1),$D88&gt;=BM$4),1,""))</f>
        <v/>
      </c>
      <c r="BN88" s="72" t="str">
        <f aca="false">IF(OR(BN$4="",$C88="",$D88=""),"",IF(AND($C88&lt;EDATE(BN$4,1),$D88&gt;=BN$4),1,""))</f>
        <v/>
      </c>
      <c r="BO88" s="72" t="str">
        <f aca="false">IF(OR(BO$4="",$C88="",$D88=""),"",IF(AND($C88&lt;EDATE(BO$4,1),$D88&gt;=BO$4),1,""))</f>
        <v/>
      </c>
      <c r="BP88" s="72" t="str">
        <f aca="false">IF(OR(BP$4="",$C88="",$D88=""),"",IF(AND($C88&lt;EDATE(BP$4,1),$D88&gt;=BP$4),1,""))</f>
        <v/>
      </c>
      <c r="BQ88" s="72" t="str">
        <f aca="false">IF(OR(BQ$4="",$C88="",$D88=""),"",IF(AND($C88&lt;EDATE(BQ$4,1),$D88&gt;=BQ$4),1,""))</f>
        <v/>
      </c>
      <c r="BR88" s="72" t="str">
        <f aca="false">IF(OR(BR$4="",$C88="",$D88=""),"",IF(AND($C88&lt;EDATE(BR$4,1),$D88&gt;=BR$4),1,""))</f>
        <v/>
      </c>
      <c r="BS88" s="72" t="str">
        <f aca="false">IF(OR(BS$4="",$C88="",$D88=""),"",IF(AND($C88&lt;EDATE(BS$4,1),$D88&gt;=BS$4),1,""))</f>
        <v/>
      </c>
      <c r="BT88" s="72" t="str">
        <f aca="false">IF(OR(BT$4="",$C88="",$D88=""),"",IF(AND($C88&lt;EDATE(BT$4,1),$D88&gt;=BT$4),1,""))</f>
        <v/>
      </c>
      <c r="BU88" s="72" t="str">
        <f aca="false">IF(OR(BU$4="",$C88="",$D88=""),"",IF(AND($C88&lt;EDATE(BU$4,1),$D88&gt;=BU$4),1,""))</f>
        <v/>
      </c>
      <c r="BV88" s="72" t="str">
        <f aca="false">IF(OR(BV$4="",$C88="",$D88=""),"",IF(AND($C88&lt;EDATE(BV$4,1),$D88&gt;=BV$4),1,""))</f>
        <v/>
      </c>
      <c r="BW88" s="72" t="str">
        <f aca="false">IF(OR(BW$4="",$C88="",$D88=""),"",IF(AND($C88&lt;EDATE(BW$4,1),$D88&gt;=BW$4),1,""))</f>
        <v/>
      </c>
      <c r="BX88" s="72" t="str">
        <f aca="false">IF(OR(BX$4="",$C88="",$D88=""),"",IF(AND($C88&lt;EDATE(BX$4,1),$D88&gt;=BX$4),1,""))</f>
        <v/>
      </c>
      <c r="BY88" s="72" t="str">
        <f aca="false">IF(OR(BY$4="",$C88="",$D88=""),"",IF(AND($C88&lt;EDATE(BY$4,1),$D88&gt;=BY$4),1,""))</f>
        <v/>
      </c>
    </row>
    <row r="89" customFormat="false" ht="15" hidden="false" customHeight="false" outlineLevel="0" collapsed="false">
      <c r="A89" s="61" t="str">
        <f aca="false">IF(BOE!$A58="","",BOE!$A58)</f>
        <v/>
      </c>
      <c r="B89" s="61" t="str">
        <f aca="false">IF(BOE!$A58="","",BOE!$C58)</f>
        <v/>
      </c>
      <c r="C89" s="62" t="str">
        <f aca="false">IF(OR(BOE!$A58="",BOE!$E58&lt;&gt;"Y"),"",BOE!$O58)</f>
        <v/>
      </c>
      <c r="D89" s="62" t="str">
        <f aca="false">IF(OR(BOE!$A58="",BOE!$E58&lt;&gt;"Y"),"",BOE!$P58)</f>
        <v/>
      </c>
      <c r="E89" s="63" t="str">
        <f aca="false">IF(OR(BOE!$A58="",BOE!$E58&lt;&gt;"Y"),"",IF(Inputs!$B$7="P90",BOE!$T58,BOE!$R58))</f>
        <v/>
      </c>
      <c r="F89" s="72" t="str">
        <f aca="false">IF(OR(F$4="",$C89="",$D89=""),"",IF(AND($C89&lt;EDATE(F$4,1),$D89&gt;=F$4),1,""))</f>
        <v/>
      </c>
      <c r="G89" s="72" t="str">
        <f aca="false">IF(OR(G$4="",$C89="",$D89=""),"",IF(AND($C89&lt;EDATE(G$4,1),$D89&gt;=G$4),1,""))</f>
        <v/>
      </c>
      <c r="H89" s="72" t="str">
        <f aca="false">IF(OR(H$4="",$C89="",$D89=""),"",IF(AND($C89&lt;EDATE(H$4,1),$D89&gt;=H$4),1,""))</f>
        <v/>
      </c>
      <c r="I89" s="72" t="str">
        <f aca="false">IF(OR(I$4="",$C89="",$D89=""),"",IF(AND($C89&lt;EDATE(I$4,1),$D89&gt;=I$4),1,""))</f>
        <v/>
      </c>
      <c r="J89" s="72" t="str">
        <f aca="false">IF(OR(J$4="",$C89="",$D89=""),"",IF(AND($C89&lt;EDATE(J$4,1),$D89&gt;=J$4),1,""))</f>
        <v/>
      </c>
      <c r="K89" s="72" t="str">
        <f aca="false">IF(OR(K$4="",$C89="",$D89=""),"",IF(AND($C89&lt;EDATE(K$4,1),$D89&gt;=K$4),1,""))</f>
        <v/>
      </c>
      <c r="L89" s="72" t="str">
        <f aca="false">IF(OR(L$4="",$C89="",$D89=""),"",IF(AND($C89&lt;EDATE(L$4,1),$D89&gt;=L$4),1,""))</f>
        <v/>
      </c>
      <c r="M89" s="72" t="str">
        <f aca="false">IF(OR(M$4="",$C89="",$D89=""),"",IF(AND($C89&lt;EDATE(M$4,1),$D89&gt;=M$4),1,""))</f>
        <v/>
      </c>
      <c r="N89" s="72" t="str">
        <f aca="false">IF(OR(N$4="",$C89="",$D89=""),"",IF(AND($C89&lt;EDATE(N$4,1),$D89&gt;=N$4),1,""))</f>
        <v/>
      </c>
      <c r="O89" s="72" t="str">
        <f aca="false">IF(OR(O$4="",$C89="",$D89=""),"",IF(AND($C89&lt;EDATE(O$4,1),$D89&gt;=O$4),1,""))</f>
        <v/>
      </c>
      <c r="P89" s="72" t="str">
        <f aca="false">IF(OR(P$4="",$C89="",$D89=""),"",IF(AND($C89&lt;EDATE(P$4,1),$D89&gt;=P$4),1,""))</f>
        <v/>
      </c>
      <c r="Q89" s="72" t="str">
        <f aca="false">IF(OR(Q$4="",$C89="",$D89=""),"",IF(AND($C89&lt;EDATE(Q$4,1),$D89&gt;=Q$4),1,""))</f>
        <v/>
      </c>
      <c r="R89" s="72" t="str">
        <f aca="false">IF(OR(R$4="",$C89="",$D89=""),"",IF(AND($C89&lt;EDATE(R$4,1),$D89&gt;=R$4),1,""))</f>
        <v/>
      </c>
      <c r="S89" s="72" t="str">
        <f aca="false">IF(OR(S$4="",$C89="",$D89=""),"",IF(AND($C89&lt;EDATE(S$4,1),$D89&gt;=S$4),1,""))</f>
        <v/>
      </c>
      <c r="T89" s="72" t="str">
        <f aca="false">IF(OR(T$4="",$C89="",$D89=""),"",IF(AND($C89&lt;EDATE(T$4,1),$D89&gt;=T$4),1,""))</f>
        <v/>
      </c>
      <c r="U89" s="72" t="str">
        <f aca="false">IF(OR(U$4="",$C89="",$D89=""),"",IF(AND($C89&lt;EDATE(U$4,1),$D89&gt;=U$4),1,""))</f>
        <v/>
      </c>
      <c r="V89" s="72" t="str">
        <f aca="false">IF(OR(V$4="",$C89="",$D89=""),"",IF(AND($C89&lt;EDATE(V$4,1),$D89&gt;=V$4),1,""))</f>
        <v/>
      </c>
      <c r="W89" s="72" t="str">
        <f aca="false">IF(OR(W$4="",$C89="",$D89=""),"",IF(AND($C89&lt;EDATE(W$4,1),$D89&gt;=W$4),1,""))</f>
        <v/>
      </c>
      <c r="X89" s="72" t="str">
        <f aca="false">IF(OR(X$4="",$C89="",$D89=""),"",IF(AND($C89&lt;EDATE(X$4,1),$D89&gt;=X$4),1,""))</f>
        <v/>
      </c>
      <c r="Y89" s="72" t="str">
        <f aca="false">IF(OR(Y$4="",$C89="",$D89=""),"",IF(AND($C89&lt;EDATE(Y$4,1),$D89&gt;=Y$4),1,""))</f>
        <v/>
      </c>
      <c r="Z89" s="72" t="str">
        <f aca="false">IF(OR(Z$4="",$C89="",$D89=""),"",IF(AND($C89&lt;EDATE(Z$4,1),$D89&gt;=Z$4),1,""))</f>
        <v/>
      </c>
      <c r="AA89" s="72" t="str">
        <f aca="false">IF(OR(AA$4="",$C89="",$D89=""),"",IF(AND($C89&lt;EDATE(AA$4,1),$D89&gt;=AA$4),1,""))</f>
        <v/>
      </c>
      <c r="AB89" s="72" t="str">
        <f aca="false">IF(OR(AB$4="",$C89="",$D89=""),"",IF(AND($C89&lt;EDATE(AB$4,1),$D89&gt;=AB$4),1,""))</f>
        <v/>
      </c>
      <c r="AC89" s="72" t="str">
        <f aca="false">IF(OR(AC$4="",$C89="",$D89=""),"",IF(AND($C89&lt;EDATE(AC$4,1),$D89&gt;=AC$4),1,""))</f>
        <v/>
      </c>
      <c r="AD89" s="72" t="str">
        <f aca="false">IF(OR(AD$4="",$C89="",$D89=""),"",IF(AND($C89&lt;EDATE(AD$4,1),$D89&gt;=AD$4),1,""))</f>
        <v/>
      </c>
      <c r="AE89" s="72" t="str">
        <f aca="false">IF(OR(AE$4="",$C89="",$D89=""),"",IF(AND($C89&lt;EDATE(AE$4,1),$D89&gt;=AE$4),1,""))</f>
        <v/>
      </c>
      <c r="AF89" s="72" t="str">
        <f aca="false">IF(OR(AF$4="",$C89="",$D89=""),"",IF(AND($C89&lt;EDATE(AF$4,1),$D89&gt;=AF$4),1,""))</f>
        <v/>
      </c>
      <c r="AG89" s="72" t="str">
        <f aca="false">IF(OR(AG$4="",$C89="",$D89=""),"",IF(AND($C89&lt;EDATE(AG$4,1),$D89&gt;=AG$4),1,""))</f>
        <v/>
      </c>
      <c r="AH89" s="72" t="str">
        <f aca="false">IF(OR(AH$4="",$C89="",$D89=""),"",IF(AND($C89&lt;EDATE(AH$4,1),$D89&gt;=AH$4),1,""))</f>
        <v/>
      </c>
      <c r="AI89" s="72" t="str">
        <f aca="false">IF(OR(AI$4="",$C89="",$D89=""),"",IF(AND($C89&lt;EDATE(AI$4,1),$D89&gt;=AI$4),1,""))</f>
        <v/>
      </c>
      <c r="AJ89" s="72" t="str">
        <f aca="false">IF(OR(AJ$4="",$C89="",$D89=""),"",IF(AND($C89&lt;EDATE(AJ$4,1),$D89&gt;=AJ$4),1,""))</f>
        <v/>
      </c>
      <c r="AK89" s="72" t="str">
        <f aca="false">IF(OR(AK$4="",$C89="",$D89=""),"",IF(AND($C89&lt;EDATE(AK$4,1),$D89&gt;=AK$4),1,""))</f>
        <v/>
      </c>
      <c r="AL89" s="72" t="str">
        <f aca="false">IF(OR(AL$4="",$C89="",$D89=""),"",IF(AND($C89&lt;EDATE(AL$4,1),$D89&gt;=AL$4),1,""))</f>
        <v/>
      </c>
      <c r="AM89" s="72" t="str">
        <f aca="false">IF(OR(AM$4="",$C89="",$D89=""),"",IF(AND($C89&lt;EDATE(AM$4,1),$D89&gt;=AM$4),1,""))</f>
        <v/>
      </c>
      <c r="AN89" s="72" t="str">
        <f aca="false">IF(OR(AN$4="",$C89="",$D89=""),"",IF(AND($C89&lt;EDATE(AN$4,1),$D89&gt;=AN$4),1,""))</f>
        <v/>
      </c>
      <c r="AO89" s="72" t="str">
        <f aca="false">IF(OR(AO$4="",$C89="",$D89=""),"",IF(AND($C89&lt;EDATE(AO$4,1),$D89&gt;=AO$4),1,""))</f>
        <v/>
      </c>
      <c r="AP89" s="72" t="str">
        <f aca="false">IF(OR(AP$4="",$C89="",$D89=""),"",IF(AND($C89&lt;EDATE(AP$4,1),$D89&gt;=AP$4),1,""))</f>
        <v/>
      </c>
      <c r="AQ89" s="72" t="str">
        <f aca="false">IF(OR(AQ$4="",$C89="",$D89=""),"",IF(AND($C89&lt;EDATE(AQ$4,1),$D89&gt;=AQ$4),1,""))</f>
        <v/>
      </c>
      <c r="AR89" s="72" t="str">
        <f aca="false">IF(OR(AR$4="",$C89="",$D89=""),"",IF(AND($C89&lt;EDATE(AR$4,1),$D89&gt;=AR$4),1,""))</f>
        <v/>
      </c>
      <c r="AS89" s="72" t="str">
        <f aca="false">IF(OR(AS$4="",$C89="",$D89=""),"",IF(AND($C89&lt;EDATE(AS$4,1),$D89&gt;=AS$4),1,""))</f>
        <v/>
      </c>
      <c r="AT89" s="72" t="str">
        <f aca="false">IF(OR(AT$4="",$C89="",$D89=""),"",IF(AND($C89&lt;EDATE(AT$4,1),$D89&gt;=AT$4),1,""))</f>
        <v/>
      </c>
      <c r="AU89" s="72" t="str">
        <f aca="false">IF(OR(AU$4="",$C89="",$D89=""),"",IF(AND($C89&lt;EDATE(AU$4,1),$D89&gt;=AU$4),1,""))</f>
        <v/>
      </c>
      <c r="AV89" s="72" t="str">
        <f aca="false">IF(OR(AV$4="",$C89="",$D89=""),"",IF(AND($C89&lt;EDATE(AV$4,1),$D89&gt;=AV$4),1,""))</f>
        <v/>
      </c>
      <c r="AW89" s="72" t="str">
        <f aca="false">IF(OR(AW$4="",$C89="",$D89=""),"",IF(AND($C89&lt;EDATE(AW$4,1),$D89&gt;=AW$4),1,""))</f>
        <v/>
      </c>
      <c r="AX89" s="72" t="str">
        <f aca="false">IF(OR(AX$4="",$C89="",$D89=""),"",IF(AND($C89&lt;EDATE(AX$4,1),$D89&gt;=AX$4),1,""))</f>
        <v/>
      </c>
      <c r="AY89" s="72" t="str">
        <f aca="false">IF(OR(AY$4="",$C89="",$D89=""),"",IF(AND($C89&lt;EDATE(AY$4,1),$D89&gt;=AY$4),1,""))</f>
        <v/>
      </c>
      <c r="AZ89" s="72" t="str">
        <f aca="false">IF(OR(AZ$4="",$C89="",$D89=""),"",IF(AND($C89&lt;EDATE(AZ$4,1),$D89&gt;=AZ$4),1,""))</f>
        <v/>
      </c>
      <c r="BA89" s="72" t="str">
        <f aca="false">IF(OR(BA$4="",$C89="",$D89=""),"",IF(AND($C89&lt;EDATE(BA$4,1),$D89&gt;=BA$4),1,""))</f>
        <v/>
      </c>
      <c r="BB89" s="72" t="str">
        <f aca="false">IF(OR(BB$4="",$C89="",$D89=""),"",IF(AND($C89&lt;EDATE(BB$4,1),$D89&gt;=BB$4),1,""))</f>
        <v/>
      </c>
      <c r="BC89" s="72" t="str">
        <f aca="false">IF(OR(BC$4="",$C89="",$D89=""),"",IF(AND($C89&lt;EDATE(BC$4,1),$D89&gt;=BC$4),1,""))</f>
        <v/>
      </c>
      <c r="BD89" s="72" t="str">
        <f aca="false">IF(OR(BD$4="",$C89="",$D89=""),"",IF(AND($C89&lt;EDATE(BD$4,1),$D89&gt;=BD$4),1,""))</f>
        <v/>
      </c>
      <c r="BE89" s="72" t="str">
        <f aca="false">IF(OR(BE$4="",$C89="",$D89=""),"",IF(AND($C89&lt;EDATE(BE$4,1),$D89&gt;=BE$4),1,""))</f>
        <v/>
      </c>
      <c r="BF89" s="72" t="str">
        <f aca="false">IF(OR(BF$4="",$C89="",$D89=""),"",IF(AND($C89&lt;EDATE(BF$4,1),$D89&gt;=BF$4),1,""))</f>
        <v/>
      </c>
      <c r="BG89" s="72" t="str">
        <f aca="false">IF(OR(BG$4="",$C89="",$D89=""),"",IF(AND($C89&lt;EDATE(BG$4,1),$D89&gt;=BG$4),1,""))</f>
        <v/>
      </c>
      <c r="BH89" s="72" t="str">
        <f aca="false">IF(OR(BH$4="",$C89="",$D89=""),"",IF(AND($C89&lt;EDATE(BH$4,1),$D89&gt;=BH$4),1,""))</f>
        <v/>
      </c>
      <c r="BI89" s="72" t="str">
        <f aca="false">IF(OR(BI$4="",$C89="",$D89=""),"",IF(AND($C89&lt;EDATE(BI$4,1),$D89&gt;=BI$4),1,""))</f>
        <v/>
      </c>
      <c r="BJ89" s="72" t="str">
        <f aca="false">IF(OR(BJ$4="",$C89="",$D89=""),"",IF(AND($C89&lt;EDATE(BJ$4,1),$D89&gt;=BJ$4),1,""))</f>
        <v/>
      </c>
      <c r="BK89" s="72" t="str">
        <f aca="false">IF(OR(BK$4="",$C89="",$D89=""),"",IF(AND($C89&lt;EDATE(BK$4,1),$D89&gt;=BK$4),1,""))</f>
        <v/>
      </c>
      <c r="BL89" s="72" t="str">
        <f aca="false">IF(OR(BL$4="",$C89="",$D89=""),"",IF(AND($C89&lt;EDATE(BL$4,1),$D89&gt;=BL$4),1,""))</f>
        <v/>
      </c>
      <c r="BM89" s="72" t="str">
        <f aca="false">IF(OR(BM$4="",$C89="",$D89=""),"",IF(AND($C89&lt;EDATE(BM$4,1),$D89&gt;=BM$4),1,""))</f>
        <v/>
      </c>
      <c r="BN89" s="72" t="str">
        <f aca="false">IF(OR(BN$4="",$C89="",$D89=""),"",IF(AND($C89&lt;EDATE(BN$4,1),$D89&gt;=BN$4),1,""))</f>
        <v/>
      </c>
      <c r="BO89" s="72" t="str">
        <f aca="false">IF(OR(BO$4="",$C89="",$D89=""),"",IF(AND($C89&lt;EDATE(BO$4,1),$D89&gt;=BO$4),1,""))</f>
        <v/>
      </c>
      <c r="BP89" s="72" t="str">
        <f aca="false">IF(OR(BP$4="",$C89="",$D89=""),"",IF(AND($C89&lt;EDATE(BP$4,1),$D89&gt;=BP$4),1,""))</f>
        <v/>
      </c>
      <c r="BQ89" s="72" t="str">
        <f aca="false">IF(OR(BQ$4="",$C89="",$D89=""),"",IF(AND($C89&lt;EDATE(BQ$4,1),$D89&gt;=BQ$4),1,""))</f>
        <v/>
      </c>
      <c r="BR89" s="72" t="str">
        <f aca="false">IF(OR(BR$4="",$C89="",$D89=""),"",IF(AND($C89&lt;EDATE(BR$4,1),$D89&gt;=BR$4),1,""))</f>
        <v/>
      </c>
      <c r="BS89" s="72" t="str">
        <f aca="false">IF(OR(BS$4="",$C89="",$D89=""),"",IF(AND($C89&lt;EDATE(BS$4,1),$D89&gt;=BS$4),1,""))</f>
        <v/>
      </c>
      <c r="BT89" s="72" t="str">
        <f aca="false">IF(OR(BT$4="",$C89="",$D89=""),"",IF(AND($C89&lt;EDATE(BT$4,1),$D89&gt;=BT$4),1,""))</f>
        <v/>
      </c>
      <c r="BU89" s="72" t="str">
        <f aca="false">IF(OR(BU$4="",$C89="",$D89=""),"",IF(AND($C89&lt;EDATE(BU$4,1),$D89&gt;=BU$4),1,""))</f>
        <v/>
      </c>
      <c r="BV89" s="72" t="str">
        <f aca="false">IF(OR(BV$4="",$C89="",$D89=""),"",IF(AND($C89&lt;EDATE(BV$4,1),$D89&gt;=BV$4),1,""))</f>
        <v/>
      </c>
      <c r="BW89" s="72" t="str">
        <f aca="false">IF(OR(BW$4="",$C89="",$D89=""),"",IF(AND($C89&lt;EDATE(BW$4,1),$D89&gt;=BW$4),1,""))</f>
        <v/>
      </c>
      <c r="BX89" s="72" t="str">
        <f aca="false">IF(OR(BX$4="",$C89="",$D89=""),"",IF(AND($C89&lt;EDATE(BX$4,1),$D89&gt;=BX$4),1,""))</f>
        <v/>
      </c>
      <c r="BY89" s="72" t="str">
        <f aca="false">IF(OR(BY$4="",$C89="",$D89=""),"",IF(AND($C89&lt;EDATE(BY$4,1),$D89&gt;=BY$4),1,""))</f>
        <v/>
      </c>
    </row>
    <row r="90" customFormat="false" ht="15" hidden="false" customHeight="false" outlineLevel="0" collapsed="false">
      <c r="A90" s="61" t="str">
        <f aca="false">IF(BOE!$A59="","",BOE!$A59)</f>
        <v/>
      </c>
      <c r="B90" s="61" t="str">
        <f aca="false">IF(BOE!$A59="","",BOE!$C59)</f>
        <v/>
      </c>
      <c r="C90" s="62" t="str">
        <f aca="false">IF(OR(BOE!$A59="",BOE!$E59&lt;&gt;"Y"),"",BOE!$O59)</f>
        <v/>
      </c>
      <c r="D90" s="62" t="str">
        <f aca="false">IF(OR(BOE!$A59="",BOE!$E59&lt;&gt;"Y"),"",BOE!$P59)</f>
        <v/>
      </c>
      <c r="E90" s="63" t="str">
        <f aca="false">IF(OR(BOE!$A59="",BOE!$E59&lt;&gt;"Y"),"",IF(Inputs!$B$7="P90",BOE!$T59,BOE!$R59))</f>
        <v/>
      </c>
      <c r="F90" s="72" t="str">
        <f aca="false">IF(OR(F$4="",$C90="",$D90=""),"",IF(AND($C90&lt;EDATE(F$4,1),$D90&gt;=F$4),1,""))</f>
        <v/>
      </c>
      <c r="G90" s="72" t="str">
        <f aca="false">IF(OR(G$4="",$C90="",$D90=""),"",IF(AND($C90&lt;EDATE(G$4,1),$D90&gt;=G$4),1,""))</f>
        <v/>
      </c>
      <c r="H90" s="72" t="str">
        <f aca="false">IF(OR(H$4="",$C90="",$D90=""),"",IF(AND($C90&lt;EDATE(H$4,1),$D90&gt;=H$4),1,""))</f>
        <v/>
      </c>
      <c r="I90" s="72" t="str">
        <f aca="false">IF(OR(I$4="",$C90="",$D90=""),"",IF(AND($C90&lt;EDATE(I$4,1),$D90&gt;=I$4),1,""))</f>
        <v/>
      </c>
      <c r="J90" s="72" t="str">
        <f aca="false">IF(OR(J$4="",$C90="",$D90=""),"",IF(AND($C90&lt;EDATE(J$4,1),$D90&gt;=J$4),1,""))</f>
        <v/>
      </c>
      <c r="K90" s="72" t="str">
        <f aca="false">IF(OR(K$4="",$C90="",$D90=""),"",IF(AND($C90&lt;EDATE(K$4,1),$D90&gt;=K$4),1,""))</f>
        <v/>
      </c>
      <c r="L90" s="72" t="str">
        <f aca="false">IF(OR(L$4="",$C90="",$D90=""),"",IF(AND($C90&lt;EDATE(L$4,1),$D90&gt;=L$4),1,""))</f>
        <v/>
      </c>
      <c r="M90" s="72" t="str">
        <f aca="false">IF(OR(M$4="",$C90="",$D90=""),"",IF(AND($C90&lt;EDATE(M$4,1),$D90&gt;=M$4),1,""))</f>
        <v/>
      </c>
      <c r="N90" s="72" t="str">
        <f aca="false">IF(OR(N$4="",$C90="",$D90=""),"",IF(AND($C90&lt;EDATE(N$4,1),$D90&gt;=N$4),1,""))</f>
        <v/>
      </c>
      <c r="O90" s="72" t="str">
        <f aca="false">IF(OR(O$4="",$C90="",$D90=""),"",IF(AND($C90&lt;EDATE(O$4,1),$D90&gt;=O$4),1,""))</f>
        <v/>
      </c>
      <c r="P90" s="72" t="str">
        <f aca="false">IF(OR(P$4="",$C90="",$D90=""),"",IF(AND($C90&lt;EDATE(P$4,1),$D90&gt;=P$4),1,""))</f>
        <v/>
      </c>
      <c r="Q90" s="72" t="str">
        <f aca="false">IF(OR(Q$4="",$C90="",$D90=""),"",IF(AND($C90&lt;EDATE(Q$4,1),$D90&gt;=Q$4),1,""))</f>
        <v/>
      </c>
      <c r="R90" s="72" t="str">
        <f aca="false">IF(OR(R$4="",$C90="",$D90=""),"",IF(AND($C90&lt;EDATE(R$4,1),$D90&gt;=R$4),1,""))</f>
        <v/>
      </c>
      <c r="S90" s="72" t="str">
        <f aca="false">IF(OR(S$4="",$C90="",$D90=""),"",IF(AND($C90&lt;EDATE(S$4,1),$D90&gt;=S$4),1,""))</f>
        <v/>
      </c>
      <c r="T90" s="72" t="str">
        <f aca="false">IF(OR(T$4="",$C90="",$D90=""),"",IF(AND($C90&lt;EDATE(T$4,1),$D90&gt;=T$4),1,""))</f>
        <v/>
      </c>
      <c r="U90" s="72" t="str">
        <f aca="false">IF(OR(U$4="",$C90="",$D90=""),"",IF(AND($C90&lt;EDATE(U$4,1),$D90&gt;=U$4),1,""))</f>
        <v/>
      </c>
      <c r="V90" s="72" t="str">
        <f aca="false">IF(OR(V$4="",$C90="",$D90=""),"",IF(AND($C90&lt;EDATE(V$4,1),$D90&gt;=V$4),1,""))</f>
        <v/>
      </c>
      <c r="W90" s="72" t="str">
        <f aca="false">IF(OR(W$4="",$C90="",$D90=""),"",IF(AND($C90&lt;EDATE(W$4,1),$D90&gt;=W$4),1,""))</f>
        <v/>
      </c>
      <c r="X90" s="72" t="str">
        <f aca="false">IF(OR(X$4="",$C90="",$D90=""),"",IF(AND($C90&lt;EDATE(X$4,1),$D90&gt;=X$4),1,""))</f>
        <v/>
      </c>
      <c r="Y90" s="72" t="str">
        <f aca="false">IF(OR(Y$4="",$C90="",$D90=""),"",IF(AND($C90&lt;EDATE(Y$4,1),$D90&gt;=Y$4),1,""))</f>
        <v/>
      </c>
      <c r="Z90" s="72" t="str">
        <f aca="false">IF(OR(Z$4="",$C90="",$D90=""),"",IF(AND($C90&lt;EDATE(Z$4,1),$D90&gt;=Z$4),1,""))</f>
        <v/>
      </c>
      <c r="AA90" s="72" t="str">
        <f aca="false">IF(OR(AA$4="",$C90="",$D90=""),"",IF(AND($C90&lt;EDATE(AA$4,1),$D90&gt;=AA$4),1,""))</f>
        <v/>
      </c>
      <c r="AB90" s="72" t="str">
        <f aca="false">IF(OR(AB$4="",$C90="",$D90=""),"",IF(AND($C90&lt;EDATE(AB$4,1),$D90&gt;=AB$4),1,""))</f>
        <v/>
      </c>
      <c r="AC90" s="72" t="str">
        <f aca="false">IF(OR(AC$4="",$C90="",$D90=""),"",IF(AND($C90&lt;EDATE(AC$4,1),$D90&gt;=AC$4),1,""))</f>
        <v/>
      </c>
      <c r="AD90" s="72" t="str">
        <f aca="false">IF(OR(AD$4="",$C90="",$D90=""),"",IF(AND($C90&lt;EDATE(AD$4,1),$D90&gt;=AD$4),1,""))</f>
        <v/>
      </c>
      <c r="AE90" s="72" t="str">
        <f aca="false">IF(OR(AE$4="",$C90="",$D90=""),"",IF(AND($C90&lt;EDATE(AE$4,1),$D90&gt;=AE$4),1,""))</f>
        <v/>
      </c>
      <c r="AF90" s="72" t="str">
        <f aca="false">IF(OR(AF$4="",$C90="",$D90=""),"",IF(AND($C90&lt;EDATE(AF$4,1),$D90&gt;=AF$4),1,""))</f>
        <v/>
      </c>
      <c r="AG90" s="72" t="str">
        <f aca="false">IF(OR(AG$4="",$C90="",$D90=""),"",IF(AND($C90&lt;EDATE(AG$4,1),$D90&gt;=AG$4),1,""))</f>
        <v/>
      </c>
      <c r="AH90" s="72" t="str">
        <f aca="false">IF(OR(AH$4="",$C90="",$D90=""),"",IF(AND($C90&lt;EDATE(AH$4,1),$D90&gt;=AH$4),1,""))</f>
        <v/>
      </c>
      <c r="AI90" s="72" t="str">
        <f aca="false">IF(OR(AI$4="",$C90="",$D90=""),"",IF(AND($C90&lt;EDATE(AI$4,1),$D90&gt;=AI$4),1,""))</f>
        <v/>
      </c>
      <c r="AJ90" s="72" t="str">
        <f aca="false">IF(OR(AJ$4="",$C90="",$D90=""),"",IF(AND($C90&lt;EDATE(AJ$4,1),$D90&gt;=AJ$4),1,""))</f>
        <v/>
      </c>
      <c r="AK90" s="72" t="str">
        <f aca="false">IF(OR(AK$4="",$C90="",$D90=""),"",IF(AND($C90&lt;EDATE(AK$4,1),$D90&gt;=AK$4),1,""))</f>
        <v/>
      </c>
      <c r="AL90" s="72" t="str">
        <f aca="false">IF(OR(AL$4="",$C90="",$D90=""),"",IF(AND($C90&lt;EDATE(AL$4,1),$D90&gt;=AL$4),1,""))</f>
        <v/>
      </c>
      <c r="AM90" s="72" t="str">
        <f aca="false">IF(OR(AM$4="",$C90="",$D90=""),"",IF(AND($C90&lt;EDATE(AM$4,1),$D90&gt;=AM$4),1,""))</f>
        <v/>
      </c>
      <c r="AN90" s="72" t="str">
        <f aca="false">IF(OR(AN$4="",$C90="",$D90=""),"",IF(AND($C90&lt;EDATE(AN$4,1),$D90&gt;=AN$4),1,""))</f>
        <v/>
      </c>
      <c r="AO90" s="72" t="str">
        <f aca="false">IF(OR(AO$4="",$C90="",$D90=""),"",IF(AND($C90&lt;EDATE(AO$4,1),$D90&gt;=AO$4),1,""))</f>
        <v/>
      </c>
      <c r="AP90" s="72" t="str">
        <f aca="false">IF(OR(AP$4="",$C90="",$D90=""),"",IF(AND($C90&lt;EDATE(AP$4,1),$D90&gt;=AP$4),1,""))</f>
        <v/>
      </c>
      <c r="AQ90" s="72" t="str">
        <f aca="false">IF(OR(AQ$4="",$C90="",$D90=""),"",IF(AND($C90&lt;EDATE(AQ$4,1),$D90&gt;=AQ$4),1,""))</f>
        <v/>
      </c>
      <c r="AR90" s="72" t="str">
        <f aca="false">IF(OR(AR$4="",$C90="",$D90=""),"",IF(AND($C90&lt;EDATE(AR$4,1),$D90&gt;=AR$4),1,""))</f>
        <v/>
      </c>
      <c r="AS90" s="72" t="str">
        <f aca="false">IF(OR(AS$4="",$C90="",$D90=""),"",IF(AND($C90&lt;EDATE(AS$4,1),$D90&gt;=AS$4),1,""))</f>
        <v/>
      </c>
      <c r="AT90" s="72" t="str">
        <f aca="false">IF(OR(AT$4="",$C90="",$D90=""),"",IF(AND($C90&lt;EDATE(AT$4,1),$D90&gt;=AT$4),1,""))</f>
        <v/>
      </c>
      <c r="AU90" s="72" t="str">
        <f aca="false">IF(OR(AU$4="",$C90="",$D90=""),"",IF(AND($C90&lt;EDATE(AU$4,1),$D90&gt;=AU$4),1,""))</f>
        <v/>
      </c>
      <c r="AV90" s="72" t="str">
        <f aca="false">IF(OR(AV$4="",$C90="",$D90=""),"",IF(AND($C90&lt;EDATE(AV$4,1),$D90&gt;=AV$4),1,""))</f>
        <v/>
      </c>
      <c r="AW90" s="72" t="str">
        <f aca="false">IF(OR(AW$4="",$C90="",$D90=""),"",IF(AND($C90&lt;EDATE(AW$4,1),$D90&gt;=AW$4),1,""))</f>
        <v/>
      </c>
      <c r="AX90" s="72" t="str">
        <f aca="false">IF(OR(AX$4="",$C90="",$D90=""),"",IF(AND($C90&lt;EDATE(AX$4,1),$D90&gt;=AX$4),1,""))</f>
        <v/>
      </c>
      <c r="AY90" s="72" t="str">
        <f aca="false">IF(OR(AY$4="",$C90="",$D90=""),"",IF(AND($C90&lt;EDATE(AY$4,1),$D90&gt;=AY$4),1,""))</f>
        <v/>
      </c>
      <c r="AZ90" s="72" t="str">
        <f aca="false">IF(OR(AZ$4="",$C90="",$D90=""),"",IF(AND($C90&lt;EDATE(AZ$4,1),$D90&gt;=AZ$4),1,""))</f>
        <v/>
      </c>
      <c r="BA90" s="72" t="str">
        <f aca="false">IF(OR(BA$4="",$C90="",$D90=""),"",IF(AND($C90&lt;EDATE(BA$4,1),$D90&gt;=BA$4),1,""))</f>
        <v/>
      </c>
      <c r="BB90" s="72" t="str">
        <f aca="false">IF(OR(BB$4="",$C90="",$D90=""),"",IF(AND($C90&lt;EDATE(BB$4,1),$D90&gt;=BB$4),1,""))</f>
        <v/>
      </c>
      <c r="BC90" s="72" t="str">
        <f aca="false">IF(OR(BC$4="",$C90="",$D90=""),"",IF(AND($C90&lt;EDATE(BC$4,1),$D90&gt;=BC$4),1,""))</f>
        <v/>
      </c>
      <c r="BD90" s="72" t="str">
        <f aca="false">IF(OR(BD$4="",$C90="",$D90=""),"",IF(AND($C90&lt;EDATE(BD$4,1),$D90&gt;=BD$4),1,""))</f>
        <v/>
      </c>
      <c r="BE90" s="72" t="str">
        <f aca="false">IF(OR(BE$4="",$C90="",$D90=""),"",IF(AND($C90&lt;EDATE(BE$4,1),$D90&gt;=BE$4),1,""))</f>
        <v/>
      </c>
      <c r="BF90" s="72" t="str">
        <f aca="false">IF(OR(BF$4="",$C90="",$D90=""),"",IF(AND($C90&lt;EDATE(BF$4,1),$D90&gt;=BF$4),1,""))</f>
        <v/>
      </c>
      <c r="BG90" s="72" t="str">
        <f aca="false">IF(OR(BG$4="",$C90="",$D90=""),"",IF(AND($C90&lt;EDATE(BG$4,1),$D90&gt;=BG$4),1,""))</f>
        <v/>
      </c>
      <c r="BH90" s="72" t="str">
        <f aca="false">IF(OR(BH$4="",$C90="",$D90=""),"",IF(AND($C90&lt;EDATE(BH$4,1),$D90&gt;=BH$4),1,""))</f>
        <v/>
      </c>
      <c r="BI90" s="72" t="str">
        <f aca="false">IF(OR(BI$4="",$C90="",$D90=""),"",IF(AND($C90&lt;EDATE(BI$4,1),$D90&gt;=BI$4),1,""))</f>
        <v/>
      </c>
      <c r="BJ90" s="72" t="str">
        <f aca="false">IF(OR(BJ$4="",$C90="",$D90=""),"",IF(AND($C90&lt;EDATE(BJ$4,1),$D90&gt;=BJ$4),1,""))</f>
        <v/>
      </c>
      <c r="BK90" s="72" t="str">
        <f aca="false">IF(OR(BK$4="",$C90="",$D90=""),"",IF(AND($C90&lt;EDATE(BK$4,1),$D90&gt;=BK$4),1,""))</f>
        <v/>
      </c>
      <c r="BL90" s="72" t="str">
        <f aca="false">IF(OR(BL$4="",$C90="",$D90=""),"",IF(AND($C90&lt;EDATE(BL$4,1),$D90&gt;=BL$4),1,""))</f>
        <v/>
      </c>
      <c r="BM90" s="72" t="str">
        <f aca="false">IF(OR(BM$4="",$C90="",$D90=""),"",IF(AND($C90&lt;EDATE(BM$4,1),$D90&gt;=BM$4),1,""))</f>
        <v/>
      </c>
      <c r="BN90" s="72" t="str">
        <f aca="false">IF(OR(BN$4="",$C90="",$D90=""),"",IF(AND($C90&lt;EDATE(BN$4,1),$D90&gt;=BN$4),1,""))</f>
        <v/>
      </c>
      <c r="BO90" s="72" t="str">
        <f aca="false">IF(OR(BO$4="",$C90="",$D90=""),"",IF(AND($C90&lt;EDATE(BO$4,1),$D90&gt;=BO$4),1,""))</f>
        <v/>
      </c>
      <c r="BP90" s="72" t="str">
        <f aca="false">IF(OR(BP$4="",$C90="",$D90=""),"",IF(AND($C90&lt;EDATE(BP$4,1),$D90&gt;=BP$4),1,""))</f>
        <v/>
      </c>
      <c r="BQ90" s="72" t="str">
        <f aca="false">IF(OR(BQ$4="",$C90="",$D90=""),"",IF(AND($C90&lt;EDATE(BQ$4,1),$D90&gt;=BQ$4),1,""))</f>
        <v/>
      </c>
      <c r="BR90" s="72" t="str">
        <f aca="false">IF(OR(BR$4="",$C90="",$D90=""),"",IF(AND($C90&lt;EDATE(BR$4,1),$D90&gt;=BR$4),1,""))</f>
        <v/>
      </c>
      <c r="BS90" s="72" t="str">
        <f aca="false">IF(OR(BS$4="",$C90="",$D90=""),"",IF(AND($C90&lt;EDATE(BS$4,1),$D90&gt;=BS$4),1,""))</f>
        <v/>
      </c>
      <c r="BT90" s="72" t="str">
        <f aca="false">IF(OR(BT$4="",$C90="",$D90=""),"",IF(AND($C90&lt;EDATE(BT$4,1),$D90&gt;=BT$4),1,""))</f>
        <v/>
      </c>
      <c r="BU90" s="72" t="str">
        <f aca="false">IF(OR(BU$4="",$C90="",$D90=""),"",IF(AND($C90&lt;EDATE(BU$4,1),$D90&gt;=BU$4),1,""))</f>
        <v/>
      </c>
      <c r="BV90" s="72" t="str">
        <f aca="false">IF(OR(BV$4="",$C90="",$D90=""),"",IF(AND($C90&lt;EDATE(BV$4,1),$D90&gt;=BV$4),1,""))</f>
        <v/>
      </c>
      <c r="BW90" s="72" t="str">
        <f aca="false">IF(OR(BW$4="",$C90="",$D90=""),"",IF(AND($C90&lt;EDATE(BW$4,1),$D90&gt;=BW$4),1,""))</f>
        <v/>
      </c>
      <c r="BX90" s="72" t="str">
        <f aca="false">IF(OR(BX$4="",$C90="",$D90=""),"",IF(AND($C90&lt;EDATE(BX$4,1),$D90&gt;=BX$4),1,""))</f>
        <v/>
      </c>
      <c r="BY90" s="72" t="str">
        <f aca="false">IF(OR(BY$4="",$C90="",$D90=""),"",IF(AND($C90&lt;EDATE(BY$4,1),$D90&gt;=BY$4),1,""))</f>
        <v/>
      </c>
    </row>
    <row r="91" customFormat="false" ht="15" hidden="false" customHeight="false" outlineLevel="0" collapsed="false">
      <c r="A91" s="61" t="str">
        <f aca="false">IF(BOE!$A60="","",BOE!$A60)</f>
        <v/>
      </c>
      <c r="B91" s="61" t="str">
        <f aca="false">IF(BOE!$A60="","",BOE!$C60)</f>
        <v/>
      </c>
      <c r="C91" s="62" t="str">
        <f aca="false">IF(OR(BOE!$A60="",BOE!$E60&lt;&gt;"Y"),"",BOE!$O60)</f>
        <v/>
      </c>
      <c r="D91" s="62" t="str">
        <f aca="false">IF(OR(BOE!$A60="",BOE!$E60&lt;&gt;"Y"),"",BOE!$P60)</f>
        <v/>
      </c>
      <c r="E91" s="63" t="str">
        <f aca="false">IF(OR(BOE!$A60="",BOE!$E60&lt;&gt;"Y"),"",IF(Inputs!$B$7="P90",BOE!$T60,BOE!$R60))</f>
        <v/>
      </c>
      <c r="F91" s="72" t="str">
        <f aca="false">IF(OR(F$4="",$C91="",$D91=""),"",IF(AND($C91&lt;EDATE(F$4,1),$D91&gt;=F$4),1,""))</f>
        <v/>
      </c>
      <c r="G91" s="72" t="str">
        <f aca="false">IF(OR(G$4="",$C91="",$D91=""),"",IF(AND($C91&lt;EDATE(G$4,1),$D91&gt;=G$4),1,""))</f>
        <v/>
      </c>
      <c r="H91" s="72" t="str">
        <f aca="false">IF(OR(H$4="",$C91="",$D91=""),"",IF(AND($C91&lt;EDATE(H$4,1),$D91&gt;=H$4),1,""))</f>
        <v/>
      </c>
      <c r="I91" s="72" t="str">
        <f aca="false">IF(OR(I$4="",$C91="",$D91=""),"",IF(AND($C91&lt;EDATE(I$4,1),$D91&gt;=I$4),1,""))</f>
        <v/>
      </c>
      <c r="J91" s="72" t="str">
        <f aca="false">IF(OR(J$4="",$C91="",$D91=""),"",IF(AND($C91&lt;EDATE(J$4,1),$D91&gt;=J$4),1,""))</f>
        <v/>
      </c>
      <c r="K91" s="72" t="str">
        <f aca="false">IF(OR(K$4="",$C91="",$D91=""),"",IF(AND($C91&lt;EDATE(K$4,1),$D91&gt;=K$4),1,""))</f>
        <v/>
      </c>
      <c r="L91" s="72" t="str">
        <f aca="false">IF(OR(L$4="",$C91="",$D91=""),"",IF(AND($C91&lt;EDATE(L$4,1),$D91&gt;=L$4),1,""))</f>
        <v/>
      </c>
      <c r="M91" s="72" t="str">
        <f aca="false">IF(OR(M$4="",$C91="",$D91=""),"",IF(AND($C91&lt;EDATE(M$4,1),$D91&gt;=M$4),1,""))</f>
        <v/>
      </c>
      <c r="N91" s="72" t="str">
        <f aca="false">IF(OR(N$4="",$C91="",$D91=""),"",IF(AND($C91&lt;EDATE(N$4,1),$D91&gt;=N$4),1,""))</f>
        <v/>
      </c>
      <c r="O91" s="72" t="str">
        <f aca="false">IF(OR(O$4="",$C91="",$D91=""),"",IF(AND($C91&lt;EDATE(O$4,1),$D91&gt;=O$4),1,""))</f>
        <v/>
      </c>
      <c r="P91" s="72" t="str">
        <f aca="false">IF(OR(P$4="",$C91="",$D91=""),"",IF(AND($C91&lt;EDATE(P$4,1),$D91&gt;=P$4),1,""))</f>
        <v/>
      </c>
      <c r="Q91" s="72" t="str">
        <f aca="false">IF(OR(Q$4="",$C91="",$D91=""),"",IF(AND($C91&lt;EDATE(Q$4,1),$D91&gt;=Q$4),1,""))</f>
        <v/>
      </c>
      <c r="R91" s="72" t="str">
        <f aca="false">IF(OR(R$4="",$C91="",$D91=""),"",IF(AND($C91&lt;EDATE(R$4,1),$D91&gt;=R$4),1,""))</f>
        <v/>
      </c>
      <c r="S91" s="72" t="str">
        <f aca="false">IF(OR(S$4="",$C91="",$D91=""),"",IF(AND($C91&lt;EDATE(S$4,1),$D91&gt;=S$4),1,""))</f>
        <v/>
      </c>
      <c r="T91" s="72" t="str">
        <f aca="false">IF(OR(T$4="",$C91="",$D91=""),"",IF(AND($C91&lt;EDATE(T$4,1),$D91&gt;=T$4),1,""))</f>
        <v/>
      </c>
      <c r="U91" s="72" t="str">
        <f aca="false">IF(OR(U$4="",$C91="",$D91=""),"",IF(AND($C91&lt;EDATE(U$4,1),$D91&gt;=U$4),1,""))</f>
        <v/>
      </c>
      <c r="V91" s="72" t="str">
        <f aca="false">IF(OR(V$4="",$C91="",$D91=""),"",IF(AND($C91&lt;EDATE(V$4,1),$D91&gt;=V$4),1,""))</f>
        <v/>
      </c>
      <c r="W91" s="72" t="str">
        <f aca="false">IF(OR(W$4="",$C91="",$D91=""),"",IF(AND($C91&lt;EDATE(W$4,1),$D91&gt;=W$4),1,""))</f>
        <v/>
      </c>
      <c r="X91" s="72" t="str">
        <f aca="false">IF(OR(X$4="",$C91="",$D91=""),"",IF(AND($C91&lt;EDATE(X$4,1),$D91&gt;=X$4),1,""))</f>
        <v/>
      </c>
      <c r="Y91" s="72" t="str">
        <f aca="false">IF(OR(Y$4="",$C91="",$D91=""),"",IF(AND($C91&lt;EDATE(Y$4,1),$D91&gt;=Y$4),1,""))</f>
        <v/>
      </c>
      <c r="Z91" s="72" t="str">
        <f aca="false">IF(OR(Z$4="",$C91="",$D91=""),"",IF(AND($C91&lt;EDATE(Z$4,1),$D91&gt;=Z$4),1,""))</f>
        <v/>
      </c>
      <c r="AA91" s="72" t="str">
        <f aca="false">IF(OR(AA$4="",$C91="",$D91=""),"",IF(AND($C91&lt;EDATE(AA$4,1),$D91&gt;=AA$4),1,""))</f>
        <v/>
      </c>
      <c r="AB91" s="72" t="str">
        <f aca="false">IF(OR(AB$4="",$C91="",$D91=""),"",IF(AND($C91&lt;EDATE(AB$4,1),$D91&gt;=AB$4),1,""))</f>
        <v/>
      </c>
      <c r="AC91" s="72" t="str">
        <f aca="false">IF(OR(AC$4="",$C91="",$D91=""),"",IF(AND($C91&lt;EDATE(AC$4,1),$D91&gt;=AC$4),1,""))</f>
        <v/>
      </c>
      <c r="AD91" s="72" t="str">
        <f aca="false">IF(OR(AD$4="",$C91="",$D91=""),"",IF(AND($C91&lt;EDATE(AD$4,1),$D91&gt;=AD$4),1,""))</f>
        <v/>
      </c>
      <c r="AE91" s="72" t="str">
        <f aca="false">IF(OR(AE$4="",$C91="",$D91=""),"",IF(AND($C91&lt;EDATE(AE$4,1),$D91&gt;=AE$4),1,""))</f>
        <v/>
      </c>
      <c r="AF91" s="72" t="str">
        <f aca="false">IF(OR(AF$4="",$C91="",$D91=""),"",IF(AND($C91&lt;EDATE(AF$4,1),$D91&gt;=AF$4),1,""))</f>
        <v/>
      </c>
      <c r="AG91" s="72" t="str">
        <f aca="false">IF(OR(AG$4="",$C91="",$D91=""),"",IF(AND($C91&lt;EDATE(AG$4,1),$D91&gt;=AG$4),1,""))</f>
        <v/>
      </c>
      <c r="AH91" s="72" t="str">
        <f aca="false">IF(OR(AH$4="",$C91="",$D91=""),"",IF(AND($C91&lt;EDATE(AH$4,1),$D91&gt;=AH$4),1,""))</f>
        <v/>
      </c>
      <c r="AI91" s="72" t="str">
        <f aca="false">IF(OR(AI$4="",$C91="",$D91=""),"",IF(AND($C91&lt;EDATE(AI$4,1),$D91&gt;=AI$4),1,""))</f>
        <v/>
      </c>
      <c r="AJ91" s="72" t="str">
        <f aca="false">IF(OR(AJ$4="",$C91="",$D91=""),"",IF(AND($C91&lt;EDATE(AJ$4,1),$D91&gt;=AJ$4),1,""))</f>
        <v/>
      </c>
      <c r="AK91" s="72" t="str">
        <f aca="false">IF(OR(AK$4="",$C91="",$D91=""),"",IF(AND($C91&lt;EDATE(AK$4,1),$D91&gt;=AK$4),1,""))</f>
        <v/>
      </c>
      <c r="AL91" s="72" t="str">
        <f aca="false">IF(OR(AL$4="",$C91="",$D91=""),"",IF(AND($C91&lt;EDATE(AL$4,1),$D91&gt;=AL$4),1,""))</f>
        <v/>
      </c>
      <c r="AM91" s="72" t="str">
        <f aca="false">IF(OR(AM$4="",$C91="",$D91=""),"",IF(AND($C91&lt;EDATE(AM$4,1),$D91&gt;=AM$4),1,""))</f>
        <v/>
      </c>
      <c r="AN91" s="72" t="str">
        <f aca="false">IF(OR(AN$4="",$C91="",$D91=""),"",IF(AND($C91&lt;EDATE(AN$4,1),$D91&gt;=AN$4),1,""))</f>
        <v/>
      </c>
      <c r="AO91" s="72" t="str">
        <f aca="false">IF(OR(AO$4="",$C91="",$D91=""),"",IF(AND($C91&lt;EDATE(AO$4,1),$D91&gt;=AO$4),1,""))</f>
        <v/>
      </c>
      <c r="AP91" s="72" t="str">
        <f aca="false">IF(OR(AP$4="",$C91="",$D91=""),"",IF(AND($C91&lt;EDATE(AP$4,1),$D91&gt;=AP$4),1,""))</f>
        <v/>
      </c>
      <c r="AQ91" s="72" t="str">
        <f aca="false">IF(OR(AQ$4="",$C91="",$D91=""),"",IF(AND($C91&lt;EDATE(AQ$4,1),$D91&gt;=AQ$4),1,""))</f>
        <v/>
      </c>
      <c r="AR91" s="72" t="str">
        <f aca="false">IF(OR(AR$4="",$C91="",$D91=""),"",IF(AND($C91&lt;EDATE(AR$4,1),$D91&gt;=AR$4),1,""))</f>
        <v/>
      </c>
      <c r="AS91" s="72" t="str">
        <f aca="false">IF(OR(AS$4="",$C91="",$D91=""),"",IF(AND($C91&lt;EDATE(AS$4,1),$D91&gt;=AS$4),1,""))</f>
        <v/>
      </c>
      <c r="AT91" s="72" t="str">
        <f aca="false">IF(OR(AT$4="",$C91="",$D91=""),"",IF(AND($C91&lt;EDATE(AT$4,1),$D91&gt;=AT$4),1,""))</f>
        <v/>
      </c>
      <c r="AU91" s="72" t="str">
        <f aca="false">IF(OR(AU$4="",$C91="",$D91=""),"",IF(AND($C91&lt;EDATE(AU$4,1),$D91&gt;=AU$4),1,""))</f>
        <v/>
      </c>
      <c r="AV91" s="72" t="str">
        <f aca="false">IF(OR(AV$4="",$C91="",$D91=""),"",IF(AND($C91&lt;EDATE(AV$4,1),$D91&gt;=AV$4),1,""))</f>
        <v/>
      </c>
      <c r="AW91" s="72" t="str">
        <f aca="false">IF(OR(AW$4="",$C91="",$D91=""),"",IF(AND($C91&lt;EDATE(AW$4,1),$D91&gt;=AW$4),1,""))</f>
        <v/>
      </c>
      <c r="AX91" s="72" t="str">
        <f aca="false">IF(OR(AX$4="",$C91="",$D91=""),"",IF(AND($C91&lt;EDATE(AX$4,1),$D91&gt;=AX$4),1,""))</f>
        <v/>
      </c>
      <c r="AY91" s="72" t="str">
        <f aca="false">IF(OR(AY$4="",$C91="",$D91=""),"",IF(AND($C91&lt;EDATE(AY$4,1),$D91&gt;=AY$4),1,""))</f>
        <v/>
      </c>
      <c r="AZ91" s="72" t="str">
        <f aca="false">IF(OR(AZ$4="",$C91="",$D91=""),"",IF(AND($C91&lt;EDATE(AZ$4,1),$D91&gt;=AZ$4),1,""))</f>
        <v/>
      </c>
      <c r="BA91" s="72" t="str">
        <f aca="false">IF(OR(BA$4="",$C91="",$D91=""),"",IF(AND($C91&lt;EDATE(BA$4,1),$D91&gt;=BA$4),1,""))</f>
        <v/>
      </c>
      <c r="BB91" s="72" t="str">
        <f aca="false">IF(OR(BB$4="",$C91="",$D91=""),"",IF(AND($C91&lt;EDATE(BB$4,1),$D91&gt;=BB$4),1,""))</f>
        <v/>
      </c>
      <c r="BC91" s="72" t="str">
        <f aca="false">IF(OR(BC$4="",$C91="",$D91=""),"",IF(AND($C91&lt;EDATE(BC$4,1),$D91&gt;=BC$4),1,""))</f>
        <v/>
      </c>
      <c r="BD91" s="72" t="str">
        <f aca="false">IF(OR(BD$4="",$C91="",$D91=""),"",IF(AND($C91&lt;EDATE(BD$4,1),$D91&gt;=BD$4),1,""))</f>
        <v/>
      </c>
      <c r="BE91" s="72" t="str">
        <f aca="false">IF(OR(BE$4="",$C91="",$D91=""),"",IF(AND($C91&lt;EDATE(BE$4,1),$D91&gt;=BE$4),1,""))</f>
        <v/>
      </c>
      <c r="BF91" s="72" t="str">
        <f aca="false">IF(OR(BF$4="",$C91="",$D91=""),"",IF(AND($C91&lt;EDATE(BF$4,1),$D91&gt;=BF$4),1,""))</f>
        <v/>
      </c>
      <c r="BG91" s="72" t="str">
        <f aca="false">IF(OR(BG$4="",$C91="",$D91=""),"",IF(AND($C91&lt;EDATE(BG$4,1),$D91&gt;=BG$4),1,""))</f>
        <v/>
      </c>
      <c r="BH91" s="72" t="str">
        <f aca="false">IF(OR(BH$4="",$C91="",$D91=""),"",IF(AND($C91&lt;EDATE(BH$4,1),$D91&gt;=BH$4),1,""))</f>
        <v/>
      </c>
      <c r="BI91" s="72" t="str">
        <f aca="false">IF(OR(BI$4="",$C91="",$D91=""),"",IF(AND($C91&lt;EDATE(BI$4,1),$D91&gt;=BI$4),1,""))</f>
        <v/>
      </c>
      <c r="BJ91" s="72" t="str">
        <f aca="false">IF(OR(BJ$4="",$C91="",$D91=""),"",IF(AND($C91&lt;EDATE(BJ$4,1),$D91&gt;=BJ$4),1,""))</f>
        <v/>
      </c>
      <c r="BK91" s="72" t="str">
        <f aca="false">IF(OR(BK$4="",$C91="",$D91=""),"",IF(AND($C91&lt;EDATE(BK$4,1),$D91&gt;=BK$4),1,""))</f>
        <v/>
      </c>
      <c r="BL91" s="72" t="str">
        <f aca="false">IF(OR(BL$4="",$C91="",$D91=""),"",IF(AND($C91&lt;EDATE(BL$4,1),$D91&gt;=BL$4),1,""))</f>
        <v/>
      </c>
      <c r="BM91" s="72" t="str">
        <f aca="false">IF(OR(BM$4="",$C91="",$D91=""),"",IF(AND($C91&lt;EDATE(BM$4,1),$D91&gt;=BM$4),1,""))</f>
        <v/>
      </c>
      <c r="BN91" s="72" t="str">
        <f aca="false">IF(OR(BN$4="",$C91="",$D91=""),"",IF(AND($C91&lt;EDATE(BN$4,1),$D91&gt;=BN$4),1,""))</f>
        <v/>
      </c>
      <c r="BO91" s="72" t="str">
        <f aca="false">IF(OR(BO$4="",$C91="",$D91=""),"",IF(AND($C91&lt;EDATE(BO$4,1),$D91&gt;=BO$4),1,""))</f>
        <v/>
      </c>
      <c r="BP91" s="72" t="str">
        <f aca="false">IF(OR(BP$4="",$C91="",$D91=""),"",IF(AND($C91&lt;EDATE(BP$4,1),$D91&gt;=BP$4),1,""))</f>
        <v/>
      </c>
      <c r="BQ91" s="72" t="str">
        <f aca="false">IF(OR(BQ$4="",$C91="",$D91=""),"",IF(AND($C91&lt;EDATE(BQ$4,1),$D91&gt;=BQ$4),1,""))</f>
        <v/>
      </c>
      <c r="BR91" s="72" t="str">
        <f aca="false">IF(OR(BR$4="",$C91="",$D91=""),"",IF(AND($C91&lt;EDATE(BR$4,1),$D91&gt;=BR$4),1,""))</f>
        <v/>
      </c>
      <c r="BS91" s="72" t="str">
        <f aca="false">IF(OR(BS$4="",$C91="",$D91=""),"",IF(AND($C91&lt;EDATE(BS$4,1),$D91&gt;=BS$4),1,""))</f>
        <v/>
      </c>
      <c r="BT91" s="72" t="str">
        <f aca="false">IF(OR(BT$4="",$C91="",$D91=""),"",IF(AND($C91&lt;EDATE(BT$4,1),$D91&gt;=BT$4),1,""))</f>
        <v/>
      </c>
      <c r="BU91" s="72" t="str">
        <f aca="false">IF(OR(BU$4="",$C91="",$D91=""),"",IF(AND($C91&lt;EDATE(BU$4,1),$D91&gt;=BU$4),1,""))</f>
        <v/>
      </c>
      <c r="BV91" s="72" t="str">
        <f aca="false">IF(OR(BV$4="",$C91="",$D91=""),"",IF(AND($C91&lt;EDATE(BV$4,1),$D91&gt;=BV$4),1,""))</f>
        <v/>
      </c>
      <c r="BW91" s="72" t="str">
        <f aca="false">IF(OR(BW$4="",$C91="",$D91=""),"",IF(AND($C91&lt;EDATE(BW$4,1),$D91&gt;=BW$4),1,""))</f>
        <v/>
      </c>
      <c r="BX91" s="72" t="str">
        <f aca="false">IF(OR(BX$4="",$C91="",$D91=""),"",IF(AND($C91&lt;EDATE(BX$4,1),$D91&gt;=BX$4),1,""))</f>
        <v/>
      </c>
      <c r="BY91" s="72" t="str">
        <f aca="false">IF(OR(BY$4="",$C91="",$D91=""),"",IF(AND($C91&lt;EDATE(BY$4,1),$D91&gt;=BY$4),1,""))</f>
        <v/>
      </c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</row>
    <row r="93" customFormat="false" ht="30" hidden="false" customHeight="true" outlineLevel="0" collapsed="false">
      <c r="A93" s="4"/>
      <c r="B93" s="18" t="s">
        <v>315</v>
      </c>
      <c r="C93" s="4"/>
      <c r="D93" s="4"/>
      <c r="E93" s="4"/>
      <c r="F93" s="73" t="n">
        <f aca="false">Phasing!F62</f>
        <v>1.76667247969439</v>
      </c>
      <c r="G93" s="73" t="n">
        <f aca="false">Phasing!G62</f>
        <v>1.62869262924892</v>
      </c>
      <c r="H93" s="73" t="n">
        <f aca="false">Phasing!H62</f>
        <v>1.90142163174917</v>
      </c>
      <c r="I93" s="73" t="n">
        <f aca="false">Phasing!I62</f>
        <v>2.15545103440411</v>
      </c>
      <c r="J93" s="73" t="n">
        <f aca="false">Phasing!J62</f>
        <v>2.18362512777408</v>
      </c>
      <c r="K93" s="73" t="n">
        <f aca="false">Phasing!K62</f>
        <v>2.1131856075233</v>
      </c>
      <c r="L93" s="73" t="n">
        <f aca="false">Phasing!L62</f>
        <v>2.13234307649202</v>
      </c>
      <c r="M93" s="73" t="n">
        <f aca="false">Phasing!M62</f>
        <v>1.38875333290228</v>
      </c>
      <c r="N93" s="73" t="n">
        <f aca="false">Phasing!N62</f>
        <v>1.34395483829253</v>
      </c>
      <c r="O93" s="73" t="n">
        <f aca="false">Phasing!O62</f>
        <v>1.38875333290228</v>
      </c>
      <c r="P93" s="73" t="n">
        <f aca="false">Phasing!P62</f>
        <v>4.01691606908396</v>
      </c>
      <c r="Q93" s="73" t="n">
        <f aca="false">Phasing!Q62</f>
        <v>4.13044903783152</v>
      </c>
      <c r="R93" s="73" t="n">
        <f aca="false">Phasing!R62</f>
        <v>4.13044903783152</v>
      </c>
      <c r="S93" s="73" t="n">
        <f aca="false">Phasing!S62</f>
        <v>3.86396845474562</v>
      </c>
      <c r="T93" s="73" t="n">
        <f aca="false">Phasing!T62</f>
        <v>4.13044903783152</v>
      </c>
      <c r="U93" s="73" t="n">
        <f aca="false">Phasing!U62</f>
        <v>3.99720874628857</v>
      </c>
      <c r="V93" s="73" t="n">
        <f aca="false">Phasing!V62</f>
        <v>4.03708270768975</v>
      </c>
      <c r="W93" s="73" t="n">
        <f aca="false">Phasing!W62</f>
        <v>2.19439843366905</v>
      </c>
      <c r="X93" s="73" t="n">
        <f aca="false">Phasing!X62</f>
        <v>1.66800994817117</v>
      </c>
      <c r="Y93" s="73" t="n">
        <f aca="false">Phasing!Y62</f>
        <v>1.66800994817117</v>
      </c>
      <c r="Z93" s="73" t="n">
        <f aca="false">Phasing!Z62</f>
        <v>1.61420317564952</v>
      </c>
      <c r="AA93" s="73" t="n">
        <f aca="false">Phasing!AA62</f>
        <v>1.66800994817117</v>
      </c>
      <c r="AB93" s="73" t="n">
        <f aca="false">Phasing!AB62</f>
        <v>1.61420317564952</v>
      </c>
      <c r="AC93" s="73" t="n">
        <f aca="false">Phasing!AC62</f>
        <v>2.05358928111893</v>
      </c>
      <c r="AD93" s="73" t="n">
        <f aca="false">Phasing!AD62</f>
        <v>1.98074984707093</v>
      </c>
      <c r="AE93" s="73" t="n">
        <f aca="false">Phasing!AE62</f>
        <v>1.76661690251305</v>
      </c>
      <c r="AF93" s="73" t="n">
        <f aca="false">Phasing!AF62</f>
        <v>1.95589728492517</v>
      </c>
      <c r="AG93" s="73" t="n">
        <f aca="false">Phasing!AG62</f>
        <v>1.89280382412113</v>
      </c>
      <c r="AH93" s="73" t="n">
        <f aca="false">Phasing!AH62</f>
        <v>1.95589728492517</v>
      </c>
      <c r="AI93" s="73" t="n">
        <f aca="false">Phasing!AI62</f>
        <v>1.89280382412113</v>
      </c>
      <c r="AJ93" s="73" t="n">
        <f aca="false">Phasing!AJ62</f>
        <v>1.95589728492517</v>
      </c>
      <c r="AK93" s="73" t="n">
        <f aca="false">Phasing!AK62</f>
        <v>1.61937408239415</v>
      </c>
      <c r="AL93" s="73" t="n">
        <f aca="false">Phasing!AL62</f>
        <v>1.12443176868863</v>
      </c>
      <c r="AM93" s="73" t="n">
        <f aca="false">Phasing!AM62</f>
        <v>0.600430514337784</v>
      </c>
      <c r="AN93" s="73" t="n">
        <f aca="false">Phasing!AN62</f>
        <v>0.562949455381496</v>
      </c>
      <c r="AO93" s="73" t="n">
        <f aca="false">Phasing!AO62</f>
        <v>0.525419491689397</v>
      </c>
      <c r="AP93" s="73" t="str">
        <f aca="false">Phasing!AP62</f>
        <v/>
      </c>
      <c r="AQ93" s="73" t="str">
        <f aca="false">Phasing!AQ62</f>
        <v/>
      </c>
      <c r="AR93" s="73" t="str">
        <f aca="false">Phasing!AR62</f>
        <v/>
      </c>
      <c r="AS93" s="73" t="str">
        <f aca="false">Phasing!AS62</f>
        <v/>
      </c>
      <c r="AT93" s="73" t="str">
        <f aca="false">Phasing!AT62</f>
        <v/>
      </c>
      <c r="AU93" s="73" t="str">
        <f aca="false">Phasing!AU62</f>
        <v/>
      </c>
      <c r="AV93" s="73" t="str">
        <f aca="false">Phasing!AV62</f>
        <v/>
      </c>
      <c r="AW93" s="73" t="str">
        <f aca="false">Phasing!AW62</f>
        <v/>
      </c>
      <c r="AX93" s="73" t="str">
        <f aca="false">Phasing!AX62</f>
        <v/>
      </c>
      <c r="AY93" s="73" t="str">
        <f aca="false">Phasing!AY62</f>
        <v/>
      </c>
      <c r="AZ93" s="73" t="str">
        <f aca="false">Phasing!AZ62</f>
        <v/>
      </c>
      <c r="BA93" s="73" t="str">
        <f aca="false">Phasing!BA62</f>
        <v/>
      </c>
      <c r="BB93" s="73" t="str">
        <f aca="false">Phasing!BB62</f>
        <v/>
      </c>
      <c r="BC93" s="73" t="str">
        <f aca="false">Phasing!BC62</f>
        <v/>
      </c>
      <c r="BD93" s="73" t="str">
        <f aca="false">Phasing!BD62</f>
        <v/>
      </c>
      <c r="BE93" s="73" t="str">
        <f aca="false">Phasing!BE62</f>
        <v/>
      </c>
      <c r="BF93" s="73" t="str">
        <f aca="false">Phasing!BF62</f>
        <v/>
      </c>
      <c r="BG93" s="73" t="str">
        <f aca="false">Phasing!BG62</f>
        <v/>
      </c>
      <c r="BH93" s="73" t="str">
        <f aca="false">Phasing!BH62</f>
        <v/>
      </c>
      <c r="BI93" s="73" t="str">
        <f aca="false">Phasing!BI62</f>
        <v/>
      </c>
      <c r="BJ93" s="73" t="str">
        <f aca="false">Phasing!BJ62</f>
        <v/>
      </c>
      <c r="BK93" s="73" t="str">
        <f aca="false">Phasing!BK62</f>
        <v/>
      </c>
      <c r="BL93" s="73" t="str">
        <f aca="false">Phasing!BL62</f>
        <v/>
      </c>
      <c r="BM93" s="73" t="str">
        <f aca="false">Phasing!BM62</f>
        <v/>
      </c>
      <c r="BN93" s="73" t="str">
        <f aca="false">Phasing!BN62</f>
        <v/>
      </c>
      <c r="BO93" s="73" t="str">
        <f aca="false">Phasing!BO62</f>
        <v/>
      </c>
      <c r="BP93" s="73" t="str">
        <f aca="false">Phasing!BP62</f>
        <v/>
      </c>
      <c r="BQ93" s="73" t="str">
        <f aca="false">Phasing!BQ62</f>
        <v/>
      </c>
      <c r="BR93" s="73" t="str">
        <f aca="false">Phasing!BR62</f>
        <v/>
      </c>
      <c r="BS93" s="73" t="str">
        <f aca="false">Phasing!BS62</f>
        <v/>
      </c>
      <c r="BT93" s="73" t="str">
        <f aca="false">Phasing!BT62</f>
        <v/>
      </c>
      <c r="BU93" s="73" t="str">
        <f aca="false">Phasing!BU62</f>
        <v/>
      </c>
      <c r="BV93" s="73" t="str">
        <f aca="false">Phasing!BV62</f>
        <v/>
      </c>
      <c r="BW93" s="73" t="str">
        <f aca="false">Phasing!BW62</f>
        <v/>
      </c>
      <c r="BX93" s="73" t="str">
        <f aca="false">Phasing!BX62</f>
        <v/>
      </c>
      <c r="BY93" s="73" t="str">
        <f aca="false">Phasing!BY62</f>
        <v/>
      </c>
    </row>
  </sheetData>
  <conditionalFormatting sqref="F37:BY91">
    <cfRule type="cellIs" priority="2" operator="equal" aboveAverage="0" equalAverage="0" bottom="0" percent="0" rank="0" text="" dxfId="8">
      <formula>1</formula>
    </cfRule>
  </conditionalFormatting>
  <conditionalFormatting sqref="F6:BY91">
    <cfRule type="expression" priority="3" aboveAverage="0" equalAverage="0" bottom="0" percent="0" rank="0" text="" dxfId="9">
      <formula>F$4&lt;&gt;""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BV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74" min="3" style="0" width="6"/>
  </cols>
  <sheetData>
    <row r="1" customFormat="false" ht="17.35" hidden="false" customHeight="false" outlineLevel="0" collapsed="false">
      <c r="A1" s="3" t="s">
        <v>316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</row>
    <row r="2" customFormat="false" ht="15" hidden="false" customHeight="false" outlineLevel="0" collapsed="false">
      <c r="A2" s="5" t="str">
        <f aca="false">"Basis: "&amp;Inputs!$B$7&amp;"   |   "&amp;TEXT(Inputs!$B$6,"0")&amp;" h per FTE-month   |   smoothing "&amp;Inputs!$B$44&amp;" mo   |   granularity "&amp;TEXT(Inputs!$B$45,"0.0")&amp;" FTE   |   core floor "&amp;TEXT(Inputs!$B$46,"0.0")&amp;" FTE   (change these on Inputs B44:B46)"</f>
        <v>Basis: P50   |   156 h per FTE-month   |   smoothing 3 mo   |   granularity 0.5 FTE   |   core floor 1.0 FTE   (change these on Inputs B44:B46)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</row>
    <row r="3" customFormat="false" ht="15" hidden="false" customHeight="false" outlineLevel="0" collapsed="false">
      <c r="A3" s="4"/>
      <c r="B3" s="4"/>
      <c r="C3" s="59" t="n">
        <f aca="false">Phasing!F3</f>
        <v>1</v>
      </c>
      <c r="D3" s="59" t="n">
        <f aca="false">Phasing!G3</f>
        <v>2</v>
      </c>
      <c r="E3" s="59" t="n">
        <f aca="false">Phasing!H3</f>
        <v>3</v>
      </c>
      <c r="F3" s="59" t="n">
        <f aca="false">Phasing!I3</f>
        <v>4</v>
      </c>
      <c r="G3" s="59" t="n">
        <f aca="false">Phasing!J3</f>
        <v>5</v>
      </c>
      <c r="H3" s="59" t="n">
        <f aca="false">Phasing!K3</f>
        <v>6</v>
      </c>
      <c r="I3" s="59" t="n">
        <f aca="false">Phasing!L3</f>
        <v>7</v>
      </c>
      <c r="J3" s="59" t="n">
        <f aca="false">Phasing!M3</f>
        <v>8</v>
      </c>
      <c r="K3" s="59" t="n">
        <f aca="false">Phasing!N3</f>
        <v>9</v>
      </c>
      <c r="L3" s="59" t="n">
        <f aca="false">Phasing!O3</f>
        <v>10</v>
      </c>
      <c r="M3" s="59" t="n">
        <f aca="false">Phasing!P3</f>
        <v>11</v>
      </c>
      <c r="N3" s="59" t="n">
        <f aca="false">Phasing!Q3</f>
        <v>12</v>
      </c>
      <c r="O3" s="59" t="n">
        <f aca="false">Phasing!R3</f>
        <v>13</v>
      </c>
      <c r="P3" s="59" t="n">
        <f aca="false">Phasing!S3</f>
        <v>14</v>
      </c>
      <c r="Q3" s="59" t="n">
        <f aca="false">Phasing!T3</f>
        <v>15</v>
      </c>
      <c r="R3" s="59" t="n">
        <f aca="false">Phasing!U3</f>
        <v>16</v>
      </c>
      <c r="S3" s="59" t="n">
        <f aca="false">Phasing!V3</f>
        <v>17</v>
      </c>
      <c r="T3" s="59" t="n">
        <f aca="false">Phasing!W3</f>
        <v>18</v>
      </c>
      <c r="U3" s="59" t="n">
        <f aca="false">Phasing!X3</f>
        <v>19</v>
      </c>
      <c r="V3" s="59" t="n">
        <f aca="false">Phasing!Y3</f>
        <v>20</v>
      </c>
      <c r="W3" s="59" t="n">
        <f aca="false">Phasing!Z3</f>
        <v>21</v>
      </c>
      <c r="X3" s="59" t="n">
        <f aca="false">Phasing!AA3</f>
        <v>22</v>
      </c>
      <c r="Y3" s="59" t="n">
        <f aca="false">Phasing!AB3</f>
        <v>23</v>
      </c>
      <c r="Z3" s="59" t="n">
        <f aca="false">Phasing!AC3</f>
        <v>24</v>
      </c>
      <c r="AA3" s="59" t="n">
        <f aca="false">Phasing!AD3</f>
        <v>25</v>
      </c>
      <c r="AB3" s="59" t="n">
        <f aca="false">Phasing!AE3</f>
        <v>26</v>
      </c>
      <c r="AC3" s="59" t="n">
        <f aca="false">Phasing!AF3</f>
        <v>27</v>
      </c>
      <c r="AD3" s="59" t="n">
        <f aca="false">Phasing!AG3</f>
        <v>28</v>
      </c>
      <c r="AE3" s="59" t="n">
        <f aca="false">Phasing!AH3</f>
        <v>29</v>
      </c>
      <c r="AF3" s="59" t="n">
        <f aca="false">Phasing!AI3</f>
        <v>30</v>
      </c>
      <c r="AG3" s="59" t="n">
        <f aca="false">Phasing!AJ3</f>
        <v>31</v>
      </c>
      <c r="AH3" s="59" t="n">
        <f aca="false">Phasing!AK3</f>
        <v>32</v>
      </c>
      <c r="AI3" s="59" t="n">
        <f aca="false">Phasing!AL3</f>
        <v>33</v>
      </c>
      <c r="AJ3" s="59" t="n">
        <f aca="false">Phasing!AM3</f>
        <v>34</v>
      </c>
      <c r="AK3" s="59" t="n">
        <f aca="false">Phasing!AN3</f>
        <v>35</v>
      </c>
      <c r="AL3" s="59" t="n">
        <f aca="false">Phasing!AO3</f>
        <v>36</v>
      </c>
      <c r="AM3" s="59" t="str">
        <f aca="false">Phasing!AP3</f>
        <v/>
      </c>
      <c r="AN3" s="59" t="str">
        <f aca="false">Phasing!AQ3</f>
        <v/>
      </c>
      <c r="AO3" s="59" t="str">
        <f aca="false">Phasing!AR3</f>
        <v/>
      </c>
      <c r="AP3" s="59" t="str">
        <f aca="false">Phasing!AS3</f>
        <v/>
      </c>
      <c r="AQ3" s="59" t="str">
        <f aca="false">Phasing!AT3</f>
        <v/>
      </c>
      <c r="AR3" s="59" t="str">
        <f aca="false">Phasing!AU3</f>
        <v/>
      </c>
      <c r="AS3" s="59" t="str">
        <f aca="false">Phasing!AV3</f>
        <v/>
      </c>
      <c r="AT3" s="59" t="str">
        <f aca="false">Phasing!AW3</f>
        <v/>
      </c>
      <c r="AU3" s="59" t="str">
        <f aca="false">Phasing!AX3</f>
        <v/>
      </c>
      <c r="AV3" s="59" t="str">
        <f aca="false">Phasing!AY3</f>
        <v/>
      </c>
      <c r="AW3" s="59" t="str">
        <f aca="false">Phasing!AZ3</f>
        <v/>
      </c>
      <c r="AX3" s="59" t="str">
        <f aca="false">Phasing!BA3</f>
        <v/>
      </c>
      <c r="AY3" s="59" t="str">
        <f aca="false">Phasing!BB3</f>
        <v/>
      </c>
      <c r="AZ3" s="59" t="str">
        <f aca="false">Phasing!BC3</f>
        <v/>
      </c>
      <c r="BA3" s="59" t="str">
        <f aca="false">Phasing!BD3</f>
        <v/>
      </c>
      <c r="BB3" s="59" t="str">
        <f aca="false">Phasing!BE3</f>
        <v/>
      </c>
      <c r="BC3" s="59" t="str">
        <f aca="false">Phasing!BF3</f>
        <v/>
      </c>
      <c r="BD3" s="59" t="str">
        <f aca="false">Phasing!BG3</f>
        <v/>
      </c>
      <c r="BE3" s="59" t="str">
        <f aca="false">Phasing!BH3</f>
        <v/>
      </c>
      <c r="BF3" s="59" t="str">
        <f aca="false">Phasing!BI3</f>
        <v/>
      </c>
      <c r="BG3" s="59" t="str">
        <f aca="false">Phasing!BJ3</f>
        <v/>
      </c>
      <c r="BH3" s="59" t="str">
        <f aca="false">Phasing!BK3</f>
        <v/>
      </c>
      <c r="BI3" s="59" t="str">
        <f aca="false">Phasing!BL3</f>
        <v/>
      </c>
      <c r="BJ3" s="59" t="str">
        <f aca="false">Phasing!BM3</f>
        <v/>
      </c>
      <c r="BK3" s="59" t="str">
        <f aca="false">Phasing!BN3</f>
        <v/>
      </c>
      <c r="BL3" s="59" t="str">
        <f aca="false">Phasing!BO3</f>
        <v/>
      </c>
      <c r="BM3" s="59" t="str">
        <f aca="false">Phasing!BP3</f>
        <v/>
      </c>
      <c r="BN3" s="59" t="str">
        <f aca="false">Phasing!BQ3</f>
        <v/>
      </c>
      <c r="BO3" s="59" t="str">
        <f aca="false">Phasing!BR3</f>
        <v/>
      </c>
      <c r="BP3" s="59" t="str">
        <f aca="false">Phasing!BS3</f>
        <v/>
      </c>
      <c r="BQ3" s="59" t="str">
        <f aca="false">Phasing!BT3</f>
        <v/>
      </c>
      <c r="BR3" s="59" t="str">
        <f aca="false">Phasing!BU3</f>
        <v/>
      </c>
      <c r="BS3" s="59" t="str">
        <f aca="false">Phasing!BV3</f>
        <v/>
      </c>
      <c r="BT3" s="59" t="str">
        <f aca="false">Phasing!BW3</f>
        <v/>
      </c>
      <c r="BU3" s="59" t="str">
        <f aca="false">Phasing!BX3</f>
        <v/>
      </c>
      <c r="BV3" s="59" t="str">
        <f aca="false">Phasing!BY3</f>
        <v/>
      </c>
    </row>
    <row r="4" customFormat="false" ht="48" hidden="false" customHeight="true" outlineLevel="0" collapsed="false">
      <c r="A4" s="6" t="s">
        <v>317</v>
      </c>
      <c r="B4" s="6" t="s">
        <v>318</v>
      </c>
      <c r="C4" s="60" t="n">
        <f aca="false">Phasing!F4</f>
        <v>46391</v>
      </c>
      <c r="D4" s="60" t="n">
        <f aca="false">Phasing!G4</f>
        <v>46422</v>
      </c>
      <c r="E4" s="60" t="n">
        <f aca="false">Phasing!H4</f>
        <v>46450</v>
      </c>
      <c r="F4" s="60" t="n">
        <f aca="false">Phasing!I4</f>
        <v>46481</v>
      </c>
      <c r="G4" s="60" t="n">
        <f aca="false">Phasing!J4</f>
        <v>46511</v>
      </c>
      <c r="H4" s="60" t="n">
        <f aca="false">Phasing!K4</f>
        <v>46542</v>
      </c>
      <c r="I4" s="60" t="n">
        <f aca="false">Phasing!L4</f>
        <v>46572</v>
      </c>
      <c r="J4" s="60" t="n">
        <f aca="false">Phasing!M4</f>
        <v>46603</v>
      </c>
      <c r="K4" s="60" t="n">
        <f aca="false">Phasing!N4</f>
        <v>46634</v>
      </c>
      <c r="L4" s="60" t="n">
        <f aca="false">Phasing!O4</f>
        <v>46664</v>
      </c>
      <c r="M4" s="60" t="n">
        <f aca="false">Phasing!P4</f>
        <v>46695</v>
      </c>
      <c r="N4" s="60" t="n">
        <f aca="false">Phasing!Q4</f>
        <v>46725</v>
      </c>
      <c r="O4" s="60" t="n">
        <f aca="false">Phasing!R4</f>
        <v>46756</v>
      </c>
      <c r="P4" s="60" t="n">
        <f aca="false">Phasing!S4</f>
        <v>46787</v>
      </c>
      <c r="Q4" s="60" t="n">
        <f aca="false">Phasing!T4</f>
        <v>46816</v>
      </c>
      <c r="R4" s="60" t="n">
        <f aca="false">Phasing!U4</f>
        <v>46847</v>
      </c>
      <c r="S4" s="60" t="n">
        <f aca="false">Phasing!V4</f>
        <v>46877</v>
      </c>
      <c r="T4" s="60" t="n">
        <f aca="false">Phasing!W4</f>
        <v>46908</v>
      </c>
      <c r="U4" s="60" t="n">
        <f aca="false">Phasing!X4</f>
        <v>46938</v>
      </c>
      <c r="V4" s="60" t="n">
        <f aca="false">Phasing!Y4</f>
        <v>46969</v>
      </c>
      <c r="W4" s="60" t="n">
        <f aca="false">Phasing!Z4</f>
        <v>47000</v>
      </c>
      <c r="X4" s="60" t="n">
        <f aca="false">Phasing!AA4</f>
        <v>47030</v>
      </c>
      <c r="Y4" s="60" t="n">
        <f aca="false">Phasing!AB4</f>
        <v>47061</v>
      </c>
      <c r="Z4" s="60" t="n">
        <f aca="false">Phasing!AC4</f>
        <v>47091</v>
      </c>
      <c r="AA4" s="60" t="n">
        <f aca="false">Phasing!AD4</f>
        <v>47122</v>
      </c>
      <c r="AB4" s="60" t="n">
        <f aca="false">Phasing!AE4</f>
        <v>47153</v>
      </c>
      <c r="AC4" s="60" t="n">
        <f aca="false">Phasing!AF4</f>
        <v>47181</v>
      </c>
      <c r="AD4" s="60" t="n">
        <f aca="false">Phasing!AG4</f>
        <v>47212</v>
      </c>
      <c r="AE4" s="60" t="n">
        <f aca="false">Phasing!AH4</f>
        <v>47242</v>
      </c>
      <c r="AF4" s="60" t="n">
        <f aca="false">Phasing!AI4</f>
        <v>47273</v>
      </c>
      <c r="AG4" s="60" t="n">
        <f aca="false">Phasing!AJ4</f>
        <v>47303</v>
      </c>
      <c r="AH4" s="60" t="n">
        <f aca="false">Phasing!AK4</f>
        <v>47334</v>
      </c>
      <c r="AI4" s="60" t="n">
        <f aca="false">Phasing!AL4</f>
        <v>47365</v>
      </c>
      <c r="AJ4" s="60" t="n">
        <f aca="false">Phasing!AM4</f>
        <v>47395</v>
      </c>
      <c r="AK4" s="60" t="n">
        <f aca="false">Phasing!AN4</f>
        <v>47426</v>
      </c>
      <c r="AL4" s="60" t="n">
        <f aca="false">Phasing!AO4</f>
        <v>47456</v>
      </c>
      <c r="AM4" s="60" t="str">
        <f aca="false">Phasing!AP4</f>
        <v/>
      </c>
      <c r="AN4" s="60" t="str">
        <f aca="false">Phasing!AQ4</f>
        <v/>
      </c>
      <c r="AO4" s="60" t="str">
        <f aca="false">Phasing!AR4</f>
        <v/>
      </c>
      <c r="AP4" s="60" t="str">
        <f aca="false">Phasing!AS4</f>
        <v/>
      </c>
      <c r="AQ4" s="60" t="str">
        <f aca="false">Phasing!AT4</f>
        <v/>
      </c>
      <c r="AR4" s="60" t="str">
        <f aca="false">Phasing!AU4</f>
        <v/>
      </c>
      <c r="AS4" s="60" t="str">
        <f aca="false">Phasing!AV4</f>
        <v/>
      </c>
      <c r="AT4" s="60" t="str">
        <f aca="false">Phasing!AW4</f>
        <v/>
      </c>
      <c r="AU4" s="60" t="str">
        <f aca="false">Phasing!AX4</f>
        <v/>
      </c>
      <c r="AV4" s="60" t="str">
        <f aca="false">Phasing!AY4</f>
        <v/>
      </c>
      <c r="AW4" s="60" t="str">
        <f aca="false">Phasing!AZ4</f>
        <v/>
      </c>
      <c r="AX4" s="60" t="str">
        <f aca="false">Phasing!BA4</f>
        <v/>
      </c>
      <c r="AY4" s="60" t="str">
        <f aca="false">Phasing!BB4</f>
        <v/>
      </c>
      <c r="AZ4" s="60" t="str">
        <f aca="false">Phasing!BC4</f>
        <v/>
      </c>
      <c r="BA4" s="60" t="str">
        <f aca="false">Phasing!BD4</f>
        <v/>
      </c>
      <c r="BB4" s="60" t="str">
        <f aca="false">Phasing!BE4</f>
        <v/>
      </c>
      <c r="BC4" s="60" t="str">
        <f aca="false">Phasing!BF4</f>
        <v/>
      </c>
      <c r="BD4" s="60" t="str">
        <f aca="false">Phasing!BG4</f>
        <v/>
      </c>
      <c r="BE4" s="60" t="str">
        <f aca="false">Phasing!BH4</f>
        <v/>
      </c>
      <c r="BF4" s="60" t="str">
        <f aca="false">Phasing!BI4</f>
        <v/>
      </c>
      <c r="BG4" s="60" t="str">
        <f aca="false">Phasing!BJ4</f>
        <v/>
      </c>
      <c r="BH4" s="60" t="str">
        <f aca="false">Phasing!BK4</f>
        <v/>
      </c>
      <c r="BI4" s="60" t="str">
        <f aca="false">Phasing!BL4</f>
        <v/>
      </c>
      <c r="BJ4" s="60" t="str">
        <f aca="false">Phasing!BM4</f>
        <v/>
      </c>
      <c r="BK4" s="60" t="str">
        <f aca="false">Phasing!BN4</f>
        <v/>
      </c>
      <c r="BL4" s="60" t="str">
        <f aca="false">Phasing!BO4</f>
        <v/>
      </c>
      <c r="BM4" s="60" t="str">
        <f aca="false">Phasing!BP4</f>
        <v/>
      </c>
      <c r="BN4" s="60" t="str">
        <f aca="false">Phasing!BQ4</f>
        <v/>
      </c>
      <c r="BO4" s="60" t="str">
        <f aca="false">Phasing!BR4</f>
        <v/>
      </c>
      <c r="BP4" s="60" t="str">
        <f aca="false">Phasing!BS4</f>
        <v/>
      </c>
      <c r="BQ4" s="60" t="str">
        <f aca="false">Phasing!BT4</f>
        <v/>
      </c>
      <c r="BR4" s="60" t="str">
        <f aca="false">Phasing!BU4</f>
        <v/>
      </c>
      <c r="BS4" s="60" t="str">
        <f aca="false">Phasing!BV4</f>
        <v/>
      </c>
      <c r="BT4" s="60" t="str">
        <f aca="false">Phasing!BW4</f>
        <v/>
      </c>
      <c r="BU4" s="60" t="str">
        <f aca="false">Phasing!BX4</f>
        <v/>
      </c>
      <c r="BV4" s="60" t="str">
        <f aca="false">Phasing!BY4</f>
        <v/>
      </c>
    </row>
    <row r="5" customFormat="false" ht="15" hidden="false" customHeight="false" outlineLevel="0" collapsed="false">
      <c r="A5" s="69" t="s">
        <v>319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</row>
    <row r="6" customFormat="false" ht="15" hidden="false" customHeight="false" outlineLevel="0" collapsed="false">
      <c r="A6" s="61" t="str">
        <f aca="false">Inputs!$A$38</f>
        <v>Safety Lead</v>
      </c>
      <c r="B6" s="67" t="n">
        <f aca="false">SUM(C6:BV6)</f>
        <v>3153.83983572895</v>
      </c>
      <c r="C6" s="67" t="n">
        <f aca="false">IF(C$4="","",SUMIF(BOE!$V$6:$V$60,$A6,Phasing!F$5:F$59))</f>
        <v>159.88842259525</v>
      </c>
      <c r="D6" s="67" t="n">
        <f aca="false">IF(D$4="","",SUMIF(BOE!$V$6:$V$60,$A6,Phasing!G$5:G$59))</f>
        <v>144.415349440871</v>
      </c>
      <c r="E6" s="67" t="n">
        <f aca="false">IF(E$4="","",SUMIF(BOE!$V$6:$V$60,$A6,Phasing!H$5:H$59))</f>
        <v>166.406366339188</v>
      </c>
      <c r="F6" s="67" t="n">
        <f aca="false">IF(F$4="","",SUMIF(BOE!$V$6:$V$60,$A6,Phasing!I$5:I$59))</f>
        <v>59.7362207199878</v>
      </c>
      <c r="G6" s="67" t="n">
        <f aca="false">IF(G$4="","",SUMIF(BOE!$V$6:$V$60,$A6,Phasing!J$5:J$59))</f>
        <v>58.0937284436211</v>
      </c>
      <c r="H6" s="67" t="n">
        <f aca="false">IF(H$4="","",SUMIF(BOE!$V$6:$V$60,$A6,Phasing!K$5:K$59))</f>
        <v>56.2197372035043</v>
      </c>
      <c r="I6" s="67" t="n">
        <f aca="false">IF(I$4="","",SUMIF(BOE!$V$6:$V$60,$A6,Phasing!L$5:L$59))</f>
        <v>58.0937284436211</v>
      </c>
      <c r="J6" s="67" t="n">
        <f aca="false">IF(J$4="","",SUMIF(BOE!$V$6:$V$60,$A6,Phasing!M$5:M$59))</f>
        <v>58.0937284436211</v>
      </c>
      <c r="K6" s="67" t="n">
        <f aca="false">IF(K$4="","",SUMIF(BOE!$V$6:$V$60,$A6,Phasing!N$5:N$59))</f>
        <v>56.2197372035043</v>
      </c>
      <c r="L6" s="67" t="n">
        <f aca="false">IF(L$4="","",SUMIF(BOE!$V$6:$V$60,$A6,Phasing!O$5:O$59))</f>
        <v>58.0937284436211</v>
      </c>
      <c r="M6" s="67" t="n">
        <f aca="false">IF(M$4="","",SUMIF(BOE!$V$6:$V$60,$A6,Phasing!P$5:P$59))</f>
        <v>56.2197372035043</v>
      </c>
      <c r="N6" s="67" t="n">
        <f aca="false">IF(N$4="","",SUMIF(BOE!$V$6:$V$60,$A6,Phasing!Q$5:Q$59))</f>
        <v>58.0937284436211</v>
      </c>
      <c r="O6" s="67" t="n">
        <f aca="false">IF(O$4="","",SUMIF(BOE!$V$6:$V$60,$A6,Phasing!R$5:R$59))</f>
        <v>58.0937284436211</v>
      </c>
      <c r="P6" s="67" t="n">
        <f aca="false">IF(P$4="","",SUMIF(BOE!$V$6:$V$60,$A6,Phasing!S$5:S$59))</f>
        <v>54.3457459633875</v>
      </c>
      <c r="Q6" s="67" t="n">
        <f aca="false">IF(Q$4="","",SUMIF(BOE!$V$6:$V$60,$A6,Phasing!T$5:T$59))</f>
        <v>58.0937284436211</v>
      </c>
      <c r="R6" s="67" t="n">
        <f aca="false">IF(R$4="","",SUMIF(BOE!$V$6:$V$60,$A6,Phasing!U$5:U$59))</f>
        <v>56.2197372035043</v>
      </c>
      <c r="S6" s="67" t="n">
        <f aca="false">IF(S$4="","",SUMIF(BOE!$V$6:$V$60,$A6,Phasing!V$5:V$59))</f>
        <v>58.0937284436211</v>
      </c>
      <c r="T6" s="67" t="n">
        <f aca="false">IF(T$4="","",SUMIF(BOE!$V$6:$V$60,$A6,Phasing!W$5:W$59))</f>
        <v>56.2197372035043</v>
      </c>
      <c r="U6" s="67" t="n">
        <f aca="false">IF(U$4="","",SUMIF(BOE!$V$6:$V$60,$A6,Phasing!X$5:X$59))</f>
        <v>58.0937284436211</v>
      </c>
      <c r="V6" s="67" t="n">
        <f aca="false">IF(V$4="","",SUMIF(BOE!$V$6:$V$60,$A6,Phasing!Y$5:Y$59))</f>
        <v>58.0937284436211</v>
      </c>
      <c r="W6" s="67" t="n">
        <f aca="false">IF(W$4="","",SUMIF(BOE!$V$6:$V$60,$A6,Phasing!Z$5:Z$59))</f>
        <v>56.2197372035043</v>
      </c>
      <c r="X6" s="67" t="n">
        <f aca="false">IF(X$4="","",SUMIF(BOE!$V$6:$V$60,$A6,Phasing!AA$5:AA$59))</f>
        <v>58.0937284436211</v>
      </c>
      <c r="Y6" s="67" t="n">
        <f aca="false">IF(Y$4="","",SUMIF(BOE!$V$6:$V$60,$A6,Phasing!AB$5:AB$59))</f>
        <v>56.2197372035043</v>
      </c>
      <c r="Z6" s="67" t="n">
        <f aca="false">IF(Z$4="","",SUMIF(BOE!$V$6:$V$60,$A6,Phasing!AC$5:AC$59))</f>
        <v>58.0937284436211</v>
      </c>
      <c r="AA6" s="67" t="n">
        <f aca="false">IF(AA$4="","",SUMIF(BOE!$V$6:$V$60,$A6,Phasing!AD$5:AD$59))</f>
        <v>148.604677348731</v>
      </c>
      <c r="AB6" s="67" t="n">
        <f aca="false">IF(AB$4="","",SUMIF(BOE!$V$6:$V$60,$A6,Phasing!AE$5:AE$59))</f>
        <v>134.223579540789</v>
      </c>
      <c r="AC6" s="67" t="n">
        <f aca="false">IF(AC$4="","",SUMIF(BOE!$V$6:$V$60,$A6,Phasing!AF$5:AF$59))</f>
        <v>148.604677348731</v>
      </c>
      <c r="AD6" s="67" t="n">
        <f aca="false">IF(AD$4="","",SUMIF(BOE!$V$6:$V$60,$A6,Phasing!AG$5:AG$59))</f>
        <v>143.810978079417</v>
      </c>
      <c r="AE6" s="67" t="n">
        <f aca="false">IF(AE$4="","",SUMIF(BOE!$V$6:$V$60,$A6,Phasing!AH$5:AH$59))</f>
        <v>148.604677348731</v>
      </c>
      <c r="AF6" s="67" t="n">
        <f aca="false">IF(AF$4="","",SUMIF(BOE!$V$6:$V$60,$A6,Phasing!AI$5:AI$59))</f>
        <v>143.810978079417</v>
      </c>
      <c r="AG6" s="67" t="n">
        <f aca="false">IF(AG$4="","",SUMIF(BOE!$V$6:$V$60,$A6,Phasing!AJ$5:AJ$59))</f>
        <v>148.604677348731</v>
      </c>
      <c r="AH6" s="67" t="n">
        <f aca="false">IF(AH$4="","",SUMIF(BOE!$V$6:$V$60,$A6,Phasing!AK$5:AK$59))</f>
        <v>148.604677348731</v>
      </c>
      <c r="AI6" s="67" t="n">
        <f aca="false">IF(AI$4="","",SUMIF(BOE!$V$6:$V$60,$A6,Phasing!AL$5:AL$59))</f>
        <v>143.810978079417</v>
      </c>
      <c r="AJ6" s="67" t="n">
        <f aca="false">IF(AJ$4="","",SUMIF(BOE!$V$6:$V$60,$A6,Phasing!AM$5:AM$59))</f>
        <v>61.0134364728182</v>
      </c>
      <c r="AK6" s="67" t="n">
        <f aca="false">IF(AK$4="","",SUMIF(BOE!$V$6:$V$60,$A6,Phasing!AN$5:AN$59))</f>
        <v>56.2197372035043</v>
      </c>
      <c r="AL6" s="67" t="n">
        <f aca="false">IF(AL$4="","",SUMIF(BOE!$V$6:$V$60,$A6,Phasing!AO$5:AO$59))</f>
        <v>52.4717547232707</v>
      </c>
      <c r="AM6" s="67" t="str">
        <f aca="false">IF(AM$4="","",SUMIF(BOE!$V$6:$V$60,$A6,Phasing!AP$5:AP$59))</f>
        <v/>
      </c>
      <c r="AN6" s="67" t="str">
        <f aca="false">IF(AN$4="","",SUMIF(BOE!$V$6:$V$60,$A6,Phasing!AQ$5:AQ$59))</f>
        <v/>
      </c>
      <c r="AO6" s="67" t="str">
        <f aca="false">IF(AO$4="","",SUMIF(BOE!$V$6:$V$60,$A6,Phasing!AR$5:AR$59))</f>
        <v/>
      </c>
      <c r="AP6" s="67" t="str">
        <f aca="false">IF(AP$4="","",SUMIF(BOE!$V$6:$V$60,$A6,Phasing!AS$5:AS$59))</f>
        <v/>
      </c>
      <c r="AQ6" s="67" t="str">
        <f aca="false">IF(AQ$4="","",SUMIF(BOE!$V$6:$V$60,$A6,Phasing!AT$5:AT$59))</f>
        <v/>
      </c>
      <c r="AR6" s="67" t="str">
        <f aca="false">IF(AR$4="","",SUMIF(BOE!$V$6:$V$60,$A6,Phasing!AU$5:AU$59))</f>
        <v/>
      </c>
      <c r="AS6" s="67" t="str">
        <f aca="false">IF(AS$4="","",SUMIF(BOE!$V$6:$V$60,$A6,Phasing!AV$5:AV$59))</f>
        <v/>
      </c>
      <c r="AT6" s="67" t="str">
        <f aca="false">IF(AT$4="","",SUMIF(BOE!$V$6:$V$60,$A6,Phasing!AW$5:AW$59))</f>
        <v/>
      </c>
      <c r="AU6" s="67" t="str">
        <f aca="false">IF(AU$4="","",SUMIF(BOE!$V$6:$V$60,$A6,Phasing!AX$5:AX$59))</f>
        <v/>
      </c>
      <c r="AV6" s="67" t="str">
        <f aca="false">IF(AV$4="","",SUMIF(BOE!$V$6:$V$60,$A6,Phasing!AY$5:AY$59))</f>
        <v/>
      </c>
      <c r="AW6" s="67" t="str">
        <f aca="false">IF(AW$4="","",SUMIF(BOE!$V$6:$V$60,$A6,Phasing!AZ$5:AZ$59))</f>
        <v/>
      </c>
      <c r="AX6" s="67" t="str">
        <f aca="false">IF(AX$4="","",SUMIF(BOE!$V$6:$V$60,$A6,Phasing!BA$5:BA$59))</f>
        <v/>
      </c>
      <c r="AY6" s="67" t="str">
        <f aca="false">IF(AY$4="","",SUMIF(BOE!$V$6:$V$60,$A6,Phasing!BB$5:BB$59))</f>
        <v/>
      </c>
      <c r="AZ6" s="67" t="str">
        <f aca="false">IF(AZ$4="","",SUMIF(BOE!$V$6:$V$60,$A6,Phasing!BC$5:BC$59))</f>
        <v/>
      </c>
      <c r="BA6" s="67" t="str">
        <f aca="false">IF(BA$4="","",SUMIF(BOE!$V$6:$V$60,$A6,Phasing!BD$5:BD$59))</f>
        <v/>
      </c>
      <c r="BB6" s="67" t="str">
        <f aca="false">IF(BB$4="","",SUMIF(BOE!$V$6:$V$60,$A6,Phasing!BE$5:BE$59))</f>
        <v/>
      </c>
      <c r="BC6" s="67" t="str">
        <f aca="false">IF(BC$4="","",SUMIF(BOE!$V$6:$V$60,$A6,Phasing!BF$5:BF$59))</f>
        <v/>
      </c>
      <c r="BD6" s="67" t="str">
        <f aca="false">IF(BD$4="","",SUMIF(BOE!$V$6:$V$60,$A6,Phasing!BG$5:BG$59))</f>
        <v/>
      </c>
      <c r="BE6" s="67" t="str">
        <f aca="false">IF(BE$4="","",SUMIF(BOE!$V$6:$V$60,$A6,Phasing!BH$5:BH$59))</f>
        <v/>
      </c>
      <c r="BF6" s="67" t="str">
        <f aca="false">IF(BF$4="","",SUMIF(BOE!$V$6:$V$60,$A6,Phasing!BI$5:BI$59))</f>
        <v/>
      </c>
      <c r="BG6" s="67" t="str">
        <f aca="false">IF(BG$4="","",SUMIF(BOE!$V$6:$V$60,$A6,Phasing!BJ$5:BJ$59))</f>
        <v/>
      </c>
      <c r="BH6" s="67" t="str">
        <f aca="false">IF(BH$4="","",SUMIF(BOE!$V$6:$V$60,$A6,Phasing!BK$5:BK$59))</f>
        <v/>
      </c>
      <c r="BI6" s="67" t="str">
        <f aca="false">IF(BI$4="","",SUMIF(BOE!$V$6:$V$60,$A6,Phasing!BL$5:BL$59))</f>
        <v/>
      </c>
      <c r="BJ6" s="67" t="str">
        <f aca="false">IF(BJ$4="","",SUMIF(BOE!$V$6:$V$60,$A6,Phasing!BM$5:BM$59))</f>
        <v/>
      </c>
      <c r="BK6" s="67" t="str">
        <f aca="false">IF(BK$4="","",SUMIF(BOE!$V$6:$V$60,$A6,Phasing!BN$5:BN$59))</f>
        <v/>
      </c>
      <c r="BL6" s="67" t="str">
        <f aca="false">IF(BL$4="","",SUMIF(BOE!$V$6:$V$60,$A6,Phasing!BO$5:BO$59))</f>
        <v/>
      </c>
      <c r="BM6" s="67" t="str">
        <f aca="false">IF(BM$4="","",SUMIF(BOE!$V$6:$V$60,$A6,Phasing!BP$5:BP$59))</f>
        <v/>
      </c>
      <c r="BN6" s="67" t="str">
        <f aca="false">IF(BN$4="","",SUMIF(BOE!$V$6:$V$60,$A6,Phasing!BQ$5:BQ$59))</f>
        <v/>
      </c>
      <c r="BO6" s="67" t="str">
        <f aca="false">IF(BO$4="","",SUMIF(BOE!$V$6:$V$60,$A6,Phasing!BR$5:BR$59))</f>
        <v/>
      </c>
      <c r="BP6" s="67" t="str">
        <f aca="false">IF(BP$4="","",SUMIF(BOE!$V$6:$V$60,$A6,Phasing!BS$5:BS$59))</f>
        <v/>
      </c>
      <c r="BQ6" s="67" t="str">
        <f aca="false">IF(BQ$4="","",SUMIF(BOE!$V$6:$V$60,$A6,Phasing!BT$5:BT$59))</f>
        <v/>
      </c>
      <c r="BR6" s="67" t="str">
        <f aca="false">IF(BR$4="","",SUMIF(BOE!$V$6:$V$60,$A6,Phasing!BU$5:BU$59))</f>
        <v/>
      </c>
      <c r="BS6" s="67" t="str">
        <f aca="false">IF(BS$4="","",SUMIF(BOE!$V$6:$V$60,$A6,Phasing!BV$5:BV$59))</f>
        <v/>
      </c>
      <c r="BT6" s="67" t="str">
        <f aca="false">IF(BT$4="","",SUMIF(BOE!$V$6:$V$60,$A6,Phasing!BW$5:BW$59))</f>
        <v/>
      </c>
      <c r="BU6" s="67" t="str">
        <f aca="false">IF(BU$4="","",SUMIF(BOE!$V$6:$V$60,$A6,Phasing!BX$5:BX$59))</f>
        <v/>
      </c>
      <c r="BV6" s="67" t="str">
        <f aca="false">IF(BV$4="","",SUMIF(BOE!$V$6:$V$60,$A6,Phasing!BY$5:BY$59))</f>
        <v/>
      </c>
    </row>
    <row r="7" customFormat="false" ht="15" hidden="false" customHeight="false" outlineLevel="0" collapsed="false">
      <c r="A7" s="61" t="str">
        <f aca="false">Inputs!$A$39</f>
        <v>System Safety Engineer</v>
      </c>
      <c r="B7" s="67" t="n">
        <f aca="false">SUM(C7:BV7)</f>
        <v>6952</v>
      </c>
      <c r="C7" s="67" t="n">
        <f aca="false">IF(C$4="","",SUMIF(BOE!$V$6:$V$60,$A7,Phasing!F$5:F$59))</f>
        <v>74.8333633579535</v>
      </c>
      <c r="D7" s="67" t="n">
        <f aca="false">IF(D$4="","",SUMIF(BOE!$V$6:$V$60,$A7,Phasing!G$5:G$59))</f>
        <v>67.5914249684741</v>
      </c>
      <c r="E7" s="67" t="n">
        <f aca="false">IF(E$4="","",SUMIF(BOE!$V$6:$V$60,$A7,Phasing!H$5:H$59))</f>
        <v>74.8333633579535</v>
      </c>
      <c r="F7" s="67" t="n">
        <f aca="false">IF(F$4="","",SUMIF(BOE!$V$6:$V$60,$A7,Phasing!I$5:I$59))</f>
        <v>180.725083233239</v>
      </c>
      <c r="G7" s="67" t="n">
        <f aca="false">IF(G$4="","",SUMIF(BOE!$V$6:$V$60,$A7,Phasing!J$5:J$59))</f>
        <v>184.932402857497</v>
      </c>
      <c r="H7" s="67" t="n">
        <f aca="false">IF(H$4="","",SUMIF(BOE!$V$6:$V$60,$A7,Phasing!K$5:K$59))</f>
        <v>178.966841474997</v>
      </c>
      <c r="I7" s="67" t="n">
        <f aca="false">IF(I$4="","",SUMIF(BOE!$V$6:$V$60,$A7,Phasing!L$5:L$59))</f>
        <v>176.932402857497</v>
      </c>
      <c r="J7" s="67" t="n">
        <f aca="false">IF(J$4="","",SUMIF(BOE!$V$6:$V$60,$A7,Phasing!M$5:M$59))</f>
        <v>60.9324028574968</v>
      </c>
      <c r="K7" s="67" t="n">
        <f aca="false">IF(K$4="","",SUMIF(BOE!$V$6:$V$60,$A7,Phasing!N$5:N$59))</f>
        <v>58.9668414749969</v>
      </c>
      <c r="L7" s="67" t="n">
        <f aca="false">IF(L$4="","",SUMIF(BOE!$V$6:$V$60,$A7,Phasing!O$5:O$59))</f>
        <v>60.9324028574968</v>
      </c>
      <c r="M7" s="67" t="n">
        <f aca="false">IF(M$4="","",SUMIF(BOE!$V$6:$V$60,$A7,Phasing!P$5:P$59))</f>
        <v>502.350010605171</v>
      </c>
      <c r="N7" s="67" t="n">
        <f aca="false">IF(N$4="","",SUMIF(BOE!$V$6:$V$60,$A7,Phasing!Q$5:Q$59))</f>
        <v>518.417415330262</v>
      </c>
      <c r="O7" s="67" t="n">
        <f aca="false">IF(O$4="","",SUMIF(BOE!$V$6:$V$60,$A7,Phasing!R$5:R$59))</f>
        <v>518.417415330262</v>
      </c>
      <c r="P7" s="67" t="n">
        <f aca="false">IF(P$4="","",SUMIF(BOE!$V$6:$V$60,$A7,Phasing!S$5:S$59))</f>
        <v>484.971130470245</v>
      </c>
      <c r="Q7" s="67" t="n">
        <f aca="false">IF(Q$4="","",SUMIF(BOE!$V$6:$V$60,$A7,Phasing!T$5:T$59))</f>
        <v>518.417415330262</v>
      </c>
      <c r="R7" s="67" t="n">
        <f aca="false">IF(R$4="","",SUMIF(BOE!$V$6:$V$60,$A7,Phasing!U$5:U$59))</f>
        <v>501.694272900253</v>
      </c>
      <c r="S7" s="67" t="n">
        <f aca="false">IF(S$4="","",SUMIF(BOE!$V$6:$V$60,$A7,Phasing!V$5:V$59))</f>
        <v>503.852267828145</v>
      </c>
      <c r="T7" s="67" t="n">
        <f aca="false">IF(T$4="","",SUMIF(BOE!$V$6:$V$60,$A7,Phasing!W$5:W$59))</f>
        <v>220.455864131608</v>
      </c>
      <c r="U7" s="67" t="n">
        <f aca="false">IF(U$4="","",SUMIF(BOE!$V$6:$V$60,$A7,Phasing!X$5:X$59))</f>
        <v>134.276917343247</v>
      </c>
      <c r="V7" s="67" t="n">
        <f aca="false">IF(V$4="","",SUMIF(BOE!$V$6:$V$60,$A7,Phasing!Y$5:Y$59))</f>
        <v>134.276917343247</v>
      </c>
      <c r="W7" s="67" t="n">
        <f aca="false">IF(W$4="","",SUMIF(BOE!$V$6:$V$60,$A7,Phasing!Z$5:Z$59))</f>
        <v>129.945403880562</v>
      </c>
      <c r="X7" s="67" t="n">
        <f aca="false">IF(X$4="","",SUMIF(BOE!$V$6:$V$60,$A7,Phasing!AA$5:AA$59))</f>
        <v>134.276917343247</v>
      </c>
      <c r="Y7" s="67" t="n">
        <f aca="false">IF(Y$4="","",SUMIF(BOE!$V$6:$V$60,$A7,Phasing!AB$5:AB$59))</f>
        <v>129.945403880562</v>
      </c>
      <c r="Z7" s="67" t="n">
        <f aca="false">IF(Z$4="","",SUMIF(BOE!$V$6:$V$60,$A7,Phasing!AC$5:AC$59))</f>
        <v>194.427293283097</v>
      </c>
      <c r="AA7" s="67" t="n">
        <f aca="false">IF(AA$4="","",SUMIF(BOE!$V$6:$V$60,$A7,Phasing!AD$5:AD$59))</f>
        <v>150.326798142807</v>
      </c>
      <c r="AB7" s="67" t="n">
        <f aca="false">IF(AB$4="","",SUMIF(BOE!$V$6:$V$60,$A7,Phasing!AE$5:AE$59))</f>
        <v>134.016651666359</v>
      </c>
      <c r="AC7" s="67" t="n">
        <f aca="false">IF(AC$4="","",SUMIF(BOE!$V$6:$V$60,$A7,Phasing!AF$5:AF$59))</f>
        <v>148.375578630612</v>
      </c>
      <c r="AD7" s="67" t="n">
        <f aca="false">IF(AD$4="","",SUMIF(BOE!$V$6:$V$60,$A7,Phasing!AG$5:AG$59))</f>
        <v>143.589269642528</v>
      </c>
      <c r="AE7" s="67" t="n">
        <f aca="false">IF(AE$4="","",SUMIF(BOE!$V$6:$V$60,$A7,Phasing!AH$5:AH$59))</f>
        <v>148.375578630612</v>
      </c>
      <c r="AF7" s="67" t="n">
        <f aca="false">IF(AF$4="","",SUMIF(BOE!$V$6:$V$60,$A7,Phasing!AI$5:AI$59))</f>
        <v>143.589269642528</v>
      </c>
      <c r="AG7" s="67" t="n">
        <f aca="false">IF(AG$4="","",SUMIF(BOE!$V$6:$V$60,$A7,Phasing!AJ$5:AJ$59))</f>
        <v>148.375578630612</v>
      </c>
      <c r="AH7" s="67" t="n">
        <f aca="false">IF(AH$4="","",SUMIF(BOE!$V$6:$V$60,$A7,Phasing!AK$5:AK$59))</f>
        <v>95.8779590357735</v>
      </c>
      <c r="AI7" s="67" t="n">
        <f aca="false">IF(AI$4="","",SUMIF(BOE!$V$6:$V$60,$A7,Phasing!AL$5:AL$59))</f>
        <v>23.7232289950577</v>
      </c>
      <c r="AJ7" s="67" t="n">
        <f aca="false">IF(AJ$4="","",SUMIF(BOE!$V$6:$V$60,$A7,Phasing!AM$5:AM$59))</f>
        <v>24.5140032948929</v>
      </c>
      <c r="AK7" s="67" t="n">
        <f aca="false">IF(AK$4="","",SUMIF(BOE!$V$6:$V$60,$A7,Phasing!AN$5:AN$59))</f>
        <v>23.7232289950577</v>
      </c>
      <c r="AL7" s="67" t="n">
        <f aca="false">IF(AL$4="","",SUMIF(BOE!$V$6:$V$60,$A7,Phasing!AO$5:AO$59))</f>
        <v>22.1416803953872</v>
      </c>
      <c r="AM7" s="67" t="str">
        <f aca="false">IF(AM$4="","",SUMIF(BOE!$V$6:$V$60,$A7,Phasing!AP$5:AP$59))</f>
        <v/>
      </c>
      <c r="AN7" s="67" t="str">
        <f aca="false">IF(AN$4="","",SUMIF(BOE!$V$6:$V$60,$A7,Phasing!AQ$5:AQ$59))</f>
        <v/>
      </c>
      <c r="AO7" s="67" t="str">
        <f aca="false">IF(AO$4="","",SUMIF(BOE!$V$6:$V$60,$A7,Phasing!AR$5:AR$59))</f>
        <v/>
      </c>
      <c r="AP7" s="67" t="str">
        <f aca="false">IF(AP$4="","",SUMIF(BOE!$V$6:$V$60,$A7,Phasing!AS$5:AS$59))</f>
        <v/>
      </c>
      <c r="AQ7" s="67" t="str">
        <f aca="false">IF(AQ$4="","",SUMIF(BOE!$V$6:$V$60,$A7,Phasing!AT$5:AT$59))</f>
        <v/>
      </c>
      <c r="AR7" s="67" t="str">
        <f aca="false">IF(AR$4="","",SUMIF(BOE!$V$6:$V$60,$A7,Phasing!AU$5:AU$59))</f>
        <v/>
      </c>
      <c r="AS7" s="67" t="str">
        <f aca="false">IF(AS$4="","",SUMIF(BOE!$V$6:$V$60,$A7,Phasing!AV$5:AV$59))</f>
        <v/>
      </c>
      <c r="AT7" s="67" t="str">
        <f aca="false">IF(AT$4="","",SUMIF(BOE!$V$6:$V$60,$A7,Phasing!AW$5:AW$59))</f>
        <v/>
      </c>
      <c r="AU7" s="67" t="str">
        <f aca="false">IF(AU$4="","",SUMIF(BOE!$V$6:$V$60,$A7,Phasing!AX$5:AX$59))</f>
        <v/>
      </c>
      <c r="AV7" s="67" t="str">
        <f aca="false">IF(AV$4="","",SUMIF(BOE!$V$6:$V$60,$A7,Phasing!AY$5:AY$59))</f>
        <v/>
      </c>
      <c r="AW7" s="67" t="str">
        <f aca="false">IF(AW$4="","",SUMIF(BOE!$V$6:$V$60,$A7,Phasing!AZ$5:AZ$59))</f>
        <v/>
      </c>
      <c r="AX7" s="67" t="str">
        <f aca="false">IF(AX$4="","",SUMIF(BOE!$V$6:$V$60,$A7,Phasing!BA$5:BA$59))</f>
        <v/>
      </c>
      <c r="AY7" s="67" t="str">
        <f aca="false">IF(AY$4="","",SUMIF(BOE!$V$6:$V$60,$A7,Phasing!BB$5:BB$59))</f>
        <v/>
      </c>
      <c r="AZ7" s="67" t="str">
        <f aca="false">IF(AZ$4="","",SUMIF(BOE!$V$6:$V$60,$A7,Phasing!BC$5:BC$59))</f>
        <v/>
      </c>
      <c r="BA7" s="67" t="str">
        <f aca="false">IF(BA$4="","",SUMIF(BOE!$V$6:$V$60,$A7,Phasing!BD$5:BD$59))</f>
        <v/>
      </c>
      <c r="BB7" s="67" t="str">
        <f aca="false">IF(BB$4="","",SUMIF(BOE!$V$6:$V$60,$A7,Phasing!BE$5:BE$59))</f>
        <v/>
      </c>
      <c r="BC7" s="67" t="str">
        <f aca="false">IF(BC$4="","",SUMIF(BOE!$V$6:$V$60,$A7,Phasing!BF$5:BF$59))</f>
        <v/>
      </c>
      <c r="BD7" s="67" t="str">
        <f aca="false">IF(BD$4="","",SUMIF(BOE!$V$6:$V$60,$A7,Phasing!BG$5:BG$59))</f>
        <v/>
      </c>
      <c r="BE7" s="67" t="str">
        <f aca="false">IF(BE$4="","",SUMIF(BOE!$V$6:$V$60,$A7,Phasing!BH$5:BH$59))</f>
        <v/>
      </c>
      <c r="BF7" s="67" t="str">
        <f aca="false">IF(BF$4="","",SUMIF(BOE!$V$6:$V$60,$A7,Phasing!BI$5:BI$59))</f>
        <v/>
      </c>
      <c r="BG7" s="67" t="str">
        <f aca="false">IF(BG$4="","",SUMIF(BOE!$V$6:$V$60,$A7,Phasing!BJ$5:BJ$59))</f>
        <v/>
      </c>
      <c r="BH7" s="67" t="str">
        <f aca="false">IF(BH$4="","",SUMIF(BOE!$V$6:$V$60,$A7,Phasing!BK$5:BK$59))</f>
        <v/>
      </c>
      <c r="BI7" s="67" t="str">
        <f aca="false">IF(BI$4="","",SUMIF(BOE!$V$6:$V$60,$A7,Phasing!BL$5:BL$59))</f>
        <v/>
      </c>
      <c r="BJ7" s="67" t="str">
        <f aca="false">IF(BJ$4="","",SUMIF(BOE!$V$6:$V$60,$A7,Phasing!BM$5:BM$59))</f>
        <v/>
      </c>
      <c r="BK7" s="67" t="str">
        <f aca="false">IF(BK$4="","",SUMIF(BOE!$V$6:$V$60,$A7,Phasing!BN$5:BN$59))</f>
        <v/>
      </c>
      <c r="BL7" s="67" t="str">
        <f aca="false">IF(BL$4="","",SUMIF(BOE!$V$6:$V$60,$A7,Phasing!BO$5:BO$59))</f>
        <v/>
      </c>
      <c r="BM7" s="67" t="str">
        <f aca="false">IF(BM$4="","",SUMIF(BOE!$V$6:$V$60,$A7,Phasing!BP$5:BP$59))</f>
        <v/>
      </c>
      <c r="BN7" s="67" t="str">
        <f aca="false">IF(BN$4="","",SUMIF(BOE!$V$6:$V$60,$A7,Phasing!BQ$5:BQ$59))</f>
        <v/>
      </c>
      <c r="BO7" s="67" t="str">
        <f aca="false">IF(BO$4="","",SUMIF(BOE!$V$6:$V$60,$A7,Phasing!BR$5:BR$59))</f>
        <v/>
      </c>
      <c r="BP7" s="67" t="str">
        <f aca="false">IF(BP$4="","",SUMIF(BOE!$V$6:$V$60,$A7,Phasing!BS$5:BS$59))</f>
        <v/>
      </c>
      <c r="BQ7" s="67" t="str">
        <f aca="false">IF(BQ$4="","",SUMIF(BOE!$V$6:$V$60,$A7,Phasing!BT$5:BT$59))</f>
        <v/>
      </c>
      <c r="BR7" s="67" t="str">
        <f aca="false">IF(BR$4="","",SUMIF(BOE!$V$6:$V$60,$A7,Phasing!BU$5:BU$59))</f>
        <v/>
      </c>
      <c r="BS7" s="67" t="str">
        <f aca="false">IF(BS$4="","",SUMIF(BOE!$V$6:$V$60,$A7,Phasing!BV$5:BV$59))</f>
        <v/>
      </c>
      <c r="BT7" s="67" t="str">
        <f aca="false">IF(BT$4="","",SUMIF(BOE!$V$6:$V$60,$A7,Phasing!BW$5:BW$59))</f>
        <v/>
      </c>
      <c r="BU7" s="67" t="str">
        <f aca="false">IF(BU$4="","",SUMIF(BOE!$V$6:$V$60,$A7,Phasing!BX$5:BX$59))</f>
        <v/>
      </c>
      <c r="BV7" s="67" t="str">
        <f aca="false">IF(BV$4="","",SUMIF(BOE!$V$6:$V$60,$A7,Phasing!BY$5:BY$59))</f>
        <v/>
      </c>
    </row>
    <row r="8" customFormat="false" ht="15" hidden="false" customHeight="false" outlineLevel="0" collapsed="false">
      <c r="A8" s="61" t="str">
        <f aca="false">Inputs!$A$40</f>
        <v>Software Safety Engineer</v>
      </c>
      <c r="B8" s="67" t="n">
        <f aca="false">SUM(C8:BV8)</f>
        <v>1144</v>
      </c>
      <c r="C8" s="67" t="n">
        <f aca="false">IF(C$4="","",SUMIF(BOE!$V$6:$V$60,$A8,Phasing!F$5:F$59))</f>
        <v>0</v>
      </c>
      <c r="D8" s="67" t="n">
        <f aca="false">IF(D$4="","",SUMIF(BOE!$V$6:$V$60,$A8,Phasing!G$5:G$59))</f>
        <v>0</v>
      </c>
      <c r="E8" s="67" t="n">
        <f aca="false">IF(E$4="","",SUMIF(BOE!$V$6:$V$60,$A8,Phasing!H$5:H$59))</f>
        <v>0</v>
      </c>
      <c r="F8" s="67" t="n">
        <f aca="false">IF(F$4="","",SUMIF(BOE!$V$6:$V$60,$A8,Phasing!I$5:I$59))</f>
        <v>72.5581395348837</v>
      </c>
      <c r="G8" s="67" t="n">
        <f aca="false">IF(G$4="","",SUMIF(BOE!$V$6:$V$60,$A8,Phasing!J$5:J$59))</f>
        <v>74.9767441860465</v>
      </c>
      <c r="H8" s="67" t="n">
        <f aca="false">IF(H$4="","",SUMIF(BOE!$V$6:$V$60,$A8,Phasing!K$5:K$59))</f>
        <v>72.5581395348837</v>
      </c>
      <c r="I8" s="67" t="n">
        <f aca="false">IF(I$4="","",SUMIF(BOE!$V$6:$V$60,$A8,Phasing!L$5:L$59))</f>
        <v>74.9767441860465</v>
      </c>
      <c r="J8" s="67" t="n">
        <f aca="false">IF(J$4="","",SUMIF(BOE!$V$6:$V$60,$A8,Phasing!M$5:M$59))</f>
        <v>74.9767441860465</v>
      </c>
      <c r="K8" s="67" t="n">
        <f aca="false">IF(K$4="","",SUMIF(BOE!$V$6:$V$60,$A8,Phasing!N$5:N$59))</f>
        <v>72.5581395348837</v>
      </c>
      <c r="L8" s="67" t="n">
        <f aca="false">IF(L$4="","",SUMIF(BOE!$V$6:$V$60,$A8,Phasing!O$5:O$59))</f>
        <v>74.9767441860465</v>
      </c>
      <c r="M8" s="67" t="n">
        <f aca="false">IF(M$4="","",SUMIF(BOE!$V$6:$V$60,$A8,Phasing!P$5:P$59))</f>
        <v>46.1569224081721</v>
      </c>
      <c r="N8" s="67" t="n">
        <f aca="false">IF(N$4="","",SUMIF(BOE!$V$6:$V$60,$A8,Phasing!Q$5:Q$59))</f>
        <v>45.196261682243</v>
      </c>
      <c r="O8" s="67" t="n">
        <f aca="false">IF(O$4="","",SUMIF(BOE!$V$6:$V$60,$A8,Phasing!R$5:R$59))</f>
        <v>45.196261682243</v>
      </c>
      <c r="P8" s="67" t="n">
        <f aca="false">IF(P$4="","",SUMIF(BOE!$V$6:$V$60,$A8,Phasing!S$5:S$59))</f>
        <v>42.2803738317757</v>
      </c>
      <c r="Q8" s="67" t="n">
        <f aca="false">IF(Q$4="","",SUMIF(BOE!$V$6:$V$60,$A8,Phasing!T$5:T$59))</f>
        <v>45.196261682243</v>
      </c>
      <c r="R8" s="67" t="n">
        <f aca="false">IF(R$4="","",SUMIF(BOE!$V$6:$V$60,$A8,Phasing!U$5:U$59))</f>
        <v>43.7383177570094</v>
      </c>
      <c r="S8" s="67" t="n">
        <f aca="false">IF(S$4="","",SUMIF(BOE!$V$6:$V$60,$A8,Phasing!V$5:V$59))</f>
        <v>45.196261682243</v>
      </c>
      <c r="T8" s="67" t="n">
        <f aca="false">IF(T$4="","",SUMIF(BOE!$V$6:$V$60,$A8,Phasing!W$5:W$59))</f>
        <v>43.7383177570094</v>
      </c>
      <c r="U8" s="67" t="n">
        <f aca="false">IF(U$4="","",SUMIF(BOE!$V$6:$V$60,$A8,Phasing!X$5:X$59))</f>
        <v>45.196261682243</v>
      </c>
      <c r="V8" s="67" t="n">
        <f aca="false">IF(V$4="","",SUMIF(BOE!$V$6:$V$60,$A8,Phasing!Y$5:Y$59))</f>
        <v>45.196261682243</v>
      </c>
      <c r="W8" s="67" t="n">
        <f aca="false">IF(W$4="","",SUMIF(BOE!$V$6:$V$60,$A8,Phasing!Z$5:Z$59))</f>
        <v>43.7383177570094</v>
      </c>
      <c r="X8" s="67" t="n">
        <f aca="false">IF(X$4="","",SUMIF(BOE!$V$6:$V$60,$A8,Phasing!AA$5:AA$59))</f>
        <v>45.196261682243</v>
      </c>
      <c r="Y8" s="67" t="n">
        <f aca="false">IF(Y$4="","",SUMIF(BOE!$V$6:$V$60,$A8,Phasing!AB$5:AB$59))</f>
        <v>43.7383177570094</v>
      </c>
      <c r="Z8" s="67" t="n">
        <f aca="false">IF(Z$4="","",SUMIF(BOE!$V$6:$V$60,$A8,Phasing!AC$5:AC$59))</f>
        <v>45.196261682243</v>
      </c>
      <c r="AA8" s="67" t="n">
        <f aca="false">IF(AA$4="","",SUMIF(BOE!$V$6:$V$60,$A8,Phasing!AD$5:AD$59))</f>
        <v>1.45794392523364</v>
      </c>
      <c r="AB8" s="67" t="n">
        <f aca="false">IF(AB$4="","",SUMIF(BOE!$V$6:$V$60,$A8,Phasing!AE$5:AE$59))</f>
        <v>0</v>
      </c>
      <c r="AC8" s="67" t="n">
        <f aca="false">IF(AC$4="","",SUMIF(BOE!$V$6:$V$60,$A8,Phasing!AF$5:AF$59))</f>
        <v>0</v>
      </c>
      <c r="AD8" s="67" t="n">
        <f aca="false">IF(AD$4="","",SUMIF(BOE!$V$6:$V$60,$A8,Phasing!AG$5:AG$59))</f>
        <v>0</v>
      </c>
      <c r="AE8" s="67" t="n">
        <f aca="false">IF(AE$4="","",SUMIF(BOE!$V$6:$V$60,$A8,Phasing!AH$5:AH$59))</f>
        <v>0</v>
      </c>
      <c r="AF8" s="67" t="n">
        <f aca="false">IF(AF$4="","",SUMIF(BOE!$V$6:$V$60,$A8,Phasing!AI$5:AI$59))</f>
        <v>0</v>
      </c>
      <c r="AG8" s="67" t="n">
        <f aca="false">IF(AG$4="","",SUMIF(BOE!$V$6:$V$60,$A8,Phasing!AJ$5:AJ$59))</f>
        <v>0</v>
      </c>
      <c r="AH8" s="67" t="n">
        <f aca="false">IF(AH$4="","",SUMIF(BOE!$V$6:$V$60,$A8,Phasing!AK$5:AK$59))</f>
        <v>0</v>
      </c>
      <c r="AI8" s="67" t="n">
        <f aca="false">IF(AI$4="","",SUMIF(BOE!$V$6:$V$60,$A8,Phasing!AL$5:AL$59))</f>
        <v>0</v>
      </c>
      <c r="AJ8" s="67" t="n">
        <f aca="false">IF(AJ$4="","",SUMIF(BOE!$V$6:$V$60,$A8,Phasing!AM$5:AM$59))</f>
        <v>0</v>
      </c>
      <c r="AK8" s="67" t="n">
        <f aca="false">IF(AK$4="","",SUMIF(BOE!$V$6:$V$60,$A8,Phasing!AN$5:AN$59))</f>
        <v>0</v>
      </c>
      <c r="AL8" s="67" t="n">
        <f aca="false">IF(AL$4="","",SUMIF(BOE!$V$6:$V$60,$A8,Phasing!AO$5:AO$59))</f>
        <v>0</v>
      </c>
      <c r="AM8" s="67" t="str">
        <f aca="false">IF(AM$4="","",SUMIF(BOE!$V$6:$V$60,$A8,Phasing!AP$5:AP$59))</f>
        <v/>
      </c>
      <c r="AN8" s="67" t="str">
        <f aca="false">IF(AN$4="","",SUMIF(BOE!$V$6:$V$60,$A8,Phasing!AQ$5:AQ$59))</f>
        <v/>
      </c>
      <c r="AO8" s="67" t="str">
        <f aca="false">IF(AO$4="","",SUMIF(BOE!$V$6:$V$60,$A8,Phasing!AR$5:AR$59))</f>
        <v/>
      </c>
      <c r="AP8" s="67" t="str">
        <f aca="false">IF(AP$4="","",SUMIF(BOE!$V$6:$V$60,$A8,Phasing!AS$5:AS$59))</f>
        <v/>
      </c>
      <c r="AQ8" s="67" t="str">
        <f aca="false">IF(AQ$4="","",SUMIF(BOE!$V$6:$V$60,$A8,Phasing!AT$5:AT$59))</f>
        <v/>
      </c>
      <c r="AR8" s="67" t="str">
        <f aca="false">IF(AR$4="","",SUMIF(BOE!$V$6:$V$60,$A8,Phasing!AU$5:AU$59))</f>
        <v/>
      </c>
      <c r="AS8" s="67" t="str">
        <f aca="false">IF(AS$4="","",SUMIF(BOE!$V$6:$V$60,$A8,Phasing!AV$5:AV$59))</f>
        <v/>
      </c>
      <c r="AT8" s="67" t="str">
        <f aca="false">IF(AT$4="","",SUMIF(BOE!$V$6:$V$60,$A8,Phasing!AW$5:AW$59))</f>
        <v/>
      </c>
      <c r="AU8" s="67" t="str">
        <f aca="false">IF(AU$4="","",SUMIF(BOE!$V$6:$V$60,$A8,Phasing!AX$5:AX$59))</f>
        <v/>
      </c>
      <c r="AV8" s="67" t="str">
        <f aca="false">IF(AV$4="","",SUMIF(BOE!$V$6:$V$60,$A8,Phasing!AY$5:AY$59))</f>
        <v/>
      </c>
      <c r="AW8" s="67" t="str">
        <f aca="false">IF(AW$4="","",SUMIF(BOE!$V$6:$V$60,$A8,Phasing!AZ$5:AZ$59))</f>
        <v/>
      </c>
      <c r="AX8" s="67" t="str">
        <f aca="false">IF(AX$4="","",SUMIF(BOE!$V$6:$V$60,$A8,Phasing!BA$5:BA$59))</f>
        <v/>
      </c>
      <c r="AY8" s="67" t="str">
        <f aca="false">IF(AY$4="","",SUMIF(BOE!$V$6:$V$60,$A8,Phasing!BB$5:BB$59))</f>
        <v/>
      </c>
      <c r="AZ8" s="67" t="str">
        <f aca="false">IF(AZ$4="","",SUMIF(BOE!$V$6:$V$60,$A8,Phasing!BC$5:BC$59))</f>
        <v/>
      </c>
      <c r="BA8" s="67" t="str">
        <f aca="false">IF(BA$4="","",SUMIF(BOE!$V$6:$V$60,$A8,Phasing!BD$5:BD$59))</f>
        <v/>
      </c>
      <c r="BB8" s="67" t="str">
        <f aca="false">IF(BB$4="","",SUMIF(BOE!$V$6:$V$60,$A8,Phasing!BE$5:BE$59))</f>
        <v/>
      </c>
      <c r="BC8" s="67" t="str">
        <f aca="false">IF(BC$4="","",SUMIF(BOE!$V$6:$V$60,$A8,Phasing!BF$5:BF$59))</f>
        <v/>
      </c>
      <c r="BD8" s="67" t="str">
        <f aca="false">IF(BD$4="","",SUMIF(BOE!$V$6:$V$60,$A8,Phasing!BG$5:BG$59))</f>
        <v/>
      </c>
      <c r="BE8" s="67" t="str">
        <f aca="false">IF(BE$4="","",SUMIF(BOE!$V$6:$V$60,$A8,Phasing!BH$5:BH$59))</f>
        <v/>
      </c>
      <c r="BF8" s="67" t="str">
        <f aca="false">IF(BF$4="","",SUMIF(BOE!$V$6:$V$60,$A8,Phasing!BI$5:BI$59))</f>
        <v/>
      </c>
      <c r="BG8" s="67" t="str">
        <f aca="false">IF(BG$4="","",SUMIF(BOE!$V$6:$V$60,$A8,Phasing!BJ$5:BJ$59))</f>
        <v/>
      </c>
      <c r="BH8" s="67" t="str">
        <f aca="false">IF(BH$4="","",SUMIF(BOE!$V$6:$V$60,$A8,Phasing!BK$5:BK$59))</f>
        <v/>
      </c>
      <c r="BI8" s="67" t="str">
        <f aca="false">IF(BI$4="","",SUMIF(BOE!$V$6:$V$60,$A8,Phasing!BL$5:BL$59))</f>
        <v/>
      </c>
      <c r="BJ8" s="67" t="str">
        <f aca="false">IF(BJ$4="","",SUMIF(BOE!$V$6:$V$60,$A8,Phasing!BM$5:BM$59))</f>
        <v/>
      </c>
      <c r="BK8" s="67" t="str">
        <f aca="false">IF(BK$4="","",SUMIF(BOE!$V$6:$V$60,$A8,Phasing!BN$5:BN$59))</f>
        <v/>
      </c>
      <c r="BL8" s="67" t="str">
        <f aca="false">IF(BL$4="","",SUMIF(BOE!$V$6:$V$60,$A8,Phasing!BO$5:BO$59))</f>
        <v/>
      </c>
      <c r="BM8" s="67" t="str">
        <f aca="false">IF(BM$4="","",SUMIF(BOE!$V$6:$V$60,$A8,Phasing!BP$5:BP$59))</f>
        <v/>
      </c>
      <c r="BN8" s="67" t="str">
        <f aca="false">IF(BN$4="","",SUMIF(BOE!$V$6:$V$60,$A8,Phasing!BQ$5:BQ$59))</f>
        <v/>
      </c>
      <c r="BO8" s="67" t="str">
        <f aca="false">IF(BO$4="","",SUMIF(BOE!$V$6:$V$60,$A8,Phasing!BR$5:BR$59))</f>
        <v/>
      </c>
      <c r="BP8" s="67" t="str">
        <f aca="false">IF(BP$4="","",SUMIF(BOE!$V$6:$V$60,$A8,Phasing!BS$5:BS$59))</f>
        <v/>
      </c>
      <c r="BQ8" s="67" t="str">
        <f aca="false">IF(BQ$4="","",SUMIF(BOE!$V$6:$V$60,$A8,Phasing!BT$5:BT$59))</f>
        <v/>
      </c>
      <c r="BR8" s="67" t="str">
        <f aca="false">IF(BR$4="","",SUMIF(BOE!$V$6:$V$60,$A8,Phasing!BU$5:BU$59))</f>
        <v/>
      </c>
      <c r="BS8" s="67" t="str">
        <f aca="false">IF(BS$4="","",SUMIF(BOE!$V$6:$V$60,$A8,Phasing!BV$5:BV$59))</f>
        <v/>
      </c>
      <c r="BT8" s="67" t="str">
        <f aca="false">IF(BT$4="","",SUMIF(BOE!$V$6:$V$60,$A8,Phasing!BW$5:BW$59))</f>
        <v/>
      </c>
      <c r="BU8" s="67" t="str">
        <f aca="false">IF(BU$4="","",SUMIF(BOE!$V$6:$V$60,$A8,Phasing!BX$5:BX$59))</f>
        <v/>
      </c>
      <c r="BV8" s="67" t="str">
        <f aca="false">IF(BV$4="","",SUMIF(BOE!$V$6:$V$60,$A8,Phasing!BY$5:BY$59))</f>
        <v/>
      </c>
    </row>
    <row r="9" customFormat="false" ht="15" hidden="false" customHeight="false" outlineLevel="0" collapsed="false">
      <c r="A9" s="61" t="str">
        <f aca="false">Inputs!$A$41</f>
        <v>Safety Analyst</v>
      </c>
      <c r="B9" s="67" t="n">
        <f aca="false">SUM(C9:BV9)</f>
        <v>703.359342915811</v>
      </c>
      <c r="C9" s="67" t="n">
        <f aca="false">IF(C$4="","",SUMIF(BOE!$V$6:$V$60,$A9,Phasing!F$5:F$59))</f>
        <v>40.8791208791209</v>
      </c>
      <c r="D9" s="67" t="n">
        <f aca="false">IF(D$4="","",SUMIF(BOE!$V$6:$V$60,$A9,Phasing!G$5:G$59))</f>
        <v>42.0692757534863</v>
      </c>
      <c r="E9" s="67" t="n">
        <f aca="false">IF(E$4="","",SUMIF(BOE!$V$6:$V$60,$A9,Phasing!H$5:H$59))</f>
        <v>55.3820448557291</v>
      </c>
      <c r="F9" s="67" t="n">
        <f aca="false">IF(F$4="","",SUMIF(BOE!$V$6:$V$60,$A9,Phasing!I$5:I$59))</f>
        <v>23.230917878931</v>
      </c>
      <c r="G9" s="67" t="n">
        <f aca="false">IF(G$4="","",SUMIF(BOE!$V$6:$V$60,$A9,Phasing!J$5:J$59))</f>
        <v>22.6426444455914</v>
      </c>
      <c r="H9" s="67" t="n">
        <f aca="false">IF(H$4="","",SUMIF(BOE!$V$6:$V$60,$A9,Phasing!K$5:K$59))</f>
        <v>21.9122365602497</v>
      </c>
      <c r="I9" s="67" t="n">
        <f aca="false">IF(I$4="","",SUMIF(BOE!$V$6:$V$60,$A9,Phasing!L$5:L$59))</f>
        <v>22.6426444455914</v>
      </c>
      <c r="J9" s="67" t="n">
        <f aca="false">IF(J$4="","",SUMIF(BOE!$V$6:$V$60,$A9,Phasing!M$5:M$59))</f>
        <v>22.6426444455914</v>
      </c>
      <c r="K9" s="67" t="n">
        <f aca="false">IF(K$4="","",SUMIF(BOE!$V$6:$V$60,$A9,Phasing!N$5:N$59))</f>
        <v>21.9122365602497</v>
      </c>
      <c r="L9" s="67" t="n">
        <f aca="false">IF(L$4="","",SUMIF(BOE!$V$6:$V$60,$A9,Phasing!O$5:O$59))</f>
        <v>22.6426444455914</v>
      </c>
      <c r="M9" s="67" t="n">
        <f aca="false">IF(M$4="","",SUMIF(BOE!$V$6:$V$60,$A9,Phasing!P$5:P$59))</f>
        <v>21.9122365602497</v>
      </c>
      <c r="N9" s="67" t="n">
        <f aca="false">IF(N$4="","",SUMIF(BOE!$V$6:$V$60,$A9,Phasing!Q$5:Q$59))</f>
        <v>22.6426444455914</v>
      </c>
      <c r="O9" s="67" t="n">
        <f aca="false">IF(O$4="","",SUMIF(BOE!$V$6:$V$60,$A9,Phasing!R$5:R$59))</f>
        <v>22.6426444455914</v>
      </c>
      <c r="P9" s="67" t="n">
        <f aca="false">IF(P$4="","",SUMIF(BOE!$V$6:$V$60,$A9,Phasing!S$5:S$59))</f>
        <v>21.1818286749081</v>
      </c>
      <c r="Q9" s="67" t="n">
        <f aca="false">IF(Q$4="","",SUMIF(BOE!$V$6:$V$60,$A9,Phasing!T$5:T$59))</f>
        <v>22.6426444455914</v>
      </c>
      <c r="R9" s="67" t="n">
        <f aca="false">IF(R$4="","",SUMIF(BOE!$V$6:$V$60,$A9,Phasing!U$5:U$59))</f>
        <v>21.9122365602497</v>
      </c>
      <c r="S9" s="67" t="n">
        <f aca="false">IF(S$4="","",SUMIF(BOE!$V$6:$V$60,$A9,Phasing!V$5:V$59))</f>
        <v>22.6426444455914</v>
      </c>
      <c r="T9" s="67" t="n">
        <f aca="false">IF(T$4="","",SUMIF(BOE!$V$6:$V$60,$A9,Phasing!W$5:W$59))</f>
        <v>21.9122365602497</v>
      </c>
      <c r="U9" s="67" t="n">
        <f aca="false">IF(U$4="","",SUMIF(BOE!$V$6:$V$60,$A9,Phasing!X$5:X$59))</f>
        <v>22.6426444455914</v>
      </c>
      <c r="V9" s="67" t="n">
        <f aca="false">IF(V$4="","",SUMIF(BOE!$V$6:$V$60,$A9,Phasing!Y$5:Y$59))</f>
        <v>22.6426444455914</v>
      </c>
      <c r="W9" s="67" t="n">
        <f aca="false">IF(W$4="","",SUMIF(BOE!$V$6:$V$60,$A9,Phasing!Z$5:Z$59))</f>
        <v>21.9122365602497</v>
      </c>
      <c r="X9" s="67" t="n">
        <f aca="false">IF(X$4="","",SUMIF(BOE!$V$6:$V$60,$A9,Phasing!AA$5:AA$59))</f>
        <v>22.6426444455914</v>
      </c>
      <c r="Y9" s="67" t="n">
        <f aca="false">IF(Y$4="","",SUMIF(BOE!$V$6:$V$60,$A9,Phasing!AB$5:AB$59))</f>
        <v>21.9122365602497</v>
      </c>
      <c r="Z9" s="67" t="n">
        <f aca="false">IF(Z$4="","",SUMIF(BOE!$V$6:$V$60,$A9,Phasing!AC$5:AC$59))</f>
        <v>22.6426444455914</v>
      </c>
      <c r="AA9" s="67" t="n">
        <f aca="false">IF(AA$4="","",SUMIF(BOE!$V$6:$V$60,$A9,Phasing!AD$5:AD$59))</f>
        <v>8.60755672629314</v>
      </c>
      <c r="AB9" s="67" t="n">
        <f aca="false">IF(AB$4="","",SUMIF(BOE!$V$6:$V$60,$A9,Phasing!AE$5:AE$59))</f>
        <v>7.35200558488805</v>
      </c>
      <c r="AC9" s="67" t="n">
        <f aca="false">IF(AC$4="","",SUMIF(BOE!$V$6:$V$60,$A9,Phasing!AF$5:AF$59))</f>
        <v>8.1397204689832</v>
      </c>
      <c r="AD9" s="67" t="n">
        <f aca="false">IF(AD$4="","",SUMIF(BOE!$V$6:$V$60,$A9,Phasing!AG$5:AG$59))</f>
        <v>7.87714884095148</v>
      </c>
      <c r="AE9" s="67" t="n">
        <f aca="false">IF(AE$4="","",SUMIF(BOE!$V$6:$V$60,$A9,Phasing!AH$5:AH$59))</f>
        <v>8.1397204689832</v>
      </c>
      <c r="AF9" s="67" t="n">
        <f aca="false">IF(AF$4="","",SUMIF(BOE!$V$6:$V$60,$A9,Phasing!AI$5:AI$59))</f>
        <v>7.87714884095148</v>
      </c>
      <c r="AG9" s="67" t="n">
        <f aca="false">IF(AG$4="","",SUMIF(BOE!$V$6:$V$60,$A9,Phasing!AJ$5:AJ$59))</f>
        <v>8.1397204689832</v>
      </c>
      <c r="AH9" s="67" t="n">
        <f aca="false">IF(AH$4="","",SUMIF(BOE!$V$6:$V$60,$A9,Phasing!AK$5:AK$59))</f>
        <v>8.1397204689832</v>
      </c>
      <c r="AI9" s="67" t="n">
        <f aca="false">IF(AI$4="","",SUMIF(BOE!$V$6:$V$60,$A9,Phasing!AL$5:AL$59))</f>
        <v>7.87714884095148</v>
      </c>
      <c r="AJ9" s="67" t="n">
        <f aca="false">IF(AJ$4="","",SUMIF(BOE!$V$6:$V$60,$A9,Phasing!AM$5:AM$59))</f>
        <v>8.1397204689832</v>
      </c>
      <c r="AK9" s="67" t="n">
        <f aca="false">IF(AK$4="","",SUMIF(BOE!$V$6:$V$60,$A9,Phasing!AN$5:AN$59))</f>
        <v>7.87714884095148</v>
      </c>
      <c r="AL9" s="67" t="n">
        <f aca="false">IF(AL$4="","",SUMIF(BOE!$V$6:$V$60,$A9,Phasing!AO$5:AO$59))</f>
        <v>7.35200558488805</v>
      </c>
      <c r="AM9" s="67" t="str">
        <f aca="false">IF(AM$4="","",SUMIF(BOE!$V$6:$V$60,$A9,Phasing!AP$5:AP$59))</f>
        <v/>
      </c>
      <c r="AN9" s="67" t="str">
        <f aca="false">IF(AN$4="","",SUMIF(BOE!$V$6:$V$60,$A9,Phasing!AQ$5:AQ$59))</f>
        <v/>
      </c>
      <c r="AO9" s="67" t="str">
        <f aca="false">IF(AO$4="","",SUMIF(BOE!$V$6:$V$60,$A9,Phasing!AR$5:AR$59))</f>
        <v/>
      </c>
      <c r="AP9" s="67" t="str">
        <f aca="false">IF(AP$4="","",SUMIF(BOE!$V$6:$V$60,$A9,Phasing!AS$5:AS$59))</f>
        <v/>
      </c>
      <c r="AQ9" s="67" t="str">
        <f aca="false">IF(AQ$4="","",SUMIF(BOE!$V$6:$V$60,$A9,Phasing!AT$5:AT$59))</f>
        <v/>
      </c>
      <c r="AR9" s="67" t="str">
        <f aca="false">IF(AR$4="","",SUMIF(BOE!$V$6:$V$60,$A9,Phasing!AU$5:AU$59))</f>
        <v/>
      </c>
      <c r="AS9" s="67" t="str">
        <f aca="false">IF(AS$4="","",SUMIF(BOE!$V$6:$V$60,$A9,Phasing!AV$5:AV$59))</f>
        <v/>
      </c>
      <c r="AT9" s="67" t="str">
        <f aca="false">IF(AT$4="","",SUMIF(BOE!$V$6:$V$60,$A9,Phasing!AW$5:AW$59))</f>
        <v/>
      </c>
      <c r="AU9" s="67" t="str">
        <f aca="false">IF(AU$4="","",SUMIF(BOE!$V$6:$V$60,$A9,Phasing!AX$5:AX$59))</f>
        <v/>
      </c>
      <c r="AV9" s="67" t="str">
        <f aca="false">IF(AV$4="","",SUMIF(BOE!$V$6:$V$60,$A9,Phasing!AY$5:AY$59))</f>
        <v/>
      </c>
      <c r="AW9" s="67" t="str">
        <f aca="false">IF(AW$4="","",SUMIF(BOE!$V$6:$V$60,$A9,Phasing!AZ$5:AZ$59))</f>
        <v/>
      </c>
      <c r="AX9" s="67" t="str">
        <f aca="false">IF(AX$4="","",SUMIF(BOE!$V$6:$V$60,$A9,Phasing!BA$5:BA$59))</f>
        <v/>
      </c>
      <c r="AY9" s="67" t="str">
        <f aca="false">IF(AY$4="","",SUMIF(BOE!$V$6:$V$60,$A9,Phasing!BB$5:BB$59))</f>
        <v/>
      </c>
      <c r="AZ9" s="67" t="str">
        <f aca="false">IF(AZ$4="","",SUMIF(BOE!$V$6:$V$60,$A9,Phasing!BC$5:BC$59))</f>
        <v/>
      </c>
      <c r="BA9" s="67" t="str">
        <f aca="false">IF(BA$4="","",SUMIF(BOE!$V$6:$V$60,$A9,Phasing!BD$5:BD$59))</f>
        <v/>
      </c>
      <c r="BB9" s="67" t="str">
        <f aca="false">IF(BB$4="","",SUMIF(BOE!$V$6:$V$60,$A9,Phasing!BE$5:BE$59))</f>
        <v/>
      </c>
      <c r="BC9" s="67" t="str">
        <f aca="false">IF(BC$4="","",SUMIF(BOE!$V$6:$V$60,$A9,Phasing!BF$5:BF$59))</f>
        <v/>
      </c>
      <c r="BD9" s="67" t="str">
        <f aca="false">IF(BD$4="","",SUMIF(BOE!$V$6:$V$60,$A9,Phasing!BG$5:BG$59))</f>
        <v/>
      </c>
      <c r="BE9" s="67" t="str">
        <f aca="false">IF(BE$4="","",SUMIF(BOE!$V$6:$V$60,$A9,Phasing!BH$5:BH$59))</f>
        <v/>
      </c>
      <c r="BF9" s="67" t="str">
        <f aca="false">IF(BF$4="","",SUMIF(BOE!$V$6:$V$60,$A9,Phasing!BI$5:BI$59))</f>
        <v/>
      </c>
      <c r="BG9" s="67" t="str">
        <f aca="false">IF(BG$4="","",SUMIF(BOE!$V$6:$V$60,$A9,Phasing!BJ$5:BJ$59))</f>
        <v/>
      </c>
      <c r="BH9" s="67" t="str">
        <f aca="false">IF(BH$4="","",SUMIF(BOE!$V$6:$V$60,$A9,Phasing!BK$5:BK$59))</f>
        <v/>
      </c>
      <c r="BI9" s="67" t="str">
        <f aca="false">IF(BI$4="","",SUMIF(BOE!$V$6:$V$60,$A9,Phasing!BL$5:BL$59))</f>
        <v/>
      </c>
      <c r="BJ9" s="67" t="str">
        <f aca="false">IF(BJ$4="","",SUMIF(BOE!$V$6:$V$60,$A9,Phasing!BM$5:BM$59))</f>
        <v/>
      </c>
      <c r="BK9" s="67" t="str">
        <f aca="false">IF(BK$4="","",SUMIF(BOE!$V$6:$V$60,$A9,Phasing!BN$5:BN$59))</f>
        <v/>
      </c>
      <c r="BL9" s="67" t="str">
        <f aca="false">IF(BL$4="","",SUMIF(BOE!$V$6:$V$60,$A9,Phasing!BO$5:BO$59))</f>
        <v/>
      </c>
      <c r="BM9" s="67" t="str">
        <f aca="false">IF(BM$4="","",SUMIF(BOE!$V$6:$V$60,$A9,Phasing!BP$5:BP$59))</f>
        <v/>
      </c>
      <c r="BN9" s="67" t="str">
        <f aca="false">IF(BN$4="","",SUMIF(BOE!$V$6:$V$60,$A9,Phasing!BQ$5:BQ$59))</f>
        <v/>
      </c>
      <c r="BO9" s="67" t="str">
        <f aca="false">IF(BO$4="","",SUMIF(BOE!$V$6:$V$60,$A9,Phasing!BR$5:BR$59))</f>
        <v/>
      </c>
      <c r="BP9" s="67" t="str">
        <f aca="false">IF(BP$4="","",SUMIF(BOE!$V$6:$V$60,$A9,Phasing!BS$5:BS$59))</f>
        <v/>
      </c>
      <c r="BQ9" s="67" t="str">
        <f aca="false">IF(BQ$4="","",SUMIF(BOE!$V$6:$V$60,$A9,Phasing!BT$5:BT$59))</f>
        <v/>
      </c>
      <c r="BR9" s="67" t="str">
        <f aca="false">IF(BR$4="","",SUMIF(BOE!$V$6:$V$60,$A9,Phasing!BU$5:BU$59))</f>
        <v/>
      </c>
      <c r="BS9" s="67" t="str">
        <f aca="false">IF(BS$4="","",SUMIF(BOE!$V$6:$V$60,$A9,Phasing!BV$5:BV$59))</f>
        <v/>
      </c>
      <c r="BT9" s="67" t="str">
        <f aca="false">IF(BT$4="","",SUMIF(BOE!$V$6:$V$60,$A9,Phasing!BW$5:BW$59))</f>
        <v/>
      </c>
      <c r="BU9" s="67" t="str">
        <f aca="false">IF(BU$4="","",SUMIF(BOE!$V$6:$V$60,$A9,Phasing!BX$5:BX$59))</f>
        <v/>
      </c>
      <c r="BV9" s="67" t="str">
        <f aca="false">IF(BV$4="","",SUMIF(BOE!$V$6:$V$60,$A9,Phasing!BY$5:BY$59))</f>
        <v/>
      </c>
    </row>
    <row r="10" customFormat="false" ht="15" hidden="false" customHeight="false" outlineLevel="0" collapsed="false">
      <c r="A10" s="74" t="s">
        <v>320</v>
      </c>
      <c r="B10" s="67" t="n">
        <f aca="false">SUM(C10:BV10)</f>
        <v>0</v>
      </c>
      <c r="C10" s="67" t="n">
        <f aca="false">IF(C$4="","",SUMIF(BOE!$V$6:$V$60,"",Phasing!F$5:F$59))</f>
        <v>0</v>
      </c>
      <c r="D10" s="67" t="n">
        <f aca="false">IF(D$4="","",SUMIF(BOE!$V$6:$V$60,"",Phasing!G$5:G$59))</f>
        <v>0</v>
      </c>
      <c r="E10" s="67" t="n">
        <f aca="false">IF(E$4="","",SUMIF(BOE!$V$6:$V$60,"",Phasing!H$5:H$59))</f>
        <v>0</v>
      </c>
      <c r="F10" s="67" t="n">
        <f aca="false">IF(F$4="","",SUMIF(BOE!$V$6:$V$60,"",Phasing!I$5:I$59))</f>
        <v>0</v>
      </c>
      <c r="G10" s="67" t="n">
        <f aca="false">IF(G$4="","",SUMIF(BOE!$V$6:$V$60,"",Phasing!J$5:J$59))</f>
        <v>0</v>
      </c>
      <c r="H10" s="67" t="n">
        <f aca="false">IF(H$4="","",SUMIF(BOE!$V$6:$V$60,"",Phasing!K$5:K$59))</f>
        <v>0</v>
      </c>
      <c r="I10" s="67" t="n">
        <f aca="false">IF(I$4="","",SUMIF(BOE!$V$6:$V$60,"",Phasing!L$5:L$59))</f>
        <v>0</v>
      </c>
      <c r="J10" s="67" t="n">
        <f aca="false">IF(J$4="","",SUMIF(BOE!$V$6:$V$60,"",Phasing!M$5:M$59))</f>
        <v>0</v>
      </c>
      <c r="K10" s="67" t="n">
        <f aca="false">IF(K$4="","",SUMIF(BOE!$V$6:$V$60,"",Phasing!N$5:N$59))</f>
        <v>0</v>
      </c>
      <c r="L10" s="67" t="n">
        <f aca="false">IF(L$4="","",SUMIF(BOE!$V$6:$V$60,"",Phasing!O$5:O$59))</f>
        <v>0</v>
      </c>
      <c r="M10" s="67" t="n">
        <f aca="false">IF(M$4="","",SUMIF(BOE!$V$6:$V$60,"",Phasing!P$5:P$59))</f>
        <v>0</v>
      </c>
      <c r="N10" s="67" t="n">
        <f aca="false">IF(N$4="","",SUMIF(BOE!$V$6:$V$60,"",Phasing!Q$5:Q$59))</f>
        <v>0</v>
      </c>
      <c r="O10" s="67" t="n">
        <f aca="false">IF(O$4="","",SUMIF(BOE!$V$6:$V$60,"",Phasing!R$5:R$59))</f>
        <v>0</v>
      </c>
      <c r="P10" s="67" t="n">
        <f aca="false">IF(P$4="","",SUMIF(BOE!$V$6:$V$60,"",Phasing!S$5:S$59))</f>
        <v>0</v>
      </c>
      <c r="Q10" s="67" t="n">
        <f aca="false">IF(Q$4="","",SUMIF(BOE!$V$6:$V$60,"",Phasing!T$5:T$59))</f>
        <v>0</v>
      </c>
      <c r="R10" s="67" t="n">
        <f aca="false">IF(R$4="","",SUMIF(BOE!$V$6:$V$60,"",Phasing!U$5:U$59))</f>
        <v>0</v>
      </c>
      <c r="S10" s="67" t="n">
        <f aca="false">IF(S$4="","",SUMIF(BOE!$V$6:$V$60,"",Phasing!V$5:V$59))</f>
        <v>0</v>
      </c>
      <c r="T10" s="67" t="n">
        <f aca="false">IF(T$4="","",SUMIF(BOE!$V$6:$V$60,"",Phasing!W$5:W$59))</f>
        <v>0</v>
      </c>
      <c r="U10" s="67" t="n">
        <f aca="false">IF(U$4="","",SUMIF(BOE!$V$6:$V$60,"",Phasing!X$5:X$59))</f>
        <v>0</v>
      </c>
      <c r="V10" s="67" t="n">
        <f aca="false">IF(V$4="","",SUMIF(BOE!$V$6:$V$60,"",Phasing!Y$5:Y$59))</f>
        <v>0</v>
      </c>
      <c r="W10" s="67" t="n">
        <f aca="false">IF(W$4="","",SUMIF(BOE!$V$6:$V$60,"",Phasing!Z$5:Z$59))</f>
        <v>0</v>
      </c>
      <c r="X10" s="67" t="n">
        <f aca="false">IF(X$4="","",SUMIF(BOE!$V$6:$V$60,"",Phasing!AA$5:AA$59))</f>
        <v>0</v>
      </c>
      <c r="Y10" s="67" t="n">
        <f aca="false">IF(Y$4="","",SUMIF(BOE!$V$6:$V$60,"",Phasing!AB$5:AB$59))</f>
        <v>0</v>
      </c>
      <c r="Z10" s="67" t="n">
        <f aca="false">IF(Z$4="","",SUMIF(BOE!$V$6:$V$60,"",Phasing!AC$5:AC$59))</f>
        <v>0</v>
      </c>
      <c r="AA10" s="67" t="n">
        <f aca="false">IF(AA$4="","",SUMIF(BOE!$V$6:$V$60,"",Phasing!AD$5:AD$59))</f>
        <v>0</v>
      </c>
      <c r="AB10" s="67" t="n">
        <f aca="false">IF(AB$4="","",SUMIF(BOE!$V$6:$V$60,"",Phasing!AE$5:AE$59))</f>
        <v>0</v>
      </c>
      <c r="AC10" s="67" t="n">
        <f aca="false">IF(AC$4="","",SUMIF(BOE!$V$6:$V$60,"",Phasing!AF$5:AF$59))</f>
        <v>0</v>
      </c>
      <c r="AD10" s="67" t="n">
        <f aca="false">IF(AD$4="","",SUMIF(BOE!$V$6:$V$60,"",Phasing!AG$5:AG$59))</f>
        <v>0</v>
      </c>
      <c r="AE10" s="67" t="n">
        <f aca="false">IF(AE$4="","",SUMIF(BOE!$V$6:$V$60,"",Phasing!AH$5:AH$59))</f>
        <v>0</v>
      </c>
      <c r="AF10" s="67" t="n">
        <f aca="false">IF(AF$4="","",SUMIF(BOE!$V$6:$V$60,"",Phasing!AI$5:AI$59))</f>
        <v>0</v>
      </c>
      <c r="AG10" s="67" t="n">
        <f aca="false">IF(AG$4="","",SUMIF(BOE!$V$6:$V$60,"",Phasing!AJ$5:AJ$59))</f>
        <v>0</v>
      </c>
      <c r="AH10" s="67" t="n">
        <f aca="false">IF(AH$4="","",SUMIF(BOE!$V$6:$V$60,"",Phasing!AK$5:AK$59))</f>
        <v>0</v>
      </c>
      <c r="AI10" s="67" t="n">
        <f aca="false">IF(AI$4="","",SUMIF(BOE!$V$6:$V$60,"",Phasing!AL$5:AL$59))</f>
        <v>0</v>
      </c>
      <c r="AJ10" s="67" t="n">
        <f aca="false">IF(AJ$4="","",SUMIF(BOE!$V$6:$V$60,"",Phasing!AM$5:AM$59))</f>
        <v>0</v>
      </c>
      <c r="AK10" s="67" t="n">
        <f aca="false">IF(AK$4="","",SUMIF(BOE!$V$6:$V$60,"",Phasing!AN$5:AN$59))</f>
        <v>0</v>
      </c>
      <c r="AL10" s="67" t="n">
        <f aca="false">IF(AL$4="","",SUMIF(BOE!$V$6:$V$60,"",Phasing!AO$5:AO$59))</f>
        <v>0</v>
      </c>
      <c r="AM10" s="67" t="str">
        <f aca="false">IF(AM$4="","",SUMIF(BOE!$V$6:$V$60,"",Phasing!AP$5:AP$59))</f>
        <v/>
      </c>
      <c r="AN10" s="67" t="str">
        <f aca="false">IF(AN$4="","",SUMIF(BOE!$V$6:$V$60,"",Phasing!AQ$5:AQ$59))</f>
        <v/>
      </c>
      <c r="AO10" s="67" t="str">
        <f aca="false">IF(AO$4="","",SUMIF(BOE!$V$6:$V$60,"",Phasing!AR$5:AR$59))</f>
        <v/>
      </c>
      <c r="AP10" s="67" t="str">
        <f aca="false">IF(AP$4="","",SUMIF(BOE!$V$6:$V$60,"",Phasing!AS$5:AS$59))</f>
        <v/>
      </c>
      <c r="AQ10" s="67" t="str">
        <f aca="false">IF(AQ$4="","",SUMIF(BOE!$V$6:$V$60,"",Phasing!AT$5:AT$59))</f>
        <v/>
      </c>
      <c r="AR10" s="67" t="str">
        <f aca="false">IF(AR$4="","",SUMIF(BOE!$V$6:$V$60,"",Phasing!AU$5:AU$59))</f>
        <v/>
      </c>
      <c r="AS10" s="67" t="str">
        <f aca="false">IF(AS$4="","",SUMIF(BOE!$V$6:$V$60,"",Phasing!AV$5:AV$59))</f>
        <v/>
      </c>
      <c r="AT10" s="67" t="str">
        <f aca="false">IF(AT$4="","",SUMIF(BOE!$V$6:$V$60,"",Phasing!AW$5:AW$59))</f>
        <v/>
      </c>
      <c r="AU10" s="67" t="str">
        <f aca="false">IF(AU$4="","",SUMIF(BOE!$V$6:$V$60,"",Phasing!AX$5:AX$59))</f>
        <v/>
      </c>
      <c r="AV10" s="67" t="str">
        <f aca="false">IF(AV$4="","",SUMIF(BOE!$V$6:$V$60,"",Phasing!AY$5:AY$59))</f>
        <v/>
      </c>
      <c r="AW10" s="67" t="str">
        <f aca="false">IF(AW$4="","",SUMIF(BOE!$V$6:$V$60,"",Phasing!AZ$5:AZ$59))</f>
        <v/>
      </c>
      <c r="AX10" s="67" t="str">
        <f aca="false">IF(AX$4="","",SUMIF(BOE!$V$6:$V$60,"",Phasing!BA$5:BA$59))</f>
        <v/>
      </c>
      <c r="AY10" s="67" t="str">
        <f aca="false">IF(AY$4="","",SUMIF(BOE!$V$6:$V$60,"",Phasing!BB$5:BB$59))</f>
        <v/>
      </c>
      <c r="AZ10" s="67" t="str">
        <f aca="false">IF(AZ$4="","",SUMIF(BOE!$V$6:$V$60,"",Phasing!BC$5:BC$59))</f>
        <v/>
      </c>
      <c r="BA10" s="67" t="str">
        <f aca="false">IF(BA$4="","",SUMIF(BOE!$V$6:$V$60,"",Phasing!BD$5:BD$59))</f>
        <v/>
      </c>
      <c r="BB10" s="67" t="str">
        <f aca="false">IF(BB$4="","",SUMIF(BOE!$V$6:$V$60,"",Phasing!BE$5:BE$59))</f>
        <v/>
      </c>
      <c r="BC10" s="67" t="str">
        <f aca="false">IF(BC$4="","",SUMIF(BOE!$V$6:$V$60,"",Phasing!BF$5:BF$59))</f>
        <v/>
      </c>
      <c r="BD10" s="67" t="str">
        <f aca="false">IF(BD$4="","",SUMIF(BOE!$V$6:$V$60,"",Phasing!BG$5:BG$59))</f>
        <v/>
      </c>
      <c r="BE10" s="67" t="str">
        <f aca="false">IF(BE$4="","",SUMIF(BOE!$V$6:$V$60,"",Phasing!BH$5:BH$59))</f>
        <v/>
      </c>
      <c r="BF10" s="67" t="str">
        <f aca="false">IF(BF$4="","",SUMIF(BOE!$V$6:$V$60,"",Phasing!BI$5:BI$59))</f>
        <v/>
      </c>
      <c r="BG10" s="67" t="str">
        <f aca="false">IF(BG$4="","",SUMIF(BOE!$V$6:$V$60,"",Phasing!BJ$5:BJ$59))</f>
        <v/>
      </c>
      <c r="BH10" s="67" t="str">
        <f aca="false">IF(BH$4="","",SUMIF(BOE!$V$6:$V$60,"",Phasing!BK$5:BK$59))</f>
        <v/>
      </c>
      <c r="BI10" s="67" t="str">
        <f aca="false">IF(BI$4="","",SUMIF(BOE!$V$6:$V$60,"",Phasing!BL$5:BL$59))</f>
        <v/>
      </c>
      <c r="BJ10" s="67" t="str">
        <f aca="false">IF(BJ$4="","",SUMIF(BOE!$V$6:$V$60,"",Phasing!BM$5:BM$59))</f>
        <v/>
      </c>
      <c r="BK10" s="67" t="str">
        <f aca="false">IF(BK$4="","",SUMIF(BOE!$V$6:$V$60,"",Phasing!BN$5:BN$59))</f>
        <v/>
      </c>
      <c r="BL10" s="67" t="str">
        <f aca="false">IF(BL$4="","",SUMIF(BOE!$V$6:$V$60,"",Phasing!BO$5:BO$59))</f>
        <v/>
      </c>
      <c r="BM10" s="67" t="str">
        <f aca="false">IF(BM$4="","",SUMIF(BOE!$V$6:$V$60,"",Phasing!BP$5:BP$59))</f>
        <v/>
      </c>
      <c r="BN10" s="67" t="str">
        <f aca="false">IF(BN$4="","",SUMIF(BOE!$V$6:$V$60,"",Phasing!BQ$5:BQ$59))</f>
        <v/>
      </c>
      <c r="BO10" s="67" t="str">
        <f aca="false">IF(BO$4="","",SUMIF(BOE!$V$6:$V$60,"",Phasing!BR$5:BR$59))</f>
        <v/>
      </c>
      <c r="BP10" s="67" t="str">
        <f aca="false">IF(BP$4="","",SUMIF(BOE!$V$6:$V$60,"",Phasing!BS$5:BS$59))</f>
        <v/>
      </c>
      <c r="BQ10" s="67" t="str">
        <f aca="false">IF(BQ$4="","",SUMIF(BOE!$V$6:$V$60,"",Phasing!BT$5:BT$59))</f>
        <v/>
      </c>
      <c r="BR10" s="67" t="str">
        <f aca="false">IF(BR$4="","",SUMIF(BOE!$V$6:$V$60,"",Phasing!BU$5:BU$59))</f>
        <v/>
      </c>
      <c r="BS10" s="67" t="str">
        <f aca="false">IF(BS$4="","",SUMIF(BOE!$V$6:$V$60,"",Phasing!BV$5:BV$59))</f>
        <v/>
      </c>
      <c r="BT10" s="67" t="str">
        <f aca="false">IF(BT$4="","",SUMIF(BOE!$V$6:$V$60,"",Phasing!BW$5:BW$59))</f>
        <v/>
      </c>
      <c r="BU10" s="67" t="str">
        <f aca="false">IF(BU$4="","",SUMIF(BOE!$V$6:$V$60,"",Phasing!BX$5:BX$59))</f>
        <v/>
      </c>
      <c r="BV10" s="67" t="str">
        <f aca="false">IF(BV$4="","",SUMIF(BOE!$V$6:$V$60,"",Phasing!BY$5:BY$59))</f>
        <v/>
      </c>
    </row>
    <row r="11" customFormat="false" ht="15" hidden="false" customHeight="false" outlineLevel="0" collapsed="false">
      <c r="A11" s="18" t="s">
        <v>321</v>
      </c>
      <c r="B11" s="75" t="n">
        <f aca="false">SUM(C11:BV11)</f>
        <v>11953.1991786448</v>
      </c>
      <c r="C11" s="65" t="n">
        <f aca="false">IF(C$4="","",SUM(C6:C10))</f>
        <v>275.600906832325</v>
      </c>
      <c r="D11" s="65" t="n">
        <f aca="false">IF(D$4="","",SUM(D6:D10))</f>
        <v>254.076050162832</v>
      </c>
      <c r="E11" s="65" t="n">
        <f aca="false">IF(E$4="","",SUM(E6:E10))</f>
        <v>296.621774552871</v>
      </c>
      <c r="F11" s="65" t="n">
        <f aca="false">IF(F$4="","",SUM(F6:F10))</f>
        <v>336.250361367041</v>
      </c>
      <c r="G11" s="65" t="n">
        <f aca="false">IF(G$4="","",SUM(G6:G10))</f>
        <v>340.645519932756</v>
      </c>
      <c r="H11" s="65" t="n">
        <f aca="false">IF(H$4="","",SUM(H6:H10))</f>
        <v>329.656954773635</v>
      </c>
      <c r="I11" s="65" t="n">
        <f aca="false">IF(I$4="","",SUM(I6:I10))</f>
        <v>332.645519932756</v>
      </c>
      <c r="J11" s="65" t="n">
        <f aca="false">IF(J$4="","",SUM(J6:J10))</f>
        <v>216.645519932756</v>
      </c>
      <c r="K11" s="65" t="n">
        <f aca="false">IF(K$4="","",SUM(K6:K10))</f>
        <v>209.656954773635</v>
      </c>
      <c r="L11" s="65" t="n">
        <f aca="false">IF(L$4="","",SUM(L6:L10))</f>
        <v>216.645519932756</v>
      </c>
      <c r="M11" s="65" t="n">
        <f aca="false">IF(M$4="","",SUM(M6:M10))</f>
        <v>626.638906777098</v>
      </c>
      <c r="N11" s="65" t="n">
        <f aca="false">IF(N$4="","",SUM(N6:N10))</f>
        <v>644.350049901717</v>
      </c>
      <c r="O11" s="65" t="n">
        <f aca="false">IF(O$4="","",SUM(O6:O10))</f>
        <v>644.350049901717</v>
      </c>
      <c r="P11" s="65" t="n">
        <f aca="false">IF(P$4="","",SUM(P6:P10))</f>
        <v>602.779078940316</v>
      </c>
      <c r="Q11" s="65" t="n">
        <f aca="false">IF(Q$4="","",SUM(Q6:Q10))</f>
        <v>644.350049901717</v>
      </c>
      <c r="R11" s="65" t="n">
        <f aca="false">IF(R$4="","",SUM(R6:R10))</f>
        <v>623.564564421017</v>
      </c>
      <c r="S11" s="65" t="n">
        <f aca="false">IF(S$4="","",SUM(S6:S10))</f>
        <v>629.7849023996</v>
      </c>
      <c r="T11" s="65" t="n">
        <f aca="false">IF(T$4="","",SUM(T6:T10))</f>
        <v>342.326155652371</v>
      </c>
      <c r="U11" s="65" t="n">
        <f aca="false">IF(U$4="","",SUM(U6:U10))</f>
        <v>260.209551914703</v>
      </c>
      <c r="V11" s="65" t="n">
        <f aca="false">IF(V$4="","",SUM(V6:V10))</f>
        <v>260.209551914703</v>
      </c>
      <c r="W11" s="65" t="n">
        <f aca="false">IF(W$4="","",SUM(W6:W10))</f>
        <v>251.815695401325</v>
      </c>
      <c r="X11" s="65" t="n">
        <f aca="false">IF(X$4="","",SUM(X6:X10))</f>
        <v>260.209551914703</v>
      </c>
      <c r="Y11" s="65" t="n">
        <f aca="false">IF(Y$4="","",SUM(Y6:Y10))</f>
        <v>251.815695401325</v>
      </c>
      <c r="Z11" s="65" t="n">
        <f aca="false">IF(Z$4="","",SUM(Z6:Z10))</f>
        <v>320.359927854552</v>
      </c>
      <c r="AA11" s="65" t="n">
        <f aca="false">IF(AA$4="","",SUM(AA6:AA10))</f>
        <v>308.996976143065</v>
      </c>
      <c r="AB11" s="65" t="n">
        <f aca="false">IF(AB$4="","",SUM(AB6:AB10))</f>
        <v>275.592236792036</v>
      </c>
      <c r="AC11" s="65" t="n">
        <f aca="false">IF(AC$4="","",SUM(AC6:AC10))</f>
        <v>305.119976448326</v>
      </c>
      <c r="AD11" s="65" t="n">
        <f aca="false">IF(AD$4="","",SUM(AD6:AD10))</f>
        <v>295.277396562896</v>
      </c>
      <c r="AE11" s="65" t="n">
        <f aca="false">IF(AE$4="","",SUM(AE6:AE10))</f>
        <v>305.119976448326</v>
      </c>
      <c r="AF11" s="65" t="n">
        <f aca="false">IF(AF$4="","",SUM(AF6:AF10))</f>
        <v>295.277396562896</v>
      </c>
      <c r="AG11" s="65" t="n">
        <f aca="false">IF(AG$4="","",SUM(AG6:AG10))</f>
        <v>305.119976448326</v>
      </c>
      <c r="AH11" s="65" t="n">
        <f aca="false">IF(AH$4="","",SUM(AH6:AH10))</f>
        <v>252.622356853487</v>
      </c>
      <c r="AI11" s="65" t="n">
        <f aca="false">IF(AI$4="","",SUM(AI6:AI10))</f>
        <v>175.411355915426</v>
      </c>
      <c r="AJ11" s="65" t="n">
        <f aca="false">IF(AJ$4="","",SUM(AJ6:AJ10))</f>
        <v>93.6671602366943</v>
      </c>
      <c r="AK11" s="65" t="n">
        <f aca="false">IF(AK$4="","",SUM(AK6:AK10))</f>
        <v>87.8201150395134</v>
      </c>
      <c r="AL11" s="65" t="n">
        <f aca="false">IF(AL$4="","",SUM(AL6:AL10))</f>
        <v>81.9654407035459</v>
      </c>
      <c r="AM11" s="65" t="str">
        <f aca="false">IF(AM$4="","",SUM(AM6:AM10))</f>
        <v/>
      </c>
      <c r="AN11" s="65" t="str">
        <f aca="false">IF(AN$4="","",SUM(AN6:AN10))</f>
        <v/>
      </c>
      <c r="AO11" s="65" t="str">
        <f aca="false">IF(AO$4="","",SUM(AO6:AO10))</f>
        <v/>
      </c>
      <c r="AP11" s="65" t="str">
        <f aca="false">IF(AP$4="","",SUM(AP6:AP10))</f>
        <v/>
      </c>
      <c r="AQ11" s="65" t="str">
        <f aca="false">IF(AQ$4="","",SUM(AQ6:AQ10))</f>
        <v/>
      </c>
      <c r="AR11" s="65" t="str">
        <f aca="false">IF(AR$4="","",SUM(AR6:AR10))</f>
        <v/>
      </c>
      <c r="AS11" s="65" t="str">
        <f aca="false">IF(AS$4="","",SUM(AS6:AS10))</f>
        <v/>
      </c>
      <c r="AT11" s="65" t="str">
        <f aca="false">IF(AT$4="","",SUM(AT6:AT10))</f>
        <v/>
      </c>
      <c r="AU11" s="65" t="str">
        <f aca="false">IF(AU$4="","",SUM(AU6:AU10))</f>
        <v/>
      </c>
      <c r="AV11" s="65" t="str">
        <f aca="false">IF(AV$4="","",SUM(AV6:AV10))</f>
        <v/>
      </c>
      <c r="AW11" s="65" t="str">
        <f aca="false">IF(AW$4="","",SUM(AW6:AW10))</f>
        <v/>
      </c>
      <c r="AX11" s="65" t="str">
        <f aca="false">IF(AX$4="","",SUM(AX6:AX10))</f>
        <v/>
      </c>
      <c r="AY11" s="65" t="str">
        <f aca="false">IF(AY$4="","",SUM(AY6:AY10))</f>
        <v/>
      </c>
      <c r="AZ11" s="65" t="str">
        <f aca="false">IF(AZ$4="","",SUM(AZ6:AZ10))</f>
        <v/>
      </c>
      <c r="BA11" s="65" t="str">
        <f aca="false">IF(BA$4="","",SUM(BA6:BA10))</f>
        <v/>
      </c>
      <c r="BB11" s="65" t="str">
        <f aca="false">IF(BB$4="","",SUM(BB6:BB10))</f>
        <v/>
      </c>
      <c r="BC11" s="65" t="str">
        <f aca="false">IF(BC$4="","",SUM(BC6:BC10))</f>
        <v/>
      </c>
      <c r="BD11" s="65" t="str">
        <f aca="false">IF(BD$4="","",SUM(BD6:BD10))</f>
        <v/>
      </c>
      <c r="BE11" s="65" t="str">
        <f aca="false">IF(BE$4="","",SUM(BE6:BE10))</f>
        <v/>
      </c>
      <c r="BF11" s="65" t="str">
        <f aca="false">IF(BF$4="","",SUM(BF6:BF10))</f>
        <v/>
      </c>
      <c r="BG11" s="65" t="str">
        <f aca="false">IF(BG$4="","",SUM(BG6:BG10))</f>
        <v/>
      </c>
      <c r="BH11" s="65" t="str">
        <f aca="false">IF(BH$4="","",SUM(BH6:BH10))</f>
        <v/>
      </c>
      <c r="BI11" s="65" t="str">
        <f aca="false">IF(BI$4="","",SUM(BI6:BI10))</f>
        <v/>
      </c>
      <c r="BJ11" s="65" t="str">
        <f aca="false">IF(BJ$4="","",SUM(BJ6:BJ10))</f>
        <v/>
      </c>
      <c r="BK11" s="65" t="str">
        <f aca="false">IF(BK$4="","",SUM(BK6:BK10))</f>
        <v/>
      </c>
      <c r="BL11" s="65" t="str">
        <f aca="false">IF(BL$4="","",SUM(BL6:BL10))</f>
        <v/>
      </c>
      <c r="BM11" s="65" t="str">
        <f aca="false">IF(BM$4="","",SUM(BM6:BM10))</f>
        <v/>
      </c>
      <c r="BN11" s="65" t="str">
        <f aca="false">IF(BN$4="","",SUM(BN6:BN10))</f>
        <v/>
      </c>
      <c r="BO11" s="65" t="str">
        <f aca="false">IF(BO$4="","",SUM(BO6:BO10))</f>
        <v/>
      </c>
      <c r="BP11" s="65" t="str">
        <f aca="false">IF(BP$4="","",SUM(BP6:BP10))</f>
        <v/>
      </c>
      <c r="BQ11" s="65" t="str">
        <f aca="false">IF(BQ$4="","",SUM(BQ6:BQ10))</f>
        <v/>
      </c>
      <c r="BR11" s="65" t="str">
        <f aca="false">IF(BR$4="","",SUM(BR6:BR10))</f>
        <v/>
      </c>
      <c r="BS11" s="65" t="str">
        <f aca="false">IF(BS$4="","",SUM(BS6:BS10))</f>
        <v/>
      </c>
      <c r="BT11" s="65" t="str">
        <f aca="false">IF(BT$4="","",SUM(BT6:BT10))</f>
        <v/>
      </c>
      <c r="BU11" s="65" t="str">
        <f aca="false">IF(BU$4="","",SUM(BU6:BU10))</f>
        <v/>
      </c>
      <c r="BV11" s="65" t="str">
        <f aca="false">IF(BV$4="","",SUM(BV6:BV10))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</row>
    <row r="13" customFormat="false" ht="15" hidden="false" customHeight="false" outlineLevel="0" collapsed="false">
      <c r="A13" s="69" t="s">
        <v>322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</row>
    <row r="14" customFormat="false" ht="15" hidden="false" customHeight="false" outlineLevel="0" collapsed="false">
      <c r="A14" s="61" t="str">
        <f aca="false">$A$6</f>
        <v>Safety Lead</v>
      </c>
      <c r="B14" s="76" t="n">
        <f aca="false">IF(B11=0,0,B6/B11)</f>
        <v>0.263849015530797</v>
      </c>
      <c r="C14" s="77" t="n">
        <f aca="false">IF(C$4="","",C6/Inputs!$B$6)</f>
        <v>1.02492578586699</v>
      </c>
      <c r="D14" s="77" t="n">
        <f aca="false">IF(D$4="","",D6/Inputs!$B$6)</f>
        <v>0.925739419492764</v>
      </c>
      <c r="E14" s="77" t="n">
        <f aca="false">IF(E$4="","",E6/Inputs!$B$6)</f>
        <v>1.06670747653326</v>
      </c>
      <c r="F14" s="77" t="n">
        <f aca="false">IF(F$4="","",F6/Inputs!$B$6)</f>
        <v>0.382924491794794</v>
      </c>
      <c r="G14" s="77" t="n">
        <f aca="false">IF(G$4="","",G6/Inputs!$B$6)</f>
        <v>0.372395695151417</v>
      </c>
      <c r="H14" s="77" t="n">
        <f aca="false">IF(H$4="","",H6/Inputs!$B$6)</f>
        <v>0.360382930791694</v>
      </c>
      <c r="I14" s="77" t="n">
        <f aca="false">IF(I$4="","",I6/Inputs!$B$6)</f>
        <v>0.372395695151417</v>
      </c>
      <c r="J14" s="77" t="n">
        <f aca="false">IF(J$4="","",J6/Inputs!$B$6)</f>
        <v>0.372395695151417</v>
      </c>
      <c r="K14" s="77" t="n">
        <f aca="false">IF(K$4="","",K6/Inputs!$B$6)</f>
        <v>0.360382930791694</v>
      </c>
      <c r="L14" s="77" t="n">
        <f aca="false">IF(L$4="","",L6/Inputs!$B$6)</f>
        <v>0.372395695151417</v>
      </c>
      <c r="M14" s="77" t="n">
        <f aca="false">IF(M$4="","",M6/Inputs!$B$6)</f>
        <v>0.360382930791694</v>
      </c>
      <c r="N14" s="77" t="n">
        <f aca="false">IF(N$4="","",N6/Inputs!$B$6)</f>
        <v>0.372395695151417</v>
      </c>
      <c r="O14" s="77" t="n">
        <f aca="false">IF(O$4="","",O6/Inputs!$B$6)</f>
        <v>0.372395695151417</v>
      </c>
      <c r="P14" s="77" t="n">
        <f aca="false">IF(P$4="","",P6/Inputs!$B$6)</f>
        <v>0.348370166431971</v>
      </c>
      <c r="Q14" s="77" t="n">
        <f aca="false">IF(Q$4="","",Q6/Inputs!$B$6)</f>
        <v>0.372395695151417</v>
      </c>
      <c r="R14" s="77" t="n">
        <f aca="false">IF(R$4="","",R6/Inputs!$B$6)</f>
        <v>0.360382930791694</v>
      </c>
      <c r="S14" s="77" t="n">
        <f aca="false">IF(S$4="","",S6/Inputs!$B$6)</f>
        <v>0.372395695151417</v>
      </c>
      <c r="T14" s="77" t="n">
        <f aca="false">IF(T$4="","",T6/Inputs!$B$6)</f>
        <v>0.360382930791694</v>
      </c>
      <c r="U14" s="77" t="n">
        <f aca="false">IF(U$4="","",U6/Inputs!$B$6)</f>
        <v>0.372395695151417</v>
      </c>
      <c r="V14" s="77" t="n">
        <f aca="false">IF(V$4="","",V6/Inputs!$B$6)</f>
        <v>0.372395695151417</v>
      </c>
      <c r="W14" s="77" t="n">
        <f aca="false">IF(W$4="","",W6/Inputs!$B$6)</f>
        <v>0.360382930791694</v>
      </c>
      <c r="X14" s="77" t="n">
        <f aca="false">IF(X$4="","",X6/Inputs!$B$6)</f>
        <v>0.372395695151417</v>
      </c>
      <c r="Y14" s="77" t="n">
        <f aca="false">IF(Y$4="","",Y6/Inputs!$B$6)</f>
        <v>0.360382930791694</v>
      </c>
      <c r="Z14" s="77" t="n">
        <f aca="false">IF(Z$4="","",Z6/Inputs!$B$6)</f>
        <v>0.372395695151417</v>
      </c>
      <c r="AA14" s="77" t="n">
        <f aca="false">IF(AA$4="","",AA6/Inputs!$B$6)</f>
        <v>0.952594085568786</v>
      </c>
      <c r="AB14" s="77" t="n">
        <f aca="false">IF(AB$4="","",AB6/Inputs!$B$6)</f>
        <v>0.860407561158903</v>
      </c>
      <c r="AC14" s="77" t="n">
        <f aca="false">IF(AC$4="","",AC6/Inputs!$B$6)</f>
        <v>0.952594085568786</v>
      </c>
      <c r="AD14" s="77" t="n">
        <f aca="false">IF(AD$4="","",AD6/Inputs!$B$6)</f>
        <v>0.921865244098825</v>
      </c>
      <c r="AE14" s="77" t="n">
        <f aca="false">IF(AE$4="","",AE6/Inputs!$B$6)</f>
        <v>0.952594085568786</v>
      </c>
      <c r="AF14" s="77" t="n">
        <f aca="false">IF(AF$4="","",AF6/Inputs!$B$6)</f>
        <v>0.921865244098825</v>
      </c>
      <c r="AG14" s="77" t="n">
        <f aca="false">IF(AG$4="","",AG6/Inputs!$B$6)</f>
        <v>0.952594085568786</v>
      </c>
      <c r="AH14" s="77" t="n">
        <f aca="false">IF(AH$4="","",AH6/Inputs!$B$6)</f>
        <v>0.952594085568786</v>
      </c>
      <c r="AI14" s="77" t="n">
        <f aca="false">IF(AI$4="","",AI6/Inputs!$B$6)</f>
        <v>0.921865244098825</v>
      </c>
      <c r="AJ14" s="77" t="n">
        <f aca="false">IF(AJ$4="","",AJ6/Inputs!$B$6)</f>
        <v>0.391111772261655</v>
      </c>
      <c r="AK14" s="77" t="n">
        <f aca="false">IF(AK$4="","",AK6/Inputs!$B$6)</f>
        <v>0.360382930791694</v>
      </c>
      <c r="AL14" s="77" t="n">
        <f aca="false">IF(AL$4="","",AL6/Inputs!$B$6)</f>
        <v>0.336357402072248</v>
      </c>
      <c r="AM14" s="77" t="str">
        <f aca="false">IF(AM$4="","",AM6/Inputs!$B$6)</f>
        <v/>
      </c>
      <c r="AN14" s="77" t="str">
        <f aca="false">IF(AN$4="","",AN6/Inputs!$B$6)</f>
        <v/>
      </c>
      <c r="AO14" s="77" t="str">
        <f aca="false">IF(AO$4="","",AO6/Inputs!$B$6)</f>
        <v/>
      </c>
      <c r="AP14" s="77" t="str">
        <f aca="false">IF(AP$4="","",AP6/Inputs!$B$6)</f>
        <v/>
      </c>
      <c r="AQ14" s="77" t="str">
        <f aca="false">IF(AQ$4="","",AQ6/Inputs!$B$6)</f>
        <v/>
      </c>
      <c r="AR14" s="77" t="str">
        <f aca="false">IF(AR$4="","",AR6/Inputs!$B$6)</f>
        <v/>
      </c>
      <c r="AS14" s="77" t="str">
        <f aca="false">IF(AS$4="","",AS6/Inputs!$B$6)</f>
        <v/>
      </c>
      <c r="AT14" s="77" t="str">
        <f aca="false">IF(AT$4="","",AT6/Inputs!$B$6)</f>
        <v/>
      </c>
      <c r="AU14" s="77" t="str">
        <f aca="false">IF(AU$4="","",AU6/Inputs!$B$6)</f>
        <v/>
      </c>
      <c r="AV14" s="77" t="str">
        <f aca="false">IF(AV$4="","",AV6/Inputs!$B$6)</f>
        <v/>
      </c>
      <c r="AW14" s="77" t="str">
        <f aca="false">IF(AW$4="","",AW6/Inputs!$B$6)</f>
        <v/>
      </c>
      <c r="AX14" s="77" t="str">
        <f aca="false">IF(AX$4="","",AX6/Inputs!$B$6)</f>
        <v/>
      </c>
      <c r="AY14" s="77" t="str">
        <f aca="false">IF(AY$4="","",AY6/Inputs!$B$6)</f>
        <v/>
      </c>
      <c r="AZ14" s="77" t="str">
        <f aca="false">IF(AZ$4="","",AZ6/Inputs!$B$6)</f>
        <v/>
      </c>
      <c r="BA14" s="77" t="str">
        <f aca="false">IF(BA$4="","",BA6/Inputs!$B$6)</f>
        <v/>
      </c>
      <c r="BB14" s="77" t="str">
        <f aca="false">IF(BB$4="","",BB6/Inputs!$B$6)</f>
        <v/>
      </c>
      <c r="BC14" s="77" t="str">
        <f aca="false">IF(BC$4="","",BC6/Inputs!$B$6)</f>
        <v/>
      </c>
      <c r="BD14" s="77" t="str">
        <f aca="false">IF(BD$4="","",BD6/Inputs!$B$6)</f>
        <v/>
      </c>
      <c r="BE14" s="77" t="str">
        <f aca="false">IF(BE$4="","",BE6/Inputs!$B$6)</f>
        <v/>
      </c>
      <c r="BF14" s="77" t="str">
        <f aca="false">IF(BF$4="","",BF6/Inputs!$B$6)</f>
        <v/>
      </c>
      <c r="BG14" s="77" t="str">
        <f aca="false">IF(BG$4="","",BG6/Inputs!$B$6)</f>
        <v/>
      </c>
      <c r="BH14" s="77" t="str">
        <f aca="false">IF(BH$4="","",BH6/Inputs!$B$6)</f>
        <v/>
      </c>
      <c r="BI14" s="77" t="str">
        <f aca="false">IF(BI$4="","",BI6/Inputs!$B$6)</f>
        <v/>
      </c>
      <c r="BJ14" s="77" t="str">
        <f aca="false">IF(BJ$4="","",BJ6/Inputs!$B$6)</f>
        <v/>
      </c>
      <c r="BK14" s="77" t="str">
        <f aca="false">IF(BK$4="","",BK6/Inputs!$B$6)</f>
        <v/>
      </c>
      <c r="BL14" s="77" t="str">
        <f aca="false">IF(BL$4="","",BL6/Inputs!$B$6)</f>
        <v/>
      </c>
      <c r="BM14" s="77" t="str">
        <f aca="false">IF(BM$4="","",BM6/Inputs!$B$6)</f>
        <v/>
      </c>
      <c r="BN14" s="77" t="str">
        <f aca="false">IF(BN$4="","",BN6/Inputs!$B$6)</f>
        <v/>
      </c>
      <c r="BO14" s="77" t="str">
        <f aca="false">IF(BO$4="","",BO6/Inputs!$B$6)</f>
        <v/>
      </c>
      <c r="BP14" s="77" t="str">
        <f aca="false">IF(BP$4="","",BP6/Inputs!$B$6)</f>
        <v/>
      </c>
      <c r="BQ14" s="77" t="str">
        <f aca="false">IF(BQ$4="","",BQ6/Inputs!$B$6)</f>
        <v/>
      </c>
      <c r="BR14" s="77" t="str">
        <f aca="false">IF(BR$4="","",BR6/Inputs!$B$6)</f>
        <v/>
      </c>
      <c r="BS14" s="77" t="str">
        <f aca="false">IF(BS$4="","",BS6/Inputs!$B$6)</f>
        <v/>
      </c>
      <c r="BT14" s="77" t="str">
        <f aca="false">IF(BT$4="","",BT6/Inputs!$B$6)</f>
        <v/>
      </c>
      <c r="BU14" s="77" t="str">
        <f aca="false">IF(BU$4="","",BU6/Inputs!$B$6)</f>
        <v/>
      </c>
      <c r="BV14" s="77" t="str">
        <f aca="false">IF(BV$4="","",BV6/Inputs!$B$6)</f>
        <v/>
      </c>
    </row>
    <row r="15" customFormat="false" ht="15" hidden="false" customHeight="false" outlineLevel="0" collapsed="false">
      <c r="A15" s="61" t="str">
        <f aca="false">$A$7</f>
        <v>System Safety Engineer</v>
      </c>
      <c r="B15" s="76" t="n">
        <f aca="false">IF(B11=0,0,B7/B11)</f>
        <v>0.58160161945768</v>
      </c>
      <c r="C15" s="77" t="n">
        <f aca="false">IF(C$4="","",C7/Inputs!$B$6)</f>
        <v>0.479701047166369</v>
      </c>
      <c r="D15" s="77" t="n">
        <f aca="false">IF(D$4="","",D7/Inputs!$B$6)</f>
        <v>0.433278365182527</v>
      </c>
      <c r="E15" s="77" t="n">
        <f aca="false">IF(E$4="","",E7/Inputs!$B$6)</f>
        <v>0.479701047166369</v>
      </c>
      <c r="F15" s="77" t="n">
        <f aca="false">IF(F$4="","",F7/Inputs!$B$6)</f>
        <v>1.15849412328999</v>
      </c>
      <c r="G15" s="77" t="n">
        <f aca="false">IF(G$4="","",G7/Inputs!$B$6)</f>
        <v>1.18546412088139</v>
      </c>
      <c r="H15" s="77" t="n">
        <f aca="false">IF(H$4="","",H7/Inputs!$B$6)</f>
        <v>1.14722334278844</v>
      </c>
      <c r="I15" s="77" t="n">
        <f aca="false">IF(I$4="","",I7/Inputs!$B$6)</f>
        <v>1.13418206959934</v>
      </c>
      <c r="J15" s="77" t="n">
        <f aca="false">IF(J$4="","",J7/Inputs!$B$6)</f>
        <v>0.390592326009595</v>
      </c>
      <c r="K15" s="77" t="n">
        <f aca="false">IF(K$4="","",K7/Inputs!$B$6)</f>
        <v>0.377992573557672</v>
      </c>
      <c r="L15" s="77" t="n">
        <f aca="false">IF(L$4="","",L7/Inputs!$B$6)</f>
        <v>0.390592326009595</v>
      </c>
      <c r="M15" s="77" t="n">
        <f aca="false">IF(M$4="","",M7/Inputs!$B$6)</f>
        <v>3.22019237567418</v>
      </c>
      <c r="N15" s="77" t="n">
        <f aca="false">IF(N$4="","",N7/Inputs!$B$6)</f>
        <v>3.32318855980937</v>
      </c>
      <c r="O15" s="77" t="n">
        <f aca="false">IF(O$4="","",O7/Inputs!$B$6)</f>
        <v>3.32318855980937</v>
      </c>
      <c r="P15" s="77" t="n">
        <f aca="false">IF(P$4="","",P7/Inputs!$B$6)</f>
        <v>3.10878929788619</v>
      </c>
      <c r="Q15" s="77" t="n">
        <f aca="false">IF(Q$4="","",Q7/Inputs!$B$6)</f>
        <v>3.32318855980937</v>
      </c>
      <c r="R15" s="77" t="n">
        <f aca="false">IF(R$4="","",R7/Inputs!$B$6)</f>
        <v>3.21598892884778</v>
      </c>
      <c r="S15" s="77" t="n">
        <f aca="false">IF(S$4="","",S7/Inputs!$B$6)</f>
        <v>3.2298222296676</v>
      </c>
      <c r="T15" s="77" t="n">
        <f aca="false">IF(T$4="","",T7/Inputs!$B$6)</f>
        <v>1.41317861622826</v>
      </c>
      <c r="U15" s="77" t="n">
        <f aca="false">IF(U$4="","",U7/Inputs!$B$6)</f>
        <v>0.860749470149022</v>
      </c>
      <c r="V15" s="77" t="n">
        <f aca="false">IF(V$4="","",V7/Inputs!$B$6)</f>
        <v>0.860749470149022</v>
      </c>
      <c r="W15" s="77" t="n">
        <f aca="false">IF(W$4="","",W7/Inputs!$B$6)</f>
        <v>0.832983358208731</v>
      </c>
      <c r="X15" s="77" t="n">
        <f aca="false">IF(X$4="","",X7/Inputs!$B$6)</f>
        <v>0.860749470149022</v>
      </c>
      <c r="Y15" s="77" t="n">
        <f aca="false">IF(Y$4="","",Y7/Inputs!$B$6)</f>
        <v>0.832983358208731</v>
      </c>
      <c r="Z15" s="77" t="n">
        <f aca="false">IF(Z$4="","",Z7/Inputs!$B$6)</f>
        <v>1.24632880309678</v>
      </c>
      <c r="AA15" s="77" t="n">
        <f aca="false">IF(AA$4="","",AA7/Inputs!$B$6)</f>
        <v>0.963633321428252</v>
      </c>
      <c r="AB15" s="77" t="n">
        <f aca="false">IF(AB$4="","",AB7/Inputs!$B$6)</f>
        <v>0.85908110042538</v>
      </c>
      <c r="AC15" s="77" t="n">
        <f aca="false">IF(AC$4="","",AC7/Inputs!$B$6)</f>
        <v>0.951125504042385</v>
      </c>
      <c r="AD15" s="77" t="n">
        <f aca="false">IF(AD$4="","",AD7/Inputs!$B$6)</f>
        <v>0.920444036170051</v>
      </c>
      <c r="AE15" s="77" t="n">
        <f aca="false">IF(AE$4="","",AE7/Inputs!$B$6)</f>
        <v>0.951125504042385</v>
      </c>
      <c r="AF15" s="77" t="n">
        <f aca="false">IF(AF$4="","",AF7/Inputs!$B$6)</f>
        <v>0.920444036170051</v>
      </c>
      <c r="AG15" s="77" t="n">
        <f aca="false">IF(AG$4="","",AG7/Inputs!$B$6)</f>
        <v>0.951125504042385</v>
      </c>
      <c r="AH15" s="77" t="n">
        <f aca="false">IF(AH$4="","",AH7/Inputs!$B$6)</f>
        <v>0.614602301511369</v>
      </c>
      <c r="AI15" s="77" t="n">
        <f aca="false">IF(AI$4="","",AI7/Inputs!$B$6)</f>
        <v>0.152071980737549</v>
      </c>
      <c r="AJ15" s="77" t="n">
        <f aca="false">IF(AJ$4="","",AJ7/Inputs!$B$6)</f>
        <v>0.157141046762134</v>
      </c>
      <c r="AK15" s="77" t="n">
        <f aca="false">IF(AK$4="","",AK7/Inputs!$B$6)</f>
        <v>0.152071980737549</v>
      </c>
      <c r="AL15" s="77" t="n">
        <f aca="false">IF(AL$4="","",AL7/Inputs!$B$6)</f>
        <v>0.141933848688379</v>
      </c>
      <c r="AM15" s="77" t="str">
        <f aca="false">IF(AM$4="","",AM7/Inputs!$B$6)</f>
        <v/>
      </c>
      <c r="AN15" s="77" t="str">
        <f aca="false">IF(AN$4="","",AN7/Inputs!$B$6)</f>
        <v/>
      </c>
      <c r="AO15" s="77" t="str">
        <f aca="false">IF(AO$4="","",AO7/Inputs!$B$6)</f>
        <v/>
      </c>
      <c r="AP15" s="77" t="str">
        <f aca="false">IF(AP$4="","",AP7/Inputs!$B$6)</f>
        <v/>
      </c>
      <c r="AQ15" s="77" t="str">
        <f aca="false">IF(AQ$4="","",AQ7/Inputs!$B$6)</f>
        <v/>
      </c>
      <c r="AR15" s="77" t="str">
        <f aca="false">IF(AR$4="","",AR7/Inputs!$B$6)</f>
        <v/>
      </c>
      <c r="AS15" s="77" t="str">
        <f aca="false">IF(AS$4="","",AS7/Inputs!$B$6)</f>
        <v/>
      </c>
      <c r="AT15" s="77" t="str">
        <f aca="false">IF(AT$4="","",AT7/Inputs!$B$6)</f>
        <v/>
      </c>
      <c r="AU15" s="77" t="str">
        <f aca="false">IF(AU$4="","",AU7/Inputs!$B$6)</f>
        <v/>
      </c>
      <c r="AV15" s="77" t="str">
        <f aca="false">IF(AV$4="","",AV7/Inputs!$B$6)</f>
        <v/>
      </c>
      <c r="AW15" s="77" t="str">
        <f aca="false">IF(AW$4="","",AW7/Inputs!$B$6)</f>
        <v/>
      </c>
      <c r="AX15" s="77" t="str">
        <f aca="false">IF(AX$4="","",AX7/Inputs!$B$6)</f>
        <v/>
      </c>
      <c r="AY15" s="77" t="str">
        <f aca="false">IF(AY$4="","",AY7/Inputs!$B$6)</f>
        <v/>
      </c>
      <c r="AZ15" s="77" t="str">
        <f aca="false">IF(AZ$4="","",AZ7/Inputs!$B$6)</f>
        <v/>
      </c>
      <c r="BA15" s="77" t="str">
        <f aca="false">IF(BA$4="","",BA7/Inputs!$B$6)</f>
        <v/>
      </c>
      <c r="BB15" s="77" t="str">
        <f aca="false">IF(BB$4="","",BB7/Inputs!$B$6)</f>
        <v/>
      </c>
      <c r="BC15" s="77" t="str">
        <f aca="false">IF(BC$4="","",BC7/Inputs!$B$6)</f>
        <v/>
      </c>
      <c r="BD15" s="77" t="str">
        <f aca="false">IF(BD$4="","",BD7/Inputs!$B$6)</f>
        <v/>
      </c>
      <c r="BE15" s="77" t="str">
        <f aca="false">IF(BE$4="","",BE7/Inputs!$B$6)</f>
        <v/>
      </c>
      <c r="BF15" s="77" t="str">
        <f aca="false">IF(BF$4="","",BF7/Inputs!$B$6)</f>
        <v/>
      </c>
      <c r="BG15" s="77" t="str">
        <f aca="false">IF(BG$4="","",BG7/Inputs!$B$6)</f>
        <v/>
      </c>
      <c r="BH15" s="77" t="str">
        <f aca="false">IF(BH$4="","",BH7/Inputs!$B$6)</f>
        <v/>
      </c>
      <c r="BI15" s="77" t="str">
        <f aca="false">IF(BI$4="","",BI7/Inputs!$B$6)</f>
        <v/>
      </c>
      <c r="BJ15" s="77" t="str">
        <f aca="false">IF(BJ$4="","",BJ7/Inputs!$B$6)</f>
        <v/>
      </c>
      <c r="BK15" s="77" t="str">
        <f aca="false">IF(BK$4="","",BK7/Inputs!$B$6)</f>
        <v/>
      </c>
      <c r="BL15" s="77" t="str">
        <f aca="false">IF(BL$4="","",BL7/Inputs!$B$6)</f>
        <v/>
      </c>
      <c r="BM15" s="77" t="str">
        <f aca="false">IF(BM$4="","",BM7/Inputs!$B$6)</f>
        <v/>
      </c>
      <c r="BN15" s="77" t="str">
        <f aca="false">IF(BN$4="","",BN7/Inputs!$B$6)</f>
        <v/>
      </c>
      <c r="BO15" s="77" t="str">
        <f aca="false">IF(BO$4="","",BO7/Inputs!$B$6)</f>
        <v/>
      </c>
      <c r="BP15" s="77" t="str">
        <f aca="false">IF(BP$4="","",BP7/Inputs!$B$6)</f>
        <v/>
      </c>
      <c r="BQ15" s="77" t="str">
        <f aca="false">IF(BQ$4="","",BQ7/Inputs!$B$6)</f>
        <v/>
      </c>
      <c r="BR15" s="77" t="str">
        <f aca="false">IF(BR$4="","",BR7/Inputs!$B$6)</f>
        <v/>
      </c>
      <c r="BS15" s="77" t="str">
        <f aca="false">IF(BS$4="","",BS7/Inputs!$B$6)</f>
        <v/>
      </c>
      <c r="BT15" s="77" t="str">
        <f aca="false">IF(BT$4="","",BT7/Inputs!$B$6)</f>
        <v/>
      </c>
      <c r="BU15" s="77" t="str">
        <f aca="false">IF(BU$4="","",BU7/Inputs!$B$6)</f>
        <v/>
      </c>
      <c r="BV15" s="77" t="str">
        <f aca="false">IF(BV$4="","",BV7/Inputs!$B$6)</f>
        <v/>
      </c>
    </row>
    <row r="16" customFormat="false" ht="15" hidden="false" customHeight="false" outlineLevel="0" collapsed="false">
      <c r="A16" s="61" t="str">
        <f aca="false">$A$8</f>
        <v>Software Safety Engineer</v>
      </c>
      <c r="B16" s="76" t="n">
        <f aca="false">IF(B11=0,0,B8/B11)</f>
        <v>0.0957065956069599</v>
      </c>
      <c r="C16" s="77" t="n">
        <f aca="false">IF(C$4="","",C8/Inputs!$B$6)</f>
        <v>0</v>
      </c>
      <c r="D16" s="77" t="n">
        <f aca="false">IF(D$4="","",D8/Inputs!$B$6)</f>
        <v>0</v>
      </c>
      <c r="E16" s="77" t="n">
        <f aca="false">IF(E$4="","",E8/Inputs!$B$6)</f>
        <v>0</v>
      </c>
      <c r="F16" s="77" t="n">
        <f aca="false">IF(F$4="","",F8/Inputs!$B$6)</f>
        <v>0.465116279069767</v>
      </c>
      <c r="G16" s="77" t="n">
        <f aca="false">IF(G$4="","",G8/Inputs!$B$6)</f>
        <v>0.48062015503876</v>
      </c>
      <c r="H16" s="77" t="n">
        <f aca="false">IF(H$4="","",H8/Inputs!$B$6)</f>
        <v>0.465116279069767</v>
      </c>
      <c r="I16" s="77" t="n">
        <f aca="false">IF(I$4="","",I8/Inputs!$B$6)</f>
        <v>0.48062015503876</v>
      </c>
      <c r="J16" s="77" t="n">
        <f aca="false">IF(J$4="","",J8/Inputs!$B$6)</f>
        <v>0.48062015503876</v>
      </c>
      <c r="K16" s="77" t="n">
        <f aca="false">IF(K$4="","",K8/Inputs!$B$6)</f>
        <v>0.465116279069767</v>
      </c>
      <c r="L16" s="77" t="n">
        <f aca="false">IF(L$4="","",L8/Inputs!$B$6)</f>
        <v>0.48062015503876</v>
      </c>
      <c r="M16" s="77" t="n">
        <f aca="false">IF(M$4="","",M8/Inputs!$B$6)</f>
        <v>0.295877707744693</v>
      </c>
      <c r="N16" s="77" t="n">
        <f aca="false">IF(N$4="","",N8/Inputs!$B$6)</f>
        <v>0.289719626168224</v>
      </c>
      <c r="O16" s="77" t="n">
        <f aca="false">IF(O$4="","",O8/Inputs!$B$6)</f>
        <v>0.289719626168224</v>
      </c>
      <c r="P16" s="77" t="n">
        <f aca="false">IF(P$4="","",P8/Inputs!$B$6)</f>
        <v>0.271028037383178</v>
      </c>
      <c r="Q16" s="77" t="n">
        <f aca="false">IF(Q$4="","",Q8/Inputs!$B$6)</f>
        <v>0.289719626168224</v>
      </c>
      <c r="R16" s="77" t="n">
        <f aca="false">IF(R$4="","",R8/Inputs!$B$6)</f>
        <v>0.280373831775701</v>
      </c>
      <c r="S16" s="77" t="n">
        <f aca="false">IF(S$4="","",S8/Inputs!$B$6)</f>
        <v>0.289719626168224</v>
      </c>
      <c r="T16" s="77" t="n">
        <f aca="false">IF(T$4="","",T8/Inputs!$B$6)</f>
        <v>0.280373831775701</v>
      </c>
      <c r="U16" s="77" t="n">
        <f aca="false">IF(U$4="","",U8/Inputs!$B$6)</f>
        <v>0.289719626168224</v>
      </c>
      <c r="V16" s="77" t="n">
        <f aca="false">IF(V$4="","",V8/Inputs!$B$6)</f>
        <v>0.289719626168224</v>
      </c>
      <c r="W16" s="77" t="n">
        <f aca="false">IF(W$4="","",W8/Inputs!$B$6)</f>
        <v>0.280373831775701</v>
      </c>
      <c r="X16" s="77" t="n">
        <f aca="false">IF(X$4="","",X8/Inputs!$B$6)</f>
        <v>0.289719626168224</v>
      </c>
      <c r="Y16" s="77" t="n">
        <f aca="false">IF(Y$4="","",Y8/Inputs!$B$6)</f>
        <v>0.280373831775701</v>
      </c>
      <c r="Z16" s="77" t="n">
        <f aca="false">IF(Z$4="","",Z8/Inputs!$B$6)</f>
        <v>0.289719626168224</v>
      </c>
      <c r="AA16" s="77" t="n">
        <f aca="false">IF(AA$4="","",AA8/Inputs!$B$6)</f>
        <v>0.00934579439252336</v>
      </c>
      <c r="AB16" s="77" t="n">
        <f aca="false">IF(AB$4="","",AB8/Inputs!$B$6)</f>
        <v>0</v>
      </c>
      <c r="AC16" s="77" t="n">
        <f aca="false">IF(AC$4="","",AC8/Inputs!$B$6)</f>
        <v>0</v>
      </c>
      <c r="AD16" s="77" t="n">
        <f aca="false">IF(AD$4="","",AD8/Inputs!$B$6)</f>
        <v>0</v>
      </c>
      <c r="AE16" s="77" t="n">
        <f aca="false">IF(AE$4="","",AE8/Inputs!$B$6)</f>
        <v>0</v>
      </c>
      <c r="AF16" s="77" t="n">
        <f aca="false">IF(AF$4="","",AF8/Inputs!$B$6)</f>
        <v>0</v>
      </c>
      <c r="AG16" s="77" t="n">
        <f aca="false">IF(AG$4="","",AG8/Inputs!$B$6)</f>
        <v>0</v>
      </c>
      <c r="AH16" s="77" t="n">
        <f aca="false">IF(AH$4="","",AH8/Inputs!$B$6)</f>
        <v>0</v>
      </c>
      <c r="AI16" s="77" t="n">
        <f aca="false">IF(AI$4="","",AI8/Inputs!$B$6)</f>
        <v>0</v>
      </c>
      <c r="AJ16" s="77" t="n">
        <f aca="false">IF(AJ$4="","",AJ8/Inputs!$B$6)</f>
        <v>0</v>
      </c>
      <c r="AK16" s="77" t="n">
        <f aca="false">IF(AK$4="","",AK8/Inputs!$B$6)</f>
        <v>0</v>
      </c>
      <c r="AL16" s="77" t="n">
        <f aca="false">IF(AL$4="","",AL8/Inputs!$B$6)</f>
        <v>0</v>
      </c>
      <c r="AM16" s="77" t="str">
        <f aca="false">IF(AM$4="","",AM8/Inputs!$B$6)</f>
        <v/>
      </c>
      <c r="AN16" s="77" t="str">
        <f aca="false">IF(AN$4="","",AN8/Inputs!$B$6)</f>
        <v/>
      </c>
      <c r="AO16" s="77" t="str">
        <f aca="false">IF(AO$4="","",AO8/Inputs!$B$6)</f>
        <v/>
      </c>
      <c r="AP16" s="77" t="str">
        <f aca="false">IF(AP$4="","",AP8/Inputs!$B$6)</f>
        <v/>
      </c>
      <c r="AQ16" s="77" t="str">
        <f aca="false">IF(AQ$4="","",AQ8/Inputs!$B$6)</f>
        <v/>
      </c>
      <c r="AR16" s="77" t="str">
        <f aca="false">IF(AR$4="","",AR8/Inputs!$B$6)</f>
        <v/>
      </c>
      <c r="AS16" s="77" t="str">
        <f aca="false">IF(AS$4="","",AS8/Inputs!$B$6)</f>
        <v/>
      </c>
      <c r="AT16" s="77" t="str">
        <f aca="false">IF(AT$4="","",AT8/Inputs!$B$6)</f>
        <v/>
      </c>
      <c r="AU16" s="77" t="str">
        <f aca="false">IF(AU$4="","",AU8/Inputs!$B$6)</f>
        <v/>
      </c>
      <c r="AV16" s="77" t="str">
        <f aca="false">IF(AV$4="","",AV8/Inputs!$B$6)</f>
        <v/>
      </c>
      <c r="AW16" s="77" t="str">
        <f aca="false">IF(AW$4="","",AW8/Inputs!$B$6)</f>
        <v/>
      </c>
      <c r="AX16" s="77" t="str">
        <f aca="false">IF(AX$4="","",AX8/Inputs!$B$6)</f>
        <v/>
      </c>
      <c r="AY16" s="77" t="str">
        <f aca="false">IF(AY$4="","",AY8/Inputs!$B$6)</f>
        <v/>
      </c>
      <c r="AZ16" s="77" t="str">
        <f aca="false">IF(AZ$4="","",AZ8/Inputs!$B$6)</f>
        <v/>
      </c>
      <c r="BA16" s="77" t="str">
        <f aca="false">IF(BA$4="","",BA8/Inputs!$B$6)</f>
        <v/>
      </c>
      <c r="BB16" s="77" t="str">
        <f aca="false">IF(BB$4="","",BB8/Inputs!$B$6)</f>
        <v/>
      </c>
      <c r="BC16" s="77" t="str">
        <f aca="false">IF(BC$4="","",BC8/Inputs!$B$6)</f>
        <v/>
      </c>
      <c r="BD16" s="77" t="str">
        <f aca="false">IF(BD$4="","",BD8/Inputs!$B$6)</f>
        <v/>
      </c>
      <c r="BE16" s="77" t="str">
        <f aca="false">IF(BE$4="","",BE8/Inputs!$B$6)</f>
        <v/>
      </c>
      <c r="BF16" s="77" t="str">
        <f aca="false">IF(BF$4="","",BF8/Inputs!$B$6)</f>
        <v/>
      </c>
      <c r="BG16" s="77" t="str">
        <f aca="false">IF(BG$4="","",BG8/Inputs!$B$6)</f>
        <v/>
      </c>
      <c r="BH16" s="77" t="str">
        <f aca="false">IF(BH$4="","",BH8/Inputs!$B$6)</f>
        <v/>
      </c>
      <c r="BI16" s="77" t="str">
        <f aca="false">IF(BI$4="","",BI8/Inputs!$B$6)</f>
        <v/>
      </c>
      <c r="BJ16" s="77" t="str">
        <f aca="false">IF(BJ$4="","",BJ8/Inputs!$B$6)</f>
        <v/>
      </c>
      <c r="BK16" s="77" t="str">
        <f aca="false">IF(BK$4="","",BK8/Inputs!$B$6)</f>
        <v/>
      </c>
      <c r="BL16" s="77" t="str">
        <f aca="false">IF(BL$4="","",BL8/Inputs!$B$6)</f>
        <v/>
      </c>
      <c r="BM16" s="77" t="str">
        <f aca="false">IF(BM$4="","",BM8/Inputs!$B$6)</f>
        <v/>
      </c>
      <c r="BN16" s="77" t="str">
        <f aca="false">IF(BN$4="","",BN8/Inputs!$B$6)</f>
        <v/>
      </c>
      <c r="BO16" s="77" t="str">
        <f aca="false">IF(BO$4="","",BO8/Inputs!$B$6)</f>
        <v/>
      </c>
      <c r="BP16" s="77" t="str">
        <f aca="false">IF(BP$4="","",BP8/Inputs!$B$6)</f>
        <v/>
      </c>
      <c r="BQ16" s="77" t="str">
        <f aca="false">IF(BQ$4="","",BQ8/Inputs!$B$6)</f>
        <v/>
      </c>
      <c r="BR16" s="77" t="str">
        <f aca="false">IF(BR$4="","",BR8/Inputs!$B$6)</f>
        <v/>
      </c>
      <c r="BS16" s="77" t="str">
        <f aca="false">IF(BS$4="","",BS8/Inputs!$B$6)</f>
        <v/>
      </c>
      <c r="BT16" s="77" t="str">
        <f aca="false">IF(BT$4="","",BT8/Inputs!$B$6)</f>
        <v/>
      </c>
      <c r="BU16" s="77" t="str">
        <f aca="false">IF(BU$4="","",BU8/Inputs!$B$6)</f>
        <v/>
      </c>
      <c r="BV16" s="77" t="str">
        <f aca="false">IF(BV$4="","",BV8/Inputs!$B$6)</f>
        <v/>
      </c>
    </row>
    <row r="17" customFormat="false" ht="15" hidden="false" customHeight="false" outlineLevel="0" collapsed="false">
      <c r="A17" s="61" t="str">
        <f aca="false">$A$9</f>
        <v>Safety Analyst</v>
      </c>
      <c r="B17" s="76" t="n">
        <f aca="false">IF(B11=0,0,B9/B11)</f>
        <v>0.0588427694045635</v>
      </c>
      <c r="C17" s="77" t="n">
        <f aca="false">IF(C$4="","",C9/Inputs!$B$6)</f>
        <v>0.262045646661031</v>
      </c>
      <c r="D17" s="77" t="n">
        <f aca="false">IF(D$4="","",D9/Inputs!$B$6)</f>
        <v>0.26967484457363</v>
      </c>
      <c r="E17" s="77" t="n">
        <f aca="false">IF(E$4="","",E9/Inputs!$B$6)</f>
        <v>0.355013108049545</v>
      </c>
      <c r="F17" s="77" t="n">
        <f aca="false">IF(F$4="","",F9/Inputs!$B$6)</f>
        <v>0.148916140249558</v>
      </c>
      <c r="G17" s="77" t="n">
        <f aca="false">IF(G$4="","",G9/Inputs!$B$6)</f>
        <v>0.145145156702509</v>
      </c>
      <c r="H17" s="77" t="n">
        <f aca="false">IF(H$4="","",H9/Inputs!$B$6)</f>
        <v>0.140463054873396</v>
      </c>
      <c r="I17" s="77" t="n">
        <f aca="false">IF(I$4="","",I9/Inputs!$B$6)</f>
        <v>0.145145156702509</v>
      </c>
      <c r="J17" s="77" t="n">
        <f aca="false">IF(J$4="","",J9/Inputs!$B$6)</f>
        <v>0.145145156702509</v>
      </c>
      <c r="K17" s="77" t="n">
        <f aca="false">IF(K$4="","",K9/Inputs!$B$6)</f>
        <v>0.140463054873396</v>
      </c>
      <c r="L17" s="77" t="n">
        <f aca="false">IF(L$4="","",L9/Inputs!$B$6)</f>
        <v>0.145145156702509</v>
      </c>
      <c r="M17" s="77" t="n">
        <f aca="false">IF(M$4="","",M9/Inputs!$B$6)</f>
        <v>0.140463054873396</v>
      </c>
      <c r="N17" s="77" t="n">
        <f aca="false">IF(N$4="","",N9/Inputs!$B$6)</f>
        <v>0.145145156702509</v>
      </c>
      <c r="O17" s="77" t="n">
        <f aca="false">IF(O$4="","",O9/Inputs!$B$6)</f>
        <v>0.145145156702509</v>
      </c>
      <c r="P17" s="77" t="n">
        <f aca="false">IF(P$4="","",P9/Inputs!$B$6)</f>
        <v>0.135780953044282</v>
      </c>
      <c r="Q17" s="77" t="n">
        <f aca="false">IF(Q$4="","",Q9/Inputs!$B$6)</f>
        <v>0.145145156702509</v>
      </c>
      <c r="R17" s="77" t="n">
        <f aca="false">IF(R$4="","",R9/Inputs!$B$6)</f>
        <v>0.140463054873396</v>
      </c>
      <c r="S17" s="77" t="n">
        <f aca="false">IF(S$4="","",S9/Inputs!$B$6)</f>
        <v>0.145145156702509</v>
      </c>
      <c r="T17" s="77" t="n">
        <f aca="false">IF(T$4="","",T9/Inputs!$B$6)</f>
        <v>0.140463054873396</v>
      </c>
      <c r="U17" s="77" t="n">
        <f aca="false">IF(U$4="","",U9/Inputs!$B$6)</f>
        <v>0.145145156702509</v>
      </c>
      <c r="V17" s="77" t="n">
        <f aca="false">IF(V$4="","",V9/Inputs!$B$6)</f>
        <v>0.145145156702509</v>
      </c>
      <c r="W17" s="77" t="n">
        <f aca="false">IF(W$4="","",W9/Inputs!$B$6)</f>
        <v>0.140463054873396</v>
      </c>
      <c r="X17" s="77" t="n">
        <f aca="false">IF(X$4="","",X9/Inputs!$B$6)</f>
        <v>0.145145156702509</v>
      </c>
      <c r="Y17" s="77" t="n">
        <f aca="false">IF(Y$4="","",Y9/Inputs!$B$6)</f>
        <v>0.140463054873396</v>
      </c>
      <c r="Z17" s="77" t="n">
        <f aca="false">IF(Z$4="","",Z9/Inputs!$B$6)</f>
        <v>0.145145156702509</v>
      </c>
      <c r="AA17" s="77" t="n">
        <f aca="false">IF(AA$4="","",AA9/Inputs!$B$6)</f>
        <v>0.0551766456813663</v>
      </c>
      <c r="AB17" s="77" t="n">
        <f aca="false">IF(AB$4="","",AB9/Inputs!$B$6)</f>
        <v>0.0471282409287695</v>
      </c>
      <c r="AC17" s="77" t="n">
        <f aca="false">IF(AC$4="","",AC9/Inputs!$B$6)</f>
        <v>0.0521776953139949</v>
      </c>
      <c r="AD17" s="77" t="n">
        <f aca="false">IF(AD$4="","",AD9/Inputs!$B$6)</f>
        <v>0.0504945438522531</v>
      </c>
      <c r="AE17" s="77" t="n">
        <f aca="false">IF(AE$4="","",AE9/Inputs!$B$6)</f>
        <v>0.0521776953139949</v>
      </c>
      <c r="AF17" s="77" t="n">
        <f aca="false">IF(AF$4="","",AF9/Inputs!$B$6)</f>
        <v>0.0504945438522531</v>
      </c>
      <c r="AG17" s="77" t="n">
        <f aca="false">IF(AG$4="","",AG9/Inputs!$B$6)</f>
        <v>0.0521776953139949</v>
      </c>
      <c r="AH17" s="77" t="n">
        <f aca="false">IF(AH$4="","",AH9/Inputs!$B$6)</f>
        <v>0.0521776953139949</v>
      </c>
      <c r="AI17" s="77" t="n">
        <f aca="false">IF(AI$4="","",AI9/Inputs!$B$6)</f>
        <v>0.0504945438522531</v>
      </c>
      <c r="AJ17" s="77" t="n">
        <f aca="false">IF(AJ$4="","",AJ9/Inputs!$B$6)</f>
        <v>0.0521776953139949</v>
      </c>
      <c r="AK17" s="77" t="n">
        <f aca="false">IF(AK$4="","",AK9/Inputs!$B$6)</f>
        <v>0.0504945438522531</v>
      </c>
      <c r="AL17" s="77" t="n">
        <f aca="false">IF(AL$4="","",AL9/Inputs!$B$6)</f>
        <v>0.0471282409287695</v>
      </c>
      <c r="AM17" s="77" t="str">
        <f aca="false">IF(AM$4="","",AM9/Inputs!$B$6)</f>
        <v/>
      </c>
      <c r="AN17" s="77" t="str">
        <f aca="false">IF(AN$4="","",AN9/Inputs!$B$6)</f>
        <v/>
      </c>
      <c r="AO17" s="77" t="str">
        <f aca="false">IF(AO$4="","",AO9/Inputs!$B$6)</f>
        <v/>
      </c>
      <c r="AP17" s="77" t="str">
        <f aca="false">IF(AP$4="","",AP9/Inputs!$B$6)</f>
        <v/>
      </c>
      <c r="AQ17" s="77" t="str">
        <f aca="false">IF(AQ$4="","",AQ9/Inputs!$B$6)</f>
        <v/>
      </c>
      <c r="AR17" s="77" t="str">
        <f aca="false">IF(AR$4="","",AR9/Inputs!$B$6)</f>
        <v/>
      </c>
      <c r="AS17" s="77" t="str">
        <f aca="false">IF(AS$4="","",AS9/Inputs!$B$6)</f>
        <v/>
      </c>
      <c r="AT17" s="77" t="str">
        <f aca="false">IF(AT$4="","",AT9/Inputs!$B$6)</f>
        <v/>
      </c>
      <c r="AU17" s="77" t="str">
        <f aca="false">IF(AU$4="","",AU9/Inputs!$B$6)</f>
        <v/>
      </c>
      <c r="AV17" s="77" t="str">
        <f aca="false">IF(AV$4="","",AV9/Inputs!$B$6)</f>
        <v/>
      </c>
      <c r="AW17" s="77" t="str">
        <f aca="false">IF(AW$4="","",AW9/Inputs!$B$6)</f>
        <v/>
      </c>
      <c r="AX17" s="77" t="str">
        <f aca="false">IF(AX$4="","",AX9/Inputs!$B$6)</f>
        <v/>
      </c>
      <c r="AY17" s="77" t="str">
        <f aca="false">IF(AY$4="","",AY9/Inputs!$B$6)</f>
        <v/>
      </c>
      <c r="AZ17" s="77" t="str">
        <f aca="false">IF(AZ$4="","",AZ9/Inputs!$B$6)</f>
        <v/>
      </c>
      <c r="BA17" s="77" t="str">
        <f aca="false">IF(BA$4="","",BA9/Inputs!$B$6)</f>
        <v/>
      </c>
      <c r="BB17" s="77" t="str">
        <f aca="false">IF(BB$4="","",BB9/Inputs!$B$6)</f>
        <v/>
      </c>
      <c r="BC17" s="77" t="str">
        <f aca="false">IF(BC$4="","",BC9/Inputs!$B$6)</f>
        <v/>
      </c>
      <c r="BD17" s="77" t="str">
        <f aca="false">IF(BD$4="","",BD9/Inputs!$B$6)</f>
        <v/>
      </c>
      <c r="BE17" s="77" t="str">
        <f aca="false">IF(BE$4="","",BE9/Inputs!$B$6)</f>
        <v/>
      </c>
      <c r="BF17" s="77" t="str">
        <f aca="false">IF(BF$4="","",BF9/Inputs!$B$6)</f>
        <v/>
      </c>
      <c r="BG17" s="77" t="str">
        <f aca="false">IF(BG$4="","",BG9/Inputs!$B$6)</f>
        <v/>
      </c>
      <c r="BH17" s="77" t="str">
        <f aca="false">IF(BH$4="","",BH9/Inputs!$B$6)</f>
        <v/>
      </c>
      <c r="BI17" s="77" t="str">
        <f aca="false">IF(BI$4="","",BI9/Inputs!$B$6)</f>
        <v/>
      </c>
      <c r="BJ17" s="77" t="str">
        <f aca="false">IF(BJ$4="","",BJ9/Inputs!$B$6)</f>
        <v/>
      </c>
      <c r="BK17" s="77" t="str">
        <f aca="false">IF(BK$4="","",BK9/Inputs!$B$6)</f>
        <v/>
      </c>
      <c r="BL17" s="77" t="str">
        <f aca="false">IF(BL$4="","",BL9/Inputs!$B$6)</f>
        <v/>
      </c>
      <c r="BM17" s="77" t="str">
        <f aca="false">IF(BM$4="","",BM9/Inputs!$B$6)</f>
        <v/>
      </c>
      <c r="BN17" s="77" t="str">
        <f aca="false">IF(BN$4="","",BN9/Inputs!$B$6)</f>
        <v/>
      </c>
      <c r="BO17" s="77" t="str">
        <f aca="false">IF(BO$4="","",BO9/Inputs!$B$6)</f>
        <v/>
      </c>
      <c r="BP17" s="77" t="str">
        <f aca="false">IF(BP$4="","",BP9/Inputs!$B$6)</f>
        <v/>
      </c>
      <c r="BQ17" s="77" t="str">
        <f aca="false">IF(BQ$4="","",BQ9/Inputs!$B$6)</f>
        <v/>
      </c>
      <c r="BR17" s="77" t="str">
        <f aca="false">IF(BR$4="","",BR9/Inputs!$B$6)</f>
        <v/>
      </c>
      <c r="BS17" s="77" t="str">
        <f aca="false">IF(BS$4="","",BS9/Inputs!$B$6)</f>
        <v/>
      </c>
      <c r="BT17" s="77" t="str">
        <f aca="false">IF(BT$4="","",BT9/Inputs!$B$6)</f>
        <v/>
      </c>
      <c r="BU17" s="77" t="str">
        <f aca="false">IF(BU$4="","",BU9/Inputs!$B$6)</f>
        <v/>
      </c>
      <c r="BV17" s="77" t="str">
        <f aca="false">IF(BV$4="","",BV9/Inputs!$B$6)</f>
        <v/>
      </c>
    </row>
    <row r="18" customFormat="false" ht="15" hidden="false" customHeight="false" outlineLevel="0" collapsed="false">
      <c r="A18" s="18" t="s">
        <v>323</v>
      </c>
      <c r="B18" s="28" t="s">
        <v>324</v>
      </c>
      <c r="C18" s="78" t="n">
        <f aca="false">IF(C$4="","",C11/Inputs!$B$6)</f>
        <v>1.76667247969439</v>
      </c>
      <c r="D18" s="78" t="n">
        <f aca="false">IF(D$4="","",D11/Inputs!$B$6)</f>
        <v>1.62869262924892</v>
      </c>
      <c r="E18" s="78" t="n">
        <f aca="false">IF(E$4="","",E11/Inputs!$B$6)</f>
        <v>1.90142163174917</v>
      </c>
      <c r="F18" s="78" t="n">
        <f aca="false">IF(F$4="","",F11/Inputs!$B$6)</f>
        <v>2.15545103440411</v>
      </c>
      <c r="G18" s="78" t="n">
        <f aca="false">IF(G$4="","",G11/Inputs!$B$6)</f>
        <v>2.18362512777408</v>
      </c>
      <c r="H18" s="78" t="n">
        <f aca="false">IF(H$4="","",H11/Inputs!$B$6)</f>
        <v>2.1131856075233</v>
      </c>
      <c r="I18" s="78" t="n">
        <f aca="false">IF(I$4="","",I11/Inputs!$B$6)</f>
        <v>2.13234307649202</v>
      </c>
      <c r="J18" s="78" t="n">
        <f aca="false">IF(J$4="","",J11/Inputs!$B$6)</f>
        <v>1.38875333290228</v>
      </c>
      <c r="K18" s="78" t="n">
        <f aca="false">IF(K$4="","",K11/Inputs!$B$6)</f>
        <v>1.34395483829253</v>
      </c>
      <c r="L18" s="78" t="n">
        <f aca="false">IF(L$4="","",L11/Inputs!$B$6)</f>
        <v>1.38875333290228</v>
      </c>
      <c r="M18" s="78" t="n">
        <f aca="false">IF(M$4="","",M11/Inputs!$B$6)</f>
        <v>4.01691606908396</v>
      </c>
      <c r="N18" s="78" t="n">
        <f aca="false">IF(N$4="","",N11/Inputs!$B$6)</f>
        <v>4.13044903783152</v>
      </c>
      <c r="O18" s="78" t="n">
        <f aca="false">IF(O$4="","",O11/Inputs!$B$6)</f>
        <v>4.13044903783152</v>
      </c>
      <c r="P18" s="78" t="n">
        <f aca="false">IF(P$4="","",P11/Inputs!$B$6)</f>
        <v>3.86396845474562</v>
      </c>
      <c r="Q18" s="78" t="n">
        <f aca="false">IF(Q$4="","",Q11/Inputs!$B$6)</f>
        <v>4.13044903783152</v>
      </c>
      <c r="R18" s="78" t="n">
        <f aca="false">IF(R$4="","",R11/Inputs!$B$6)</f>
        <v>3.99720874628857</v>
      </c>
      <c r="S18" s="78" t="n">
        <f aca="false">IF(S$4="","",S11/Inputs!$B$6)</f>
        <v>4.03708270768975</v>
      </c>
      <c r="T18" s="78" t="n">
        <f aca="false">IF(T$4="","",T11/Inputs!$B$6)</f>
        <v>2.19439843366905</v>
      </c>
      <c r="U18" s="78" t="n">
        <f aca="false">IF(U$4="","",U11/Inputs!$B$6)</f>
        <v>1.66800994817117</v>
      </c>
      <c r="V18" s="78" t="n">
        <f aca="false">IF(V$4="","",V11/Inputs!$B$6)</f>
        <v>1.66800994817117</v>
      </c>
      <c r="W18" s="78" t="n">
        <f aca="false">IF(W$4="","",W11/Inputs!$B$6)</f>
        <v>1.61420317564952</v>
      </c>
      <c r="X18" s="78" t="n">
        <f aca="false">IF(X$4="","",X11/Inputs!$B$6)</f>
        <v>1.66800994817117</v>
      </c>
      <c r="Y18" s="78" t="n">
        <f aca="false">IF(Y$4="","",Y11/Inputs!$B$6)</f>
        <v>1.61420317564952</v>
      </c>
      <c r="Z18" s="78" t="n">
        <f aca="false">IF(Z$4="","",Z11/Inputs!$B$6)</f>
        <v>2.05358928111893</v>
      </c>
      <c r="AA18" s="78" t="n">
        <f aca="false">IF(AA$4="","",AA11/Inputs!$B$6)</f>
        <v>1.98074984707093</v>
      </c>
      <c r="AB18" s="78" t="n">
        <f aca="false">IF(AB$4="","",AB11/Inputs!$B$6)</f>
        <v>1.76661690251305</v>
      </c>
      <c r="AC18" s="78" t="n">
        <f aca="false">IF(AC$4="","",AC11/Inputs!$B$6)</f>
        <v>1.95589728492517</v>
      </c>
      <c r="AD18" s="78" t="n">
        <f aca="false">IF(AD$4="","",AD11/Inputs!$B$6)</f>
        <v>1.89280382412113</v>
      </c>
      <c r="AE18" s="78" t="n">
        <f aca="false">IF(AE$4="","",AE11/Inputs!$B$6)</f>
        <v>1.95589728492517</v>
      </c>
      <c r="AF18" s="78" t="n">
        <f aca="false">IF(AF$4="","",AF11/Inputs!$B$6)</f>
        <v>1.89280382412113</v>
      </c>
      <c r="AG18" s="78" t="n">
        <f aca="false">IF(AG$4="","",AG11/Inputs!$B$6)</f>
        <v>1.95589728492517</v>
      </c>
      <c r="AH18" s="78" t="n">
        <f aca="false">IF(AH$4="","",AH11/Inputs!$B$6)</f>
        <v>1.61937408239415</v>
      </c>
      <c r="AI18" s="78" t="n">
        <f aca="false">IF(AI$4="","",AI11/Inputs!$B$6)</f>
        <v>1.12443176868863</v>
      </c>
      <c r="AJ18" s="78" t="n">
        <f aca="false">IF(AJ$4="","",AJ11/Inputs!$B$6)</f>
        <v>0.600430514337784</v>
      </c>
      <c r="AK18" s="78" t="n">
        <f aca="false">IF(AK$4="","",AK11/Inputs!$B$6)</f>
        <v>0.562949455381496</v>
      </c>
      <c r="AL18" s="78" t="n">
        <f aca="false">IF(AL$4="","",AL11/Inputs!$B$6)</f>
        <v>0.525419491689397</v>
      </c>
      <c r="AM18" s="78" t="str">
        <f aca="false">IF(AM$4="","",AM11/Inputs!$B$6)</f>
        <v/>
      </c>
      <c r="AN18" s="78" t="str">
        <f aca="false">IF(AN$4="","",AN11/Inputs!$B$6)</f>
        <v/>
      </c>
      <c r="AO18" s="78" t="str">
        <f aca="false">IF(AO$4="","",AO11/Inputs!$B$6)</f>
        <v/>
      </c>
      <c r="AP18" s="78" t="str">
        <f aca="false">IF(AP$4="","",AP11/Inputs!$B$6)</f>
        <v/>
      </c>
      <c r="AQ18" s="78" t="str">
        <f aca="false">IF(AQ$4="","",AQ11/Inputs!$B$6)</f>
        <v/>
      </c>
      <c r="AR18" s="78" t="str">
        <f aca="false">IF(AR$4="","",AR11/Inputs!$B$6)</f>
        <v/>
      </c>
      <c r="AS18" s="78" t="str">
        <f aca="false">IF(AS$4="","",AS11/Inputs!$B$6)</f>
        <v/>
      </c>
      <c r="AT18" s="78" t="str">
        <f aca="false">IF(AT$4="","",AT11/Inputs!$B$6)</f>
        <v/>
      </c>
      <c r="AU18" s="78" t="str">
        <f aca="false">IF(AU$4="","",AU11/Inputs!$B$6)</f>
        <v/>
      </c>
      <c r="AV18" s="78" t="str">
        <f aca="false">IF(AV$4="","",AV11/Inputs!$B$6)</f>
        <v/>
      </c>
      <c r="AW18" s="78" t="str">
        <f aca="false">IF(AW$4="","",AW11/Inputs!$B$6)</f>
        <v/>
      </c>
      <c r="AX18" s="78" t="str">
        <f aca="false">IF(AX$4="","",AX11/Inputs!$B$6)</f>
        <v/>
      </c>
      <c r="AY18" s="78" t="str">
        <f aca="false">IF(AY$4="","",AY11/Inputs!$B$6)</f>
        <v/>
      </c>
      <c r="AZ18" s="78" t="str">
        <f aca="false">IF(AZ$4="","",AZ11/Inputs!$B$6)</f>
        <v/>
      </c>
      <c r="BA18" s="78" t="str">
        <f aca="false">IF(BA$4="","",BA11/Inputs!$B$6)</f>
        <v/>
      </c>
      <c r="BB18" s="78" t="str">
        <f aca="false">IF(BB$4="","",BB11/Inputs!$B$6)</f>
        <v/>
      </c>
      <c r="BC18" s="78" t="str">
        <f aca="false">IF(BC$4="","",BC11/Inputs!$B$6)</f>
        <v/>
      </c>
      <c r="BD18" s="78" t="str">
        <f aca="false">IF(BD$4="","",BD11/Inputs!$B$6)</f>
        <v/>
      </c>
      <c r="BE18" s="78" t="str">
        <f aca="false">IF(BE$4="","",BE11/Inputs!$B$6)</f>
        <v/>
      </c>
      <c r="BF18" s="78" t="str">
        <f aca="false">IF(BF$4="","",BF11/Inputs!$B$6)</f>
        <v/>
      </c>
      <c r="BG18" s="78" t="str">
        <f aca="false">IF(BG$4="","",BG11/Inputs!$B$6)</f>
        <v/>
      </c>
      <c r="BH18" s="78" t="str">
        <f aca="false">IF(BH$4="","",BH11/Inputs!$B$6)</f>
        <v/>
      </c>
      <c r="BI18" s="78" t="str">
        <f aca="false">IF(BI$4="","",BI11/Inputs!$B$6)</f>
        <v/>
      </c>
      <c r="BJ18" s="78" t="str">
        <f aca="false">IF(BJ$4="","",BJ11/Inputs!$B$6)</f>
        <v/>
      </c>
      <c r="BK18" s="78" t="str">
        <f aca="false">IF(BK$4="","",BK11/Inputs!$B$6)</f>
        <v/>
      </c>
      <c r="BL18" s="78" t="str">
        <f aca="false">IF(BL$4="","",BL11/Inputs!$B$6)</f>
        <v/>
      </c>
      <c r="BM18" s="78" t="str">
        <f aca="false">IF(BM$4="","",BM11/Inputs!$B$6)</f>
        <v/>
      </c>
      <c r="BN18" s="78" t="str">
        <f aca="false">IF(BN$4="","",BN11/Inputs!$B$6)</f>
        <v/>
      </c>
      <c r="BO18" s="78" t="str">
        <f aca="false">IF(BO$4="","",BO11/Inputs!$B$6)</f>
        <v/>
      </c>
      <c r="BP18" s="78" t="str">
        <f aca="false">IF(BP$4="","",BP11/Inputs!$B$6)</f>
        <v/>
      </c>
      <c r="BQ18" s="78" t="str">
        <f aca="false">IF(BQ$4="","",BQ11/Inputs!$B$6)</f>
        <v/>
      </c>
      <c r="BR18" s="78" t="str">
        <f aca="false">IF(BR$4="","",BR11/Inputs!$B$6)</f>
        <v/>
      </c>
      <c r="BS18" s="78" t="str">
        <f aca="false">IF(BS$4="","",BS11/Inputs!$B$6)</f>
        <v/>
      </c>
      <c r="BT18" s="78" t="str">
        <f aca="false">IF(BT$4="","",BT11/Inputs!$B$6)</f>
        <v/>
      </c>
      <c r="BU18" s="78" t="str">
        <f aca="false">IF(BU$4="","",BU11/Inputs!$B$6)</f>
        <v/>
      </c>
      <c r="BV18" s="78" t="str">
        <f aca="false">IF(BV$4="","",BV11/Inputs!$B$6)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</row>
    <row r="20" customFormat="false" ht="15" hidden="false" customHeight="false" outlineLevel="0" collapsed="false">
      <c r="A20" s="69" t="s">
        <v>325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</row>
    <row r="21" customFormat="false" ht="15" hidden="false" customHeight="false" outlineLevel="0" collapsed="false">
      <c r="A21" s="74" t="s">
        <v>326</v>
      </c>
      <c r="B21" s="4"/>
      <c r="C21" s="77" t="n">
        <f aca="false">IF(C$4="","",IF(Inputs!$B$44&gt;=5,AVERAGE(C18:E18),IF(Inputs!$B$44&gt;=3,AVERAGE(C18:D18),C18)))</f>
        <v>1.69768255447165</v>
      </c>
      <c r="D21" s="77" t="n">
        <f aca="false">IF(D$4="","",IF(Inputs!$B$44&gt;=5,AVERAGE(C18:F18),IF(Inputs!$B$44&gt;=3,AVERAGE(C18:E18),D18)))</f>
        <v>1.76559558023083</v>
      </c>
      <c r="E21" s="77" t="n">
        <f aca="false">IF(E$4="","",IF(Inputs!$B$44&gt;=5,AVERAGE(C18:G18),IF(Inputs!$B$44&gt;=3,AVERAGE(D18:F18),E18)))</f>
        <v>1.89518843180073</v>
      </c>
      <c r="F21" s="77" t="n">
        <f aca="false">IF(F$4="","",IF(Inputs!$B$44&gt;=5,AVERAGE(D18:H18),IF(Inputs!$B$44&gt;=3,AVERAGE(E18:G18),F18)))</f>
        <v>2.08016593130912</v>
      </c>
      <c r="G21" s="77" t="n">
        <f aca="false">IF(G$4="","",IF(Inputs!$B$44&gt;=5,AVERAGE(E18:I18),IF(Inputs!$B$44&gt;=3,AVERAGE(F18:H18),G18)))</f>
        <v>2.15075392323383</v>
      </c>
      <c r="H21" s="77" t="n">
        <f aca="false">IF(H$4="","",IF(Inputs!$B$44&gt;=5,AVERAGE(F18:J18),IF(Inputs!$B$44&gt;=3,AVERAGE(G18:I18),H18)))</f>
        <v>2.14305127059647</v>
      </c>
      <c r="I21" s="77" t="n">
        <f aca="false">IF(I$4="","",IF(Inputs!$B$44&gt;=5,AVERAGE(G18:K18),IF(Inputs!$B$44&gt;=3,AVERAGE(H18:J18),I18)))</f>
        <v>1.8780940056392</v>
      </c>
      <c r="J21" s="77" t="n">
        <f aca="false">IF(J$4="","",IF(Inputs!$B$44&gt;=5,AVERAGE(H18:L18),IF(Inputs!$B$44&gt;=3,AVERAGE(I18:K18),J18)))</f>
        <v>1.62168374922894</v>
      </c>
      <c r="K21" s="77" t="n">
        <f aca="false">IF(K$4="","",IF(Inputs!$B$44&gt;=5,AVERAGE(I18:M18),IF(Inputs!$B$44&gt;=3,AVERAGE(J18:L18),K18)))</f>
        <v>1.3738205013657</v>
      </c>
      <c r="L21" s="77" t="n">
        <f aca="false">IF(L$4="","",IF(Inputs!$B$44&gt;=5,AVERAGE(J18:N18),IF(Inputs!$B$44&gt;=3,AVERAGE(K18:M18),L18)))</f>
        <v>2.24987474675959</v>
      </c>
      <c r="M21" s="77" t="n">
        <f aca="false">IF(M$4="","",IF(Inputs!$B$44&gt;=5,AVERAGE(K18:O18),IF(Inputs!$B$44&gt;=3,AVERAGE(L18:N18),M18)))</f>
        <v>3.17870614660592</v>
      </c>
      <c r="N21" s="77" t="n">
        <f aca="false">IF(N$4="","",IF(Inputs!$B$44&gt;=5,AVERAGE(L18:P18),IF(Inputs!$B$44&gt;=3,AVERAGE(M18:O18),N18)))</f>
        <v>4.09260471491567</v>
      </c>
      <c r="O21" s="77" t="n">
        <f aca="false">IF(O$4="","",IF(Inputs!$B$44&gt;=5,AVERAGE(M18:Q18),IF(Inputs!$B$44&gt;=3,AVERAGE(N18:P18),O18)))</f>
        <v>4.04162217680289</v>
      </c>
      <c r="P21" s="77" t="n">
        <f aca="false">IF(P$4="","",IF(Inputs!$B$44&gt;=5,AVERAGE(N18:R18),IF(Inputs!$B$44&gt;=3,AVERAGE(O18:Q18),P18)))</f>
        <v>4.04162217680289</v>
      </c>
      <c r="Q21" s="77" t="n">
        <f aca="false">IF(Q$4="","",IF(Inputs!$B$44&gt;=5,AVERAGE(O18:S18),IF(Inputs!$B$44&gt;=3,AVERAGE(P18:R18),Q18)))</f>
        <v>3.99720874628857</v>
      </c>
      <c r="R21" s="77" t="n">
        <f aca="false">IF(R$4="","",IF(Inputs!$B$44&gt;=5,AVERAGE(P18:T18),IF(Inputs!$B$44&gt;=3,AVERAGE(Q18:S18),R18)))</f>
        <v>4.05491349726995</v>
      </c>
      <c r="S21" s="77" t="n">
        <f aca="false">IF(S$4="","",IF(Inputs!$B$44&gt;=5,AVERAGE(Q18:U18),IF(Inputs!$B$44&gt;=3,AVERAGE(R18:T18),S18)))</f>
        <v>3.40956329588245</v>
      </c>
      <c r="T21" s="77" t="n">
        <f aca="false">IF(T$4="","",IF(Inputs!$B$44&gt;=5,AVERAGE(R18:V18),IF(Inputs!$B$44&gt;=3,AVERAGE(S18:U18),T18)))</f>
        <v>2.63316369650999</v>
      </c>
      <c r="U21" s="77" t="n">
        <f aca="false">IF(U$4="","",IF(Inputs!$B$44&gt;=5,AVERAGE(S18:W18),IF(Inputs!$B$44&gt;=3,AVERAGE(T18:V18),U18)))</f>
        <v>1.84347277667046</v>
      </c>
      <c r="V21" s="77" t="n">
        <f aca="false">IF(V$4="","",IF(Inputs!$B$44&gt;=5,AVERAGE(T18:X18),IF(Inputs!$B$44&gt;=3,AVERAGE(U18:W18),V18)))</f>
        <v>1.65007435733062</v>
      </c>
      <c r="W21" s="77" t="n">
        <f aca="false">IF(W$4="","",IF(Inputs!$B$44&gt;=5,AVERAGE(U18:Y18),IF(Inputs!$B$44&gt;=3,AVERAGE(V18:X18),W18)))</f>
        <v>1.65007435733062</v>
      </c>
      <c r="X21" s="77" t="n">
        <f aca="false">IF(X$4="","",IF(Inputs!$B$44&gt;=5,AVERAGE(V18:Z18),IF(Inputs!$B$44&gt;=3,AVERAGE(W18:Y18),X18)))</f>
        <v>1.63213876649007</v>
      </c>
      <c r="Y21" s="77" t="n">
        <f aca="false">IF(Y$4="","",IF(Inputs!$B$44&gt;=5,AVERAGE(W18:AA18),IF(Inputs!$B$44&gt;=3,AVERAGE(X18:Z18),Y18)))</f>
        <v>1.77860080164654</v>
      </c>
      <c r="Z21" s="77" t="n">
        <f aca="false">IF(Z$4="","",IF(Inputs!$B$44&gt;=5,AVERAGE(X18:AB18),IF(Inputs!$B$44&gt;=3,AVERAGE(Y18:AA18),Z18)))</f>
        <v>1.88284743461312</v>
      </c>
      <c r="AA21" s="77" t="n">
        <f aca="false">IF(AA$4="","",IF(Inputs!$B$44&gt;=5,AVERAGE(Y18:AC18),IF(Inputs!$B$44&gt;=3,AVERAGE(Z18:AB18),AA18)))</f>
        <v>1.9336520102343</v>
      </c>
      <c r="AB21" s="77" t="n">
        <f aca="false">IF(AB$4="","",IF(Inputs!$B$44&gt;=5,AVERAGE(Z18:AD18),IF(Inputs!$B$44&gt;=3,AVERAGE(AA18:AC18),AB18)))</f>
        <v>1.90108801150305</v>
      </c>
      <c r="AC21" s="77" t="n">
        <f aca="false">IF(AC$4="","",IF(Inputs!$B$44&gt;=5,AVERAGE(AA18:AE18),IF(Inputs!$B$44&gt;=3,AVERAGE(AB18:AD18),AC18)))</f>
        <v>1.87177267051978</v>
      </c>
      <c r="AD21" s="77" t="n">
        <f aca="false">IF(AD$4="","",IF(Inputs!$B$44&gt;=5,AVERAGE(AB18:AF18),IF(Inputs!$B$44&gt;=3,AVERAGE(AC18:AE18),AD18)))</f>
        <v>1.93486613132382</v>
      </c>
      <c r="AE21" s="77" t="n">
        <f aca="false">IF(AE$4="","",IF(Inputs!$B$44&gt;=5,AVERAGE(AC18:AG18),IF(Inputs!$B$44&gt;=3,AVERAGE(AD18:AF18),AE18)))</f>
        <v>1.91383497772247</v>
      </c>
      <c r="AF21" s="77" t="n">
        <f aca="false">IF(AF$4="","",IF(Inputs!$B$44&gt;=5,AVERAGE(AD18:AH18),IF(Inputs!$B$44&gt;=3,AVERAGE(AE18:AG18),AF18)))</f>
        <v>1.93486613132382</v>
      </c>
      <c r="AG21" s="77" t="n">
        <f aca="false">IF(AG$4="","",IF(Inputs!$B$44&gt;=5,AVERAGE(AE18:AI18),IF(Inputs!$B$44&gt;=3,AVERAGE(AF18:AH18),AG18)))</f>
        <v>1.82269173048015</v>
      </c>
      <c r="AH21" s="77" t="n">
        <f aca="false">IF(AH$4="","",IF(Inputs!$B$44&gt;=5,AVERAGE(AF18:AJ18),IF(Inputs!$B$44&gt;=3,AVERAGE(AG18:AI18),AH18)))</f>
        <v>1.56656771200265</v>
      </c>
      <c r="AI21" s="77" t="n">
        <f aca="false">IF(AI$4="","",IF(Inputs!$B$44&gt;=5,AVERAGE(AG18:AK18),IF(Inputs!$B$44&gt;=3,AVERAGE(AH18:AJ18),AI18)))</f>
        <v>1.11474545514019</v>
      </c>
      <c r="AJ21" s="77" t="n">
        <f aca="false">IF(AJ$4="","",IF(Inputs!$B$44&gt;=5,AVERAGE(AH18:AL18),IF(Inputs!$B$44&gt;=3,AVERAGE(AI18:AK18),AJ18)))</f>
        <v>0.762603912802636</v>
      </c>
      <c r="AK21" s="77" t="n">
        <f aca="false">IF(AK$4="","",IF(Inputs!$B$44&gt;=5,AVERAGE(AI18:AM18),IF(Inputs!$B$44&gt;=3,AVERAGE(AJ18:AL18),AK18)))</f>
        <v>0.562933153802892</v>
      </c>
      <c r="AL21" s="77" t="n">
        <f aca="false">IF(AL$4="","",IF(Inputs!$B$44&gt;=5,AVERAGE(AJ18:AN18),IF(Inputs!$B$44&gt;=3,AVERAGE(AK18:AM18),AL18)))</f>
        <v>0.544184473535446</v>
      </c>
      <c r="AM21" s="77" t="str">
        <f aca="false">IF(AM$4="","",IF(Inputs!$B$44&gt;=5,AVERAGE(AK18:AO18),IF(Inputs!$B$44&gt;=3,AVERAGE(AL18:AN18),AM18)))</f>
        <v/>
      </c>
      <c r="AN21" s="77" t="str">
        <f aca="false">IF(AN$4="","",IF(Inputs!$B$44&gt;=5,AVERAGE(AL18:AP18),IF(Inputs!$B$44&gt;=3,AVERAGE(AM18:AO18),AN18)))</f>
        <v/>
      </c>
      <c r="AO21" s="77" t="str">
        <f aca="false">IF(AO$4="","",IF(Inputs!$B$44&gt;=5,AVERAGE(AM18:AQ18),IF(Inputs!$B$44&gt;=3,AVERAGE(AN18:AP18),AO18)))</f>
        <v/>
      </c>
      <c r="AP21" s="77" t="str">
        <f aca="false">IF(AP$4="","",IF(Inputs!$B$44&gt;=5,AVERAGE(AN18:AR18),IF(Inputs!$B$44&gt;=3,AVERAGE(AO18:AQ18),AP18)))</f>
        <v/>
      </c>
      <c r="AQ21" s="77" t="str">
        <f aca="false">IF(AQ$4="","",IF(Inputs!$B$44&gt;=5,AVERAGE(AO18:AS18),IF(Inputs!$B$44&gt;=3,AVERAGE(AP18:AR18),AQ18)))</f>
        <v/>
      </c>
      <c r="AR21" s="77" t="str">
        <f aca="false">IF(AR$4="","",IF(Inputs!$B$44&gt;=5,AVERAGE(AP18:AT18),IF(Inputs!$B$44&gt;=3,AVERAGE(AQ18:AS18),AR18)))</f>
        <v/>
      </c>
      <c r="AS21" s="77" t="str">
        <f aca="false">IF(AS$4="","",IF(Inputs!$B$44&gt;=5,AVERAGE(AQ18:AU18),IF(Inputs!$B$44&gt;=3,AVERAGE(AR18:AT18),AS18)))</f>
        <v/>
      </c>
      <c r="AT21" s="77" t="str">
        <f aca="false">IF(AT$4="","",IF(Inputs!$B$44&gt;=5,AVERAGE(AR18:AV18),IF(Inputs!$B$44&gt;=3,AVERAGE(AS18:AU18),AT18)))</f>
        <v/>
      </c>
      <c r="AU21" s="77" t="str">
        <f aca="false">IF(AU$4="","",IF(Inputs!$B$44&gt;=5,AVERAGE(AS18:AW18),IF(Inputs!$B$44&gt;=3,AVERAGE(AT18:AV18),AU18)))</f>
        <v/>
      </c>
      <c r="AV21" s="77" t="str">
        <f aca="false">IF(AV$4="","",IF(Inputs!$B$44&gt;=5,AVERAGE(AT18:AX18),IF(Inputs!$B$44&gt;=3,AVERAGE(AU18:AW18),AV18)))</f>
        <v/>
      </c>
      <c r="AW21" s="77" t="str">
        <f aca="false">IF(AW$4="","",IF(Inputs!$B$44&gt;=5,AVERAGE(AU18:AY18),IF(Inputs!$B$44&gt;=3,AVERAGE(AV18:AX18),AW18)))</f>
        <v/>
      </c>
      <c r="AX21" s="77" t="str">
        <f aca="false">IF(AX$4="","",IF(Inputs!$B$44&gt;=5,AVERAGE(AV18:AZ18),IF(Inputs!$B$44&gt;=3,AVERAGE(AW18:AY18),AX18)))</f>
        <v/>
      </c>
      <c r="AY21" s="77" t="str">
        <f aca="false">IF(AY$4="","",IF(Inputs!$B$44&gt;=5,AVERAGE(AW18:BA18),IF(Inputs!$B$44&gt;=3,AVERAGE(AX18:AZ18),AY18)))</f>
        <v/>
      </c>
      <c r="AZ21" s="77" t="str">
        <f aca="false">IF(AZ$4="","",IF(Inputs!$B$44&gt;=5,AVERAGE(AX18:BB18),IF(Inputs!$B$44&gt;=3,AVERAGE(AY18:BA18),AZ18)))</f>
        <v/>
      </c>
      <c r="BA21" s="77" t="str">
        <f aca="false">IF(BA$4="","",IF(Inputs!$B$44&gt;=5,AVERAGE(AY18:BC18),IF(Inputs!$B$44&gt;=3,AVERAGE(AZ18:BB18),BA18)))</f>
        <v/>
      </c>
      <c r="BB21" s="77" t="str">
        <f aca="false">IF(BB$4="","",IF(Inputs!$B$44&gt;=5,AVERAGE(AZ18:BD18),IF(Inputs!$B$44&gt;=3,AVERAGE(BA18:BC18),BB18)))</f>
        <v/>
      </c>
      <c r="BC21" s="77" t="str">
        <f aca="false">IF(BC$4="","",IF(Inputs!$B$44&gt;=5,AVERAGE(BA18:BE18),IF(Inputs!$B$44&gt;=3,AVERAGE(BB18:BD18),BC18)))</f>
        <v/>
      </c>
      <c r="BD21" s="77" t="str">
        <f aca="false">IF(BD$4="","",IF(Inputs!$B$44&gt;=5,AVERAGE(BB18:BF18),IF(Inputs!$B$44&gt;=3,AVERAGE(BC18:BE18),BD18)))</f>
        <v/>
      </c>
      <c r="BE21" s="77" t="str">
        <f aca="false">IF(BE$4="","",IF(Inputs!$B$44&gt;=5,AVERAGE(BC18:BG18),IF(Inputs!$B$44&gt;=3,AVERAGE(BD18:BF18),BE18)))</f>
        <v/>
      </c>
      <c r="BF21" s="77" t="str">
        <f aca="false">IF(BF$4="","",IF(Inputs!$B$44&gt;=5,AVERAGE(BD18:BH18),IF(Inputs!$B$44&gt;=3,AVERAGE(BE18:BG18),BF18)))</f>
        <v/>
      </c>
      <c r="BG21" s="77" t="str">
        <f aca="false">IF(BG$4="","",IF(Inputs!$B$44&gt;=5,AVERAGE(BE18:BI18),IF(Inputs!$B$44&gt;=3,AVERAGE(BF18:BH18),BG18)))</f>
        <v/>
      </c>
      <c r="BH21" s="77" t="str">
        <f aca="false">IF(BH$4="","",IF(Inputs!$B$44&gt;=5,AVERAGE(BF18:BJ18),IF(Inputs!$B$44&gt;=3,AVERAGE(BG18:BI18),BH18)))</f>
        <v/>
      </c>
      <c r="BI21" s="77" t="str">
        <f aca="false">IF(BI$4="","",IF(Inputs!$B$44&gt;=5,AVERAGE(BG18:BK18),IF(Inputs!$B$44&gt;=3,AVERAGE(BH18:BJ18),BI18)))</f>
        <v/>
      </c>
      <c r="BJ21" s="77" t="str">
        <f aca="false">IF(BJ$4="","",IF(Inputs!$B$44&gt;=5,AVERAGE(BH18:BL18),IF(Inputs!$B$44&gt;=3,AVERAGE(BI18:BK18),BJ18)))</f>
        <v/>
      </c>
      <c r="BK21" s="77" t="str">
        <f aca="false">IF(BK$4="","",IF(Inputs!$B$44&gt;=5,AVERAGE(BI18:BM18),IF(Inputs!$B$44&gt;=3,AVERAGE(BJ18:BL18),BK18)))</f>
        <v/>
      </c>
      <c r="BL21" s="77" t="str">
        <f aca="false">IF(BL$4="","",IF(Inputs!$B$44&gt;=5,AVERAGE(BJ18:BN18),IF(Inputs!$B$44&gt;=3,AVERAGE(BK18:BM18),BL18)))</f>
        <v/>
      </c>
      <c r="BM21" s="77" t="str">
        <f aca="false">IF(BM$4="","",IF(Inputs!$B$44&gt;=5,AVERAGE(BK18:BO18),IF(Inputs!$B$44&gt;=3,AVERAGE(BL18:BN18),BM18)))</f>
        <v/>
      </c>
      <c r="BN21" s="77" t="str">
        <f aca="false">IF(BN$4="","",IF(Inputs!$B$44&gt;=5,AVERAGE(BL18:BP18),IF(Inputs!$B$44&gt;=3,AVERAGE(BM18:BO18),BN18)))</f>
        <v/>
      </c>
      <c r="BO21" s="77" t="str">
        <f aca="false">IF(BO$4="","",IF(Inputs!$B$44&gt;=5,AVERAGE(BM18:BQ18),IF(Inputs!$B$44&gt;=3,AVERAGE(BN18:BP18),BO18)))</f>
        <v/>
      </c>
      <c r="BP21" s="77" t="str">
        <f aca="false">IF(BP$4="","",IF(Inputs!$B$44&gt;=5,AVERAGE(BN18:BR18),IF(Inputs!$B$44&gt;=3,AVERAGE(BO18:BQ18),BP18)))</f>
        <v/>
      </c>
      <c r="BQ21" s="77" t="str">
        <f aca="false">IF(BQ$4="","",IF(Inputs!$B$44&gt;=5,AVERAGE(BO18:BS18),IF(Inputs!$B$44&gt;=3,AVERAGE(BP18:BR18),BQ18)))</f>
        <v/>
      </c>
      <c r="BR21" s="77" t="str">
        <f aca="false">IF(BR$4="","",IF(Inputs!$B$44&gt;=5,AVERAGE(BP18:BT18),IF(Inputs!$B$44&gt;=3,AVERAGE(BQ18:BS18),BR18)))</f>
        <v/>
      </c>
      <c r="BS21" s="77" t="str">
        <f aca="false">IF(BS$4="","",IF(Inputs!$B$44&gt;=5,AVERAGE(BQ18:BU18),IF(Inputs!$B$44&gt;=3,AVERAGE(BR18:BT18),BS18)))</f>
        <v/>
      </c>
      <c r="BT21" s="77" t="str">
        <f aca="false">IF(BT$4="","",IF(Inputs!$B$44&gt;=5,AVERAGE(BR18:BV18),IF(Inputs!$B$44&gt;=3,AVERAGE(BS18:BU18),BT18)))</f>
        <v/>
      </c>
      <c r="BU21" s="77" t="str">
        <f aca="false">IF(BU$4="","",IF(Inputs!$B$44&gt;=5,AVERAGE(BS18:BV18),IF(Inputs!$B$44&gt;=3,AVERAGE(BT18:BV18),BU18)))</f>
        <v/>
      </c>
      <c r="BV21" s="77" t="str">
        <f aca="false">IF(BV$4="","",IF(Inputs!$B$44&gt;=5,AVERAGE(BT18:BV18),IF(Inputs!$B$44&gt;=3,AVERAGE(BU18:BV18),BV18)))</f>
        <v/>
      </c>
    </row>
    <row r="22" customFormat="false" ht="15" hidden="false" customHeight="false" outlineLevel="0" collapsed="false">
      <c r="A22" s="18" t="s">
        <v>327</v>
      </c>
      <c r="B22" s="79" t="n">
        <f aca="false">IFERROR(AVERAGE(C22:BV22),0)</f>
        <v>2.38888888888889</v>
      </c>
      <c r="C22" s="66" t="n">
        <f aca="false">IF(C$4="","",MAX(Inputs!$B$46,CEILING(C21,Inputs!$B$45)))</f>
        <v>2</v>
      </c>
      <c r="D22" s="66" t="n">
        <f aca="false">IF(D$4="","",MAX(Inputs!$B$46,CEILING(D21,Inputs!$B$45)))</f>
        <v>2</v>
      </c>
      <c r="E22" s="66" t="n">
        <f aca="false">IF(E$4="","",MAX(Inputs!$B$46,CEILING(E21,Inputs!$B$45)))</f>
        <v>2</v>
      </c>
      <c r="F22" s="66" t="n">
        <f aca="false">IF(F$4="","",MAX(Inputs!$B$46,CEILING(F21,Inputs!$B$45)))</f>
        <v>2.5</v>
      </c>
      <c r="G22" s="66" t="n">
        <f aca="false">IF(G$4="","",MAX(Inputs!$B$46,CEILING(G21,Inputs!$B$45)))</f>
        <v>2.5</v>
      </c>
      <c r="H22" s="66" t="n">
        <f aca="false">IF(H$4="","",MAX(Inputs!$B$46,CEILING(H21,Inputs!$B$45)))</f>
        <v>2.5</v>
      </c>
      <c r="I22" s="66" t="n">
        <f aca="false">IF(I$4="","",MAX(Inputs!$B$46,CEILING(I21,Inputs!$B$45)))</f>
        <v>2</v>
      </c>
      <c r="J22" s="66" t="n">
        <f aca="false">IF(J$4="","",MAX(Inputs!$B$46,CEILING(J21,Inputs!$B$45)))</f>
        <v>2</v>
      </c>
      <c r="K22" s="66" t="n">
        <f aca="false">IF(K$4="","",MAX(Inputs!$B$46,CEILING(K21,Inputs!$B$45)))</f>
        <v>1.5</v>
      </c>
      <c r="L22" s="66" t="n">
        <f aca="false">IF(L$4="","",MAX(Inputs!$B$46,CEILING(L21,Inputs!$B$45)))</f>
        <v>2.5</v>
      </c>
      <c r="M22" s="66" t="n">
        <f aca="false">IF(M$4="","",MAX(Inputs!$B$46,CEILING(M21,Inputs!$B$45)))</f>
        <v>3.5</v>
      </c>
      <c r="N22" s="66" t="n">
        <f aca="false">IF(N$4="","",MAX(Inputs!$B$46,CEILING(N21,Inputs!$B$45)))</f>
        <v>4.5</v>
      </c>
      <c r="O22" s="66" t="n">
        <f aca="false">IF(O$4="","",MAX(Inputs!$B$46,CEILING(O21,Inputs!$B$45)))</f>
        <v>4.5</v>
      </c>
      <c r="P22" s="66" t="n">
        <f aca="false">IF(P$4="","",MAX(Inputs!$B$46,CEILING(P21,Inputs!$B$45)))</f>
        <v>4.5</v>
      </c>
      <c r="Q22" s="66" t="n">
        <f aca="false">IF(Q$4="","",MAX(Inputs!$B$46,CEILING(Q21,Inputs!$B$45)))</f>
        <v>4</v>
      </c>
      <c r="R22" s="66" t="n">
        <f aca="false">IF(R$4="","",MAX(Inputs!$B$46,CEILING(R21,Inputs!$B$45)))</f>
        <v>4.5</v>
      </c>
      <c r="S22" s="66" t="n">
        <f aca="false">IF(S$4="","",MAX(Inputs!$B$46,CEILING(S21,Inputs!$B$45)))</f>
        <v>3.5</v>
      </c>
      <c r="T22" s="66" t="n">
        <f aca="false">IF(T$4="","",MAX(Inputs!$B$46,CEILING(T21,Inputs!$B$45)))</f>
        <v>3</v>
      </c>
      <c r="U22" s="66" t="n">
        <f aca="false">IF(U$4="","",MAX(Inputs!$B$46,CEILING(U21,Inputs!$B$45)))</f>
        <v>2</v>
      </c>
      <c r="V22" s="66" t="n">
        <f aca="false">IF(V$4="","",MAX(Inputs!$B$46,CEILING(V21,Inputs!$B$45)))</f>
        <v>2</v>
      </c>
      <c r="W22" s="66" t="n">
        <f aca="false">IF(W$4="","",MAX(Inputs!$B$46,CEILING(W21,Inputs!$B$45)))</f>
        <v>2</v>
      </c>
      <c r="X22" s="66" t="n">
        <f aca="false">IF(X$4="","",MAX(Inputs!$B$46,CEILING(X21,Inputs!$B$45)))</f>
        <v>2</v>
      </c>
      <c r="Y22" s="66" t="n">
        <f aca="false">IF(Y$4="","",MAX(Inputs!$B$46,CEILING(Y21,Inputs!$B$45)))</f>
        <v>2</v>
      </c>
      <c r="Z22" s="66" t="n">
        <f aca="false">IF(Z$4="","",MAX(Inputs!$B$46,CEILING(Z21,Inputs!$B$45)))</f>
        <v>2</v>
      </c>
      <c r="AA22" s="66" t="n">
        <f aca="false">IF(AA$4="","",MAX(Inputs!$B$46,CEILING(AA21,Inputs!$B$45)))</f>
        <v>2</v>
      </c>
      <c r="AB22" s="66" t="n">
        <f aca="false">IF(AB$4="","",MAX(Inputs!$B$46,CEILING(AB21,Inputs!$B$45)))</f>
        <v>2</v>
      </c>
      <c r="AC22" s="66" t="n">
        <f aca="false">IF(AC$4="","",MAX(Inputs!$B$46,CEILING(AC21,Inputs!$B$45)))</f>
        <v>2</v>
      </c>
      <c r="AD22" s="66" t="n">
        <f aca="false">IF(AD$4="","",MAX(Inputs!$B$46,CEILING(AD21,Inputs!$B$45)))</f>
        <v>2</v>
      </c>
      <c r="AE22" s="66" t="n">
        <f aca="false">IF(AE$4="","",MAX(Inputs!$B$46,CEILING(AE21,Inputs!$B$45)))</f>
        <v>2</v>
      </c>
      <c r="AF22" s="66" t="n">
        <f aca="false">IF(AF$4="","",MAX(Inputs!$B$46,CEILING(AF21,Inputs!$B$45)))</f>
        <v>2</v>
      </c>
      <c r="AG22" s="66" t="n">
        <f aca="false">IF(AG$4="","",MAX(Inputs!$B$46,CEILING(AG21,Inputs!$B$45)))</f>
        <v>2</v>
      </c>
      <c r="AH22" s="66" t="n">
        <f aca="false">IF(AH$4="","",MAX(Inputs!$B$46,CEILING(AH21,Inputs!$B$45)))</f>
        <v>2</v>
      </c>
      <c r="AI22" s="66" t="n">
        <f aca="false">IF(AI$4="","",MAX(Inputs!$B$46,CEILING(AI21,Inputs!$B$45)))</f>
        <v>1.5</v>
      </c>
      <c r="AJ22" s="66" t="n">
        <f aca="false">IF(AJ$4="","",MAX(Inputs!$B$46,CEILING(AJ21,Inputs!$B$45)))</f>
        <v>1</v>
      </c>
      <c r="AK22" s="66" t="n">
        <f aca="false">IF(AK$4="","",MAX(Inputs!$B$46,CEILING(AK21,Inputs!$B$45)))</f>
        <v>1</v>
      </c>
      <c r="AL22" s="66" t="n">
        <f aca="false">IF(AL$4="","",MAX(Inputs!$B$46,CEILING(AL21,Inputs!$B$45)))</f>
        <v>1</v>
      </c>
      <c r="AM22" s="66" t="str">
        <f aca="false">IF(AM$4="","",MAX(Inputs!$B$46,CEILING(AM21,Inputs!$B$45)))</f>
        <v/>
      </c>
      <c r="AN22" s="66" t="str">
        <f aca="false">IF(AN$4="","",MAX(Inputs!$B$46,CEILING(AN21,Inputs!$B$45)))</f>
        <v/>
      </c>
      <c r="AO22" s="66" t="str">
        <f aca="false">IF(AO$4="","",MAX(Inputs!$B$46,CEILING(AO21,Inputs!$B$45)))</f>
        <v/>
      </c>
      <c r="AP22" s="66" t="str">
        <f aca="false">IF(AP$4="","",MAX(Inputs!$B$46,CEILING(AP21,Inputs!$B$45)))</f>
        <v/>
      </c>
      <c r="AQ22" s="66" t="str">
        <f aca="false">IF(AQ$4="","",MAX(Inputs!$B$46,CEILING(AQ21,Inputs!$B$45)))</f>
        <v/>
      </c>
      <c r="AR22" s="66" t="str">
        <f aca="false">IF(AR$4="","",MAX(Inputs!$B$46,CEILING(AR21,Inputs!$B$45)))</f>
        <v/>
      </c>
      <c r="AS22" s="66" t="str">
        <f aca="false">IF(AS$4="","",MAX(Inputs!$B$46,CEILING(AS21,Inputs!$B$45)))</f>
        <v/>
      </c>
      <c r="AT22" s="66" t="str">
        <f aca="false">IF(AT$4="","",MAX(Inputs!$B$46,CEILING(AT21,Inputs!$B$45)))</f>
        <v/>
      </c>
      <c r="AU22" s="66" t="str">
        <f aca="false">IF(AU$4="","",MAX(Inputs!$B$46,CEILING(AU21,Inputs!$B$45)))</f>
        <v/>
      </c>
      <c r="AV22" s="66" t="str">
        <f aca="false">IF(AV$4="","",MAX(Inputs!$B$46,CEILING(AV21,Inputs!$B$45)))</f>
        <v/>
      </c>
      <c r="AW22" s="66" t="str">
        <f aca="false">IF(AW$4="","",MAX(Inputs!$B$46,CEILING(AW21,Inputs!$B$45)))</f>
        <v/>
      </c>
      <c r="AX22" s="66" t="str">
        <f aca="false">IF(AX$4="","",MAX(Inputs!$B$46,CEILING(AX21,Inputs!$B$45)))</f>
        <v/>
      </c>
      <c r="AY22" s="66" t="str">
        <f aca="false">IF(AY$4="","",MAX(Inputs!$B$46,CEILING(AY21,Inputs!$B$45)))</f>
        <v/>
      </c>
      <c r="AZ22" s="66" t="str">
        <f aca="false">IF(AZ$4="","",MAX(Inputs!$B$46,CEILING(AZ21,Inputs!$B$45)))</f>
        <v/>
      </c>
      <c r="BA22" s="66" t="str">
        <f aca="false">IF(BA$4="","",MAX(Inputs!$B$46,CEILING(BA21,Inputs!$B$45)))</f>
        <v/>
      </c>
      <c r="BB22" s="66" t="str">
        <f aca="false">IF(BB$4="","",MAX(Inputs!$B$46,CEILING(BB21,Inputs!$B$45)))</f>
        <v/>
      </c>
      <c r="BC22" s="66" t="str">
        <f aca="false">IF(BC$4="","",MAX(Inputs!$B$46,CEILING(BC21,Inputs!$B$45)))</f>
        <v/>
      </c>
      <c r="BD22" s="66" t="str">
        <f aca="false">IF(BD$4="","",MAX(Inputs!$B$46,CEILING(BD21,Inputs!$B$45)))</f>
        <v/>
      </c>
      <c r="BE22" s="66" t="str">
        <f aca="false">IF(BE$4="","",MAX(Inputs!$B$46,CEILING(BE21,Inputs!$B$45)))</f>
        <v/>
      </c>
      <c r="BF22" s="66" t="str">
        <f aca="false">IF(BF$4="","",MAX(Inputs!$B$46,CEILING(BF21,Inputs!$B$45)))</f>
        <v/>
      </c>
      <c r="BG22" s="66" t="str">
        <f aca="false">IF(BG$4="","",MAX(Inputs!$B$46,CEILING(BG21,Inputs!$B$45)))</f>
        <v/>
      </c>
      <c r="BH22" s="66" t="str">
        <f aca="false">IF(BH$4="","",MAX(Inputs!$B$46,CEILING(BH21,Inputs!$B$45)))</f>
        <v/>
      </c>
      <c r="BI22" s="66" t="str">
        <f aca="false">IF(BI$4="","",MAX(Inputs!$B$46,CEILING(BI21,Inputs!$B$45)))</f>
        <v/>
      </c>
      <c r="BJ22" s="66" t="str">
        <f aca="false">IF(BJ$4="","",MAX(Inputs!$B$46,CEILING(BJ21,Inputs!$B$45)))</f>
        <v/>
      </c>
      <c r="BK22" s="66" t="str">
        <f aca="false">IF(BK$4="","",MAX(Inputs!$B$46,CEILING(BK21,Inputs!$B$45)))</f>
        <v/>
      </c>
      <c r="BL22" s="66" t="str">
        <f aca="false">IF(BL$4="","",MAX(Inputs!$B$46,CEILING(BL21,Inputs!$B$45)))</f>
        <v/>
      </c>
      <c r="BM22" s="66" t="str">
        <f aca="false">IF(BM$4="","",MAX(Inputs!$B$46,CEILING(BM21,Inputs!$B$45)))</f>
        <v/>
      </c>
      <c r="BN22" s="66" t="str">
        <f aca="false">IF(BN$4="","",MAX(Inputs!$B$46,CEILING(BN21,Inputs!$B$45)))</f>
        <v/>
      </c>
      <c r="BO22" s="66" t="str">
        <f aca="false">IF(BO$4="","",MAX(Inputs!$B$46,CEILING(BO21,Inputs!$B$45)))</f>
        <v/>
      </c>
      <c r="BP22" s="66" t="str">
        <f aca="false">IF(BP$4="","",MAX(Inputs!$B$46,CEILING(BP21,Inputs!$B$45)))</f>
        <v/>
      </c>
      <c r="BQ22" s="66" t="str">
        <f aca="false">IF(BQ$4="","",MAX(Inputs!$B$46,CEILING(BQ21,Inputs!$B$45)))</f>
        <v/>
      </c>
      <c r="BR22" s="66" t="str">
        <f aca="false">IF(BR$4="","",MAX(Inputs!$B$46,CEILING(BR21,Inputs!$B$45)))</f>
        <v/>
      </c>
      <c r="BS22" s="66" t="str">
        <f aca="false">IF(BS$4="","",MAX(Inputs!$B$46,CEILING(BS21,Inputs!$B$45)))</f>
        <v/>
      </c>
      <c r="BT22" s="66" t="str">
        <f aca="false">IF(BT$4="","",MAX(Inputs!$B$46,CEILING(BT21,Inputs!$B$45)))</f>
        <v/>
      </c>
      <c r="BU22" s="66" t="str">
        <f aca="false">IF(BU$4="","",MAX(Inputs!$B$46,CEILING(BU21,Inputs!$B$45)))</f>
        <v/>
      </c>
      <c r="BV22" s="66" t="str">
        <f aca="false">IF(BV$4="","",MAX(Inputs!$B$46,CEILING(BV21,Inputs!$B$45)))</f>
        <v/>
      </c>
    </row>
    <row r="23" customFormat="false" ht="15" hidden="false" customHeight="false" outlineLevel="0" collapsed="false">
      <c r="A23" s="74" t="s">
        <v>328</v>
      </c>
      <c r="B23" s="76" t="n">
        <f aca="false">IF(B25=0,0,B11/(B25*Inputs!$B$6))</f>
        <v>0.890965949511387</v>
      </c>
      <c r="C23" s="80" t="n">
        <f aca="false">IF(C$4="","",IF(C22=0,0,C18/C22))</f>
        <v>0.883336239847194</v>
      </c>
      <c r="D23" s="80" t="n">
        <f aca="false">IF(D$4="","",IF(D22=0,0,D18/D22))</f>
        <v>0.81434631462446</v>
      </c>
      <c r="E23" s="80" t="n">
        <f aca="false">IF(E$4="","",IF(E22=0,0,E18/E22))</f>
        <v>0.950710815874586</v>
      </c>
      <c r="F23" s="80" t="n">
        <f aca="false">IF(F$4="","",IF(F22=0,0,F18/F22))</f>
        <v>0.862180413761644</v>
      </c>
      <c r="G23" s="80" t="n">
        <f aca="false">IF(G$4="","",IF(G22=0,0,G18/G22))</f>
        <v>0.87345005110963</v>
      </c>
      <c r="H23" s="80" t="n">
        <f aca="false">IF(H$4="","",IF(H22=0,0,H18/H22))</f>
        <v>0.84527424300932</v>
      </c>
      <c r="I23" s="80" t="n">
        <f aca="false">IF(I$4="","",IF(I22=0,0,I18/I22))</f>
        <v>1.06617153824601</v>
      </c>
      <c r="J23" s="80" t="n">
        <f aca="false">IF(J$4="","",IF(J22=0,0,J18/J22))</f>
        <v>0.69437666645114</v>
      </c>
      <c r="K23" s="80" t="n">
        <f aca="false">IF(K$4="","",IF(K22=0,0,K18/K22))</f>
        <v>0.89596989219502</v>
      </c>
      <c r="L23" s="80" t="n">
        <f aca="false">IF(L$4="","",IF(L22=0,0,L18/L22))</f>
        <v>0.555501333160912</v>
      </c>
      <c r="M23" s="80" t="n">
        <f aca="false">IF(M$4="","",IF(M22=0,0,M18/M22))</f>
        <v>1.14769030545256</v>
      </c>
      <c r="N23" s="80" t="n">
        <f aca="false">IF(N$4="","",IF(N22=0,0,N18/N22))</f>
        <v>0.91787756396256</v>
      </c>
      <c r="O23" s="80" t="n">
        <f aca="false">IF(O$4="","",IF(O22=0,0,O18/O22))</f>
        <v>0.91787756396256</v>
      </c>
      <c r="P23" s="80" t="n">
        <f aca="false">IF(P$4="","",IF(P22=0,0,P18/P22))</f>
        <v>0.858659656610137</v>
      </c>
      <c r="Q23" s="80" t="n">
        <f aca="false">IF(Q$4="","",IF(Q22=0,0,Q18/Q22))</f>
        <v>1.03261225945788</v>
      </c>
      <c r="R23" s="80" t="n">
        <f aca="false">IF(R$4="","",IF(R22=0,0,R18/R22))</f>
        <v>0.888268610286349</v>
      </c>
      <c r="S23" s="80" t="n">
        <f aca="false">IF(S$4="","",IF(S22=0,0,S18/S22))</f>
        <v>1.15345220219707</v>
      </c>
      <c r="T23" s="80" t="n">
        <f aca="false">IF(T$4="","",IF(T22=0,0,T18/T22))</f>
        <v>0.731466144556349</v>
      </c>
      <c r="U23" s="80" t="n">
        <f aca="false">IF(U$4="","",IF(U22=0,0,U18/U22))</f>
        <v>0.834004974085586</v>
      </c>
      <c r="V23" s="80" t="n">
        <f aca="false">IF(V$4="","",IF(V22=0,0,V18/V22))</f>
        <v>0.834004974085586</v>
      </c>
      <c r="W23" s="80" t="n">
        <f aca="false">IF(W$4="","",IF(W22=0,0,W18/W22))</f>
        <v>0.807101587824761</v>
      </c>
      <c r="X23" s="80" t="n">
        <f aca="false">IF(X$4="","",IF(X22=0,0,X18/X22))</f>
        <v>0.834004974085586</v>
      </c>
      <c r="Y23" s="80" t="n">
        <f aca="false">IF(Y$4="","",IF(Y22=0,0,Y18/Y22))</f>
        <v>0.807101587824761</v>
      </c>
      <c r="Z23" s="80" t="n">
        <f aca="false">IF(Z$4="","",IF(Z22=0,0,Z18/Z22))</f>
        <v>1.02679464055946</v>
      </c>
      <c r="AA23" s="80" t="n">
        <f aca="false">IF(AA$4="","",IF(AA22=0,0,AA18/AA22))</f>
        <v>0.990374923535464</v>
      </c>
      <c r="AB23" s="80" t="n">
        <f aca="false">IF(AB$4="","",IF(AB22=0,0,AB18/AB22))</f>
        <v>0.883308451256527</v>
      </c>
      <c r="AC23" s="80" t="n">
        <f aca="false">IF(AC$4="","",IF(AC22=0,0,AC18/AC22))</f>
        <v>0.977948642462583</v>
      </c>
      <c r="AD23" s="80" t="n">
        <f aca="false">IF(AD$4="","",IF(AD22=0,0,AD18/AD22))</f>
        <v>0.946401912060564</v>
      </c>
      <c r="AE23" s="80" t="n">
        <f aca="false">IF(AE$4="","",IF(AE22=0,0,AE18/AE22))</f>
        <v>0.977948642462583</v>
      </c>
      <c r="AF23" s="80" t="n">
        <f aca="false">IF(AF$4="","",IF(AF22=0,0,AF18/AF22))</f>
        <v>0.946401912060564</v>
      </c>
      <c r="AG23" s="80" t="n">
        <f aca="false">IF(AG$4="","",IF(AG22=0,0,AG18/AG22))</f>
        <v>0.977948642462583</v>
      </c>
      <c r="AH23" s="80" t="n">
        <f aca="false">IF(AH$4="","",IF(AH22=0,0,AH18/AH22))</f>
        <v>0.809687041197075</v>
      </c>
      <c r="AI23" s="80" t="n">
        <f aca="false">IF(AI$4="","",IF(AI22=0,0,AI18/AI22))</f>
        <v>0.749621179125751</v>
      </c>
      <c r="AJ23" s="80" t="n">
        <f aca="false">IF(AJ$4="","",IF(AJ22=0,0,AJ18/AJ22))</f>
        <v>0.600430514337784</v>
      </c>
      <c r="AK23" s="80" t="n">
        <f aca="false">IF(AK$4="","",IF(AK22=0,0,AK18/AK22))</f>
        <v>0.562949455381496</v>
      </c>
      <c r="AL23" s="80" t="n">
        <f aca="false">IF(AL$4="","",IF(AL22=0,0,AL18/AL22))</f>
        <v>0.525419491689397</v>
      </c>
      <c r="AM23" s="80" t="str">
        <f aca="false">IF(AM$4="","",IF(AM22=0,0,AM18/AM22))</f>
        <v/>
      </c>
      <c r="AN23" s="80" t="str">
        <f aca="false">IF(AN$4="","",IF(AN22=0,0,AN18/AN22))</f>
        <v/>
      </c>
      <c r="AO23" s="80" t="str">
        <f aca="false">IF(AO$4="","",IF(AO22=0,0,AO18/AO22))</f>
        <v/>
      </c>
      <c r="AP23" s="80" t="str">
        <f aca="false">IF(AP$4="","",IF(AP22=0,0,AP18/AP22))</f>
        <v/>
      </c>
      <c r="AQ23" s="80" t="str">
        <f aca="false">IF(AQ$4="","",IF(AQ22=0,0,AQ18/AQ22))</f>
        <v/>
      </c>
      <c r="AR23" s="80" t="str">
        <f aca="false">IF(AR$4="","",IF(AR22=0,0,AR18/AR22))</f>
        <v/>
      </c>
      <c r="AS23" s="80" t="str">
        <f aca="false">IF(AS$4="","",IF(AS22=0,0,AS18/AS22))</f>
        <v/>
      </c>
      <c r="AT23" s="80" t="str">
        <f aca="false">IF(AT$4="","",IF(AT22=0,0,AT18/AT22))</f>
        <v/>
      </c>
      <c r="AU23" s="80" t="str">
        <f aca="false">IF(AU$4="","",IF(AU22=0,0,AU18/AU22))</f>
        <v/>
      </c>
      <c r="AV23" s="80" t="str">
        <f aca="false">IF(AV$4="","",IF(AV22=0,0,AV18/AV22))</f>
        <v/>
      </c>
      <c r="AW23" s="80" t="str">
        <f aca="false">IF(AW$4="","",IF(AW22=0,0,AW18/AW22))</f>
        <v/>
      </c>
      <c r="AX23" s="80" t="str">
        <f aca="false">IF(AX$4="","",IF(AX22=0,0,AX18/AX22))</f>
        <v/>
      </c>
      <c r="AY23" s="80" t="str">
        <f aca="false">IF(AY$4="","",IF(AY22=0,0,AY18/AY22))</f>
        <v/>
      </c>
      <c r="AZ23" s="80" t="str">
        <f aca="false">IF(AZ$4="","",IF(AZ22=0,0,AZ18/AZ22))</f>
        <v/>
      </c>
      <c r="BA23" s="80" t="str">
        <f aca="false">IF(BA$4="","",IF(BA22=0,0,BA18/BA22))</f>
        <v/>
      </c>
      <c r="BB23" s="80" t="str">
        <f aca="false">IF(BB$4="","",IF(BB22=0,0,BB18/BB22))</f>
        <v/>
      </c>
      <c r="BC23" s="80" t="str">
        <f aca="false">IF(BC$4="","",IF(BC22=0,0,BC18/BC22))</f>
        <v/>
      </c>
      <c r="BD23" s="80" t="str">
        <f aca="false">IF(BD$4="","",IF(BD22=0,0,BD18/BD22))</f>
        <v/>
      </c>
      <c r="BE23" s="80" t="str">
        <f aca="false">IF(BE$4="","",IF(BE22=0,0,BE18/BE22))</f>
        <v/>
      </c>
      <c r="BF23" s="80" t="str">
        <f aca="false">IF(BF$4="","",IF(BF22=0,0,BF18/BF22))</f>
        <v/>
      </c>
      <c r="BG23" s="80" t="str">
        <f aca="false">IF(BG$4="","",IF(BG22=0,0,BG18/BG22))</f>
        <v/>
      </c>
      <c r="BH23" s="80" t="str">
        <f aca="false">IF(BH$4="","",IF(BH22=0,0,BH18/BH22))</f>
        <v/>
      </c>
      <c r="BI23" s="80" t="str">
        <f aca="false">IF(BI$4="","",IF(BI22=0,0,BI18/BI22))</f>
        <v/>
      </c>
      <c r="BJ23" s="80" t="str">
        <f aca="false">IF(BJ$4="","",IF(BJ22=0,0,BJ18/BJ22))</f>
        <v/>
      </c>
      <c r="BK23" s="80" t="str">
        <f aca="false">IF(BK$4="","",IF(BK22=0,0,BK18/BK22))</f>
        <v/>
      </c>
      <c r="BL23" s="80" t="str">
        <f aca="false">IF(BL$4="","",IF(BL22=0,0,BL18/BL22))</f>
        <v/>
      </c>
      <c r="BM23" s="80" t="str">
        <f aca="false">IF(BM$4="","",IF(BM22=0,0,BM18/BM22))</f>
        <v/>
      </c>
      <c r="BN23" s="80" t="str">
        <f aca="false">IF(BN$4="","",IF(BN22=0,0,BN18/BN22))</f>
        <v/>
      </c>
      <c r="BO23" s="80" t="str">
        <f aca="false">IF(BO$4="","",IF(BO22=0,0,BO18/BO22))</f>
        <v/>
      </c>
      <c r="BP23" s="80" t="str">
        <f aca="false">IF(BP$4="","",IF(BP22=0,0,BP18/BP22))</f>
        <v/>
      </c>
      <c r="BQ23" s="80" t="str">
        <f aca="false">IF(BQ$4="","",IF(BQ22=0,0,BQ18/BQ22))</f>
        <v/>
      </c>
      <c r="BR23" s="80" t="str">
        <f aca="false">IF(BR$4="","",IF(BR22=0,0,BR18/BR22))</f>
        <v/>
      </c>
      <c r="BS23" s="80" t="str">
        <f aca="false">IF(BS$4="","",IF(BS22=0,0,BS18/BS22))</f>
        <v/>
      </c>
      <c r="BT23" s="80" t="str">
        <f aca="false">IF(BT$4="","",IF(BT22=0,0,BT18/BT22))</f>
        <v/>
      </c>
      <c r="BU23" s="80" t="str">
        <f aca="false">IF(BU$4="","",IF(BU22=0,0,BU18/BU22))</f>
        <v/>
      </c>
      <c r="BV23" s="80" t="str">
        <f aca="false">IF(BV$4="","",IF(BV22=0,0,BV18/BV22))</f>
        <v/>
      </c>
    </row>
    <row r="24" customFormat="false" ht="15" hidden="false" customHeight="false" outlineLevel="0" collapsed="false">
      <c r="A24" s="74" t="s">
        <v>329</v>
      </c>
      <c r="B24" s="67" t="n">
        <f aca="false">SUM(C24:BV24)</f>
        <v>1462.80082135524</v>
      </c>
      <c r="C24" s="67" t="n">
        <f aca="false">IF(C$4="","",(C22-C18)*Inputs!$B$6)</f>
        <v>36.3990931676753</v>
      </c>
      <c r="D24" s="67" t="n">
        <f aca="false">IF(D$4="","",(D22-D18)*Inputs!$B$6)</f>
        <v>57.9239498371684</v>
      </c>
      <c r="E24" s="67" t="n">
        <f aca="false">IF(E$4="","",(E22-E18)*Inputs!$B$6)</f>
        <v>15.3782254471293</v>
      </c>
      <c r="F24" s="67" t="n">
        <f aca="false">IF(F$4="","",(F22-F18)*Inputs!$B$6)</f>
        <v>53.7496386329588</v>
      </c>
      <c r="G24" s="67" t="n">
        <f aca="false">IF(G$4="","",(G22-G18)*Inputs!$B$6)</f>
        <v>49.3544800672442</v>
      </c>
      <c r="H24" s="67" t="n">
        <f aca="false">IF(H$4="","",(H22-H18)*Inputs!$B$6)</f>
        <v>60.3430452263654</v>
      </c>
      <c r="I24" s="67" t="n">
        <f aca="false">IF(I$4="","",(I22-I18)*Inputs!$B$6)</f>
        <v>-20.6455199327558</v>
      </c>
      <c r="J24" s="67" t="n">
        <f aca="false">IF(J$4="","",(J22-J18)*Inputs!$B$6)</f>
        <v>95.3544800672442</v>
      </c>
      <c r="K24" s="67" t="n">
        <f aca="false">IF(K$4="","",(K22-K18)*Inputs!$B$6)</f>
        <v>24.3430452263654</v>
      </c>
      <c r="L24" s="67" t="n">
        <f aca="false">IF(L$4="","",(L22-L18)*Inputs!$B$6)</f>
        <v>173.354480067244</v>
      </c>
      <c r="M24" s="67" t="n">
        <f aca="false">IF(M$4="","",(M22-M18)*Inputs!$B$6)</f>
        <v>-80.6389067770976</v>
      </c>
      <c r="N24" s="67" t="n">
        <f aca="false">IF(N$4="","",(N22-N18)*Inputs!$B$6)</f>
        <v>57.6499500982828</v>
      </c>
      <c r="O24" s="67" t="n">
        <f aca="false">IF(O$4="","",(O22-O18)*Inputs!$B$6)</f>
        <v>57.6499500982828</v>
      </c>
      <c r="P24" s="67" t="n">
        <f aca="false">IF(P$4="","",(P22-P18)*Inputs!$B$6)</f>
        <v>99.2209210596838</v>
      </c>
      <c r="Q24" s="67" t="n">
        <f aca="false">IF(Q$4="","",(Q22-Q18)*Inputs!$B$6)</f>
        <v>-20.3500499017172</v>
      </c>
      <c r="R24" s="67" t="n">
        <f aca="false">IF(R$4="","",(R22-R18)*Inputs!$B$6)</f>
        <v>78.4354355789832</v>
      </c>
      <c r="S24" s="67" t="n">
        <f aca="false">IF(S$4="","",(S22-S18)*Inputs!$B$6)</f>
        <v>-83.7849023996003</v>
      </c>
      <c r="T24" s="67" t="n">
        <f aca="false">IF(T$4="","",(T22-T18)*Inputs!$B$6)</f>
        <v>125.673844347629</v>
      </c>
      <c r="U24" s="67" t="n">
        <f aca="false">IF(U$4="","",(U22-U18)*Inputs!$B$6)</f>
        <v>51.7904480852972</v>
      </c>
      <c r="V24" s="67" t="n">
        <f aca="false">IF(V$4="","",(V22-V18)*Inputs!$B$6)</f>
        <v>51.7904480852972</v>
      </c>
      <c r="W24" s="67" t="n">
        <f aca="false">IF(W$4="","",(W22-W18)*Inputs!$B$6)</f>
        <v>60.1843045986747</v>
      </c>
      <c r="X24" s="67" t="n">
        <f aca="false">IF(X$4="","",(X22-X18)*Inputs!$B$6)</f>
        <v>51.7904480852972</v>
      </c>
      <c r="Y24" s="67" t="n">
        <f aca="false">IF(Y$4="","",(Y22-Y18)*Inputs!$B$6)</f>
        <v>60.1843045986747</v>
      </c>
      <c r="Z24" s="67" t="n">
        <f aca="false">IF(Z$4="","",(Z22-Z18)*Inputs!$B$6)</f>
        <v>-8.35992785455246</v>
      </c>
      <c r="AA24" s="67" t="n">
        <f aca="false">IF(AA$4="","",(AA22-AA18)*Inputs!$B$6)</f>
        <v>3.00302385693538</v>
      </c>
      <c r="AB24" s="67" t="n">
        <f aca="false">IF(AB$4="","",(AB22-AB18)*Inputs!$B$6)</f>
        <v>36.4077632079638</v>
      </c>
      <c r="AC24" s="67" t="n">
        <f aca="false">IF(AC$4="","",(AC22-AC18)*Inputs!$B$6)</f>
        <v>6.88002355167412</v>
      </c>
      <c r="AD24" s="67" t="n">
        <f aca="false">IF(AD$4="","",(AD22-AD18)*Inputs!$B$6)</f>
        <v>16.722603437104</v>
      </c>
      <c r="AE24" s="67" t="n">
        <f aca="false">IF(AE$4="","",(AE22-AE18)*Inputs!$B$6)</f>
        <v>6.88002355167412</v>
      </c>
      <c r="AF24" s="67" t="n">
        <f aca="false">IF(AF$4="","",(AF22-AF18)*Inputs!$B$6)</f>
        <v>16.722603437104</v>
      </c>
      <c r="AG24" s="67" t="n">
        <f aca="false">IF(AG$4="","",(AG22-AG18)*Inputs!$B$6)</f>
        <v>6.88002355167412</v>
      </c>
      <c r="AH24" s="67" t="n">
        <f aca="false">IF(AH$4="","",(AH22-AH18)*Inputs!$B$6)</f>
        <v>59.3776431465127</v>
      </c>
      <c r="AI24" s="67" t="n">
        <f aca="false">IF(AI$4="","",(AI22-AI18)*Inputs!$B$6)</f>
        <v>58.5886440845742</v>
      </c>
      <c r="AJ24" s="67" t="n">
        <f aca="false">IF(AJ$4="","",(AJ22-AJ18)*Inputs!$B$6)</f>
        <v>62.3328397633057</v>
      </c>
      <c r="AK24" s="67" t="n">
        <f aca="false">IF(AK$4="","",(AK22-AK18)*Inputs!$B$6)</f>
        <v>68.1798849604866</v>
      </c>
      <c r="AL24" s="67" t="n">
        <f aca="false">IF(AL$4="","",(AL22-AL18)*Inputs!$B$6)</f>
        <v>74.0345592964541</v>
      </c>
      <c r="AM24" s="67" t="str">
        <f aca="false">IF(AM$4="","",(AM22-AM18)*Inputs!$B$6)</f>
        <v/>
      </c>
      <c r="AN24" s="67" t="str">
        <f aca="false">IF(AN$4="","",(AN22-AN18)*Inputs!$B$6)</f>
        <v/>
      </c>
      <c r="AO24" s="67" t="str">
        <f aca="false">IF(AO$4="","",(AO22-AO18)*Inputs!$B$6)</f>
        <v/>
      </c>
      <c r="AP24" s="67" t="str">
        <f aca="false">IF(AP$4="","",(AP22-AP18)*Inputs!$B$6)</f>
        <v/>
      </c>
      <c r="AQ24" s="67" t="str">
        <f aca="false">IF(AQ$4="","",(AQ22-AQ18)*Inputs!$B$6)</f>
        <v/>
      </c>
      <c r="AR24" s="67" t="str">
        <f aca="false">IF(AR$4="","",(AR22-AR18)*Inputs!$B$6)</f>
        <v/>
      </c>
      <c r="AS24" s="67" t="str">
        <f aca="false">IF(AS$4="","",(AS22-AS18)*Inputs!$B$6)</f>
        <v/>
      </c>
      <c r="AT24" s="67" t="str">
        <f aca="false">IF(AT$4="","",(AT22-AT18)*Inputs!$B$6)</f>
        <v/>
      </c>
      <c r="AU24" s="67" t="str">
        <f aca="false">IF(AU$4="","",(AU22-AU18)*Inputs!$B$6)</f>
        <v/>
      </c>
      <c r="AV24" s="67" t="str">
        <f aca="false">IF(AV$4="","",(AV22-AV18)*Inputs!$B$6)</f>
        <v/>
      </c>
      <c r="AW24" s="67" t="str">
        <f aca="false">IF(AW$4="","",(AW22-AW18)*Inputs!$B$6)</f>
        <v/>
      </c>
      <c r="AX24" s="67" t="str">
        <f aca="false">IF(AX$4="","",(AX22-AX18)*Inputs!$B$6)</f>
        <v/>
      </c>
      <c r="AY24" s="67" t="str">
        <f aca="false">IF(AY$4="","",(AY22-AY18)*Inputs!$B$6)</f>
        <v/>
      </c>
      <c r="AZ24" s="67" t="str">
        <f aca="false">IF(AZ$4="","",(AZ22-AZ18)*Inputs!$B$6)</f>
        <v/>
      </c>
      <c r="BA24" s="67" t="str">
        <f aca="false">IF(BA$4="","",(BA22-BA18)*Inputs!$B$6)</f>
        <v/>
      </c>
      <c r="BB24" s="67" t="str">
        <f aca="false">IF(BB$4="","",(BB22-BB18)*Inputs!$B$6)</f>
        <v/>
      </c>
      <c r="BC24" s="67" t="str">
        <f aca="false">IF(BC$4="","",(BC22-BC18)*Inputs!$B$6)</f>
        <v/>
      </c>
      <c r="BD24" s="67" t="str">
        <f aca="false">IF(BD$4="","",(BD22-BD18)*Inputs!$B$6)</f>
        <v/>
      </c>
      <c r="BE24" s="67" t="str">
        <f aca="false">IF(BE$4="","",(BE22-BE18)*Inputs!$B$6)</f>
        <v/>
      </c>
      <c r="BF24" s="67" t="str">
        <f aca="false">IF(BF$4="","",(BF22-BF18)*Inputs!$B$6)</f>
        <v/>
      </c>
      <c r="BG24" s="67" t="str">
        <f aca="false">IF(BG$4="","",(BG22-BG18)*Inputs!$B$6)</f>
        <v/>
      </c>
      <c r="BH24" s="67" t="str">
        <f aca="false">IF(BH$4="","",(BH22-BH18)*Inputs!$B$6)</f>
        <v/>
      </c>
      <c r="BI24" s="67" t="str">
        <f aca="false">IF(BI$4="","",(BI22-BI18)*Inputs!$B$6)</f>
        <v/>
      </c>
      <c r="BJ24" s="67" t="str">
        <f aca="false">IF(BJ$4="","",(BJ22-BJ18)*Inputs!$B$6)</f>
        <v/>
      </c>
      <c r="BK24" s="67" t="str">
        <f aca="false">IF(BK$4="","",(BK22-BK18)*Inputs!$B$6)</f>
        <v/>
      </c>
      <c r="BL24" s="67" t="str">
        <f aca="false">IF(BL$4="","",(BL22-BL18)*Inputs!$B$6)</f>
        <v/>
      </c>
      <c r="BM24" s="67" t="str">
        <f aca="false">IF(BM$4="","",(BM22-BM18)*Inputs!$B$6)</f>
        <v/>
      </c>
      <c r="BN24" s="67" t="str">
        <f aca="false">IF(BN$4="","",(BN22-BN18)*Inputs!$B$6)</f>
        <v/>
      </c>
      <c r="BO24" s="67" t="str">
        <f aca="false">IF(BO$4="","",(BO22-BO18)*Inputs!$B$6)</f>
        <v/>
      </c>
      <c r="BP24" s="67" t="str">
        <f aca="false">IF(BP$4="","",(BP22-BP18)*Inputs!$B$6)</f>
        <v/>
      </c>
      <c r="BQ24" s="67" t="str">
        <f aca="false">IF(BQ$4="","",(BQ22-BQ18)*Inputs!$B$6)</f>
        <v/>
      </c>
      <c r="BR24" s="67" t="str">
        <f aca="false">IF(BR$4="","",(BR22-BR18)*Inputs!$B$6)</f>
        <v/>
      </c>
      <c r="BS24" s="67" t="str">
        <f aca="false">IF(BS$4="","",(BS22-BS18)*Inputs!$B$6)</f>
        <v/>
      </c>
      <c r="BT24" s="67" t="str">
        <f aca="false">IF(BT$4="","",(BT22-BT18)*Inputs!$B$6)</f>
        <v/>
      </c>
      <c r="BU24" s="67" t="str">
        <f aca="false">IF(BU$4="","",(BU22-BU18)*Inputs!$B$6)</f>
        <v/>
      </c>
      <c r="BV24" s="67" t="str">
        <f aca="false">IF(BV$4="","",(BV22-BV18)*Inputs!$B$6)</f>
        <v/>
      </c>
    </row>
    <row r="25" customFormat="false" ht="15" hidden="false" customHeight="false" outlineLevel="0" collapsed="false">
      <c r="A25" s="74" t="s">
        <v>330</v>
      </c>
      <c r="B25" s="81" t="n">
        <f aca="false">SUM(C25:BV25)</f>
        <v>86</v>
      </c>
      <c r="C25" s="82" t="n">
        <f aca="false">IF(C$4="","",C22)</f>
        <v>2</v>
      </c>
      <c r="D25" s="82" t="n">
        <f aca="false">IF(D$4="","",D22)</f>
        <v>2</v>
      </c>
      <c r="E25" s="82" t="n">
        <f aca="false">IF(E$4="","",E22)</f>
        <v>2</v>
      </c>
      <c r="F25" s="82" t="n">
        <f aca="false">IF(F$4="","",F22)</f>
        <v>2.5</v>
      </c>
      <c r="G25" s="82" t="n">
        <f aca="false">IF(G$4="","",G22)</f>
        <v>2.5</v>
      </c>
      <c r="H25" s="82" t="n">
        <f aca="false">IF(H$4="","",H22)</f>
        <v>2.5</v>
      </c>
      <c r="I25" s="82" t="n">
        <f aca="false">IF(I$4="","",I22)</f>
        <v>2</v>
      </c>
      <c r="J25" s="82" t="n">
        <f aca="false">IF(J$4="","",J22)</f>
        <v>2</v>
      </c>
      <c r="K25" s="82" t="n">
        <f aca="false">IF(K$4="","",K22)</f>
        <v>1.5</v>
      </c>
      <c r="L25" s="82" t="n">
        <f aca="false">IF(L$4="","",L22)</f>
        <v>2.5</v>
      </c>
      <c r="M25" s="82" t="n">
        <f aca="false">IF(M$4="","",M22)</f>
        <v>3.5</v>
      </c>
      <c r="N25" s="82" t="n">
        <f aca="false">IF(N$4="","",N22)</f>
        <v>4.5</v>
      </c>
      <c r="O25" s="82" t="n">
        <f aca="false">IF(O$4="","",O22)</f>
        <v>4.5</v>
      </c>
      <c r="P25" s="82" t="n">
        <f aca="false">IF(P$4="","",P22)</f>
        <v>4.5</v>
      </c>
      <c r="Q25" s="82" t="n">
        <f aca="false">IF(Q$4="","",Q22)</f>
        <v>4</v>
      </c>
      <c r="R25" s="82" t="n">
        <f aca="false">IF(R$4="","",R22)</f>
        <v>4.5</v>
      </c>
      <c r="S25" s="82" t="n">
        <f aca="false">IF(S$4="","",S22)</f>
        <v>3.5</v>
      </c>
      <c r="T25" s="82" t="n">
        <f aca="false">IF(T$4="","",T22)</f>
        <v>3</v>
      </c>
      <c r="U25" s="82" t="n">
        <f aca="false">IF(U$4="","",U22)</f>
        <v>2</v>
      </c>
      <c r="V25" s="82" t="n">
        <f aca="false">IF(V$4="","",V22)</f>
        <v>2</v>
      </c>
      <c r="W25" s="82" t="n">
        <f aca="false">IF(W$4="","",W22)</f>
        <v>2</v>
      </c>
      <c r="X25" s="82" t="n">
        <f aca="false">IF(X$4="","",X22)</f>
        <v>2</v>
      </c>
      <c r="Y25" s="82" t="n">
        <f aca="false">IF(Y$4="","",Y22)</f>
        <v>2</v>
      </c>
      <c r="Z25" s="82" t="n">
        <f aca="false">IF(Z$4="","",Z22)</f>
        <v>2</v>
      </c>
      <c r="AA25" s="82" t="n">
        <f aca="false">IF(AA$4="","",AA22)</f>
        <v>2</v>
      </c>
      <c r="AB25" s="82" t="n">
        <f aca="false">IF(AB$4="","",AB22)</f>
        <v>2</v>
      </c>
      <c r="AC25" s="82" t="n">
        <f aca="false">IF(AC$4="","",AC22)</f>
        <v>2</v>
      </c>
      <c r="AD25" s="82" t="n">
        <f aca="false">IF(AD$4="","",AD22)</f>
        <v>2</v>
      </c>
      <c r="AE25" s="82" t="n">
        <f aca="false">IF(AE$4="","",AE22)</f>
        <v>2</v>
      </c>
      <c r="AF25" s="82" t="n">
        <f aca="false">IF(AF$4="","",AF22)</f>
        <v>2</v>
      </c>
      <c r="AG25" s="82" t="n">
        <f aca="false">IF(AG$4="","",AG22)</f>
        <v>2</v>
      </c>
      <c r="AH25" s="82" t="n">
        <f aca="false">IF(AH$4="","",AH22)</f>
        <v>2</v>
      </c>
      <c r="AI25" s="82" t="n">
        <f aca="false">IF(AI$4="","",AI22)</f>
        <v>1.5</v>
      </c>
      <c r="AJ25" s="82" t="n">
        <f aca="false">IF(AJ$4="","",AJ22)</f>
        <v>1</v>
      </c>
      <c r="AK25" s="82" t="n">
        <f aca="false">IF(AK$4="","",AK22)</f>
        <v>1</v>
      </c>
      <c r="AL25" s="82" t="n">
        <f aca="false">IF(AL$4="","",AL22)</f>
        <v>1</v>
      </c>
      <c r="AM25" s="82" t="str">
        <f aca="false">IF(AM$4="","",AM22)</f>
        <v/>
      </c>
      <c r="AN25" s="82" t="str">
        <f aca="false">IF(AN$4="","",AN22)</f>
        <v/>
      </c>
      <c r="AO25" s="82" t="str">
        <f aca="false">IF(AO$4="","",AO22)</f>
        <v/>
      </c>
      <c r="AP25" s="82" t="str">
        <f aca="false">IF(AP$4="","",AP22)</f>
        <v/>
      </c>
      <c r="AQ25" s="82" t="str">
        <f aca="false">IF(AQ$4="","",AQ22)</f>
        <v/>
      </c>
      <c r="AR25" s="82" t="str">
        <f aca="false">IF(AR$4="","",AR22)</f>
        <v/>
      </c>
      <c r="AS25" s="82" t="str">
        <f aca="false">IF(AS$4="","",AS22)</f>
        <v/>
      </c>
      <c r="AT25" s="82" t="str">
        <f aca="false">IF(AT$4="","",AT22)</f>
        <v/>
      </c>
      <c r="AU25" s="82" t="str">
        <f aca="false">IF(AU$4="","",AU22)</f>
        <v/>
      </c>
      <c r="AV25" s="82" t="str">
        <f aca="false">IF(AV$4="","",AV22)</f>
        <v/>
      </c>
      <c r="AW25" s="82" t="str">
        <f aca="false">IF(AW$4="","",AW22)</f>
        <v/>
      </c>
      <c r="AX25" s="82" t="str">
        <f aca="false">IF(AX$4="","",AX22)</f>
        <v/>
      </c>
      <c r="AY25" s="82" t="str">
        <f aca="false">IF(AY$4="","",AY22)</f>
        <v/>
      </c>
      <c r="AZ25" s="82" t="str">
        <f aca="false">IF(AZ$4="","",AZ22)</f>
        <v/>
      </c>
      <c r="BA25" s="82" t="str">
        <f aca="false">IF(BA$4="","",BA22)</f>
        <v/>
      </c>
      <c r="BB25" s="82" t="str">
        <f aca="false">IF(BB$4="","",BB22)</f>
        <v/>
      </c>
      <c r="BC25" s="82" t="str">
        <f aca="false">IF(BC$4="","",BC22)</f>
        <v/>
      </c>
      <c r="BD25" s="82" t="str">
        <f aca="false">IF(BD$4="","",BD22)</f>
        <v/>
      </c>
      <c r="BE25" s="82" t="str">
        <f aca="false">IF(BE$4="","",BE22)</f>
        <v/>
      </c>
      <c r="BF25" s="82" t="str">
        <f aca="false">IF(BF$4="","",BF22)</f>
        <v/>
      </c>
      <c r="BG25" s="82" t="str">
        <f aca="false">IF(BG$4="","",BG22)</f>
        <v/>
      </c>
      <c r="BH25" s="82" t="str">
        <f aca="false">IF(BH$4="","",BH22)</f>
        <v/>
      </c>
      <c r="BI25" s="82" t="str">
        <f aca="false">IF(BI$4="","",BI22)</f>
        <v/>
      </c>
      <c r="BJ25" s="82" t="str">
        <f aca="false">IF(BJ$4="","",BJ22)</f>
        <v/>
      </c>
      <c r="BK25" s="82" t="str">
        <f aca="false">IF(BK$4="","",BK22)</f>
        <v/>
      </c>
      <c r="BL25" s="82" t="str">
        <f aca="false">IF(BL$4="","",BL22)</f>
        <v/>
      </c>
      <c r="BM25" s="82" t="str">
        <f aca="false">IF(BM$4="","",BM22)</f>
        <v/>
      </c>
      <c r="BN25" s="82" t="str">
        <f aca="false">IF(BN$4="","",BN22)</f>
        <v/>
      </c>
      <c r="BO25" s="82" t="str">
        <f aca="false">IF(BO$4="","",BO22)</f>
        <v/>
      </c>
      <c r="BP25" s="82" t="str">
        <f aca="false">IF(BP$4="","",BP22)</f>
        <v/>
      </c>
      <c r="BQ25" s="82" t="str">
        <f aca="false">IF(BQ$4="","",BQ22)</f>
        <v/>
      </c>
      <c r="BR25" s="82" t="str">
        <f aca="false">IF(BR$4="","",BR22)</f>
        <v/>
      </c>
      <c r="BS25" s="82" t="str">
        <f aca="false">IF(BS$4="","",BS22)</f>
        <v/>
      </c>
      <c r="BT25" s="82" t="str">
        <f aca="false">IF(BT$4="","",BT22)</f>
        <v/>
      </c>
      <c r="BU25" s="82" t="str">
        <f aca="false">IF(BU$4="","",BU22)</f>
        <v/>
      </c>
      <c r="BV25" s="82" t="str">
        <f aca="false">IF(BV$4="","",BV22)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</row>
    <row r="27" customFormat="false" ht="15" hidden="false" customHeight="false" outlineLevel="0" collapsed="false">
      <c r="A27" s="69" t="s">
        <v>331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</row>
    <row r="28" customFormat="false" ht="15" hidden="false" customHeight="false" outlineLevel="0" collapsed="false">
      <c r="A28" s="61" t="str">
        <f aca="false">$A$6</f>
        <v>Safety Lead</v>
      </c>
      <c r="B28" s="81" t="n">
        <f aca="false">MAX(C28:BV28)</f>
        <v>1.5</v>
      </c>
      <c r="C28" s="82" t="n">
        <f aca="false">IF(C$4="","",IF(IF(Inputs!$B$44&gt;=5,AVERAGE(C14:E14),IF(Inputs!$B$44&gt;=3,AVERAGE(C14:D14),C14))&lt;=0,"",CEILING(IF(Inputs!$B$44&gt;=5,AVERAGE(C14:E14),IF(Inputs!$B$44&gt;=3,AVERAGE(C14:D14),C14)),Inputs!$B$45)))</f>
        <v>1</v>
      </c>
      <c r="D28" s="82" t="n">
        <f aca="false">IF(D$4="","",IF(IF(Inputs!$B$44&gt;=5,AVERAGE(C14:F14),IF(Inputs!$B$44&gt;=3,AVERAGE(C14:E14),D14))&lt;=0,"",CEILING(IF(Inputs!$B$44&gt;=5,AVERAGE(C14:F14),IF(Inputs!$B$44&gt;=3,AVERAGE(C14:E14),D14)),Inputs!$B$45)))</f>
        <v>1.5</v>
      </c>
      <c r="E28" s="82" t="n">
        <f aca="false">IF(E$4="","",IF(IF(Inputs!$B$44&gt;=5,AVERAGE(C14:G14),IF(Inputs!$B$44&gt;=3,AVERAGE(D14:F14),E14))&lt;=0,"",CEILING(IF(Inputs!$B$44&gt;=5,AVERAGE(C14:G14),IF(Inputs!$B$44&gt;=3,AVERAGE(D14:F14),E14)),Inputs!$B$45)))</f>
        <v>1</v>
      </c>
      <c r="F28" s="82" t="n">
        <f aca="false">IF(F$4="","",IF(IF(Inputs!$B$44&gt;=5,AVERAGE(D14:H14),IF(Inputs!$B$44&gt;=3,AVERAGE(E14:G14),F14))&lt;=0,"",CEILING(IF(Inputs!$B$44&gt;=5,AVERAGE(D14:H14),IF(Inputs!$B$44&gt;=3,AVERAGE(E14:G14),F14)),Inputs!$B$45)))</f>
        <v>1</v>
      </c>
      <c r="G28" s="82" t="n">
        <f aca="false">IF(G$4="","",IF(IF(Inputs!$B$44&gt;=5,AVERAGE(E14:I14),IF(Inputs!$B$44&gt;=3,AVERAGE(F14:H14),G14))&lt;=0,"",CEILING(IF(Inputs!$B$44&gt;=5,AVERAGE(E14:I14),IF(Inputs!$B$44&gt;=3,AVERAGE(F14:H14),G14)),Inputs!$B$45)))</f>
        <v>0.5</v>
      </c>
      <c r="H28" s="82" t="n">
        <f aca="false">IF(H$4="","",IF(IF(Inputs!$B$44&gt;=5,AVERAGE(F14:J14),IF(Inputs!$B$44&gt;=3,AVERAGE(G14:I14),H14))&lt;=0,"",CEILING(IF(Inputs!$B$44&gt;=5,AVERAGE(F14:J14),IF(Inputs!$B$44&gt;=3,AVERAGE(G14:I14),H14)),Inputs!$B$45)))</f>
        <v>0.5</v>
      </c>
      <c r="I28" s="82" t="n">
        <f aca="false">IF(I$4="","",IF(IF(Inputs!$B$44&gt;=5,AVERAGE(G14:K14),IF(Inputs!$B$44&gt;=3,AVERAGE(H14:J14),I14))&lt;=0,"",CEILING(IF(Inputs!$B$44&gt;=5,AVERAGE(G14:K14),IF(Inputs!$B$44&gt;=3,AVERAGE(H14:J14),I14)),Inputs!$B$45)))</f>
        <v>0.5</v>
      </c>
      <c r="J28" s="82" t="n">
        <f aca="false">IF(J$4="","",IF(IF(Inputs!$B$44&gt;=5,AVERAGE(H14:L14),IF(Inputs!$B$44&gt;=3,AVERAGE(I14:K14),J14))&lt;=0,"",CEILING(IF(Inputs!$B$44&gt;=5,AVERAGE(H14:L14),IF(Inputs!$B$44&gt;=3,AVERAGE(I14:K14),J14)),Inputs!$B$45)))</f>
        <v>0.5</v>
      </c>
      <c r="K28" s="82" t="n">
        <f aca="false">IF(K$4="","",IF(IF(Inputs!$B$44&gt;=5,AVERAGE(I14:M14),IF(Inputs!$B$44&gt;=3,AVERAGE(J14:L14),K14))&lt;=0,"",CEILING(IF(Inputs!$B$44&gt;=5,AVERAGE(I14:M14),IF(Inputs!$B$44&gt;=3,AVERAGE(J14:L14),K14)),Inputs!$B$45)))</f>
        <v>0.5</v>
      </c>
      <c r="L28" s="82" t="n">
        <f aca="false">IF(L$4="","",IF(IF(Inputs!$B$44&gt;=5,AVERAGE(J14:N14),IF(Inputs!$B$44&gt;=3,AVERAGE(K14:M14),L14))&lt;=0,"",CEILING(IF(Inputs!$B$44&gt;=5,AVERAGE(J14:N14),IF(Inputs!$B$44&gt;=3,AVERAGE(K14:M14),L14)),Inputs!$B$45)))</f>
        <v>0.5</v>
      </c>
      <c r="M28" s="82" t="n">
        <f aca="false">IF(M$4="","",IF(IF(Inputs!$B$44&gt;=5,AVERAGE(K14:O14),IF(Inputs!$B$44&gt;=3,AVERAGE(L14:N14),M14))&lt;=0,"",CEILING(IF(Inputs!$B$44&gt;=5,AVERAGE(K14:O14),IF(Inputs!$B$44&gt;=3,AVERAGE(L14:N14),M14)),Inputs!$B$45)))</f>
        <v>0.5</v>
      </c>
      <c r="N28" s="82" t="n">
        <f aca="false">IF(N$4="","",IF(IF(Inputs!$B$44&gt;=5,AVERAGE(L14:P14),IF(Inputs!$B$44&gt;=3,AVERAGE(M14:O14),N14))&lt;=0,"",CEILING(IF(Inputs!$B$44&gt;=5,AVERAGE(L14:P14),IF(Inputs!$B$44&gt;=3,AVERAGE(M14:O14),N14)),Inputs!$B$45)))</f>
        <v>0.5</v>
      </c>
      <c r="O28" s="82" t="n">
        <f aca="false">IF(O$4="","",IF(IF(Inputs!$B$44&gt;=5,AVERAGE(M14:Q14),IF(Inputs!$B$44&gt;=3,AVERAGE(N14:P14),O14))&lt;=0,"",CEILING(IF(Inputs!$B$44&gt;=5,AVERAGE(M14:Q14),IF(Inputs!$B$44&gt;=3,AVERAGE(N14:P14),O14)),Inputs!$B$45)))</f>
        <v>0.5</v>
      </c>
      <c r="P28" s="82" t="n">
        <f aca="false">IF(P$4="","",IF(IF(Inputs!$B$44&gt;=5,AVERAGE(N14:R14),IF(Inputs!$B$44&gt;=3,AVERAGE(O14:Q14),P14))&lt;=0,"",CEILING(IF(Inputs!$B$44&gt;=5,AVERAGE(N14:R14),IF(Inputs!$B$44&gt;=3,AVERAGE(O14:Q14),P14)),Inputs!$B$45)))</f>
        <v>0.5</v>
      </c>
      <c r="Q28" s="82" t="n">
        <f aca="false">IF(Q$4="","",IF(IF(Inputs!$B$44&gt;=5,AVERAGE(O14:S14),IF(Inputs!$B$44&gt;=3,AVERAGE(P14:R14),Q14))&lt;=0,"",CEILING(IF(Inputs!$B$44&gt;=5,AVERAGE(O14:S14),IF(Inputs!$B$44&gt;=3,AVERAGE(P14:R14),Q14)),Inputs!$B$45)))</f>
        <v>0.5</v>
      </c>
      <c r="R28" s="82" t="n">
        <f aca="false">IF(R$4="","",IF(IF(Inputs!$B$44&gt;=5,AVERAGE(P14:T14),IF(Inputs!$B$44&gt;=3,AVERAGE(Q14:S14),R14))&lt;=0,"",CEILING(IF(Inputs!$B$44&gt;=5,AVERAGE(P14:T14),IF(Inputs!$B$44&gt;=3,AVERAGE(Q14:S14),R14)),Inputs!$B$45)))</f>
        <v>0.5</v>
      </c>
      <c r="S28" s="82" t="n">
        <f aca="false">IF(S$4="","",IF(IF(Inputs!$B$44&gt;=5,AVERAGE(Q14:U14),IF(Inputs!$B$44&gt;=3,AVERAGE(R14:T14),S14))&lt;=0,"",CEILING(IF(Inputs!$B$44&gt;=5,AVERAGE(Q14:U14),IF(Inputs!$B$44&gt;=3,AVERAGE(R14:T14),S14)),Inputs!$B$45)))</f>
        <v>0.5</v>
      </c>
      <c r="T28" s="82" t="n">
        <f aca="false">IF(T$4="","",IF(IF(Inputs!$B$44&gt;=5,AVERAGE(R14:V14),IF(Inputs!$B$44&gt;=3,AVERAGE(S14:U14),T14))&lt;=0,"",CEILING(IF(Inputs!$B$44&gt;=5,AVERAGE(R14:V14),IF(Inputs!$B$44&gt;=3,AVERAGE(S14:U14),T14)),Inputs!$B$45)))</f>
        <v>0.5</v>
      </c>
      <c r="U28" s="82" t="n">
        <f aca="false">IF(U$4="","",IF(IF(Inputs!$B$44&gt;=5,AVERAGE(S14:W14),IF(Inputs!$B$44&gt;=3,AVERAGE(T14:V14),U14))&lt;=0,"",CEILING(IF(Inputs!$B$44&gt;=5,AVERAGE(S14:W14),IF(Inputs!$B$44&gt;=3,AVERAGE(T14:V14),U14)),Inputs!$B$45)))</f>
        <v>0.5</v>
      </c>
      <c r="V28" s="82" t="n">
        <f aca="false">IF(V$4="","",IF(IF(Inputs!$B$44&gt;=5,AVERAGE(T14:X14),IF(Inputs!$B$44&gt;=3,AVERAGE(U14:W14),V14))&lt;=0,"",CEILING(IF(Inputs!$B$44&gt;=5,AVERAGE(T14:X14),IF(Inputs!$B$44&gt;=3,AVERAGE(U14:W14),V14)),Inputs!$B$45)))</f>
        <v>0.5</v>
      </c>
      <c r="W28" s="82" t="n">
        <f aca="false">IF(W$4="","",IF(IF(Inputs!$B$44&gt;=5,AVERAGE(U14:Y14),IF(Inputs!$B$44&gt;=3,AVERAGE(V14:X14),W14))&lt;=0,"",CEILING(IF(Inputs!$B$44&gt;=5,AVERAGE(U14:Y14),IF(Inputs!$B$44&gt;=3,AVERAGE(V14:X14),W14)),Inputs!$B$45)))</f>
        <v>0.5</v>
      </c>
      <c r="X28" s="82" t="n">
        <f aca="false">IF(X$4="","",IF(IF(Inputs!$B$44&gt;=5,AVERAGE(V14:Z14),IF(Inputs!$B$44&gt;=3,AVERAGE(W14:Y14),X14))&lt;=0,"",CEILING(IF(Inputs!$B$44&gt;=5,AVERAGE(V14:Z14),IF(Inputs!$B$44&gt;=3,AVERAGE(W14:Y14),X14)),Inputs!$B$45)))</f>
        <v>0.5</v>
      </c>
      <c r="Y28" s="82" t="n">
        <f aca="false">IF(Y$4="","",IF(IF(Inputs!$B$44&gt;=5,AVERAGE(W14:AA14),IF(Inputs!$B$44&gt;=3,AVERAGE(X14:Z14),Y14))&lt;=0,"",CEILING(IF(Inputs!$B$44&gt;=5,AVERAGE(W14:AA14),IF(Inputs!$B$44&gt;=3,AVERAGE(X14:Z14),Y14)),Inputs!$B$45)))</f>
        <v>0.5</v>
      </c>
      <c r="Z28" s="82" t="n">
        <f aca="false">IF(Z$4="","",IF(IF(Inputs!$B$44&gt;=5,AVERAGE(X14:AB14),IF(Inputs!$B$44&gt;=3,AVERAGE(Y14:AA14),Z14))&lt;=0,"",CEILING(IF(Inputs!$B$44&gt;=5,AVERAGE(X14:AB14),IF(Inputs!$B$44&gt;=3,AVERAGE(Y14:AA14),Z14)),Inputs!$B$45)))</f>
        <v>1</v>
      </c>
      <c r="AA28" s="82" t="n">
        <f aca="false">IF(AA$4="","",IF(IF(Inputs!$B$44&gt;=5,AVERAGE(Y14:AC14),IF(Inputs!$B$44&gt;=3,AVERAGE(Z14:AB14),AA14))&lt;=0,"",CEILING(IF(Inputs!$B$44&gt;=5,AVERAGE(Y14:AC14),IF(Inputs!$B$44&gt;=3,AVERAGE(Z14:AB14),AA14)),Inputs!$B$45)))</f>
        <v>1</v>
      </c>
      <c r="AB28" s="82" t="n">
        <f aca="false">IF(AB$4="","",IF(IF(Inputs!$B$44&gt;=5,AVERAGE(Z14:AD14),IF(Inputs!$B$44&gt;=3,AVERAGE(AA14:AC14),AB14))&lt;=0,"",CEILING(IF(Inputs!$B$44&gt;=5,AVERAGE(Z14:AD14),IF(Inputs!$B$44&gt;=3,AVERAGE(AA14:AC14),AB14)),Inputs!$B$45)))</f>
        <v>1</v>
      </c>
      <c r="AC28" s="82" t="n">
        <f aca="false">IF(AC$4="","",IF(IF(Inputs!$B$44&gt;=5,AVERAGE(AA14:AE14),IF(Inputs!$B$44&gt;=3,AVERAGE(AB14:AD14),AC14))&lt;=0,"",CEILING(IF(Inputs!$B$44&gt;=5,AVERAGE(AA14:AE14),IF(Inputs!$B$44&gt;=3,AVERAGE(AB14:AD14),AC14)),Inputs!$B$45)))</f>
        <v>1</v>
      </c>
      <c r="AD28" s="82" t="n">
        <f aca="false">IF(AD$4="","",IF(IF(Inputs!$B$44&gt;=5,AVERAGE(AB14:AF14),IF(Inputs!$B$44&gt;=3,AVERAGE(AC14:AE14),AD14))&lt;=0,"",CEILING(IF(Inputs!$B$44&gt;=5,AVERAGE(AB14:AF14),IF(Inputs!$B$44&gt;=3,AVERAGE(AC14:AE14),AD14)),Inputs!$B$45)))</f>
        <v>1</v>
      </c>
      <c r="AE28" s="82" t="n">
        <f aca="false">IF(AE$4="","",IF(IF(Inputs!$B$44&gt;=5,AVERAGE(AC14:AG14),IF(Inputs!$B$44&gt;=3,AVERAGE(AD14:AF14),AE14))&lt;=0,"",CEILING(IF(Inputs!$B$44&gt;=5,AVERAGE(AC14:AG14),IF(Inputs!$B$44&gt;=3,AVERAGE(AD14:AF14),AE14)),Inputs!$B$45)))</f>
        <v>1</v>
      </c>
      <c r="AF28" s="82" t="n">
        <f aca="false">IF(AF$4="","",IF(IF(Inputs!$B$44&gt;=5,AVERAGE(AD14:AH14),IF(Inputs!$B$44&gt;=3,AVERAGE(AE14:AG14),AF14))&lt;=0,"",CEILING(IF(Inputs!$B$44&gt;=5,AVERAGE(AD14:AH14),IF(Inputs!$B$44&gt;=3,AVERAGE(AE14:AG14),AF14)),Inputs!$B$45)))</f>
        <v>1</v>
      </c>
      <c r="AG28" s="82" t="n">
        <f aca="false">IF(AG$4="","",IF(IF(Inputs!$B$44&gt;=5,AVERAGE(AE14:AI14),IF(Inputs!$B$44&gt;=3,AVERAGE(AF14:AH14),AG14))&lt;=0,"",CEILING(IF(Inputs!$B$44&gt;=5,AVERAGE(AE14:AI14),IF(Inputs!$B$44&gt;=3,AVERAGE(AF14:AH14),AG14)),Inputs!$B$45)))</f>
        <v>1</v>
      </c>
      <c r="AH28" s="82" t="n">
        <f aca="false">IF(AH$4="","",IF(IF(Inputs!$B$44&gt;=5,AVERAGE(AF14:AJ14),IF(Inputs!$B$44&gt;=3,AVERAGE(AG14:AI14),AH14))&lt;=0,"",CEILING(IF(Inputs!$B$44&gt;=5,AVERAGE(AF14:AJ14),IF(Inputs!$B$44&gt;=3,AVERAGE(AG14:AI14),AH14)),Inputs!$B$45)))</f>
        <v>1</v>
      </c>
      <c r="AI28" s="82" t="n">
        <f aca="false">IF(AI$4="","",IF(IF(Inputs!$B$44&gt;=5,AVERAGE(AG14:AK14),IF(Inputs!$B$44&gt;=3,AVERAGE(AH14:AJ14),AI14))&lt;=0,"",CEILING(IF(Inputs!$B$44&gt;=5,AVERAGE(AG14:AK14),IF(Inputs!$B$44&gt;=3,AVERAGE(AH14:AJ14),AI14)),Inputs!$B$45)))</f>
        <v>1</v>
      </c>
      <c r="AJ28" s="82" t="n">
        <f aca="false">IF(AJ$4="","",IF(IF(Inputs!$B$44&gt;=5,AVERAGE(AH14:AL14),IF(Inputs!$B$44&gt;=3,AVERAGE(AI14:AK14),AJ14))&lt;=0,"",CEILING(IF(Inputs!$B$44&gt;=5,AVERAGE(AH14:AL14),IF(Inputs!$B$44&gt;=3,AVERAGE(AI14:AK14),AJ14)),Inputs!$B$45)))</f>
        <v>1</v>
      </c>
      <c r="AK28" s="82" t="n">
        <f aca="false">IF(AK$4="","",IF(IF(Inputs!$B$44&gt;=5,AVERAGE(AI14:AM14),IF(Inputs!$B$44&gt;=3,AVERAGE(AJ14:AL14),AK14))&lt;=0,"",CEILING(IF(Inputs!$B$44&gt;=5,AVERAGE(AI14:AM14),IF(Inputs!$B$44&gt;=3,AVERAGE(AJ14:AL14),AK14)),Inputs!$B$45)))</f>
        <v>0.5</v>
      </c>
      <c r="AL28" s="82" t="n">
        <f aca="false">IF(AL$4="","",IF(IF(Inputs!$B$44&gt;=5,AVERAGE(AJ14:AN14),IF(Inputs!$B$44&gt;=3,AVERAGE(AK14:AM14),AL14))&lt;=0,"",CEILING(IF(Inputs!$B$44&gt;=5,AVERAGE(AJ14:AN14),IF(Inputs!$B$44&gt;=3,AVERAGE(AK14:AM14),AL14)),Inputs!$B$45)))</f>
        <v>0.5</v>
      </c>
      <c r="AM28" s="82" t="str">
        <f aca="false">IF(AM$4="","",IF(IF(Inputs!$B$44&gt;=5,AVERAGE(AK14:AO14),IF(Inputs!$B$44&gt;=3,AVERAGE(AL14:AN14),AM14))&lt;=0,"",CEILING(IF(Inputs!$B$44&gt;=5,AVERAGE(AK14:AO14),IF(Inputs!$B$44&gt;=3,AVERAGE(AL14:AN14),AM14)),Inputs!$B$45)))</f>
        <v/>
      </c>
      <c r="AN28" s="82" t="str">
        <f aca="false">IF(AN$4="","",IF(IF(Inputs!$B$44&gt;=5,AVERAGE(AL14:AP14),IF(Inputs!$B$44&gt;=3,AVERAGE(AM14:AO14),AN14))&lt;=0,"",CEILING(IF(Inputs!$B$44&gt;=5,AVERAGE(AL14:AP14),IF(Inputs!$B$44&gt;=3,AVERAGE(AM14:AO14),AN14)),Inputs!$B$45)))</f>
        <v/>
      </c>
      <c r="AO28" s="82" t="str">
        <f aca="false">IF(AO$4="","",IF(IF(Inputs!$B$44&gt;=5,AVERAGE(AM14:AQ14),IF(Inputs!$B$44&gt;=3,AVERAGE(AN14:AP14),AO14))&lt;=0,"",CEILING(IF(Inputs!$B$44&gt;=5,AVERAGE(AM14:AQ14),IF(Inputs!$B$44&gt;=3,AVERAGE(AN14:AP14),AO14)),Inputs!$B$45)))</f>
        <v/>
      </c>
      <c r="AP28" s="82" t="str">
        <f aca="false">IF(AP$4="","",IF(IF(Inputs!$B$44&gt;=5,AVERAGE(AN14:AR14),IF(Inputs!$B$44&gt;=3,AVERAGE(AO14:AQ14),AP14))&lt;=0,"",CEILING(IF(Inputs!$B$44&gt;=5,AVERAGE(AN14:AR14),IF(Inputs!$B$44&gt;=3,AVERAGE(AO14:AQ14),AP14)),Inputs!$B$45)))</f>
        <v/>
      </c>
      <c r="AQ28" s="82" t="str">
        <f aca="false">IF(AQ$4="","",IF(IF(Inputs!$B$44&gt;=5,AVERAGE(AO14:AS14),IF(Inputs!$B$44&gt;=3,AVERAGE(AP14:AR14),AQ14))&lt;=0,"",CEILING(IF(Inputs!$B$44&gt;=5,AVERAGE(AO14:AS14),IF(Inputs!$B$44&gt;=3,AVERAGE(AP14:AR14),AQ14)),Inputs!$B$45)))</f>
        <v/>
      </c>
      <c r="AR28" s="82" t="str">
        <f aca="false">IF(AR$4="","",IF(IF(Inputs!$B$44&gt;=5,AVERAGE(AP14:AT14),IF(Inputs!$B$44&gt;=3,AVERAGE(AQ14:AS14),AR14))&lt;=0,"",CEILING(IF(Inputs!$B$44&gt;=5,AVERAGE(AP14:AT14),IF(Inputs!$B$44&gt;=3,AVERAGE(AQ14:AS14),AR14)),Inputs!$B$45)))</f>
        <v/>
      </c>
      <c r="AS28" s="82" t="str">
        <f aca="false">IF(AS$4="","",IF(IF(Inputs!$B$44&gt;=5,AVERAGE(AQ14:AU14),IF(Inputs!$B$44&gt;=3,AVERAGE(AR14:AT14),AS14))&lt;=0,"",CEILING(IF(Inputs!$B$44&gt;=5,AVERAGE(AQ14:AU14),IF(Inputs!$B$44&gt;=3,AVERAGE(AR14:AT14),AS14)),Inputs!$B$45)))</f>
        <v/>
      </c>
      <c r="AT28" s="82" t="str">
        <f aca="false">IF(AT$4="","",IF(IF(Inputs!$B$44&gt;=5,AVERAGE(AR14:AV14),IF(Inputs!$B$44&gt;=3,AVERAGE(AS14:AU14),AT14))&lt;=0,"",CEILING(IF(Inputs!$B$44&gt;=5,AVERAGE(AR14:AV14),IF(Inputs!$B$44&gt;=3,AVERAGE(AS14:AU14),AT14)),Inputs!$B$45)))</f>
        <v/>
      </c>
      <c r="AU28" s="82" t="str">
        <f aca="false">IF(AU$4="","",IF(IF(Inputs!$B$44&gt;=5,AVERAGE(AS14:AW14),IF(Inputs!$B$44&gt;=3,AVERAGE(AT14:AV14),AU14))&lt;=0,"",CEILING(IF(Inputs!$B$44&gt;=5,AVERAGE(AS14:AW14),IF(Inputs!$B$44&gt;=3,AVERAGE(AT14:AV14),AU14)),Inputs!$B$45)))</f>
        <v/>
      </c>
      <c r="AV28" s="82" t="str">
        <f aca="false">IF(AV$4="","",IF(IF(Inputs!$B$44&gt;=5,AVERAGE(AT14:AX14),IF(Inputs!$B$44&gt;=3,AVERAGE(AU14:AW14),AV14))&lt;=0,"",CEILING(IF(Inputs!$B$44&gt;=5,AVERAGE(AT14:AX14),IF(Inputs!$B$44&gt;=3,AVERAGE(AU14:AW14),AV14)),Inputs!$B$45)))</f>
        <v/>
      </c>
      <c r="AW28" s="82" t="str">
        <f aca="false">IF(AW$4="","",IF(IF(Inputs!$B$44&gt;=5,AVERAGE(AU14:AY14),IF(Inputs!$B$44&gt;=3,AVERAGE(AV14:AX14),AW14))&lt;=0,"",CEILING(IF(Inputs!$B$44&gt;=5,AVERAGE(AU14:AY14),IF(Inputs!$B$44&gt;=3,AVERAGE(AV14:AX14),AW14)),Inputs!$B$45)))</f>
        <v/>
      </c>
      <c r="AX28" s="82" t="str">
        <f aca="false">IF(AX$4="","",IF(IF(Inputs!$B$44&gt;=5,AVERAGE(AV14:AZ14),IF(Inputs!$B$44&gt;=3,AVERAGE(AW14:AY14),AX14))&lt;=0,"",CEILING(IF(Inputs!$B$44&gt;=5,AVERAGE(AV14:AZ14),IF(Inputs!$B$44&gt;=3,AVERAGE(AW14:AY14),AX14)),Inputs!$B$45)))</f>
        <v/>
      </c>
      <c r="AY28" s="82" t="str">
        <f aca="false">IF(AY$4="","",IF(IF(Inputs!$B$44&gt;=5,AVERAGE(AW14:BA14),IF(Inputs!$B$44&gt;=3,AVERAGE(AX14:AZ14),AY14))&lt;=0,"",CEILING(IF(Inputs!$B$44&gt;=5,AVERAGE(AW14:BA14),IF(Inputs!$B$44&gt;=3,AVERAGE(AX14:AZ14),AY14)),Inputs!$B$45)))</f>
        <v/>
      </c>
      <c r="AZ28" s="82" t="str">
        <f aca="false">IF(AZ$4="","",IF(IF(Inputs!$B$44&gt;=5,AVERAGE(AX14:BB14),IF(Inputs!$B$44&gt;=3,AVERAGE(AY14:BA14),AZ14))&lt;=0,"",CEILING(IF(Inputs!$B$44&gt;=5,AVERAGE(AX14:BB14),IF(Inputs!$B$44&gt;=3,AVERAGE(AY14:BA14),AZ14)),Inputs!$B$45)))</f>
        <v/>
      </c>
      <c r="BA28" s="82" t="str">
        <f aca="false">IF(BA$4="","",IF(IF(Inputs!$B$44&gt;=5,AVERAGE(AY14:BC14),IF(Inputs!$B$44&gt;=3,AVERAGE(AZ14:BB14),BA14))&lt;=0,"",CEILING(IF(Inputs!$B$44&gt;=5,AVERAGE(AY14:BC14),IF(Inputs!$B$44&gt;=3,AVERAGE(AZ14:BB14),BA14)),Inputs!$B$45)))</f>
        <v/>
      </c>
      <c r="BB28" s="82" t="str">
        <f aca="false">IF(BB$4="","",IF(IF(Inputs!$B$44&gt;=5,AVERAGE(AZ14:BD14),IF(Inputs!$B$44&gt;=3,AVERAGE(BA14:BC14),BB14))&lt;=0,"",CEILING(IF(Inputs!$B$44&gt;=5,AVERAGE(AZ14:BD14),IF(Inputs!$B$44&gt;=3,AVERAGE(BA14:BC14),BB14)),Inputs!$B$45)))</f>
        <v/>
      </c>
      <c r="BC28" s="82" t="str">
        <f aca="false">IF(BC$4="","",IF(IF(Inputs!$B$44&gt;=5,AVERAGE(BA14:BE14),IF(Inputs!$B$44&gt;=3,AVERAGE(BB14:BD14),BC14))&lt;=0,"",CEILING(IF(Inputs!$B$44&gt;=5,AVERAGE(BA14:BE14),IF(Inputs!$B$44&gt;=3,AVERAGE(BB14:BD14),BC14)),Inputs!$B$45)))</f>
        <v/>
      </c>
      <c r="BD28" s="82" t="str">
        <f aca="false">IF(BD$4="","",IF(IF(Inputs!$B$44&gt;=5,AVERAGE(BB14:BF14),IF(Inputs!$B$44&gt;=3,AVERAGE(BC14:BE14),BD14))&lt;=0,"",CEILING(IF(Inputs!$B$44&gt;=5,AVERAGE(BB14:BF14),IF(Inputs!$B$44&gt;=3,AVERAGE(BC14:BE14),BD14)),Inputs!$B$45)))</f>
        <v/>
      </c>
      <c r="BE28" s="82" t="str">
        <f aca="false">IF(BE$4="","",IF(IF(Inputs!$B$44&gt;=5,AVERAGE(BC14:BG14),IF(Inputs!$B$44&gt;=3,AVERAGE(BD14:BF14),BE14))&lt;=0,"",CEILING(IF(Inputs!$B$44&gt;=5,AVERAGE(BC14:BG14),IF(Inputs!$B$44&gt;=3,AVERAGE(BD14:BF14),BE14)),Inputs!$B$45)))</f>
        <v/>
      </c>
      <c r="BF28" s="82" t="str">
        <f aca="false">IF(BF$4="","",IF(IF(Inputs!$B$44&gt;=5,AVERAGE(BD14:BH14),IF(Inputs!$B$44&gt;=3,AVERAGE(BE14:BG14),BF14))&lt;=0,"",CEILING(IF(Inputs!$B$44&gt;=5,AVERAGE(BD14:BH14),IF(Inputs!$B$44&gt;=3,AVERAGE(BE14:BG14),BF14)),Inputs!$B$45)))</f>
        <v/>
      </c>
      <c r="BG28" s="82" t="str">
        <f aca="false">IF(BG$4="","",IF(IF(Inputs!$B$44&gt;=5,AVERAGE(BE14:BI14),IF(Inputs!$B$44&gt;=3,AVERAGE(BF14:BH14),BG14))&lt;=0,"",CEILING(IF(Inputs!$B$44&gt;=5,AVERAGE(BE14:BI14),IF(Inputs!$B$44&gt;=3,AVERAGE(BF14:BH14),BG14)),Inputs!$B$45)))</f>
        <v/>
      </c>
      <c r="BH28" s="82" t="str">
        <f aca="false">IF(BH$4="","",IF(IF(Inputs!$B$44&gt;=5,AVERAGE(BF14:BJ14),IF(Inputs!$B$44&gt;=3,AVERAGE(BG14:BI14),BH14))&lt;=0,"",CEILING(IF(Inputs!$B$44&gt;=5,AVERAGE(BF14:BJ14),IF(Inputs!$B$44&gt;=3,AVERAGE(BG14:BI14),BH14)),Inputs!$B$45)))</f>
        <v/>
      </c>
      <c r="BI28" s="82" t="str">
        <f aca="false">IF(BI$4="","",IF(IF(Inputs!$B$44&gt;=5,AVERAGE(BG14:BK14),IF(Inputs!$B$44&gt;=3,AVERAGE(BH14:BJ14),BI14))&lt;=0,"",CEILING(IF(Inputs!$B$44&gt;=5,AVERAGE(BG14:BK14),IF(Inputs!$B$44&gt;=3,AVERAGE(BH14:BJ14),BI14)),Inputs!$B$45)))</f>
        <v/>
      </c>
      <c r="BJ28" s="82" t="str">
        <f aca="false">IF(BJ$4="","",IF(IF(Inputs!$B$44&gt;=5,AVERAGE(BH14:BL14),IF(Inputs!$B$44&gt;=3,AVERAGE(BI14:BK14),BJ14))&lt;=0,"",CEILING(IF(Inputs!$B$44&gt;=5,AVERAGE(BH14:BL14),IF(Inputs!$B$44&gt;=3,AVERAGE(BI14:BK14),BJ14)),Inputs!$B$45)))</f>
        <v/>
      </c>
      <c r="BK28" s="82" t="str">
        <f aca="false">IF(BK$4="","",IF(IF(Inputs!$B$44&gt;=5,AVERAGE(BI14:BM14),IF(Inputs!$B$44&gt;=3,AVERAGE(BJ14:BL14),BK14))&lt;=0,"",CEILING(IF(Inputs!$B$44&gt;=5,AVERAGE(BI14:BM14),IF(Inputs!$B$44&gt;=3,AVERAGE(BJ14:BL14),BK14)),Inputs!$B$45)))</f>
        <v/>
      </c>
      <c r="BL28" s="82" t="str">
        <f aca="false">IF(BL$4="","",IF(IF(Inputs!$B$44&gt;=5,AVERAGE(BJ14:BN14),IF(Inputs!$B$44&gt;=3,AVERAGE(BK14:BM14),BL14))&lt;=0,"",CEILING(IF(Inputs!$B$44&gt;=5,AVERAGE(BJ14:BN14),IF(Inputs!$B$44&gt;=3,AVERAGE(BK14:BM14),BL14)),Inputs!$B$45)))</f>
        <v/>
      </c>
      <c r="BM28" s="82" t="str">
        <f aca="false">IF(BM$4="","",IF(IF(Inputs!$B$44&gt;=5,AVERAGE(BK14:BO14),IF(Inputs!$B$44&gt;=3,AVERAGE(BL14:BN14),BM14))&lt;=0,"",CEILING(IF(Inputs!$B$44&gt;=5,AVERAGE(BK14:BO14),IF(Inputs!$B$44&gt;=3,AVERAGE(BL14:BN14),BM14)),Inputs!$B$45)))</f>
        <v/>
      </c>
      <c r="BN28" s="82" t="str">
        <f aca="false">IF(BN$4="","",IF(IF(Inputs!$B$44&gt;=5,AVERAGE(BL14:BP14),IF(Inputs!$B$44&gt;=3,AVERAGE(BM14:BO14),BN14))&lt;=0,"",CEILING(IF(Inputs!$B$44&gt;=5,AVERAGE(BL14:BP14),IF(Inputs!$B$44&gt;=3,AVERAGE(BM14:BO14),BN14)),Inputs!$B$45)))</f>
        <v/>
      </c>
      <c r="BO28" s="82" t="str">
        <f aca="false">IF(BO$4="","",IF(IF(Inputs!$B$44&gt;=5,AVERAGE(BM14:BQ14),IF(Inputs!$B$44&gt;=3,AVERAGE(BN14:BP14),BO14))&lt;=0,"",CEILING(IF(Inputs!$B$44&gt;=5,AVERAGE(BM14:BQ14),IF(Inputs!$B$44&gt;=3,AVERAGE(BN14:BP14),BO14)),Inputs!$B$45)))</f>
        <v/>
      </c>
      <c r="BP28" s="82" t="str">
        <f aca="false">IF(BP$4="","",IF(IF(Inputs!$B$44&gt;=5,AVERAGE(BN14:BR14),IF(Inputs!$B$44&gt;=3,AVERAGE(BO14:BQ14),BP14))&lt;=0,"",CEILING(IF(Inputs!$B$44&gt;=5,AVERAGE(BN14:BR14),IF(Inputs!$B$44&gt;=3,AVERAGE(BO14:BQ14),BP14)),Inputs!$B$45)))</f>
        <v/>
      </c>
      <c r="BQ28" s="82" t="str">
        <f aca="false">IF(BQ$4="","",IF(IF(Inputs!$B$44&gt;=5,AVERAGE(BO14:BS14),IF(Inputs!$B$44&gt;=3,AVERAGE(BP14:BR14),BQ14))&lt;=0,"",CEILING(IF(Inputs!$B$44&gt;=5,AVERAGE(BO14:BS14),IF(Inputs!$B$44&gt;=3,AVERAGE(BP14:BR14),BQ14)),Inputs!$B$45)))</f>
        <v/>
      </c>
      <c r="BR28" s="82" t="str">
        <f aca="false">IF(BR$4="","",IF(IF(Inputs!$B$44&gt;=5,AVERAGE(BP14:BT14),IF(Inputs!$B$44&gt;=3,AVERAGE(BQ14:BS14),BR14))&lt;=0,"",CEILING(IF(Inputs!$B$44&gt;=5,AVERAGE(BP14:BT14),IF(Inputs!$B$44&gt;=3,AVERAGE(BQ14:BS14),BR14)),Inputs!$B$45)))</f>
        <v/>
      </c>
      <c r="BS28" s="82" t="str">
        <f aca="false">IF(BS$4="","",IF(IF(Inputs!$B$44&gt;=5,AVERAGE(BQ14:BU14),IF(Inputs!$B$44&gt;=3,AVERAGE(BR14:BT14),BS14))&lt;=0,"",CEILING(IF(Inputs!$B$44&gt;=5,AVERAGE(BQ14:BU14),IF(Inputs!$B$44&gt;=3,AVERAGE(BR14:BT14),BS14)),Inputs!$B$45)))</f>
        <v/>
      </c>
      <c r="BT28" s="82" t="str">
        <f aca="false">IF(BT$4="","",IF(IF(Inputs!$B$44&gt;=5,AVERAGE(BR14:BV14),IF(Inputs!$B$44&gt;=3,AVERAGE(BS14:BU14),BT14))&lt;=0,"",CEILING(IF(Inputs!$B$44&gt;=5,AVERAGE(BR14:BV14),IF(Inputs!$B$44&gt;=3,AVERAGE(BS14:BU14),BT14)),Inputs!$B$45)))</f>
        <v/>
      </c>
      <c r="BU28" s="82" t="str">
        <f aca="false">IF(BU$4="","",IF(IF(Inputs!$B$44&gt;=5,AVERAGE(BS14:BV14),IF(Inputs!$B$44&gt;=3,AVERAGE(BT14:BV14),BU14))&lt;=0,"",CEILING(IF(Inputs!$B$44&gt;=5,AVERAGE(BS14:BV14),IF(Inputs!$B$44&gt;=3,AVERAGE(BT14:BV14),BU14)),Inputs!$B$45)))</f>
        <v/>
      </c>
      <c r="BV28" s="82" t="str">
        <f aca="false">IF(BV$4="","",IF(IF(Inputs!$B$44&gt;=5,AVERAGE(BT14:BV14),IF(Inputs!$B$44&gt;=3,AVERAGE(BU14:BV14),BV14))&lt;=0,"",CEILING(IF(Inputs!$B$44&gt;=5,AVERAGE(BT14:BV14),IF(Inputs!$B$44&gt;=3,AVERAGE(BU14:BV14),BV14)),Inputs!$B$45)))</f>
        <v/>
      </c>
    </row>
    <row r="29" customFormat="false" ht="15" hidden="false" customHeight="false" outlineLevel="0" collapsed="false">
      <c r="A29" s="61" t="str">
        <f aca="false">$A$7</f>
        <v>System Safety Engineer</v>
      </c>
      <c r="B29" s="81" t="n">
        <f aca="false">MAX(C29:BV29)</f>
        <v>3.5</v>
      </c>
      <c r="C29" s="82" t="n">
        <f aca="false">IF(C$4="","",IF(IF(Inputs!$B$44&gt;=5,AVERAGE(C15:E15),IF(Inputs!$B$44&gt;=3,AVERAGE(C15:D15),C15))&lt;=0,"",CEILING(IF(Inputs!$B$44&gt;=5,AVERAGE(C15:E15),IF(Inputs!$B$44&gt;=3,AVERAGE(C15:D15),C15)),Inputs!$B$45)))</f>
        <v>0.5</v>
      </c>
      <c r="D29" s="82" t="n">
        <f aca="false">IF(D$4="","",IF(IF(Inputs!$B$44&gt;=5,AVERAGE(C15:F15),IF(Inputs!$B$44&gt;=3,AVERAGE(C15:E15),D15))&lt;=0,"",CEILING(IF(Inputs!$B$44&gt;=5,AVERAGE(C15:F15),IF(Inputs!$B$44&gt;=3,AVERAGE(C15:E15),D15)),Inputs!$B$45)))</f>
        <v>0.5</v>
      </c>
      <c r="E29" s="82" t="n">
        <f aca="false">IF(E$4="","",IF(IF(Inputs!$B$44&gt;=5,AVERAGE(C15:G15),IF(Inputs!$B$44&gt;=3,AVERAGE(D15:F15),E15))&lt;=0,"",CEILING(IF(Inputs!$B$44&gt;=5,AVERAGE(C15:G15),IF(Inputs!$B$44&gt;=3,AVERAGE(D15:F15),E15)),Inputs!$B$45)))</f>
        <v>1</v>
      </c>
      <c r="F29" s="82" t="n">
        <f aca="false">IF(F$4="","",IF(IF(Inputs!$B$44&gt;=5,AVERAGE(D15:H15),IF(Inputs!$B$44&gt;=3,AVERAGE(E15:G15),F15))&lt;=0,"",CEILING(IF(Inputs!$B$44&gt;=5,AVERAGE(D15:H15),IF(Inputs!$B$44&gt;=3,AVERAGE(E15:G15),F15)),Inputs!$B$45)))</f>
        <v>1</v>
      </c>
      <c r="G29" s="82" t="n">
        <f aca="false">IF(G$4="","",IF(IF(Inputs!$B$44&gt;=5,AVERAGE(E15:I15),IF(Inputs!$B$44&gt;=3,AVERAGE(F15:H15),G15))&lt;=0,"",CEILING(IF(Inputs!$B$44&gt;=5,AVERAGE(E15:I15),IF(Inputs!$B$44&gt;=3,AVERAGE(F15:H15),G15)),Inputs!$B$45)))</f>
        <v>1.5</v>
      </c>
      <c r="H29" s="82" t="n">
        <f aca="false">IF(H$4="","",IF(IF(Inputs!$B$44&gt;=5,AVERAGE(F15:J15),IF(Inputs!$B$44&gt;=3,AVERAGE(G15:I15),H15))&lt;=0,"",CEILING(IF(Inputs!$B$44&gt;=5,AVERAGE(F15:J15),IF(Inputs!$B$44&gt;=3,AVERAGE(G15:I15),H15)),Inputs!$B$45)))</f>
        <v>1.5</v>
      </c>
      <c r="I29" s="82" t="n">
        <f aca="false">IF(I$4="","",IF(IF(Inputs!$B$44&gt;=5,AVERAGE(G15:K15),IF(Inputs!$B$44&gt;=3,AVERAGE(H15:J15),I15))&lt;=0,"",CEILING(IF(Inputs!$B$44&gt;=5,AVERAGE(G15:K15),IF(Inputs!$B$44&gt;=3,AVERAGE(H15:J15),I15)),Inputs!$B$45)))</f>
        <v>1</v>
      </c>
      <c r="J29" s="82" t="n">
        <f aca="false">IF(J$4="","",IF(IF(Inputs!$B$44&gt;=5,AVERAGE(H15:L15),IF(Inputs!$B$44&gt;=3,AVERAGE(I15:K15),J15))&lt;=0,"",CEILING(IF(Inputs!$B$44&gt;=5,AVERAGE(H15:L15),IF(Inputs!$B$44&gt;=3,AVERAGE(I15:K15),J15)),Inputs!$B$45)))</f>
        <v>1</v>
      </c>
      <c r="K29" s="82" t="n">
        <f aca="false">IF(K$4="","",IF(IF(Inputs!$B$44&gt;=5,AVERAGE(I15:M15),IF(Inputs!$B$44&gt;=3,AVERAGE(J15:L15),K15))&lt;=0,"",CEILING(IF(Inputs!$B$44&gt;=5,AVERAGE(I15:M15),IF(Inputs!$B$44&gt;=3,AVERAGE(J15:L15),K15)),Inputs!$B$45)))</f>
        <v>0.5</v>
      </c>
      <c r="L29" s="82" t="n">
        <f aca="false">IF(L$4="","",IF(IF(Inputs!$B$44&gt;=5,AVERAGE(J15:N15),IF(Inputs!$B$44&gt;=3,AVERAGE(K15:M15),L15))&lt;=0,"",CEILING(IF(Inputs!$B$44&gt;=5,AVERAGE(J15:N15),IF(Inputs!$B$44&gt;=3,AVERAGE(K15:M15),L15)),Inputs!$B$45)))</f>
        <v>1.5</v>
      </c>
      <c r="M29" s="82" t="n">
        <f aca="false">IF(M$4="","",IF(IF(Inputs!$B$44&gt;=5,AVERAGE(K15:O15),IF(Inputs!$B$44&gt;=3,AVERAGE(L15:N15),M15))&lt;=0,"",CEILING(IF(Inputs!$B$44&gt;=5,AVERAGE(K15:O15),IF(Inputs!$B$44&gt;=3,AVERAGE(L15:N15),M15)),Inputs!$B$45)))</f>
        <v>2.5</v>
      </c>
      <c r="N29" s="82" t="n">
        <f aca="false">IF(N$4="","",IF(IF(Inputs!$B$44&gt;=5,AVERAGE(L15:P15),IF(Inputs!$B$44&gt;=3,AVERAGE(M15:O15),N15))&lt;=0,"",CEILING(IF(Inputs!$B$44&gt;=5,AVERAGE(L15:P15),IF(Inputs!$B$44&gt;=3,AVERAGE(M15:O15),N15)),Inputs!$B$45)))</f>
        <v>3.5</v>
      </c>
      <c r="O29" s="82" t="n">
        <f aca="false">IF(O$4="","",IF(IF(Inputs!$B$44&gt;=5,AVERAGE(M15:Q15),IF(Inputs!$B$44&gt;=3,AVERAGE(N15:P15),O15))&lt;=0,"",CEILING(IF(Inputs!$B$44&gt;=5,AVERAGE(M15:Q15),IF(Inputs!$B$44&gt;=3,AVERAGE(N15:P15),O15)),Inputs!$B$45)))</f>
        <v>3.5</v>
      </c>
      <c r="P29" s="82" t="n">
        <f aca="false">IF(P$4="","",IF(IF(Inputs!$B$44&gt;=5,AVERAGE(N15:R15),IF(Inputs!$B$44&gt;=3,AVERAGE(O15:Q15),P15))&lt;=0,"",CEILING(IF(Inputs!$B$44&gt;=5,AVERAGE(N15:R15),IF(Inputs!$B$44&gt;=3,AVERAGE(O15:Q15),P15)),Inputs!$B$45)))</f>
        <v>3.5</v>
      </c>
      <c r="Q29" s="82" t="n">
        <f aca="false">IF(Q$4="","",IF(IF(Inputs!$B$44&gt;=5,AVERAGE(O15:S15),IF(Inputs!$B$44&gt;=3,AVERAGE(P15:R15),Q15))&lt;=0,"",CEILING(IF(Inputs!$B$44&gt;=5,AVERAGE(O15:S15),IF(Inputs!$B$44&gt;=3,AVERAGE(P15:R15),Q15)),Inputs!$B$45)))</f>
        <v>3.5</v>
      </c>
      <c r="R29" s="82" t="n">
        <f aca="false">IF(R$4="","",IF(IF(Inputs!$B$44&gt;=5,AVERAGE(P15:T15),IF(Inputs!$B$44&gt;=3,AVERAGE(Q15:S15),R15))&lt;=0,"",CEILING(IF(Inputs!$B$44&gt;=5,AVERAGE(P15:T15),IF(Inputs!$B$44&gt;=3,AVERAGE(Q15:S15),R15)),Inputs!$B$45)))</f>
        <v>3.5</v>
      </c>
      <c r="S29" s="82" t="n">
        <f aca="false">IF(S$4="","",IF(IF(Inputs!$B$44&gt;=5,AVERAGE(Q15:U15),IF(Inputs!$B$44&gt;=3,AVERAGE(R15:T15),S15))&lt;=0,"",CEILING(IF(Inputs!$B$44&gt;=5,AVERAGE(Q15:U15),IF(Inputs!$B$44&gt;=3,AVERAGE(R15:T15),S15)),Inputs!$B$45)))</f>
        <v>3</v>
      </c>
      <c r="T29" s="82" t="n">
        <f aca="false">IF(T$4="","",IF(IF(Inputs!$B$44&gt;=5,AVERAGE(R15:V15),IF(Inputs!$B$44&gt;=3,AVERAGE(S15:U15),T15))&lt;=0,"",CEILING(IF(Inputs!$B$44&gt;=5,AVERAGE(R15:V15),IF(Inputs!$B$44&gt;=3,AVERAGE(S15:U15),T15)),Inputs!$B$45)))</f>
        <v>2</v>
      </c>
      <c r="U29" s="82" t="n">
        <f aca="false">IF(U$4="","",IF(IF(Inputs!$B$44&gt;=5,AVERAGE(S15:W15),IF(Inputs!$B$44&gt;=3,AVERAGE(T15:V15),U15))&lt;=0,"",CEILING(IF(Inputs!$B$44&gt;=5,AVERAGE(S15:W15),IF(Inputs!$B$44&gt;=3,AVERAGE(T15:V15),U15)),Inputs!$B$45)))</f>
        <v>1.5</v>
      </c>
      <c r="V29" s="82" t="n">
        <f aca="false">IF(V$4="","",IF(IF(Inputs!$B$44&gt;=5,AVERAGE(T15:X15),IF(Inputs!$B$44&gt;=3,AVERAGE(U15:W15),V15))&lt;=0,"",CEILING(IF(Inputs!$B$44&gt;=5,AVERAGE(T15:X15),IF(Inputs!$B$44&gt;=3,AVERAGE(U15:W15),V15)),Inputs!$B$45)))</f>
        <v>1</v>
      </c>
      <c r="W29" s="82" t="n">
        <f aca="false">IF(W$4="","",IF(IF(Inputs!$B$44&gt;=5,AVERAGE(U15:Y15),IF(Inputs!$B$44&gt;=3,AVERAGE(V15:X15),W15))&lt;=0,"",CEILING(IF(Inputs!$B$44&gt;=5,AVERAGE(U15:Y15),IF(Inputs!$B$44&gt;=3,AVERAGE(V15:X15),W15)),Inputs!$B$45)))</f>
        <v>1</v>
      </c>
      <c r="X29" s="82" t="n">
        <f aca="false">IF(X$4="","",IF(IF(Inputs!$B$44&gt;=5,AVERAGE(V15:Z15),IF(Inputs!$B$44&gt;=3,AVERAGE(W15:Y15),X15))&lt;=0,"",CEILING(IF(Inputs!$B$44&gt;=5,AVERAGE(V15:Z15),IF(Inputs!$B$44&gt;=3,AVERAGE(W15:Y15),X15)),Inputs!$B$45)))</f>
        <v>1</v>
      </c>
      <c r="Y29" s="82" t="n">
        <f aca="false">IF(Y$4="","",IF(IF(Inputs!$B$44&gt;=5,AVERAGE(W15:AA15),IF(Inputs!$B$44&gt;=3,AVERAGE(X15:Z15),Y15))&lt;=0,"",CEILING(IF(Inputs!$B$44&gt;=5,AVERAGE(W15:AA15),IF(Inputs!$B$44&gt;=3,AVERAGE(X15:Z15),Y15)),Inputs!$B$45)))</f>
        <v>1</v>
      </c>
      <c r="Z29" s="82" t="n">
        <f aca="false">IF(Z$4="","",IF(IF(Inputs!$B$44&gt;=5,AVERAGE(X15:AB15),IF(Inputs!$B$44&gt;=3,AVERAGE(Y15:AA15),Z15))&lt;=0,"",CEILING(IF(Inputs!$B$44&gt;=5,AVERAGE(X15:AB15),IF(Inputs!$B$44&gt;=3,AVERAGE(Y15:AA15),Z15)),Inputs!$B$45)))</f>
        <v>1.5</v>
      </c>
      <c r="AA29" s="82" t="n">
        <f aca="false">IF(AA$4="","",IF(IF(Inputs!$B$44&gt;=5,AVERAGE(Y15:AC15),IF(Inputs!$B$44&gt;=3,AVERAGE(Z15:AB15),AA15))&lt;=0,"",CEILING(IF(Inputs!$B$44&gt;=5,AVERAGE(Y15:AC15),IF(Inputs!$B$44&gt;=3,AVERAGE(Z15:AB15),AA15)),Inputs!$B$45)))</f>
        <v>1.5</v>
      </c>
      <c r="AB29" s="82" t="n">
        <f aca="false">IF(AB$4="","",IF(IF(Inputs!$B$44&gt;=5,AVERAGE(Z15:AD15),IF(Inputs!$B$44&gt;=3,AVERAGE(AA15:AC15),AB15))&lt;=0,"",CEILING(IF(Inputs!$B$44&gt;=5,AVERAGE(Z15:AD15),IF(Inputs!$B$44&gt;=3,AVERAGE(AA15:AC15),AB15)),Inputs!$B$45)))</f>
        <v>1</v>
      </c>
      <c r="AC29" s="82" t="n">
        <f aca="false">IF(AC$4="","",IF(IF(Inputs!$B$44&gt;=5,AVERAGE(AA15:AE15),IF(Inputs!$B$44&gt;=3,AVERAGE(AB15:AD15),AC15))&lt;=0,"",CEILING(IF(Inputs!$B$44&gt;=5,AVERAGE(AA15:AE15),IF(Inputs!$B$44&gt;=3,AVERAGE(AB15:AD15),AC15)),Inputs!$B$45)))</f>
        <v>1</v>
      </c>
      <c r="AD29" s="82" t="n">
        <f aca="false">IF(AD$4="","",IF(IF(Inputs!$B$44&gt;=5,AVERAGE(AB15:AF15),IF(Inputs!$B$44&gt;=3,AVERAGE(AC15:AE15),AD15))&lt;=0,"",CEILING(IF(Inputs!$B$44&gt;=5,AVERAGE(AB15:AF15),IF(Inputs!$B$44&gt;=3,AVERAGE(AC15:AE15),AD15)),Inputs!$B$45)))</f>
        <v>1</v>
      </c>
      <c r="AE29" s="82" t="n">
        <f aca="false">IF(AE$4="","",IF(IF(Inputs!$B$44&gt;=5,AVERAGE(AC15:AG15),IF(Inputs!$B$44&gt;=3,AVERAGE(AD15:AF15),AE15))&lt;=0,"",CEILING(IF(Inputs!$B$44&gt;=5,AVERAGE(AC15:AG15),IF(Inputs!$B$44&gt;=3,AVERAGE(AD15:AF15),AE15)),Inputs!$B$45)))</f>
        <v>1</v>
      </c>
      <c r="AF29" s="82" t="n">
        <f aca="false">IF(AF$4="","",IF(IF(Inputs!$B$44&gt;=5,AVERAGE(AD15:AH15),IF(Inputs!$B$44&gt;=3,AVERAGE(AE15:AG15),AF15))&lt;=0,"",CEILING(IF(Inputs!$B$44&gt;=5,AVERAGE(AD15:AH15),IF(Inputs!$B$44&gt;=3,AVERAGE(AE15:AG15),AF15)),Inputs!$B$45)))</f>
        <v>1</v>
      </c>
      <c r="AG29" s="82" t="n">
        <f aca="false">IF(AG$4="","",IF(IF(Inputs!$B$44&gt;=5,AVERAGE(AE15:AI15),IF(Inputs!$B$44&gt;=3,AVERAGE(AF15:AH15),AG15))&lt;=0,"",CEILING(IF(Inputs!$B$44&gt;=5,AVERAGE(AE15:AI15),IF(Inputs!$B$44&gt;=3,AVERAGE(AF15:AH15),AG15)),Inputs!$B$45)))</f>
        <v>1</v>
      </c>
      <c r="AH29" s="82" t="n">
        <f aca="false">IF(AH$4="","",IF(IF(Inputs!$B$44&gt;=5,AVERAGE(AF15:AJ15),IF(Inputs!$B$44&gt;=3,AVERAGE(AG15:AI15),AH15))&lt;=0,"",CEILING(IF(Inputs!$B$44&gt;=5,AVERAGE(AF15:AJ15),IF(Inputs!$B$44&gt;=3,AVERAGE(AG15:AI15),AH15)),Inputs!$B$45)))</f>
        <v>1</v>
      </c>
      <c r="AI29" s="82" t="n">
        <f aca="false">IF(AI$4="","",IF(IF(Inputs!$B$44&gt;=5,AVERAGE(AG15:AK15),IF(Inputs!$B$44&gt;=3,AVERAGE(AH15:AJ15),AI15))&lt;=0,"",CEILING(IF(Inputs!$B$44&gt;=5,AVERAGE(AG15:AK15),IF(Inputs!$B$44&gt;=3,AVERAGE(AH15:AJ15),AI15)),Inputs!$B$45)))</f>
        <v>0.5</v>
      </c>
      <c r="AJ29" s="82" t="n">
        <f aca="false">IF(AJ$4="","",IF(IF(Inputs!$B$44&gt;=5,AVERAGE(AH15:AL15),IF(Inputs!$B$44&gt;=3,AVERAGE(AI15:AK15),AJ15))&lt;=0,"",CEILING(IF(Inputs!$B$44&gt;=5,AVERAGE(AH15:AL15),IF(Inputs!$B$44&gt;=3,AVERAGE(AI15:AK15),AJ15)),Inputs!$B$45)))</f>
        <v>0.5</v>
      </c>
      <c r="AK29" s="82" t="n">
        <f aca="false">IF(AK$4="","",IF(IF(Inputs!$B$44&gt;=5,AVERAGE(AI15:AM15),IF(Inputs!$B$44&gt;=3,AVERAGE(AJ15:AL15),AK15))&lt;=0,"",CEILING(IF(Inputs!$B$44&gt;=5,AVERAGE(AI15:AM15),IF(Inputs!$B$44&gt;=3,AVERAGE(AJ15:AL15),AK15)),Inputs!$B$45)))</f>
        <v>0.5</v>
      </c>
      <c r="AL29" s="82" t="n">
        <f aca="false">IF(AL$4="","",IF(IF(Inputs!$B$44&gt;=5,AVERAGE(AJ15:AN15),IF(Inputs!$B$44&gt;=3,AVERAGE(AK15:AM15),AL15))&lt;=0,"",CEILING(IF(Inputs!$B$44&gt;=5,AVERAGE(AJ15:AN15),IF(Inputs!$B$44&gt;=3,AVERAGE(AK15:AM15),AL15)),Inputs!$B$45)))</f>
        <v>0.5</v>
      </c>
      <c r="AM29" s="82" t="str">
        <f aca="false">IF(AM$4="","",IF(IF(Inputs!$B$44&gt;=5,AVERAGE(AK15:AO15),IF(Inputs!$B$44&gt;=3,AVERAGE(AL15:AN15),AM15))&lt;=0,"",CEILING(IF(Inputs!$B$44&gt;=5,AVERAGE(AK15:AO15),IF(Inputs!$B$44&gt;=3,AVERAGE(AL15:AN15),AM15)),Inputs!$B$45)))</f>
        <v/>
      </c>
      <c r="AN29" s="82" t="str">
        <f aca="false">IF(AN$4="","",IF(IF(Inputs!$B$44&gt;=5,AVERAGE(AL15:AP15),IF(Inputs!$B$44&gt;=3,AVERAGE(AM15:AO15),AN15))&lt;=0,"",CEILING(IF(Inputs!$B$44&gt;=5,AVERAGE(AL15:AP15),IF(Inputs!$B$44&gt;=3,AVERAGE(AM15:AO15),AN15)),Inputs!$B$45)))</f>
        <v/>
      </c>
      <c r="AO29" s="82" t="str">
        <f aca="false">IF(AO$4="","",IF(IF(Inputs!$B$44&gt;=5,AVERAGE(AM15:AQ15),IF(Inputs!$B$44&gt;=3,AVERAGE(AN15:AP15),AO15))&lt;=0,"",CEILING(IF(Inputs!$B$44&gt;=5,AVERAGE(AM15:AQ15),IF(Inputs!$B$44&gt;=3,AVERAGE(AN15:AP15),AO15)),Inputs!$B$45)))</f>
        <v/>
      </c>
      <c r="AP29" s="82" t="str">
        <f aca="false">IF(AP$4="","",IF(IF(Inputs!$B$44&gt;=5,AVERAGE(AN15:AR15),IF(Inputs!$B$44&gt;=3,AVERAGE(AO15:AQ15),AP15))&lt;=0,"",CEILING(IF(Inputs!$B$44&gt;=5,AVERAGE(AN15:AR15),IF(Inputs!$B$44&gt;=3,AVERAGE(AO15:AQ15),AP15)),Inputs!$B$45)))</f>
        <v/>
      </c>
      <c r="AQ29" s="82" t="str">
        <f aca="false">IF(AQ$4="","",IF(IF(Inputs!$B$44&gt;=5,AVERAGE(AO15:AS15),IF(Inputs!$B$44&gt;=3,AVERAGE(AP15:AR15),AQ15))&lt;=0,"",CEILING(IF(Inputs!$B$44&gt;=5,AVERAGE(AO15:AS15),IF(Inputs!$B$44&gt;=3,AVERAGE(AP15:AR15),AQ15)),Inputs!$B$45)))</f>
        <v/>
      </c>
      <c r="AR29" s="82" t="str">
        <f aca="false">IF(AR$4="","",IF(IF(Inputs!$B$44&gt;=5,AVERAGE(AP15:AT15),IF(Inputs!$B$44&gt;=3,AVERAGE(AQ15:AS15),AR15))&lt;=0,"",CEILING(IF(Inputs!$B$44&gt;=5,AVERAGE(AP15:AT15),IF(Inputs!$B$44&gt;=3,AVERAGE(AQ15:AS15),AR15)),Inputs!$B$45)))</f>
        <v/>
      </c>
      <c r="AS29" s="82" t="str">
        <f aca="false">IF(AS$4="","",IF(IF(Inputs!$B$44&gt;=5,AVERAGE(AQ15:AU15),IF(Inputs!$B$44&gt;=3,AVERAGE(AR15:AT15),AS15))&lt;=0,"",CEILING(IF(Inputs!$B$44&gt;=5,AVERAGE(AQ15:AU15),IF(Inputs!$B$44&gt;=3,AVERAGE(AR15:AT15),AS15)),Inputs!$B$45)))</f>
        <v/>
      </c>
      <c r="AT29" s="82" t="str">
        <f aca="false">IF(AT$4="","",IF(IF(Inputs!$B$44&gt;=5,AVERAGE(AR15:AV15),IF(Inputs!$B$44&gt;=3,AVERAGE(AS15:AU15),AT15))&lt;=0,"",CEILING(IF(Inputs!$B$44&gt;=5,AVERAGE(AR15:AV15),IF(Inputs!$B$44&gt;=3,AVERAGE(AS15:AU15),AT15)),Inputs!$B$45)))</f>
        <v/>
      </c>
      <c r="AU29" s="82" t="str">
        <f aca="false">IF(AU$4="","",IF(IF(Inputs!$B$44&gt;=5,AVERAGE(AS15:AW15),IF(Inputs!$B$44&gt;=3,AVERAGE(AT15:AV15),AU15))&lt;=0,"",CEILING(IF(Inputs!$B$44&gt;=5,AVERAGE(AS15:AW15),IF(Inputs!$B$44&gt;=3,AVERAGE(AT15:AV15),AU15)),Inputs!$B$45)))</f>
        <v/>
      </c>
      <c r="AV29" s="82" t="str">
        <f aca="false">IF(AV$4="","",IF(IF(Inputs!$B$44&gt;=5,AVERAGE(AT15:AX15),IF(Inputs!$B$44&gt;=3,AVERAGE(AU15:AW15),AV15))&lt;=0,"",CEILING(IF(Inputs!$B$44&gt;=5,AVERAGE(AT15:AX15),IF(Inputs!$B$44&gt;=3,AVERAGE(AU15:AW15),AV15)),Inputs!$B$45)))</f>
        <v/>
      </c>
      <c r="AW29" s="82" t="str">
        <f aca="false">IF(AW$4="","",IF(IF(Inputs!$B$44&gt;=5,AVERAGE(AU15:AY15),IF(Inputs!$B$44&gt;=3,AVERAGE(AV15:AX15),AW15))&lt;=0,"",CEILING(IF(Inputs!$B$44&gt;=5,AVERAGE(AU15:AY15),IF(Inputs!$B$44&gt;=3,AVERAGE(AV15:AX15),AW15)),Inputs!$B$45)))</f>
        <v/>
      </c>
      <c r="AX29" s="82" t="str">
        <f aca="false">IF(AX$4="","",IF(IF(Inputs!$B$44&gt;=5,AVERAGE(AV15:AZ15),IF(Inputs!$B$44&gt;=3,AVERAGE(AW15:AY15),AX15))&lt;=0,"",CEILING(IF(Inputs!$B$44&gt;=5,AVERAGE(AV15:AZ15),IF(Inputs!$B$44&gt;=3,AVERAGE(AW15:AY15),AX15)),Inputs!$B$45)))</f>
        <v/>
      </c>
      <c r="AY29" s="82" t="str">
        <f aca="false">IF(AY$4="","",IF(IF(Inputs!$B$44&gt;=5,AVERAGE(AW15:BA15),IF(Inputs!$B$44&gt;=3,AVERAGE(AX15:AZ15),AY15))&lt;=0,"",CEILING(IF(Inputs!$B$44&gt;=5,AVERAGE(AW15:BA15),IF(Inputs!$B$44&gt;=3,AVERAGE(AX15:AZ15),AY15)),Inputs!$B$45)))</f>
        <v/>
      </c>
      <c r="AZ29" s="82" t="str">
        <f aca="false">IF(AZ$4="","",IF(IF(Inputs!$B$44&gt;=5,AVERAGE(AX15:BB15),IF(Inputs!$B$44&gt;=3,AVERAGE(AY15:BA15),AZ15))&lt;=0,"",CEILING(IF(Inputs!$B$44&gt;=5,AVERAGE(AX15:BB15),IF(Inputs!$B$44&gt;=3,AVERAGE(AY15:BA15),AZ15)),Inputs!$B$45)))</f>
        <v/>
      </c>
      <c r="BA29" s="82" t="str">
        <f aca="false">IF(BA$4="","",IF(IF(Inputs!$B$44&gt;=5,AVERAGE(AY15:BC15),IF(Inputs!$B$44&gt;=3,AVERAGE(AZ15:BB15),BA15))&lt;=0,"",CEILING(IF(Inputs!$B$44&gt;=5,AVERAGE(AY15:BC15),IF(Inputs!$B$44&gt;=3,AVERAGE(AZ15:BB15),BA15)),Inputs!$B$45)))</f>
        <v/>
      </c>
      <c r="BB29" s="82" t="str">
        <f aca="false">IF(BB$4="","",IF(IF(Inputs!$B$44&gt;=5,AVERAGE(AZ15:BD15),IF(Inputs!$B$44&gt;=3,AVERAGE(BA15:BC15),BB15))&lt;=0,"",CEILING(IF(Inputs!$B$44&gt;=5,AVERAGE(AZ15:BD15),IF(Inputs!$B$44&gt;=3,AVERAGE(BA15:BC15),BB15)),Inputs!$B$45)))</f>
        <v/>
      </c>
      <c r="BC29" s="82" t="str">
        <f aca="false">IF(BC$4="","",IF(IF(Inputs!$B$44&gt;=5,AVERAGE(BA15:BE15),IF(Inputs!$B$44&gt;=3,AVERAGE(BB15:BD15),BC15))&lt;=0,"",CEILING(IF(Inputs!$B$44&gt;=5,AVERAGE(BA15:BE15),IF(Inputs!$B$44&gt;=3,AVERAGE(BB15:BD15),BC15)),Inputs!$B$45)))</f>
        <v/>
      </c>
      <c r="BD29" s="82" t="str">
        <f aca="false">IF(BD$4="","",IF(IF(Inputs!$B$44&gt;=5,AVERAGE(BB15:BF15),IF(Inputs!$B$44&gt;=3,AVERAGE(BC15:BE15),BD15))&lt;=0,"",CEILING(IF(Inputs!$B$44&gt;=5,AVERAGE(BB15:BF15),IF(Inputs!$B$44&gt;=3,AVERAGE(BC15:BE15),BD15)),Inputs!$B$45)))</f>
        <v/>
      </c>
      <c r="BE29" s="82" t="str">
        <f aca="false">IF(BE$4="","",IF(IF(Inputs!$B$44&gt;=5,AVERAGE(BC15:BG15),IF(Inputs!$B$44&gt;=3,AVERAGE(BD15:BF15),BE15))&lt;=0,"",CEILING(IF(Inputs!$B$44&gt;=5,AVERAGE(BC15:BG15),IF(Inputs!$B$44&gt;=3,AVERAGE(BD15:BF15),BE15)),Inputs!$B$45)))</f>
        <v/>
      </c>
      <c r="BF29" s="82" t="str">
        <f aca="false">IF(BF$4="","",IF(IF(Inputs!$B$44&gt;=5,AVERAGE(BD15:BH15),IF(Inputs!$B$44&gt;=3,AVERAGE(BE15:BG15),BF15))&lt;=0,"",CEILING(IF(Inputs!$B$44&gt;=5,AVERAGE(BD15:BH15),IF(Inputs!$B$44&gt;=3,AVERAGE(BE15:BG15),BF15)),Inputs!$B$45)))</f>
        <v/>
      </c>
      <c r="BG29" s="82" t="str">
        <f aca="false">IF(BG$4="","",IF(IF(Inputs!$B$44&gt;=5,AVERAGE(BE15:BI15),IF(Inputs!$B$44&gt;=3,AVERAGE(BF15:BH15),BG15))&lt;=0,"",CEILING(IF(Inputs!$B$44&gt;=5,AVERAGE(BE15:BI15),IF(Inputs!$B$44&gt;=3,AVERAGE(BF15:BH15),BG15)),Inputs!$B$45)))</f>
        <v/>
      </c>
      <c r="BH29" s="82" t="str">
        <f aca="false">IF(BH$4="","",IF(IF(Inputs!$B$44&gt;=5,AVERAGE(BF15:BJ15),IF(Inputs!$B$44&gt;=3,AVERAGE(BG15:BI15),BH15))&lt;=0,"",CEILING(IF(Inputs!$B$44&gt;=5,AVERAGE(BF15:BJ15),IF(Inputs!$B$44&gt;=3,AVERAGE(BG15:BI15),BH15)),Inputs!$B$45)))</f>
        <v/>
      </c>
      <c r="BI29" s="82" t="str">
        <f aca="false">IF(BI$4="","",IF(IF(Inputs!$B$44&gt;=5,AVERAGE(BG15:BK15),IF(Inputs!$B$44&gt;=3,AVERAGE(BH15:BJ15),BI15))&lt;=0,"",CEILING(IF(Inputs!$B$44&gt;=5,AVERAGE(BG15:BK15),IF(Inputs!$B$44&gt;=3,AVERAGE(BH15:BJ15),BI15)),Inputs!$B$45)))</f>
        <v/>
      </c>
      <c r="BJ29" s="82" t="str">
        <f aca="false">IF(BJ$4="","",IF(IF(Inputs!$B$44&gt;=5,AVERAGE(BH15:BL15),IF(Inputs!$B$44&gt;=3,AVERAGE(BI15:BK15),BJ15))&lt;=0,"",CEILING(IF(Inputs!$B$44&gt;=5,AVERAGE(BH15:BL15),IF(Inputs!$B$44&gt;=3,AVERAGE(BI15:BK15),BJ15)),Inputs!$B$45)))</f>
        <v/>
      </c>
      <c r="BK29" s="82" t="str">
        <f aca="false">IF(BK$4="","",IF(IF(Inputs!$B$44&gt;=5,AVERAGE(BI15:BM15),IF(Inputs!$B$44&gt;=3,AVERAGE(BJ15:BL15),BK15))&lt;=0,"",CEILING(IF(Inputs!$B$44&gt;=5,AVERAGE(BI15:BM15),IF(Inputs!$B$44&gt;=3,AVERAGE(BJ15:BL15),BK15)),Inputs!$B$45)))</f>
        <v/>
      </c>
      <c r="BL29" s="82" t="str">
        <f aca="false">IF(BL$4="","",IF(IF(Inputs!$B$44&gt;=5,AVERAGE(BJ15:BN15),IF(Inputs!$B$44&gt;=3,AVERAGE(BK15:BM15),BL15))&lt;=0,"",CEILING(IF(Inputs!$B$44&gt;=5,AVERAGE(BJ15:BN15),IF(Inputs!$B$44&gt;=3,AVERAGE(BK15:BM15),BL15)),Inputs!$B$45)))</f>
        <v/>
      </c>
      <c r="BM29" s="82" t="str">
        <f aca="false">IF(BM$4="","",IF(IF(Inputs!$B$44&gt;=5,AVERAGE(BK15:BO15),IF(Inputs!$B$44&gt;=3,AVERAGE(BL15:BN15),BM15))&lt;=0,"",CEILING(IF(Inputs!$B$44&gt;=5,AVERAGE(BK15:BO15),IF(Inputs!$B$44&gt;=3,AVERAGE(BL15:BN15),BM15)),Inputs!$B$45)))</f>
        <v/>
      </c>
      <c r="BN29" s="82" t="str">
        <f aca="false">IF(BN$4="","",IF(IF(Inputs!$B$44&gt;=5,AVERAGE(BL15:BP15),IF(Inputs!$B$44&gt;=3,AVERAGE(BM15:BO15),BN15))&lt;=0,"",CEILING(IF(Inputs!$B$44&gt;=5,AVERAGE(BL15:BP15),IF(Inputs!$B$44&gt;=3,AVERAGE(BM15:BO15),BN15)),Inputs!$B$45)))</f>
        <v/>
      </c>
      <c r="BO29" s="82" t="str">
        <f aca="false">IF(BO$4="","",IF(IF(Inputs!$B$44&gt;=5,AVERAGE(BM15:BQ15),IF(Inputs!$B$44&gt;=3,AVERAGE(BN15:BP15),BO15))&lt;=0,"",CEILING(IF(Inputs!$B$44&gt;=5,AVERAGE(BM15:BQ15),IF(Inputs!$B$44&gt;=3,AVERAGE(BN15:BP15),BO15)),Inputs!$B$45)))</f>
        <v/>
      </c>
      <c r="BP29" s="82" t="str">
        <f aca="false">IF(BP$4="","",IF(IF(Inputs!$B$44&gt;=5,AVERAGE(BN15:BR15),IF(Inputs!$B$44&gt;=3,AVERAGE(BO15:BQ15),BP15))&lt;=0,"",CEILING(IF(Inputs!$B$44&gt;=5,AVERAGE(BN15:BR15),IF(Inputs!$B$44&gt;=3,AVERAGE(BO15:BQ15),BP15)),Inputs!$B$45)))</f>
        <v/>
      </c>
      <c r="BQ29" s="82" t="str">
        <f aca="false">IF(BQ$4="","",IF(IF(Inputs!$B$44&gt;=5,AVERAGE(BO15:BS15),IF(Inputs!$B$44&gt;=3,AVERAGE(BP15:BR15),BQ15))&lt;=0,"",CEILING(IF(Inputs!$B$44&gt;=5,AVERAGE(BO15:BS15),IF(Inputs!$B$44&gt;=3,AVERAGE(BP15:BR15),BQ15)),Inputs!$B$45)))</f>
        <v/>
      </c>
      <c r="BR29" s="82" t="str">
        <f aca="false">IF(BR$4="","",IF(IF(Inputs!$B$44&gt;=5,AVERAGE(BP15:BT15),IF(Inputs!$B$44&gt;=3,AVERAGE(BQ15:BS15),BR15))&lt;=0,"",CEILING(IF(Inputs!$B$44&gt;=5,AVERAGE(BP15:BT15),IF(Inputs!$B$44&gt;=3,AVERAGE(BQ15:BS15),BR15)),Inputs!$B$45)))</f>
        <v/>
      </c>
      <c r="BS29" s="82" t="str">
        <f aca="false">IF(BS$4="","",IF(IF(Inputs!$B$44&gt;=5,AVERAGE(BQ15:BU15),IF(Inputs!$B$44&gt;=3,AVERAGE(BR15:BT15),BS15))&lt;=0,"",CEILING(IF(Inputs!$B$44&gt;=5,AVERAGE(BQ15:BU15),IF(Inputs!$B$44&gt;=3,AVERAGE(BR15:BT15),BS15)),Inputs!$B$45)))</f>
        <v/>
      </c>
      <c r="BT29" s="82" t="str">
        <f aca="false">IF(BT$4="","",IF(IF(Inputs!$B$44&gt;=5,AVERAGE(BR15:BV15),IF(Inputs!$B$44&gt;=3,AVERAGE(BS15:BU15),BT15))&lt;=0,"",CEILING(IF(Inputs!$B$44&gt;=5,AVERAGE(BR15:BV15),IF(Inputs!$B$44&gt;=3,AVERAGE(BS15:BU15),BT15)),Inputs!$B$45)))</f>
        <v/>
      </c>
      <c r="BU29" s="82" t="str">
        <f aca="false">IF(BU$4="","",IF(IF(Inputs!$B$44&gt;=5,AVERAGE(BS15:BV15),IF(Inputs!$B$44&gt;=3,AVERAGE(BT15:BV15),BU15))&lt;=0,"",CEILING(IF(Inputs!$B$44&gt;=5,AVERAGE(BS15:BV15),IF(Inputs!$B$44&gt;=3,AVERAGE(BT15:BV15),BU15)),Inputs!$B$45)))</f>
        <v/>
      </c>
      <c r="BV29" s="82" t="str">
        <f aca="false">IF(BV$4="","",IF(IF(Inputs!$B$44&gt;=5,AVERAGE(BT15:BV15),IF(Inputs!$B$44&gt;=3,AVERAGE(BU15:BV15),BV15))&lt;=0,"",CEILING(IF(Inputs!$B$44&gt;=5,AVERAGE(BT15:BV15),IF(Inputs!$B$44&gt;=3,AVERAGE(BU15:BV15),BV15)),Inputs!$B$45)))</f>
        <v/>
      </c>
    </row>
    <row r="30" customFormat="false" ht="15" hidden="false" customHeight="false" outlineLevel="0" collapsed="false">
      <c r="A30" s="61" t="str">
        <f aca="false">$A$8</f>
        <v>Software Safety Engineer</v>
      </c>
      <c r="B30" s="81" t="n">
        <f aca="false">MAX(C30:BV30)</f>
        <v>0.5</v>
      </c>
      <c r="C30" s="82" t="str">
        <f aca="false">IF(C$4="","",IF(IF(Inputs!$B$44&gt;=5,AVERAGE(C16:E16),IF(Inputs!$B$44&gt;=3,AVERAGE(C16:D16),C16))&lt;=0,"",CEILING(IF(Inputs!$B$44&gt;=5,AVERAGE(C16:E16),IF(Inputs!$B$44&gt;=3,AVERAGE(C16:D16),C16)),Inputs!$B$45)))</f>
        <v/>
      </c>
      <c r="D30" s="82" t="str">
        <f aca="false">IF(D$4="","",IF(IF(Inputs!$B$44&gt;=5,AVERAGE(C16:F16),IF(Inputs!$B$44&gt;=3,AVERAGE(C16:E16),D16))&lt;=0,"",CEILING(IF(Inputs!$B$44&gt;=5,AVERAGE(C16:F16),IF(Inputs!$B$44&gt;=3,AVERAGE(C16:E16),D16)),Inputs!$B$45)))</f>
        <v/>
      </c>
      <c r="E30" s="82" t="n">
        <f aca="false">IF(E$4="","",IF(IF(Inputs!$B$44&gt;=5,AVERAGE(C16:G16),IF(Inputs!$B$44&gt;=3,AVERAGE(D16:F16),E16))&lt;=0,"",CEILING(IF(Inputs!$B$44&gt;=5,AVERAGE(C16:G16),IF(Inputs!$B$44&gt;=3,AVERAGE(D16:F16),E16)),Inputs!$B$45)))</f>
        <v>0.5</v>
      </c>
      <c r="F30" s="82" t="n">
        <f aca="false">IF(F$4="","",IF(IF(Inputs!$B$44&gt;=5,AVERAGE(D16:H16),IF(Inputs!$B$44&gt;=3,AVERAGE(E16:G16),F16))&lt;=0,"",CEILING(IF(Inputs!$B$44&gt;=5,AVERAGE(D16:H16),IF(Inputs!$B$44&gt;=3,AVERAGE(E16:G16),F16)),Inputs!$B$45)))</f>
        <v>0.5</v>
      </c>
      <c r="G30" s="82" t="n">
        <f aca="false">IF(G$4="","",IF(IF(Inputs!$B$44&gt;=5,AVERAGE(E16:I16),IF(Inputs!$B$44&gt;=3,AVERAGE(F16:H16),G16))&lt;=0,"",CEILING(IF(Inputs!$B$44&gt;=5,AVERAGE(E16:I16),IF(Inputs!$B$44&gt;=3,AVERAGE(F16:H16),G16)),Inputs!$B$45)))</f>
        <v>0.5</v>
      </c>
      <c r="H30" s="82" t="n">
        <f aca="false">IF(H$4="","",IF(IF(Inputs!$B$44&gt;=5,AVERAGE(F16:J16),IF(Inputs!$B$44&gt;=3,AVERAGE(G16:I16),H16))&lt;=0,"",CEILING(IF(Inputs!$B$44&gt;=5,AVERAGE(F16:J16),IF(Inputs!$B$44&gt;=3,AVERAGE(G16:I16),H16)),Inputs!$B$45)))</f>
        <v>0.5</v>
      </c>
      <c r="I30" s="82" t="n">
        <f aca="false">IF(I$4="","",IF(IF(Inputs!$B$44&gt;=5,AVERAGE(G16:K16),IF(Inputs!$B$44&gt;=3,AVERAGE(H16:J16),I16))&lt;=0,"",CEILING(IF(Inputs!$B$44&gt;=5,AVERAGE(G16:K16),IF(Inputs!$B$44&gt;=3,AVERAGE(H16:J16),I16)),Inputs!$B$45)))</f>
        <v>0.5</v>
      </c>
      <c r="J30" s="82" t="n">
        <f aca="false">IF(J$4="","",IF(IF(Inputs!$B$44&gt;=5,AVERAGE(H16:L16),IF(Inputs!$B$44&gt;=3,AVERAGE(I16:K16),J16))&lt;=0,"",CEILING(IF(Inputs!$B$44&gt;=5,AVERAGE(H16:L16),IF(Inputs!$B$44&gt;=3,AVERAGE(I16:K16),J16)),Inputs!$B$45)))</f>
        <v>0.5</v>
      </c>
      <c r="K30" s="82" t="n">
        <f aca="false">IF(K$4="","",IF(IF(Inputs!$B$44&gt;=5,AVERAGE(I16:M16),IF(Inputs!$B$44&gt;=3,AVERAGE(J16:L16),K16))&lt;=0,"",CEILING(IF(Inputs!$B$44&gt;=5,AVERAGE(I16:M16),IF(Inputs!$B$44&gt;=3,AVERAGE(J16:L16),K16)),Inputs!$B$45)))</f>
        <v>0.5</v>
      </c>
      <c r="L30" s="82" t="n">
        <f aca="false">IF(L$4="","",IF(IF(Inputs!$B$44&gt;=5,AVERAGE(J16:N16),IF(Inputs!$B$44&gt;=3,AVERAGE(K16:M16),L16))&lt;=0,"",CEILING(IF(Inputs!$B$44&gt;=5,AVERAGE(J16:N16),IF(Inputs!$B$44&gt;=3,AVERAGE(K16:M16),L16)),Inputs!$B$45)))</f>
        <v>0.5</v>
      </c>
      <c r="M30" s="82" t="n">
        <f aca="false">IF(M$4="","",IF(IF(Inputs!$B$44&gt;=5,AVERAGE(K16:O16),IF(Inputs!$B$44&gt;=3,AVERAGE(L16:N16),M16))&lt;=0,"",CEILING(IF(Inputs!$B$44&gt;=5,AVERAGE(K16:O16),IF(Inputs!$B$44&gt;=3,AVERAGE(L16:N16),M16)),Inputs!$B$45)))</f>
        <v>0.5</v>
      </c>
      <c r="N30" s="82" t="n">
        <f aca="false">IF(N$4="","",IF(IF(Inputs!$B$44&gt;=5,AVERAGE(L16:P16),IF(Inputs!$B$44&gt;=3,AVERAGE(M16:O16),N16))&lt;=0,"",CEILING(IF(Inputs!$B$44&gt;=5,AVERAGE(L16:P16),IF(Inputs!$B$44&gt;=3,AVERAGE(M16:O16),N16)),Inputs!$B$45)))</f>
        <v>0.5</v>
      </c>
      <c r="O30" s="82" t="n">
        <f aca="false">IF(O$4="","",IF(IF(Inputs!$B$44&gt;=5,AVERAGE(M16:Q16),IF(Inputs!$B$44&gt;=3,AVERAGE(N16:P16),O16))&lt;=0,"",CEILING(IF(Inputs!$B$44&gt;=5,AVERAGE(M16:Q16),IF(Inputs!$B$44&gt;=3,AVERAGE(N16:P16),O16)),Inputs!$B$45)))</f>
        <v>0.5</v>
      </c>
      <c r="P30" s="82" t="n">
        <f aca="false">IF(P$4="","",IF(IF(Inputs!$B$44&gt;=5,AVERAGE(N16:R16),IF(Inputs!$B$44&gt;=3,AVERAGE(O16:Q16),P16))&lt;=0,"",CEILING(IF(Inputs!$B$44&gt;=5,AVERAGE(N16:R16),IF(Inputs!$B$44&gt;=3,AVERAGE(O16:Q16),P16)),Inputs!$B$45)))</f>
        <v>0.5</v>
      </c>
      <c r="Q30" s="82" t="n">
        <f aca="false">IF(Q$4="","",IF(IF(Inputs!$B$44&gt;=5,AVERAGE(O16:S16),IF(Inputs!$B$44&gt;=3,AVERAGE(P16:R16),Q16))&lt;=0,"",CEILING(IF(Inputs!$B$44&gt;=5,AVERAGE(O16:S16),IF(Inputs!$B$44&gt;=3,AVERAGE(P16:R16),Q16)),Inputs!$B$45)))</f>
        <v>0.5</v>
      </c>
      <c r="R30" s="82" t="n">
        <f aca="false">IF(R$4="","",IF(IF(Inputs!$B$44&gt;=5,AVERAGE(P16:T16),IF(Inputs!$B$44&gt;=3,AVERAGE(Q16:S16),R16))&lt;=0,"",CEILING(IF(Inputs!$B$44&gt;=5,AVERAGE(P16:T16),IF(Inputs!$B$44&gt;=3,AVERAGE(Q16:S16),R16)),Inputs!$B$45)))</f>
        <v>0.5</v>
      </c>
      <c r="S30" s="82" t="n">
        <f aca="false">IF(S$4="","",IF(IF(Inputs!$B$44&gt;=5,AVERAGE(Q16:U16),IF(Inputs!$B$44&gt;=3,AVERAGE(R16:T16),S16))&lt;=0,"",CEILING(IF(Inputs!$B$44&gt;=5,AVERAGE(Q16:U16),IF(Inputs!$B$44&gt;=3,AVERAGE(R16:T16),S16)),Inputs!$B$45)))</f>
        <v>0.5</v>
      </c>
      <c r="T30" s="82" t="n">
        <f aca="false">IF(T$4="","",IF(IF(Inputs!$B$44&gt;=5,AVERAGE(R16:V16),IF(Inputs!$B$44&gt;=3,AVERAGE(S16:U16),T16))&lt;=0,"",CEILING(IF(Inputs!$B$44&gt;=5,AVERAGE(R16:V16),IF(Inputs!$B$44&gt;=3,AVERAGE(S16:U16),T16)),Inputs!$B$45)))</f>
        <v>0.5</v>
      </c>
      <c r="U30" s="82" t="n">
        <f aca="false">IF(U$4="","",IF(IF(Inputs!$B$44&gt;=5,AVERAGE(S16:W16),IF(Inputs!$B$44&gt;=3,AVERAGE(T16:V16),U16))&lt;=0,"",CEILING(IF(Inputs!$B$44&gt;=5,AVERAGE(S16:W16),IF(Inputs!$B$44&gt;=3,AVERAGE(T16:V16),U16)),Inputs!$B$45)))</f>
        <v>0.5</v>
      </c>
      <c r="V30" s="82" t="n">
        <f aca="false">IF(V$4="","",IF(IF(Inputs!$B$44&gt;=5,AVERAGE(T16:X16),IF(Inputs!$B$44&gt;=3,AVERAGE(U16:W16),V16))&lt;=0,"",CEILING(IF(Inputs!$B$44&gt;=5,AVERAGE(T16:X16),IF(Inputs!$B$44&gt;=3,AVERAGE(U16:W16),V16)),Inputs!$B$45)))</f>
        <v>0.5</v>
      </c>
      <c r="W30" s="82" t="n">
        <f aca="false">IF(W$4="","",IF(IF(Inputs!$B$44&gt;=5,AVERAGE(U16:Y16),IF(Inputs!$B$44&gt;=3,AVERAGE(V16:X16),W16))&lt;=0,"",CEILING(IF(Inputs!$B$44&gt;=5,AVERAGE(U16:Y16),IF(Inputs!$B$44&gt;=3,AVERAGE(V16:X16),W16)),Inputs!$B$45)))</f>
        <v>0.5</v>
      </c>
      <c r="X30" s="82" t="n">
        <f aca="false">IF(X$4="","",IF(IF(Inputs!$B$44&gt;=5,AVERAGE(V16:Z16),IF(Inputs!$B$44&gt;=3,AVERAGE(W16:Y16),X16))&lt;=0,"",CEILING(IF(Inputs!$B$44&gt;=5,AVERAGE(V16:Z16),IF(Inputs!$B$44&gt;=3,AVERAGE(W16:Y16),X16)),Inputs!$B$45)))</f>
        <v>0.5</v>
      </c>
      <c r="Y30" s="82" t="n">
        <f aca="false">IF(Y$4="","",IF(IF(Inputs!$B$44&gt;=5,AVERAGE(W16:AA16),IF(Inputs!$B$44&gt;=3,AVERAGE(X16:Z16),Y16))&lt;=0,"",CEILING(IF(Inputs!$B$44&gt;=5,AVERAGE(W16:AA16),IF(Inputs!$B$44&gt;=3,AVERAGE(X16:Z16),Y16)),Inputs!$B$45)))</f>
        <v>0.5</v>
      </c>
      <c r="Z30" s="82" t="n">
        <f aca="false">IF(Z$4="","",IF(IF(Inputs!$B$44&gt;=5,AVERAGE(X16:AB16),IF(Inputs!$B$44&gt;=3,AVERAGE(Y16:AA16),Z16))&lt;=0,"",CEILING(IF(Inputs!$B$44&gt;=5,AVERAGE(X16:AB16),IF(Inputs!$B$44&gt;=3,AVERAGE(Y16:AA16),Z16)),Inputs!$B$45)))</f>
        <v>0.5</v>
      </c>
      <c r="AA30" s="82" t="n">
        <f aca="false">IF(AA$4="","",IF(IF(Inputs!$B$44&gt;=5,AVERAGE(Y16:AC16),IF(Inputs!$B$44&gt;=3,AVERAGE(Z16:AB16),AA16))&lt;=0,"",CEILING(IF(Inputs!$B$44&gt;=5,AVERAGE(Y16:AC16),IF(Inputs!$B$44&gt;=3,AVERAGE(Z16:AB16),AA16)),Inputs!$B$45)))</f>
        <v>0.5</v>
      </c>
      <c r="AB30" s="82" t="n">
        <f aca="false">IF(AB$4="","",IF(IF(Inputs!$B$44&gt;=5,AVERAGE(Z16:AD16),IF(Inputs!$B$44&gt;=3,AVERAGE(AA16:AC16),AB16))&lt;=0,"",CEILING(IF(Inputs!$B$44&gt;=5,AVERAGE(Z16:AD16),IF(Inputs!$B$44&gt;=3,AVERAGE(AA16:AC16),AB16)),Inputs!$B$45)))</f>
        <v>0.5</v>
      </c>
      <c r="AC30" s="82" t="str">
        <f aca="false">IF(AC$4="","",IF(IF(Inputs!$B$44&gt;=5,AVERAGE(AA16:AE16),IF(Inputs!$B$44&gt;=3,AVERAGE(AB16:AD16),AC16))&lt;=0,"",CEILING(IF(Inputs!$B$44&gt;=5,AVERAGE(AA16:AE16),IF(Inputs!$B$44&gt;=3,AVERAGE(AB16:AD16),AC16)),Inputs!$B$45)))</f>
        <v/>
      </c>
      <c r="AD30" s="82" t="str">
        <f aca="false">IF(AD$4="","",IF(IF(Inputs!$B$44&gt;=5,AVERAGE(AB16:AF16),IF(Inputs!$B$44&gt;=3,AVERAGE(AC16:AE16),AD16))&lt;=0,"",CEILING(IF(Inputs!$B$44&gt;=5,AVERAGE(AB16:AF16),IF(Inputs!$B$44&gt;=3,AVERAGE(AC16:AE16),AD16)),Inputs!$B$45)))</f>
        <v/>
      </c>
      <c r="AE30" s="82" t="str">
        <f aca="false">IF(AE$4="","",IF(IF(Inputs!$B$44&gt;=5,AVERAGE(AC16:AG16),IF(Inputs!$B$44&gt;=3,AVERAGE(AD16:AF16),AE16))&lt;=0,"",CEILING(IF(Inputs!$B$44&gt;=5,AVERAGE(AC16:AG16),IF(Inputs!$B$44&gt;=3,AVERAGE(AD16:AF16),AE16)),Inputs!$B$45)))</f>
        <v/>
      </c>
      <c r="AF30" s="82" t="str">
        <f aca="false">IF(AF$4="","",IF(IF(Inputs!$B$44&gt;=5,AVERAGE(AD16:AH16),IF(Inputs!$B$44&gt;=3,AVERAGE(AE16:AG16),AF16))&lt;=0,"",CEILING(IF(Inputs!$B$44&gt;=5,AVERAGE(AD16:AH16),IF(Inputs!$B$44&gt;=3,AVERAGE(AE16:AG16),AF16)),Inputs!$B$45)))</f>
        <v/>
      </c>
      <c r="AG30" s="82" t="str">
        <f aca="false">IF(AG$4="","",IF(IF(Inputs!$B$44&gt;=5,AVERAGE(AE16:AI16),IF(Inputs!$B$44&gt;=3,AVERAGE(AF16:AH16),AG16))&lt;=0,"",CEILING(IF(Inputs!$B$44&gt;=5,AVERAGE(AE16:AI16),IF(Inputs!$B$44&gt;=3,AVERAGE(AF16:AH16),AG16)),Inputs!$B$45)))</f>
        <v/>
      </c>
      <c r="AH30" s="82" t="str">
        <f aca="false">IF(AH$4="","",IF(IF(Inputs!$B$44&gt;=5,AVERAGE(AF16:AJ16),IF(Inputs!$B$44&gt;=3,AVERAGE(AG16:AI16),AH16))&lt;=0,"",CEILING(IF(Inputs!$B$44&gt;=5,AVERAGE(AF16:AJ16),IF(Inputs!$B$44&gt;=3,AVERAGE(AG16:AI16),AH16)),Inputs!$B$45)))</f>
        <v/>
      </c>
      <c r="AI30" s="82" t="str">
        <f aca="false">IF(AI$4="","",IF(IF(Inputs!$B$44&gt;=5,AVERAGE(AG16:AK16),IF(Inputs!$B$44&gt;=3,AVERAGE(AH16:AJ16),AI16))&lt;=0,"",CEILING(IF(Inputs!$B$44&gt;=5,AVERAGE(AG16:AK16),IF(Inputs!$B$44&gt;=3,AVERAGE(AH16:AJ16),AI16)),Inputs!$B$45)))</f>
        <v/>
      </c>
      <c r="AJ30" s="82" t="str">
        <f aca="false">IF(AJ$4="","",IF(IF(Inputs!$B$44&gt;=5,AVERAGE(AH16:AL16),IF(Inputs!$B$44&gt;=3,AVERAGE(AI16:AK16),AJ16))&lt;=0,"",CEILING(IF(Inputs!$B$44&gt;=5,AVERAGE(AH16:AL16),IF(Inputs!$B$44&gt;=3,AVERAGE(AI16:AK16),AJ16)),Inputs!$B$45)))</f>
        <v/>
      </c>
      <c r="AK30" s="82" t="str">
        <f aca="false">IF(AK$4="","",IF(IF(Inputs!$B$44&gt;=5,AVERAGE(AI16:AM16),IF(Inputs!$B$44&gt;=3,AVERAGE(AJ16:AL16),AK16))&lt;=0,"",CEILING(IF(Inputs!$B$44&gt;=5,AVERAGE(AI16:AM16),IF(Inputs!$B$44&gt;=3,AVERAGE(AJ16:AL16),AK16)),Inputs!$B$45)))</f>
        <v/>
      </c>
      <c r="AL30" s="82" t="str">
        <f aca="false">IF(AL$4="","",IF(IF(Inputs!$B$44&gt;=5,AVERAGE(AJ16:AN16),IF(Inputs!$B$44&gt;=3,AVERAGE(AK16:AM16),AL16))&lt;=0,"",CEILING(IF(Inputs!$B$44&gt;=5,AVERAGE(AJ16:AN16),IF(Inputs!$B$44&gt;=3,AVERAGE(AK16:AM16),AL16)),Inputs!$B$45)))</f>
        <v/>
      </c>
      <c r="AM30" s="82" t="str">
        <f aca="false">IF(AM$4="","",IF(IF(Inputs!$B$44&gt;=5,AVERAGE(AK16:AO16),IF(Inputs!$B$44&gt;=3,AVERAGE(AL16:AN16),AM16))&lt;=0,"",CEILING(IF(Inputs!$B$44&gt;=5,AVERAGE(AK16:AO16),IF(Inputs!$B$44&gt;=3,AVERAGE(AL16:AN16),AM16)),Inputs!$B$45)))</f>
        <v/>
      </c>
      <c r="AN30" s="82" t="str">
        <f aca="false">IF(AN$4="","",IF(IF(Inputs!$B$44&gt;=5,AVERAGE(AL16:AP16),IF(Inputs!$B$44&gt;=3,AVERAGE(AM16:AO16),AN16))&lt;=0,"",CEILING(IF(Inputs!$B$44&gt;=5,AVERAGE(AL16:AP16),IF(Inputs!$B$44&gt;=3,AVERAGE(AM16:AO16),AN16)),Inputs!$B$45)))</f>
        <v/>
      </c>
      <c r="AO30" s="82" t="str">
        <f aca="false">IF(AO$4="","",IF(IF(Inputs!$B$44&gt;=5,AVERAGE(AM16:AQ16),IF(Inputs!$B$44&gt;=3,AVERAGE(AN16:AP16),AO16))&lt;=0,"",CEILING(IF(Inputs!$B$44&gt;=5,AVERAGE(AM16:AQ16),IF(Inputs!$B$44&gt;=3,AVERAGE(AN16:AP16),AO16)),Inputs!$B$45)))</f>
        <v/>
      </c>
      <c r="AP30" s="82" t="str">
        <f aca="false">IF(AP$4="","",IF(IF(Inputs!$B$44&gt;=5,AVERAGE(AN16:AR16),IF(Inputs!$B$44&gt;=3,AVERAGE(AO16:AQ16),AP16))&lt;=0,"",CEILING(IF(Inputs!$B$44&gt;=5,AVERAGE(AN16:AR16),IF(Inputs!$B$44&gt;=3,AVERAGE(AO16:AQ16),AP16)),Inputs!$B$45)))</f>
        <v/>
      </c>
      <c r="AQ30" s="82" t="str">
        <f aca="false">IF(AQ$4="","",IF(IF(Inputs!$B$44&gt;=5,AVERAGE(AO16:AS16),IF(Inputs!$B$44&gt;=3,AVERAGE(AP16:AR16),AQ16))&lt;=0,"",CEILING(IF(Inputs!$B$44&gt;=5,AVERAGE(AO16:AS16),IF(Inputs!$B$44&gt;=3,AVERAGE(AP16:AR16),AQ16)),Inputs!$B$45)))</f>
        <v/>
      </c>
      <c r="AR30" s="82" t="str">
        <f aca="false">IF(AR$4="","",IF(IF(Inputs!$B$44&gt;=5,AVERAGE(AP16:AT16),IF(Inputs!$B$44&gt;=3,AVERAGE(AQ16:AS16),AR16))&lt;=0,"",CEILING(IF(Inputs!$B$44&gt;=5,AVERAGE(AP16:AT16),IF(Inputs!$B$44&gt;=3,AVERAGE(AQ16:AS16),AR16)),Inputs!$B$45)))</f>
        <v/>
      </c>
      <c r="AS30" s="82" t="str">
        <f aca="false">IF(AS$4="","",IF(IF(Inputs!$B$44&gt;=5,AVERAGE(AQ16:AU16),IF(Inputs!$B$44&gt;=3,AVERAGE(AR16:AT16),AS16))&lt;=0,"",CEILING(IF(Inputs!$B$44&gt;=5,AVERAGE(AQ16:AU16),IF(Inputs!$B$44&gt;=3,AVERAGE(AR16:AT16),AS16)),Inputs!$B$45)))</f>
        <v/>
      </c>
      <c r="AT30" s="82" t="str">
        <f aca="false">IF(AT$4="","",IF(IF(Inputs!$B$44&gt;=5,AVERAGE(AR16:AV16),IF(Inputs!$B$44&gt;=3,AVERAGE(AS16:AU16),AT16))&lt;=0,"",CEILING(IF(Inputs!$B$44&gt;=5,AVERAGE(AR16:AV16),IF(Inputs!$B$44&gt;=3,AVERAGE(AS16:AU16),AT16)),Inputs!$B$45)))</f>
        <v/>
      </c>
      <c r="AU30" s="82" t="str">
        <f aca="false">IF(AU$4="","",IF(IF(Inputs!$B$44&gt;=5,AVERAGE(AS16:AW16),IF(Inputs!$B$44&gt;=3,AVERAGE(AT16:AV16),AU16))&lt;=0,"",CEILING(IF(Inputs!$B$44&gt;=5,AVERAGE(AS16:AW16),IF(Inputs!$B$44&gt;=3,AVERAGE(AT16:AV16),AU16)),Inputs!$B$45)))</f>
        <v/>
      </c>
      <c r="AV30" s="82" t="str">
        <f aca="false">IF(AV$4="","",IF(IF(Inputs!$B$44&gt;=5,AVERAGE(AT16:AX16),IF(Inputs!$B$44&gt;=3,AVERAGE(AU16:AW16),AV16))&lt;=0,"",CEILING(IF(Inputs!$B$44&gt;=5,AVERAGE(AT16:AX16),IF(Inputs!$B$44&gt;=3,AVERAGE(AU16:AW16),AV16)),Inputs!$B$45)))</f>
        <v/>
      </c>
      <c r="AW30" s="82" t="str">
        <f aca="false">IF(AW$4="","",IF(IF(Inputs!$B$44&gt;=5,AVERAGE(AU16:AY16),IF(Inputs!$B$44&gt;=3,AVERAGE(AV16:AX16),AW16))&lt;=0,"",CEILING(IF(Inputs!$B$44&gt;=5,AVERAGE(AU16:AY16),IF(Inputs!$B$44&gt;=3,AVERAGE(AV16:AX16),AW16)),Inputs!$B$45)))</f>
        <v/>
      </c>
      <c r="AX30" s="82" t="str">
        <f aca="false">IF(AX$4="","",IF(IF(Inputs!$B$44&gt;=5,AVERAGE(AV16:AZ16),IF(Inputs!$B$44&gt;=3,AVERAGE(AW16:AY16),AX16))&lt;=0,"",CEILING(IF(Inputs!$B$44&gt;=5,AVERAGE(AV16:AZ16),IF(Inputs!$B$44&gt;=3,AVERAGE(AW16:AY16),AX16)),Inputs!$B$45)))</f>
        <v/>
      </c>
      <c r="AY30" s="82" t="str">
        <f aca="false">IF(AY$4="","",IF(IF(Inputs!$B$44&gt;=5,AVERAGE(AW16:BA16),IF(Inputs!$B$44&gt;=3,AVERAGE(AX16:AZ16),AY16))&lt;=0,"",CEILING(IF(Inputs!$B$44&gt;=5,AVERAGE(AW16:BA16),IF(Inputs!$B$44&gt;=3,AVERAGE(AX16:AZ16),AY16)),Inputs!$B$45)))</f>
        <v/>
      </c>
      <c r="AZ30" s="82" t="str">
        <f aca="false">IF(AZ$4="","",IF(IF(Inputs!$B$44&gt;=5,AVERAGE(AX16:BB16),IF(Inputs!$B$44&gt;=3,AVERAGE(AY16:BA16),AZ16))&lt;=0,"",CEILING(IF(Inputs!$B$44&gt;=5,AVERAGE(AX16:BB16),IF(Inputs!$B$44&gt;=3,AVERAGE(AY16:BA16),AZ16)),Inputs!$B$45)))</f>
        <v/>
      </c>
      <c r="BA30" s="82" t="str">
        <f aca="false">IF(BA$4="","",IF(IF(Inputs!$B$44&gt;=5,AVERAGE(AY16:BC16),IF(Inputs!$B$44&gt;=3,AVERAGE(AZ16:BB16),BA16))&lt;=0,"",CEILING(IF(Inputs!$B$44&gt;=5,AVERAGE(AY16:BC16),IF(Inputs!$B$44&gt;=3,AVERAGE(AZ16:BB16),BA16)),Inputs!$B$45)))</f>
        <v/>
      </c>
      <c r="BB30" s="82" t="str">
        <f aca="false">IF(BB$4="","",IF(IF(Inputs!$B$44&gt;=5,AVERAGE(AZ16:BD16),IF(Inputs!$B$44&gt;=3,AVERAGE(BA16:BC16),BB16))&lt;=0,"",CEILING(IF(Inputs!$B$44&gt;=5,AVERAGE(AZ16:BD16),IF(Inputs!$B$44&gt;=3,AVERAGE(BA16:BC16),BB16)),Inputs!$B$45)))</f>
        <v/>
      </c>
      <c r="BC30" s="82" t="str">
        <f aca="false">IF(BC$4="","",IF(IF(Inputs!$B$44&gt;=5,AVERAGE(BA16:BE16),IF(Inputs!$B$44&gt;=3,AVERAGE(BB16:BD16),BC16))&lt;=0,"",CEILING(IF(Inputs!$B$44&gt;=5,AVERAGE(BA16:BE16),IF(Inputs!$B$44&gt;=3,AVERAGE(BB16:BD16),BC16)),Inputs!$B$45)))</f>
        <v/>
      </c>
      <c r="BD30" s="82" t="str">
        <f aca="false">IF(BD$4="","",IF(IF(Inputs!$B$44&gt;=5,AVERAGE(BB16:BF16),IF(Inputs!$B$44&gt;=3,AVERAGE(BC16:BE16),BD16))&lt;=0,"",CEILING(IF(Inputs!$B$44&gt;=5,AVERAGE(BB16:BF16),IF(Inputs!$B$44&gt;=3,AVERAGE(BC16:BE16),BD16)),Inputs!$B$45)))</f>
        <v/>
      </c>
      <c r="BE30" s="82" t="str">
        <f aca="false">IF(BE$4="","",IF(IF(Inputs!$B$44&gt;=5,AVERAGE(BC16:BG16),IF(Inputs!$B$44&gt;=3,AVERAGE(BD16:BF16),BE16))&lt;=0,"",CEILING(IF(Inputs!$B$44&gt;=5,AVERAGE(BC16:BG16),IF(Inputs!$B$44&gt;=3,AVERAGE(BD16:BF16),BE16)),Inputs!$B$45)))</f>
        <v/>
      </c>
      <c r="BF30" s="82" t="str">
        <f aca="false">IF(BF$4="","",IF(IF(Inputs!$B$44&gt;=5,AVERAGE(BD16:BH16),IF(Inputs!$B$44&gt;=3,AVERAGE(BE16:BG16),BF16))&lt;=0,"",CEILING(IF(Inputs!$B$44&gt;=5,AVERAGE(BD16:BH16),IF(Inputs!$B$44&gt;=3,AVERAGE(BE16:BG16),BF16)),Inputs!$B$45)))</f>
        <v/>
      </c>
      <c r="BG30" s="82" t="str">
        <f aca="false">IF(BG$4="","",IF(IF(Inputs!$B$44&gt;=5,AVERAGE(BE16:BI16),IF(Inputs!$B$44&gt;=3,AVERAGE(BF16:BH16),BG16))&lt;=0,"",CEILING(IF(Inputs!$B$44&gt;=5,AVERAGE(BE16:BI16),IF(Inputs!$B$44&gt;=3,AVERAGE(BF16:BH16),BG16)),Inputs!$B$45)))</f>
        <v/>
      </c>
      <c r="BH30" s="82" t="str">
        <f aca="false">IF(BH$4="","",IF(IF(Inputs!$B$44&gt;=5,AVERAGE(BF16:BJ16),IF(Inputs!$B$44&gt;=3,AVERAGE(BG16:BI16),BH16))&lt;=0,"",CEILING(IF(Inputs!$B$44&gt;=5,AVERAGE(BF16:BJ16),IF(Inputs!$B$44&gt;=3,AVERAGE(BG16:BI16),BH16)),Inputs!$B$45)))</f>
        <v/>
      </c>
      <c r="BI30" s="82" t="str">
        <f aca="false">IF(BI$4="","",IF(IF(Inputs!$B$44&gt;=5,AVERAGE(BG16:BK16),IF(Inputs!$B$44&gt;=3,AVERAGE(BH16:BJ16),BI16))&lt;=0,"",CEILING(IF(Inputs!$B$44&gt;=5,AVERAGE(BG16:BK16),IF(Inputs!$B$44&gt;=3,AVERAGE(BH16:BJ16),BI16)),Inputs!$B$45)))</f>
        <v/>
      </c>
      <c r="BJ30" s="82" t="str">
        <f aca="false">IF(BJ$4="","",IF(IF(Inputs!$B$44&gt;=5,AVERAGE(BH16:BL16),IF(Inputs!$B$44&gt;=3,AVERAGE(BI16:BK16),BJ16))&lt;=0,"",CEILING(IF(Inputs!$B$44&gt;=5,AVERAGE(BH16:BL16),IF(Inputs!$B$44&gt;=3,AVERAGE(BI16:BK16),BJ16)),Inputs!$B$45)))</f>
        <v/>
      </c>
      <c r="BK30" s="82" t="str">
        <f aca="false">IF(BK$4="","",IF(IF(Inputs!$B$44&gt;=5,AVERAGE(BI16:BM16),IF(Inputs!$B$44&gt;=3,AVERAGE(BJ16:BL16),BK16))&lt;=0,"",CEILING(IF(Inputs!$B$44&gt;=5,AVERAGE(BI16:BM16),IF(Inputs!$B$44&gt;=3,AVERAGE(BJ16:BL16),BK16)),Inputs!$B$45)))</f>
        <v/>
      </c>
      <c r="BL30" s="82" t="str">
        <f aca="false">IF(BL$4="","",IF(IF(Inputs!$B$44&gt;=5,AVERAGE(BJ16:BN16),IF(Inputs!$B$44&gt;=3,AVERAGE(BK16:BM16),BL16))&lt;=0,"",CEILING(IF(Inputs!$B$44&gt;=5,AVERAGE(BJ16:BN16),IF(Inputs!$B$44&gt;=3,AVERAGE(BK16:BM16),BL16)),Inputs!$B$45)))</f>
        <v/>
      </c>
      <c r="BM30" s="82" t="str">
        <f aca="false">IF(BM$4="","",IF(IF(Inputs!$B$44&gt;=5,AVERAGE(BK16:BO16),IF(Inputs!$B$44&gt;=3,AVERAGE(BL16:BN16),BM16))&lt;=0,"",CEILING(IF(Inputs!$B$44&gt;=5,AVERAGE(BK16:BO16),IF(Inputs!$B$44&gt;=3,AVERAGE(BL16:BN16),BM16)),Inputs!$B$45)))</f>
        <v/>
      </c>
      <c r="BN30" s="82" t="str">
        <f aca="false">IF(BN$4="","",IF(IF(Inputs!$B$44&gt;=5,AVERAGE(BL16:BP16),IF(Inputs!$B$44&gt;=3,AVERAGE(BM16:BO16),BN16))&lt;=0,"",CEILING(IF(Inputs!$B$44&gt;=5,AVERAGE(BL16:BP16),IF(Inputs!$B$44&gt;=3,AVERAGE(BM16:BO16),BN16)),Inputs!$B$45)))</f>
        <v/>
      </c>
      <c r="BO30" s="82" t="str">
        <f aca="false">IF(BO$4="","",IF(IF(Inputs!$B$44&gt;=5,AVERAGE(BM16:BQ16),IF(Inputs!$B$44&gt;=3,AVERAGE(BN16:BP16),BO16))&lt;=0,"",CEILING(IF(Inputs!$B$44&gt;=5,AVERAGE(BM16:BQ16),IF(Inputs!$B$44&gt;=3,AVERAGE(BN16:BP16),BO16)),Inputs!$B$45)))</f>
        <v/>
      </c>
      <c r="BP30" s="82" t="str">
        <f aca="false">IF(BP$4="","",IF(IF(Inputs!$B$44&gt;=5,AVERAGE(BN16:BR16),IF(Inputs!$B$44&gt;=3,AVERAGE(BO16:BQ16),BP16))&lt;=0,"",CEILING(IF(Inputs!$B$44&gt;=5,AVERAGE(BN16:BR16),IF(Inputs!$B$44&gt;=3,AVERAGE(BO16:BQ16),BP16)),Inputs!$B$45)))</f>
        <v/>
      </c>
      <c r="BQ30" s="82" t="str">
        <f aca="false">IF(BQ$4="","",IF(IF(Inputs!$B$44&gt;=5,AVERAGE(BO16:BS16),IF(Inputs!$B$44&gt;=3,AVERAGE(BP16:BR16),BQ16))&lt;=0,"",CEILING(IF(Inputs!$B$44&gt;=5,AVERAGE(BO16:BS16),IF(Inputs!$B$44&gt;=3,AVERAGE(BP16:BR16),BQ16)),Inputs!$B$45)))</f>
        <v/>
      </c>
      <c r="BR30" s="82" t="str">
        <f aca="false">IF(BR$4="","",IF(IF(Inputs!$B$44&gt;=5,AVERAGE(BP16:BT16),IF(Inputs!$B$44&gt;=3,AVERAGE(BQ16:BS16),BR16))&lt;=0,"",CEILING(IF(Inputs!$B$44&gt;=5,AVERAGE(BP16:BT16),IF(Inputs!$B$44&gt;=3,AVERAGE(BQ16:BS16),BR16)),Inputs!$B$45)))</f>
        <v/>
      </c>
      <c r="BS30" s="82" t="str">
        <f aca="false">IF(BS$4="","",IF(IF(Inputs!$B$44&gt;=5,AVERAGE(BQ16:BU16),IF(Inputs!$B$44&gt;=3,AVERAGE(BR16:BT16),BS16))&lt;=0,"",CEILING(IF(Inputs!$B$44&gt;=5,AVERAGE(BQ16:BU16),IF(Inputs!$B$44&gt;=3,AVERAGE(BR16:BT16),BS16)),Inputs!$B$45)))</f>
        <v/>
      </c>
      <c r="BT30" s="82" t="str">
        <f aca="false">IF(BT$4="","",IF(IF(Inputs!$B$44&gt;=5,AVERAGE(BR16:BV16),IF(Inputs!$B$44&gt;=3,AVERAGE(BS16:BU16),BT16))&lt;=0,"",CEILING(IF(Inputs!$B$44&gt;=5,AVERAGE(BR16:BV16),IF(Inputs!$B$44&gt;=3,AVERAGE(BS16:BU16),BT16)),Inputs!$B$45)))</f>
        <v/>
      </c>
      <c r="BU30" s="82" t="str">
        <f aca="false">IF(BU$4="","",IF(IF(Inputs!$B$44&gt;=5,AVERAGE(BS16:BV16),IF(Inputs!$B$44&gt;=3,AVERAGE(BT16:BV16),BU16))&lt;=0,"",CEILING(IF(Inputs!$B$44&gt;=5,AVERAGE(BS16:BV16),IF(Inputs!$B$44&gt;=3,AVERAGE(BT16:BV16),BU16)),Inputs!$B$45)))</f>
        <v/>
      </c>
      <c r="BV30" s="82" t="str">
        <f aca="false">IF(BV$4="","",IF(IF(Inputs!$B$44&gt;=5,AVERAGE(BT16:BV16),IF(Inputs!$B$44&gt;=3,AVERAGE(BU16:BV16),BV16))&lt;=0,"",CEILING(IF(Inputs!$B$44&gt;=5,AVERAGE(BT16:BV16),IF(Inputs!$B$44&gt;=3,AVERAGE(BU16:BV16),BV16)),Inputs!$B$45)))</f>
        <v/>
      </c>
    </row>
    <row r="31" customFormat="false" ht="15" hidden="false" customHeight="false" outlineLevel="0" collapsed="false">
      <c r="A31" s="61" t="str">
        <f aca="false">$A$9</f>
        <v>Safety Analyst</v>
      </c>
      <c r="B31" s="81" t="n">
        <f aca="false">MAX(C31:BV31)</f>
        <v>0.5</v>
      </c>
      <c r="C31" s="82" t="n">
        <f aca="false">IF(C$4="","",IF(IF(Inputs!$B$44&gt;=5,AVERAGE(C17:E17),IF(Inputs!$B$44&gt;=3,AVERAGE(C17:D17),C17))&lt;=0,"",CEILING(IF(Inputs!$B$44&gt;=5,AVERAGE(C17:E17),IF(Inputs!$B$44&gt;=3,AVERAGE(C17:D17),C17)),Inputs!$B$45)))</f>
        <v>0.5</v>
      </c>
      <c r="D31" s="82" t="n">
        <f aca="false">IF(D$4="","",IF(IF(Inputs!$B$44&gt;=5,AVERAGE(C17:F17),IF(Inputs!$B$44&gt;=3,AVERAGE(C17:E17),D17))&lt;=0,"",CEILING(IF(Inputs!$B$44&gt;=5,AVERAGE(C17:F17),IF(Inputs!$B$44&gt;=3,AVERAGE(C17:E17),D17)),Inputs!$B$45)))</f>
        <v>0.5</v>
      </c>
      <c r="E31" s="82" t="n">
        <f aca="false">IF(E$4="","",IF(IF(Inputs!$B$44&gt;=5,AVERAGE(C17:G17),IF(Inputs!$B$44&gt;=3,AVERAGE(D17:F17),E17))&lt;=0,"",CEILING(IF(Inputs!$B$44&gt;=5,AVERAGE(C17:G17),IF(Inputs!$B$44&gt;=3,AVERAGE(D17:F17),E17)),Inputs!$B$45)))</f>
        <v>0.5</v>
      </c>
      <c r="F31" s="82" t="n">
        <f aca="false">IF(F$4="","",IF(IF(Inputs!$B$44&gt;=5,AVERAGE(D17:H17),IF(Inputs!$B$44&gt;=3,AVERAGE(E17:G17),F17))&lt;=0,"",CEILING(IF(Inputs!$B$44&gt;=5,AVERAGE(D17:H17),IF(Inputs!$B$44&gt;=3,AVERAGE(E17:G17),F17)),Inputs!$B$45)))</f>
        <v>0.5</v>
      </c>
      <c r="G31" s="82" t="n">
        <f aca="false">IF(G$4="","",IF(IF(Inputs!$B$44&gt;=5,AVERAGE(E17:I17),IF(Inputs!$B$44&gt;=3,AVERAGE(F17:H17),G17))&lt;=0,"",CEILING(IF(Inputs!$B$44&gt;=5,AVERAGE(E17:I17),IF(Inputs!$B$44&gt;=3,AVERAGE(F17:H17),G17)),Inputs!$B$45)))</f>
        <v>0.5</v>
      </c>
      <c r="H31" s="82" t="n">
        <f aca="false">IF(H$4="","",IF(IF(Inputs!$B$44&gt;=5,AVERAGE(F17:J17),IF(Inputs!$B$44&gt;=3,AVERAGE(G17:I17),H17))&lt;=0,"",CEILING(IF(Inputs!$B$44&gt;=5,AVERAGE(F17:J17),IF(Inputs!$B$44&gt;=3,AVERAGE(G17:I17),H17)),Inputs!$B$45)))</f>
        <v>0.5</v>
      </c>
      <c r="I31" s="82" t="n">
        <f aca="false">IF(I$4="","",IF(IF(Inputs!$B$44&gt;=5,AVERAGE(G17:K17),IF(Inputs!$B$44&gt;=3,AVERAGE(H17:J17),I17))&lt;=0,"",CEILING(IF(Inputs!$B$44&gt;=5,AVERAGE(G17:K17),IF(Inputs!$B$44&gt;=3,AVERAGE(H17:J17),I17)),Inputs!$B$45)))</f>
        <v>0.5</v>
      </c>
      <c r="J31" s="82" t="n">
        <f aca="false">IF(J$4="","",IF(IF(Inputs!$B$44&gt;=5,AVERAGE(H17:L17),IF(Inputs!$B$44&gt;=3,AVERAGE(I17:K17),J17))&lt;=0,"",CEILING(IF(Inputs!$B$44&gt;=5,AVERAGE(H17:L17),IF(Inputs!$B$44&gt;=3,AVERAGE(I17:K17),J17)),Inputs!$B$45)))</f>
        <v>0.5</v>
      </c>
      <c r="K31" s="82" t="n">
        <f aca="false">IF(K$4="","",IF(IF(Inputs!$B$44&gt;=5,AVERAGE(I17:M17),IF(Inputs!$B$44&gt;=3,AVERAGE(J17:L17),K17))&lt;=0,"",CEILING(IF(Inputs!$B$44&gt;=5,AVERAGE(I17:M17),IF(Inputs!$B$44&gt;=3,AVERAGE(J17:L17),K17)),Inputs!$B$45)))</f>
        <v>0.5</v>
      </c>
      <c r="L31" s="82" t="n">
        <f aca="false">IF(L$4="","",IF(IF(Inputs!$B$44&gt;=5,AVERAGE(J17:N17),IF(Inputs!$B$44&gt;=3,AVERAGE(K17:M17),L17))&lt;=0,"",CEILING(IF(Inputs!$B$44&gt;=5,AVERAGE(J17:N17),IF(Inputs!$B$44&gt;=3,AVERAGE(K17:M17),L17)),Inputs!$B$45)))</f>
        <v>0.5</v>
      </c>
      <c r="M31" s="82" t="n">
        <f aca="false">IF(M$4="","",IF(IF(Inputs!$B$44&gt;=5,AVERAGE(K17:O17),IF(Inputs!$B$44&gt;=3,AVERAGE(L17:N17),M17))&lt;=0,"",CEILING(IF(Inputs!$B$44&gt;=5,AVERAGE(K17:O17),IF(Inputs!$B$44&gt;=3,AVERAGE(L17:N17),M17)),Inputs!$B$45)))</f>
        <v>0.5</v>
      </c>
      <c r="N31" s="82" t="n">
        <f aca="false">IF(N$4="","",IF(IF(Inputs!$B$44&gt;=5,AVERAGE(L17:P17),IF(Inputs!$B$44&gt;=3,AVERAGE(M17:O17),N17))&lt;=0,"",CEILING(IF(Inputs!$B$44&gt;=5,AVERAGE(L17:P17),IF(Inputs!$B$44&gt;=3,AVERAGE(M17:O17),N17)),Inputs!$B$45)))</f>
        <v>0.5</v>
      </c>
      <c r="O31" s="82" t="n">
        <f aca="false">IF(O$4="","",IF(IF(Inputs!$B$44&gt;=5,AVERAGE(M17:Q17),IF(Inputs!$B$44&gt;=3,AVERAGE(N17:P17),O17))&lt;=0,"",CEILING(IF(Inputs!$B$44&gt;=5,AVERAGE(M17:Q17),IF(Inputs!$B$44&gt;=3,AVERAGE(N17:P17),O17)),Inputs!$B$45)))</f>
        <v>0.5</v>
      </c>
      <c r="P31" s="82" t="n">
        <f aca="false">IF(P$4="","",IF(IF(Inputs!$B$44&gt;=5,AVERAGE(N17:R17),IF(Inputs!$B$44&gt;=3,AVERAGE(O17:Q17),P17))&lt;=0,"",CEILING(IF(Inputs!$B$44&gt;=5,AVERAGE(N17:R17),IF(Inputs!$B$44&gt;=3,AVERAGE(O17:Q17),P17)),Inputs!$B$45)))</f>
        <v>0.5</v>
      </c>
      <c r="Q31" s="82" t="n">
        <f aca="false">IF(Q$4="","",IF(IF(Inputs!$B$44&gt;=5,AVERAGE(O17:S17),IF(Inputs!$B$44&gt;=3,AVERAGE(P17:R17),Q17))&lt;=0,"",CEILING(IF(Inputs!$B$44&gt;=5,AVERAGE(O17:S17),IF(Inputs!$B$44&gt;=3,AVERAGE(P17:R17),Q17)),Inputs!$B$45)))</f>
        <v>0.5</v>
      </c>
      <c r="R31" s="82" t="n">
        <f aca="false">IF(R$4="","",IF(IF(Inputs!$B$44&gt;=5,AVERAGE(P17:T17),IF(Inputs!$B$44&gt;=3,AVERAGE(Q17:S17),R17))&lt;=0,"",CEILING(IF(Inputs!$B$44&gt;=5,AVERAGE(P17:T17),IF(Inputs!$B$44&gt;=3,AVERAGE(Q17:S17),R17)),Inputs!$B$45)))</f>
        <v>0.5</v>
      </c>
      <c r="S31" s="82" t="n">
        <f aca="false">IF(S$4="","",IF(IF(Inputs!$B$44&gt;=5,AVERAGE(Q17:U17),IF(Inputs!$B$44&gt;=3,AVERAGE(R17:T17),S17))&lt;=0,"",CEILING(IF(Inputs!$B$44&gt;=5,AVERAGE(Q17:U17),IF(Inputs!$B$44&gt;=3,AVERAGE(R17:T17),S17)),Inputs!$B$45)))</f>
        <v>0.5</v>
      </c>
      <c r="T31" s="82" t="n">
        <f aca="false">IF(T$4="","",IF(IF(Inputs!$B$44&gt;=5,AVERAGE(R17:V17),IF(Inputs!$B$44&gt;=3,AVERAGE(S17:U17),T17))&lt;=0,"",CEILING(IF(Inputs!$B$44&gt;=5,AVERAGE(R17:V17),IF(Inputs!$B$44&gt;=3,AVERAGE(S17:U17),T17)),Inputs!$B$45)))</f>
        <v>0.5</v>
      </c>
      <c r="U31" s="82" t="n">
        <f aca="false">IF(U$4="","",IF(IF(Inputs!$B$44&gt;=5,AVERAGE(S17:W17),IF(Inputs!$B$44&gt;=3,AVERAGE(T17:V17),U17))&lt;=0,"",CEILING(IF(Inputs!$B$44&gt;=5,AVERAGE(S17:W17),IF(Inputs!$B$44&gt;=3,AVERAGE(T17:V17),U17)),Inputs!$B$45)))</f>
        <v>0.5</v>
      </c>
      <c r="V31" s="82" t="n">
        <f aca="false">IF(V$4="","",IF(IF(Inputs!$B$44&gt;=5,AVERAGE(T17:X17),IF(Inputs!$B$44&gt;=3,AVERAGE(U17:W17),V17))&lt;=0,"",CEILING(IF(Inputs!$B$44&gt;=5,AVERAGE(T17:X17),IF(Inputs!$B$44&gt;=3,AVERAGE(U17:W17),V17)),Inputs!$B$45)))</f>
        <v>0.5</v>
      </c>
      <c r="W31" s="82" t="n">
        <f aca="false">IF(W$4="","",IF(IF(Inputs!$B$44&gt;=5,AVERAGE(U17:Y17),IF(Inputs!$B$44&gt;=3,AVERAGE(V17:X17),W17))&lt;=0,"",CEILING(IF(Inputs!$B$44&gt;=5,AVERAGE(U17:Y17),IF(Inputs!$B$44&gt;=3,AVERAGE(V17:X17),W17)),Inputs!$B$45)))</f>
        <v>0.5</v>
      </c>
      <c r="X31" s="82" t="n">
        <f aca="false">IF(X$4="","",IF(IF(Inputs!$B$44&gt;=5,AVERAGE(V17:Z17),IF(Inputs!$B$44&gt;=3,AVERAGE(W17:Y17),X17))&lt;=0,"",CEILING(IF(Inputs!$B$44&gt;=5,AVERAGE(V17:Z17),IF(Inputs!$B$44&gt;=3,AVERAGE(W17:Y17),X17)),Inputs!$B$45)))</f>
        <v>0.5</v>
      </c>
      <c r="Y31" s="82" t="n">
        <f aca="false">IF(Y$4="","",IF(IF(Inputs!$B$44&gt;=5,AVERAGE(W17:AA17),IF(Inputs!$B$44&gt;=3,AVERAGE(X17:Z17),Y17))&lt;=0,"",CEILING(IF(Inputs!$B$44&gt;=5,AVERAGE(W17:AA17),IF(Inputs!$B$44&gt;=3,AVERAGE(X17:Z17),Y17)),Inputs!$B$45)))</f>
        <v>0.5</v>
      </c>
      <c r="Z31" s="82" t="n">
        <f aca="false">IF(Z$4="","",IF(IF(Inputs!$B$44&gt;=5,AVERAGE(X17:AB17),IF(Inputs!$B$44&gt;=3,AVERAGE(Y17:AA17),Z17))&lt;=0,"",CEILING(IF(Inputs!$B$44&gt;=5,AVERAGE(X17:AB17),IF(Inputs!$B$44&gt;=3,AVERAGE(Y17:AA17),Z17)),Inputs!$B$45)))</f>
        <v>0.5</v>
      </c>
      <c r="AA31" s="82" t="n">
        <f aca="false">IF(AA$4="","",IF(IF(Inputs!$B$44&gt;=5,AVERAGE(Y17:AC17),IF(Inputs!$B$44&gt;=3,AVERAGE(Z17:AB17),AA17))&lt;=0,"",CEILING(IF(Inputs!$B$44&gt;=5,AVERAGE(Y17:AC17),IF(Inputs!$B$44&gt;=3,AVERAGE(Z17:AB17),AA17)),Inputs!$B$45)))</f>
        <v>0.5</v>
      </c>
      <c r="AB31" s="82" t="n">
        <f aca="false">IF(AB$4="","",IF(IF(Inputs!$B$44&gt;=5,AVERAGE(Z17:AD17),IF(Inputs!$B$44&gt;=3,AVERAGE(AA17:AC17),AB17))&lt;=0,"",CEILING(IF(Inputs!$B$44&gt;=5,AVERAGE(Z17:AD17),IF(Inputs!$B$44&gt;=3,AVERAGE(AA17:AC17),AB17)),Inputs!$B$45)))</f>
        <v>0.5</v>
      </c>
      <c r="AC31" s="82" t="n">
        <f aca="false">IF(AC$4="","",IF(IF(Inputs!$B$44&gt;=5,AVERAGE(AA17:AE17),IF(Inputs!$B$44&gt;=3,AVERAGE(AB17:AD17),AC17))&lt;=0,"",CEILING(IF(Inputs!$B$44&gt;=5,AVERAGE(AA17:AE17),IF(Inputs!$B$44&gt;=3,AVERAGE(AB17:AD17),AC17)),Inputs!$B$45)))</f>
        <v>0.5</v>
      </c>
      <c r="AD31" s="82" t="n">
        <f aca="false">IF(AD$4="","",IF(IF(Inputs!$B$44&gt;=5,AVERAGE(AB17:AF17),IF(Inputs!$B$44&gt;=3,AVERAGE(AC17:AE17),AD17))&lt;=0,"",CEILING(IF(Inputs!$B$44&gt;=5,AVERAGE(AB17:AF17),IF(Inputs!$B$44&gt;=3,AVERAGE(AC17:AE17),AD17)),Inputs!$B$45)))</f>
        <v>0.5</v>
      </c>
      <c r="AE31" s="82" t="n">
        <f aca="false">IF(AE$4="","",IF(IF(Inputs!$B$44&gt;=5,AVERAGE(AC17:AG17),IF(Inputs!$B$44&gt;=3,AVERAGE(AD17:AF17),AE17))&lt;=0,"",CEILING(IF(Inputs!$B$44&gt;=5,AVERAGE(AC17:AG17),IF(Inputs!$B$44&gt;=3,AVERAGE(AD17:AF17),AE17)),Inputs!$B$45)))</f>
        <v>0.5</v>
      </c>
      <c r="AF31" s="82" t="n">
        <f aca="false">IF(AF$4="","",IF(IF(Inputs!$B$44&gt;=5,AVERAGE(AD17:AH17),IF(Inputs!$B$44&gt;=3,AVERAGE(AE17:AG17),AF17))&lt;=0,"",CEILING(IF(Inputs!$B$44&gt;=5,AVERAGE(AD17:AH17),IF(Inputs!$B$44&gt;=3,AVERAGE(AE17:AG17),AF17)),Inputs!$B$45)))</f>
        <v>0.5</v>
      </c>
      <c r="AG31" s="82" t="n">
        <f aca="false">IF(AG$4="","",IF(IF(Inputs!$B$44&gt;=5,AVERAGE(AE17:AI17),IF(Inputs!$B$44&gt;=3,AVERAGE(AF17:AH17),AG17))&lt;=0,"",CEILING(IF(Inputs!$B$44&gt;=5,AVERAGE(AE17:AI17),IF(Inputs!$B$44&gt;=3,AVERAGE(AF17:AH17),AG17)),Inputs!$B$45)))</f>
        <v>0.5</v>
      </c>
      <c r="AH31" s="82" t="n">
        <f aca="false">IF(AH$4="","",IF(IF(Inputs!$B$44&gt;=5,AVERAGE(AF17:AJ17),IF(Inputs!$B$44&gt;=3,AVERAGE(AG17:AI17),AH17))&lt;=0,"",CEILING(IF(Inputs!$B$44&gt;=5,AVERAGE(AF17:AJ17),IF(Inputs!$B$44&gt;=3,AVERAGE(AG17:AI17),AH17)),Inputs!$B$45)))</f>
        <v>0.5</v>
      </c>
      <c r="AI31" s="82" t="n">
        <f aca="false">IF(AI$4="","",IF(IF(Inputs!$B$44&gt;=5,AVERAGE(AG17:AK17),IF(Inputs!$B$44&gt;=3,AVERAGE(AH17:AJ17),AI17))&lt;=0,"",CEILING(IF(Inputs!$B$44&gt;=5,AVERAGE(AG17:AK17),IF(Inputs!$B$44&gt;=3,AVERAGE(AH17:AJ17),AI17)),Inputs!$B$45)))</f>
        <v>0.5</v>
      </c>
      <c r="AJ31" s="82" t="n">
        <f aca="false">IF(AJ$4="","",IF(IF(Inputs!$B$44&gt;=5,AVERAGE(AH17:AL17),IF(Inputs!$B$44&gt;=3,AVERAGE(AI17:AK17),AJ17))&lt;=0,"",CEILING(IF(Inputs!$B$44&gt;=5,AVERAGE(AH17:AL17),IF(Inputs!$B$44&gt;=3,AVERAGE(AI17:AK17),AJ17)),Inputs!$B$45)))</f>
        <v>0.5</v>
      </c>
      <c r="AK31" s="82" t="n">
        <f aca="false">IF(AK$4="","",IF(IF(Inputs!$B$44&gt;=5,AVERAGE(AI17:AM17),IF(Inputs!$B$44&gt;=3,AVERAGE(AJ17:AL17),AK17))&lt;=0,"",CEILING(IF(Inputs!$B$44&gt;=5,AVERAGE(AI17:AM17),IF(Inputs!$B$44&gt;=3,AVERAGE(AJ17:AL17),AK17)),Inputs!$B$45)))</f>
        <v>0.5</v>
      </c>
      <c r="AL31" s="82" t="n">
        <f aca="false">IF(AL$4="","",IF(IF(Inputs!$B$44&gt;=5,AVERAGE(AJ17:AN17),IF(Inputs!$B$44&gt;=3,AVERAGE(AK17:AM17),AL17))&lt;=0,"",CEILING(IF(Inputs!$B$44&gt;=5,AVERAGE(AJ17:AN17),IF(Inputs!$B$44&gt;=3,AVERAGE(AK17:AM17),AL17)),Inputs!$B$45)))</f>
        <v>0.5</v>
      </c>
      <c r="AM31" s="82" t="str">
        <f aca="false">IF(AM$4="","",IF(IF(Inputs!$B$44&gt;=5,AVERAGE(AK17:AO17),IF(Inputs!$B$44&gt;=3,AVERAGE(AL17:AN17),AM17))&lt;=0,"",CEILING(IF(Inputs!$B$44&gt;=5,AVERAGE(AK17:AO17),IF(Inputs!$B$44&gt;=3,AVERAGE(AL17:AN17),AM17)),Inputs!$B$45)))</f>
        <v/>
      </c>
      <c r="AN31" s="82" t="str">
        <f aca="false">IF(AN$4="","",IF(IF(Inputs!$B$44&gt;=5,AVERAGE(AL17:AP17),IF(Inputs!$B$44&gt;=3,AVERAGE(AM17:AO17),AN17))&lt;=0,"",CEILING(IF(Inputs!$B$44&gt;=5,AVERAGE(AL17:AP17),IF(Inputs!$B$44&gt;=3,AVERAGE(AM17:AO17),AN17)),Inputs!$B$45)))</f>
        <v/>
      </c>
      <c r="AO31" s="82" t="str">
        <f aca="false">IF(AO$4="","",IF(IF(Inputs!$B$44&gt;=5,AVERAGE(AM17:AQ17),IF(Inputs!$B$44&gt;=3,AVERAGE(AN17:AP17),AO17))&lt;=0,"",CEILING(IF(Inputs!$B$44&gt;=5,AVERAGE(AM17:AQ17),IF(Inputs!$B$44&gt;=3,AVERAGE(AN17:AP17),AO17)),Inputs!$B$45)))</f>
        <v/>
      </c>
      <c r="AP31" s="82" t="str">
        <f aca="false">IF(AP$4="","",IF(IF(Inputs!$B$44&gt;=5,AVERAGE(AN17:AR17),IF(Inputs!$B$44&gt;=3,AVERAGE(AO17:AQ17),AP17))&lt;=0,"",CEILING(IF(Inputs!$B$44&gt;=5,AVERAGE(AN17:AR17),IF(Inputs!$B$44&gt;=3,AVERAGE(AO17:AQ17),AP17)),Inputs!$B$45)))</f>
        <v/>
      </c>
      <c r="AQ31" s="82" t="str">
        <f aca="false">IF(AQ$4="","",IF(IF(Inputs!$B$44&gt;=5,AVERAGE(AO17:AS17),IF(Inputs!$B$44&gt;=3,AVERAGE(AP17:AR17),AQ17))&lt;=0,"",CEILING(IF(Inputs!$B$44&gt;=5,AVERAGE(AO17:AS17),IF(Inputs!$B$44&gt;=3,AVERAGE(AP17:AR17),AQ17)),Inputs!$B$45)))</f>
        <v/>
      </c>
      <c r="AR31" s="82" t="str">
        <f aca="false">IF(AR$4="","",IF(IF(Inputs!$B$44&gt;=5,AVERAGE(AP17:AT17),IF(Inputs!$B$44&gt;=3,AVERAGE(AQ17:AS17),AR17))&lt;=0,"",CEILING(IF(Inputs!$B$44&gt;=5,AVERAGE(AP17:AT17),IF(Inputs!$B$44&gt;=3,AVERAGE(AQ17:AS17),AR17)),Inputs!$B$45)))</f>
        <v/>
      </c>
      <c r="AS31" s="82" t="str">
        <f aca="false">IF(AS$4="","",IF(IF(Inputs!$B$44&gt;=5,AVERAGE(AQ17:AU17),IF(Inputs!$B$44&gt;=3,AVERAGE(AR17:AT17),AS17))&lt;=0,"",CEILING(IF(Inputs!$B$44&gt;=5,AVERAGE(AQ17:AU17),IF(Inputs!$B$44&gt;=3,AVERAGE(AR17:AT17),AS17)),Inputs!$B$45)))</f>
        <v/>
      </c>
      <c r="AT31" s="82" t="str">
        <f aca="false">IF(AT$4="","",IF(IF(Inputs!$B$44&gt;=5,AVERAGE(AR17:AV17),IF(Inputs!$B$44&gt;=3,AVERAGE(AS17:AU17),AT17))&lt;=0,"",CEILING(IF(Inputs!$B$44&gt;=5,AVERAGE(AR17:AV17),IF(Inputs!$B$44&gt;=3,AVERAGE(AS17:AU17),AT17)),Inputs!$B$45)))</f>
        <v/>
      </c>
      <c r="AU31" s="82" t="str">
        <f aca="false">IF(AU$4="","",IF(IF(Inputs!$B$44&gt;=5,AVERAGE(AS17:AW17),IF(Inputs!$B$44&gt;=3,AVERAGE(AT17:AV17),AU17))&lt;=0,"",CEILING(IF(Inputs!$B$44&gt;=5,AVERAGE(AS17:AW17),IF(Inputs!$B$44&gt;=3,AVERAGE(AT17:AV17),AU17)),Inputs!$B$45)))</f>
        <v/>
      </c>
      <c r="AV31" s="82" t="str">
        <f aca="false">IF(AV$4="","",IF(IF(Inputs!$B$44&gt;=5,AVERAGE(AT17:AX17),IF(Inputs!$B$44&gt;=3,AVERAGE(AU17:AW17),AV17))&lt;=0,"",CEILING(IF(Inputs!$B$44&gt;=5,AVERAGE(AT17:AX17),IF(Inputs!$B$44&gt;=3,AVERAGE(AU17:AW17),AV17)),Inputs!$B$45)))</f>
        <v/>
      </c>
      <c r="AW31" s="82" t="str">
        <f aca="false">IF(AW$4="","",IF(IF(Inputs!$B$44&gt;=5,AVERAGE(AU17:AY17),IF(Inputs!$B$44&gt;=3,AVERAGE(AV17:AX17),AW17))&lt;=0,"",CEILING(IF(Inputs!$B$44&gt;=5,AVERAGE(AU17:AY17),IF(Inputs!$B$44&gt;=3,AVERAGE(AV17:AX17),AW17)),Inputs!$B$45)))</f>
        <v/>
      </c>
      <c r="AX31" s="82" t="str">
        <f aca="false">IF(AX$4="","",IF(IF(Inputs!$B$44&gt;=5,AVERAGE(AV17:AZ17),IF(Inputs!$B$44&gt;=3,AVERAGE(AW17:AY17),AX17))&lt;=0,"",CEILING(IF(Inputs!$B$44&gt;=5,AVERAGE(AV17:AZ17),IF(Inputs!$B$44&gt;=3,AVERAGE(AW17:AY17),AX17)),Inputs!$B$45)))</f>
        <v/>
      </c>
      <c r="AY31" s="82" t="str">
        <f aca="false">IF(AY$4="","",IF(IF(Inputs!$B$44&gt;=5,AVERAGE(AW17:BA17),IF(Inputs!$B$44&gt;=3,AVERAGE(AX17:AZ17),AY17))&lt;=0,"",CEILING(IF(Inputs!$B$44&gt;=5,AVERAGE(AW17:BA17),IF(Inputs!$B$44&gt;=3,AVERAGE(AX17:AZ17),AY17)),Inputs!$B$45)))</f>
        <v/>
      </c>
      <c r="AZ31" s="82" t="str">
        <f aca="false">IF(AZ$4="","",IF(IF(Inputs!$B$44&gt;=5,AVERAGE(AX17:BB17),IF(Inputs!$B$44&gt;=3,AVERAGE(AY17:BA17),AZ17))&lt;=0,"",CEILING(IF(Inputs!$B$44&gt;=5,AVERAGE(AX17:BB17),IF(Inputs!$B$44&gt;=3,AVERAGE(AY17:BA17),AZ17)),Inputs!$B$45)))</f>
        <v/>
      </c>
      <c r="BA31" s="82" t="str">
        <f aca="false">IF(BA$4="","",IF(IF(Inputs!$B$44&gt;=5,AVERAGE(AY17:BC17),IF(Inputs!$B$44&gt;=3,AVERAGE(AZ17:BB17),BA17))&lt;=0,"",CEILING(IF(Inputs!$B$44&gt;=5,AVERAGE(AY17:BC17),IF(Inputs!$B$44&gt;=3,AVERAGE(AZ17:BB17),BA17)),Inputs!$B$45)))</f>
        <v/>
      </c>
      <c r="BB31" s="82" t="str">
        <f aca="false">IF(BB$4="","",IF(IF(Inputs!$B$44&gt;=5,AVERAGE(AZ17:BD17),IF(Inputs!$B$44&gt;=3,AVERAGE(BA17:BC17),BB17))&lt;=0,"",CEILING(IF(Inputs!$B$44&gt;=5,AVERAGE(AZ17:BD17),IF(Inputs!$B$44&gt;=3,AVERAGE(BA17:BC17),BB17)),Inputs!$B$45)))</f>
        <v/>
      </c>
      <c r="BC31" s="82" t="str">
        <f aca="false">IF(BC$4="","",IF(IF(Inputs!$B$44&gt;=5,AVERAGE(BA17:BE17),IF(Inputs!$B$44&gt;=3,AVERAGE(BB17:BD17),BC17))&lt;=0,"",CEILING(IF(Inputs!$B$44&gt;=5,AVERAGE(BA17:BE17),IF(Inputs!$B$44&gt;=3,AVERAGE(BB17:BD17),BC17)),Inputs!$B$45)))</f>
        <v/>
      </c>
      <c r="BD31" s="82" t="str">
        <f aca="false">IF(BD$4="","",IF(IF(Inputs!$B$44&gt;=5,AVERAGE(BB17:BF17),IF(Inputs!$B$44&gt;=3,AVERAGE(BC17:BE17),BD17))&lt;=0,"",CEILING(IF(Inputs!$B$44&gt;=5,AVERAGE(BB17:BF17),IF(Inputs!$B$44&gt;=3,AVERAGE(BC17:BE17),BD17)),Inputs!$B$45)))</f>
        <v/>
      </c>
      <c r="BE31" s="82" t="str">
        <f aca="false">IF(BE$4="","",IF(IF(Inputs!$B$44&gt;=5,AVERAGE(BC17:BG17),IF(Inputs!$B$44&gt;=3,AVERAGE(BD17:BF17),BE17))&lt;=0,"",CEILING(IF(Inputs!$B$44&gt;=5,AVERAGE(BC17:BG17),IF(Inputs!$B$44&gt;=3,AVERAGE(BD17:BF17),BE17)),Inputs!$B$45)))</f>
        <v/>
      </c>
      <c r="BF31" s="82" t="str">
        <f aca="false">IF(BF$4="","",IF(IF(Inputs!$B$44&gt;=5,AVERAGE(BD17:BH17),IF(Inputs!$B$44&gt;=3,AVERAGE(BE17:BG17),BF17))&lt;=0,"",CEILING(IF(Inputs!$B$44&gt;=5,AVERAGE(BD17:BH17),IF(Inputs!$B$44&gt;=3,AVERAGE(BE17:BG17),BF17)),Inputs!$B$45)))</f>
        <v/>
      </c>
      <c r="BG31" s="82" t="str">
        <f aca="false">IF(BG$4="","",IF(IF(Inputs!$B$44&gt;=5,AVERAGE(BE17:BI17),IF(Inputs!$B$44&gt;=3,AVERAGE(BF17:BH17),BG17))&lt;=0,"",CEILING(IF(Inputs!$B$44&gt;=5,AVERAGE(BE17:BI17),IF(Inputs!$B$44&gt;=3,AVERAGE(BF17:BH17),BG17)),Inputs!$B$45)))</f>
        <v/>
      </c>
      <c r="BH31" s="82" t="str">
        <f aca="false">IF(BH$4="","",IF(IF(Inputs!$B$44&gt;=5,AVERAGE(BF17:BJ17),IF(Inputs!$B$44&gt;=3,AVERAGE(BG17:BI17),BH17))&lt;=0,"",CEILING(IF(Inputs!$B$44&gt;=5,AVERAGE(BF17:BJ17),IF(Inputs!$B$44&gt;=3,AVERAGE(BG17:BI17),BH17)),Inputs!$B$45)))</f>
        <v/>
      </c>
      <c r="BI31" s="82" t="str">
        <f aca="false">IF(BI$4="","",IF(IF(Inputs!$B$44&gt;=5,AVERAGE(BG17:BK17),IF(Inputs!$B$44&gt;=3,AVERAGE(BH17:BJ17),BI17))&lt;=0,"",CEILING(IF(Inputs!$B$44&gt;=5,AVERAGE(BG17:BK17),IF(Inputs!$B$44&gt;=3,AVERAGE(BH17:BJ17),BI17)),Inputs!$B$45)))</f>
        <v/>
      </c>
      <c r="BJ31" s="82" t="str">
        <f aca="false">IF(BJ$4="","",IF(IF(Inputs!$B$44&gt;=5,AVERAGE(BH17:BL17),IF(Inputs!$B$44&gt;=3,AVERAGE(BI17:BK17),BJ17))&lt;=0,"",CEILING(IF(Inputs!$B$44&gt;=5,AVERAGE(BH17:BL17),IF(Inputs!$B$44&gt;=3,AVERAGE(BI17:BK17),BJ17)),Inputs!$B$45)))</f>
        <v/>
      </c>
      <c r="BK31" s="82" t="str">
        <f aca="false">IF(BK$4="","",IF(IF(Inputs!$B$44&gt;=5,AVERAGE(BI17:BM17),IF(Inputs!$B$44&gt;=3,AVERAGE(BJ17:BL17),BK17))&lt;=0,"",CEILING(IF(Inputs!$B$44&gt;=5,AVERAGE(BI17:BM17),IF(Inputs!$B$44&gt;=3,AVERAGE(BJ17:BL17),BK17)),Inputs!$B$45)))</f>
        <v/>
      </c>
      <c r="BL31" s="82" t="str">
        <f aca="false">IF(BL$4="","",IF(IF(Inputs!$B$44&gt;=5,AVERAGE(BJ17:BN17),IF(Inputs!$B$44&gt;=3,AVERAGE(BK17:BM17),BL17))&lt;=0,"",CEILING(IF(Inputs!$B$44&gt;=5,AVERAGE(BJ17:BN17),IF(Inputs!$B$44&gt;=3,AVERAGE(BK17:BM17),BL17)),Inputs!$B$45)))</f>
        <v/>
      </c>
      <c r="BM31" s="82" t="str">
        <f aca="false">IF(BM$4="","",IF(IF(Inputs!$B$44&gt;=5,AVERAGE(BK17:BO17),IF(Inputs!$B$44&gt;=3,AVERAGE(BL17:BN17),BM17))&lt;=0,"",CEILING(IF(Inputs!$B$44&gt;=5,AVERAGE(BK17:BO17),IF(Inputs!$B$44&gt;=3,AVERAGE(BL17:BN17),BM17)),Inputs!$B$45)))</f>
        <v/>
      </c>
      <c r="BN31" s="82" t="str">
        <f aca="false">IF(BN$4="","",IF(IF(Inputs!$B$44&gt;=5,AVERAGE(BL17:BP17),IF(Inputs!$B$44&gt;=3,AVERAGE(BM17:BO17),BN17))&lt;=0,"",CEILING(IF(Inputs!$B$44&gt;=5,AVERAGE(BL17:BP17),IF(Inputs!$B$44&gt;=3,AVERAGE(BM17:BO17),BN17)),Inputs!$B$45)))</f>
        <v/>
      </c>
      <c r="BO31" s="82" t="str">
        <f aca="false">IF(BO$4="","",IF(IF(Inputs!$B$44&gt;=5,AVERAGE(BM17:BQ17),IF(Inputs!$B$44&gt;=3,AVERAGE(BN17:BP17),BO17))&lt;=0,"",CEILING(IF(Inputs!$B$44&gt;=5,AVERAGE(BM17:BQ17),IF(Inputs!$B$44&gt;=3,AVERAGE(BN17:BP17),BO17)),Inputs!$B$45)))</f>
        <v/>
      </c>
      <c r="BP31" s="82" t="str">
        <f aca="false">IF(BP$4="","",IF(IF(Inputs!$B$44&gt;=5,AVERAGE(BN17:BR17),IF(Inputs!$B$44&gt;=3,AVERAGE(BO17:BQ17),BP17))&lt;=0,"",CEILING(IF(Inputs!$B$44&gt;=5,AVERAGE(BN17:BR17),IF(Inputs!$B$44&gt;=3,AVERAGE(BO17:BQ17),BP17)),Inputs!$B$45)))</f>
        <v/>
      </c>
      <c r="BQ31" s="82" t="str">
        <f aca="false">IF(BQ$4="","",IF(IF(Inputs!$B$44&gt;=5,AVERAGE(BO17:BS17),IF(Inputs!$B$44&gt;=3,AVERAGE(BP17:BR17),BQ17))&lt;=0,"",CEILING(IF(Inputs!$B$44&gt;=5,AVERAGE(BO17:BS17),IF(Inputs!$B$44&gt;=3,AVERAGE(BP17:BR17),BQ17)),Inputs!$B$45)))</f>
        <v/>
      </c>
      <c r="BR31" s="82" t="str">
        <f aca="false">IF(BR$4="","",IF(IF(Inputs!$B$44&gt;=5,AVERAGE(BP17:BT17),IF(Inputs!$B$44&gt;=3,AVERAGE(BQ17:BS17),BR17))&lt;=0,"",CEILING(IF(Inputs!$B$44&gt;=5,AVERAGE(BP17:BT17),IF(Inputs!$B$44&gt;=3,AVERAGE(BQ17:BS17),BR17)),Inputs!$B$45)))</f>
        <v/>
      </c>
      <c r="BS31" s="82" t="str">
        <f aca="false">IF(BS$4="","",IF(IF(Inputs!$B$44&gt;=5,AVERAGE(BQ17:BU17),IF(Inputs!$B$44&gt;=3,AVERAGE(BR17:BT17),BS17))&lt;=0,"",CEILING(IF(Inputs!$B$44&gt;=5,AVERAGE(BQ17:BU17),IF(Inputs!$B$44&gt;=3,AVERAGE(BR17:BT17),BS17)),Inputs!$B$45)))</f>
        <v/>
      </c>
      <c r="BT31" s="82" t="str">
        <f aca="false">IF(BT$4="","",IF(IF(Inputs!$B$44&gt;=5,AVERAGE(BR17:BV17),IF(Inputs!$B$44&gt;=3,AVERAGE(BS17:BU17),BT17))&lt;=0,"",CEILING(IF(Inputs!$B$44&gt;=5,AVERAGE(BR17:BV17),IF(Inputs!$B$44&gt;=3,AVERAGE(BS17:BU17),BT17)),Inputs!$B$45)))</f>
        <v/>
      </c>
      <c r="BU31" s="82" t="str">
        <f aca="false">IF(BU$4="","",IF(IF(Inputs!$B$44&gt;=5,AVERAGE(BS17:BV17),IF(Inputs!$B$44&gt;=3,AVERAGE(BT17:BV17),BU17))&lt;=0,"",CEILING(IF(Inputs!$B$44&gt;=5,AVERAGE(BS17:BV17),IF(Inputs!$B$44&gt;=3,AVERAGE(BT17:BV17),BU17)),Inputs!$B$45)))</f>
        <v/>
      </c>
      <c r="BV31" s="82" t="str">
        <f aca="false">IF(BV$4="","",IF(IF(Inputs!$B$44&gt;=5,AVERAGE(BT17:BV17),IF(Inputs!$B$44&gt;=3,AVERAGE(BU17:BV17),BV17))&lt;=0,"",CEILING(IF(Inputs!$B$44&gt;=5,AVERAGE(BT17:BV17),IF(Inputs!$B$44&gt;=3,AVERAGE(BU17:BV17),BV17)),Inputs!$B$45)))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</row>
    <row r="33" customFormat="false" ht="15" hidden="false" customHeight="false" outlineLevel="0" collapsed="false">
      <c r="A33" s="69" t="s">
        <v>332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</row>
    <row r="34" customFormat="false" ht="15" hidden="false" customHeight="false" outlineLevel="0" collapsed="false">
      <c r="A34" s="8" t="s">
        <v>333</v>
      </c>
      <c r="B34" s="83" t="n">
        <f aca="false">MAX(C18:BV18)</f>
        <v>4.13044903783152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</row>
    <row r="35" customFormat="false" ht="15" hidden="false" customHeight="false" outlineLevel="0" collapsed="false">
      <c r="A35" s="8" t="s">
        <v>334</v>
      </c>
      <c r="B35" s="84" t="n">
        <f aca="false">MAX(C22:BV22)</f>
        <v>4.5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</row>
    <row r="36" customFormat="false" ht="15" hidden="false" customHeight="false" outlineLevel="0" collapsed="false">
      <c r="A36" s="8" t="s">
        <v>335</v>
      </c>
      <c r="B36" s="83" t="n">
        <f aca="false">B22</f>
        <v>2.38888888888889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</row>
    <row r="37" customFormat="false" ht="15" hidden="false" customHeight="false" outlineLevel="0" collapsed="false">
      <c r="A37" s="8" t="s">
        <v>336</v>
      </c>
      <c r="B37" s="84" t="n">
        <f aca="false">B25</f>
        <v>86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</row>
    <row r="38" customFormat="false" ht="15" hidden="false" customHeight="false" outlineLevel="0" collapsed="false">
      <c r="A38" s="8" t="s">
        <v>337</v>
      </c>
      <c r="B38" s="85" t="n">
        <f aca="false">B25*Inputs!$B$6</f>
        <v>13416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</row>
    <row r="39" customFormat="false" ht="15" hidden="false" customHeight="false" outlineLevel="0" collapsed="false">
      <c r="A39" s="8" t="s">
        <v>338</v>
      </c>
      <c r="B39" s="85" t="n">
        <f aca="false">B11</f>
        <v>11953.1991786448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</row>
    <row r="40" customFormat="false" ht="15" hidden="false" customHeight="false" outlineLevel="0" collapsed="false">
      <c r="A40" s="8" t="s">
        <v>339</v>
      </c>
      <c r="B40" s="86" t="n">
        <f aca="false">IF(B25=0,0,B11/(B25*Inputs!$B$6))</f>
        <v>0.890965949511387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</row>
    <row r="41" customFormat="false" ht="15" hidden="false" customHeight="false" outlineLevel="0" collapsed="false">
      <c r="A41" s="8" t="s">
        <v>340</v>
      </c>
      <c r="B41" s="87" t="n">
        <f aca="false">COUNTIF(C22:BV22,"&gt;3")</f>
        <v>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</row>
    <row r="42" customFormat="false" ht="15" hidden="false" customHeight="false" outlineLevel="0" collapsed="false">
      <c r="A42" s="8" t="s">
        <v>341</v>
      </c>
      <c r="B42" s="83" t="n">
        <f aca="false">MAX(C14:BV14)</f>
        <v>1.06670747653326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</row>
    <row r="43" customFormat="false" ht="15" hidden="false" customHeight="false" outlineLevel="0" collapsed="false">
      <c r="A43" s="8" t="s">
        <v>342</v>
      </c>
      <c r="B43" s="83" t="n">
        <f aca="false">MAX(C15:BV15)</f>
        <v>3.32318855980937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</row>
    <row r="44" customFormat="false" ht="15" hidden="false" customHeight="false" outlineLevel="0" collapsed="false">
      <c r="A44" s="8" t="s">
        <v>343</v>
      </c>
      <c r="B44" s="83" t="n">
        <f aca="false">MAX(C16:BV16)</f>
        <v>0.48062015503876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</row>
    <row r="45" customFormat="false" ht="15" hidden="false" customHeight="false" outlineLevel="0" collapsed="false">
      <c r="A45" s="8" t="s">
        <v>344</v>
      </c>
      <c r="B45" s="83" t="n">
        <f aca="false">MAX(C17:BV17)</f>
        <v>0.355013108049545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</row>
    <row r="47" customFormat="false" ht="15" hidden="false" customHeight="false" outlineLevel="0" collapsed="false">
      <c r="A47" s="69" t="s">
        <v>345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</row>
    <row r="48" customFormat="false" ht="77.6" hidden="false" customHeight="false" outlineLevel="0" collapsed="false">
      <c r="A48" s="6" t="s">
        <v>346</v>
      </c>
      <c r="B48" s="6" t="s">
        <v>305</v>
      </c>
      <c r="C48" s="6" t="s">
        <v>306</v>
      </c>
      <c r="D48" s="6" t="s">
        <v>174</v>
      </c>
      <c r="E48" s="6" t="s">
        <v>307</v>
      </c>
      <c r="F48" s="6" t="s">
        <v>347</v>
      </c>
      <c r="G48" s="6" t="s">
        <v>348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</row>
    <row r="49" customFormat="false" ht="15" hidden="false" customHeight="false" outlineLevel="0" collapsed="false">
      <c r="A49" s="88" t="str">
        <f aca="false">IF(OR(Milestones!$B5="",Milestones!$B6=""),"",Milestones!$B5&amp;" → "&amp;Milestones!$B6)</f>
        <v>Program Start → SRR</v>
      </c>
      <c r="B49" s="89" t="n">
        <f aca="false">IF($A49="","",Milestones!$E5)</f>
        <v>46391</v>
      </c>
      <c r="C49" s="89" t="n">
        <f aca="false">IF($A49="","",Milestones!$E6)</f>
        <v>46481</v>
      </c>
      <c r="D49" s="44" t="n">
        <f aca="false">IF($A49="","",MAX(0,($C49-$B49)/(365.25/12)))</f>
        <v>2.95687885010267</v>
      </c>
      <c r="E49" s="90" t="n">
        <f aca="false">IF($A49="","",SUMIFS($C$11:$BV$11,$C$4:$BV$4,"&gt;="&amp;$B49,$C$4:$BV$4,"&lt;"&amp;$C49))</f>
        <v>826.298731548027</v>
      </c>
      <c r="F49" s="91" t="n">
        <f aca="false">IF(OR($A49="",N($D49)=0),"",$E49/Inputs!$B$6/$D49)</f>
        <v>1.79134384910919</v>
      </c>
      <c r="G49" s="91" t="n">
        <f aca="false">IF(OR($A49="",COUNTIFS($C$4:$BV$4,"&gt;="&amp;$B49,$C$4:$BV$4,"&lt;"&amp;$C49)=0),"",SUMIFS($C$22:$BV$22,$C$4:$BV$4,"&gt;="&amp;$B49,$C$4:$BV$4,"&lt;"&amp;$C49)/COUNTIFS($C$4:$BV$4,"&gt;="&amp;$B49,$C$4:$BV$4,"&lt;"&amp;$C49))</f>
        <v>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</row>
    <row r="50" customFormat="false" ht="15" hidden="false" customHeight="false" outlineLevel="0" collapsed="false">
      <c r="A50" s="88" t="str">
        <f aca="false">IF(OR(Milestones!$B6="",Milestones!$B7=""),"",Milestones!$B6&amp;" → "&amp;Milestones!$B7)</f>
        <v>SRR → SFR</v>
      </c>
      <c r="B50" s="89" t="n">
        <f aca="false">IF($A50="","",Milestones!$E6)</f>
        <v>46481</v>
      </c>
      <c r="C50" s="89" t="n">
        <f aca="false">IF($A50="","",Milestones!$E7)</f>
        <v>46572</v>
      </c>
      <c r="D50" s="44" t="n">
        <f aca="false">IF($A50="","",MAX(0,($C50-$B50)/(365.25/12)))</f>
        <v>2.98973305954825</v>
      </c>
      <c r="E50" s="90" t="n">
        <f aca="false">IF($A50="","",SUMIFS($C$11:$BV$11,$C$4:$BV$4,"&gt;="&amp;$B50,$C$4:$BV$4,"&lt;"&amp;$C50))</f>
        <v>1006.55283607343</v>
      </c>
      <c r="F50" s="91" t="n">
        <f aca="false">IF(OR($A50="",N($D50)=0),"",$E50/Inputs!$B$6/$D50)</f>
        <v>2.15813975401416</v>
      </c>
      <c r="G50" s="91" t="n">
        <f aca="false">IF(OR($A50="",COUNTIFS($C$4:$BV$4,"&gt;="&amp;$B50,$C$4:$BV$4,"&lt;"&amp;$C50)=0),"",SUMIFS($C$22:$BV$22,$C$4:$BV$4,"&gt;="&amp;$B50,$C$4:$BV$4,"&lt;"&amp;$C50)/COUNTIFS($C$4:$BV$4,"&gt;="&amp;$B50,$C$4:$BV$4,"&lt;"&amp;$C50))</f>
        <v>2.5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</row>
    <row r="51" customFormat="false" ht="15" hidden="false" customHeight="false" outlineLevel="0" collapsed="false">
      <c r="A51" s="88" t="str">
        <f aca="false">IF(OR(Milestones!$B7="",Milestones!$B8=""),"",Milestones!$B7&amp;" → "&amp;Milestones!$B8)</f>
        <v>SFR → PDR</v>
      </c>
      <c r="B51" s="89" t="n">
        <f aca="false">IF($A51="","",Milestones!$E7)</f>
        <v>46572</v>
      </c>
      <c r="C51" s="89" t="n">
        <f aca="false">IF($A51="","",Milestones!$E8)</f>
        <v>46695</v>
      </c>
      <c r="D51" s="44" t="n">
        <f aca="false">IF($A51="","",MAX(0,($C51-$B51)/(365.25/12)))</f>
        <v>4.04106776180698</v>
      </c>
      <c r="E51" s="90" t="n">
        <f aca="false">IF($A51="","",SUMIFS($C$11:$BV$11,$C$4:$BV$4,"&gt;="&amp;$B51,$C$4:$BV$4,"&lt;"&amp;$C51))</f>
        <v>975.593514571902</v>
      </c>
      <c r="F51" s="91" t="n">
        <f aca="false">IF(OR($A51="",N($D51)=0),"",$E51/Inputs!$B$6/$D51)</f>
        <v>1.54756241399741</v>
      </c>
      <c r="G51" s="91" t="n">
        <f aca="false">IF(OR($A51="",COUNTIFS($C$4:$BV$4,"&gt;="&amp;$B51,$C$4:$BV$4,"&lt;"&amp;$C51)=0),"",SUMIFS($C$22:$BV$22,$C$4:$BV$4,"&gt;="&amp;$B51,$C$4:$BV$4,"&lt;"&amp;$C51)/COUNTIFS($C$4:$BV$4,"&gt;="&amp;$B51,$C$4:$BV$4,"&lt;"&amp;$C51))</f>
        <v>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</row>
    <row r="52" customFormat="false" ht="15" hidden="false" customHeight="false" outlineLevel="0" collapsed="false">
      <c r="A52" s="88" t="str">
        <f aca="false">IF(OR(Milestones!$B8="",Milestones!$B9=""),"",Milestones!$B8&amp;" → "&amp;Milestones!$B9)</f>
        <v>PDR → CDR</v>
      </c>
      <c r="B52" s="89" t="n">
        <f aca="false">IF($A52="","",Milestones!$E8)</f>
        <v>46695</v>
      </c>
      <c r="C52" s="89" t="n">
        <f aca="false">IF($A52="","",Milestones!$E9)</f>
        <v>46877</v>
      </c>
      <c r="D52" s="44" t="n">
        <f aca="false">IF($A52="","",MAX(0,($C52-$B52)/(365.25/12)))</f>
        <v>5.97946611909651</v>
      </c>
      <c r="E52" s="90" t="n">
        <f aca="false">IF($A52="","",SUMIFS($C$11:$BV$11,$C$4:$BV$4,"&gt;="&amp;$B52,$C$4:$BV$4,"&lt;"&amp;$C52))</f>
        <v>3786.03269984358</v>
      </c>
      <c r="F52" s="91" t="n">
        <f aca="false">IF(OR($A52="",N($D52)=0),"",$E52/Inputs!$B$6/$D52)</f>
        <v>4.05879720701215</v>
      </c>
      <c r="G52" s="91" t="n">
        <f aca="false">IF(OR($A52="",COUNTIFS($C$4:$BV$4,"&gt;="&amp;$B52,$C$4:$BV$4,"&lt;"&amp;$C52)=0),"",SUMIFS($C$22:$BV$22,$C$4:$BV$4,"&gt;="&amp;$B52,$C$4:$BV$4,"&lt;"&amp;$C52)/COUNTIFS($C$4:$BV$4,"&gt;="&amp;$B52,$C$4:$BV$4,"&lt;"&amp;$C52))</f>
        <v>4.25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</row>
    <row r="53" customFormat="false" ht="15" hidden="false" customHeight="false" outlineLevel="0" collapsed="false">
      <c r="A53" s="88" t="str">
        <f aca="false">IF(OR(Milestones!$B9="",Milestones!$B10=""),"",Milestones!$B9&amp;" → "&amp;Milestones!$B10)</f>
        <v>CDR → TRR</v>
      </c>
      <c r="B53" s="89" t="n">
        <f aca="false">IF($A53="","",Milestones!$E9)</f>
        <v>46877</v>
      </c>
      <c r="C53" s="89" t="n">
        <f aca="false">IF($A53="","",Milestones!$E10)</f>
        <v>47122</v>
      </c>
      <c r="D53" s="44" t="n">
        <f aca="false">IF($A53="","",MAX(0,($C53-$B53)/(365.25/12)))</f>
        <v>8.04928131416838</v>
      </c>
      <c r="E53" s="90" t="n">
        <f aca="false">IF($A53="","",SUMIFS($C$11:$BV$11,$C$4:$BV$4,"&gt;="&amp;$B53,$C$4:$BV$4,"&lt;"&amp;$C53))</f>
        <v>2576.73103245328</v>
      </c>
      <c r="F53" s="91" t="n">
        <f aca="false">IF(OR($A53="",N($D53)=0),"",$E53/Inputs!$B$6/$D53)</f>
        <v>2.05204737834372</v>
      </c>
      <c r="G53" s="91" t="n">
        <f aca="false">IF(OR($A53="",COUNTIFS($C$4:$BV$4,"&gt;="&amp;$B53,$C$4:$BV$4,"&lt;"&amp;$C53)=0),"",SUMIFS($C$22:$BV$22,$C$4:$BV$4,"&gt;="&amp;$B53,$C$4:$BV$4,"&lt;"&amp;$C53)/COUNTIFS($C$4:$BV$4,"&gt;="&amp;$B53,$C$4:$BV$4,"&lt;"&amp;$C53))</f>
        <v>2.3125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</row>
    <row r="54" customFormat="false" ht="15" hidden="false" customHeight="false" outlineLevel="0" collapsed="false">
      <c r="A54" s="88" t="str">
        <f aca="false">IF(OR(Milestones!$B10="",Milestones!$B11=""),"",Milestones!$B10&amp;" → "&amp;Milestones!$B11)</f>
        <v>TRR → Test Start</v>
      </c>
      <c r="B54" s="89" t="n">
        <f aca="false">IF($A54="","",Milestones!$E10)</f>
        <v>47122</v>
      </c>
      <c r="C54" s="89" t="n">
        <f aca="false">IF($A54="","",Milestones!$E11)</f>
        <v>47153</v>
      </c>
      <c r="D54" s="44" t="n">
        <f aca="false">IF($A54="","",MAX(0,($C54-$B54)/(365.25/12)))</f>
        <v>1.01848049281314</v>
      </c>
      <c r="E54" s="90" t="n">
        <f aca="false">IF($A54="","",SUMIFS($C$11:$BV$11,$C$4:$BV$4,"&gt;="&amp;$B54,$C$4:$BV$4,"&lt;"&amp;$C54))</f>
        <v>308.996976143065</v>
      </c>
      <c r="F54" s="91" t="n">
        <f aca="false">IF(OR($A54="",N($D54)=0),"",$E54/Inputs!$B$6/$D54)</f>
        <v>1.94480882162004</v>
      </c>
      <c r="G54" s="91" t="n">
        <f aca="false">IF(OR($A54="",COUNTIFS($C$4:$BV$4,"&gt;="&amp;$B54,$C$4:$BV$4,"&lt;"&amp;$C54)=0),"",SUMIFS($C$22:$BV$22,$C$4:$BV$4,"&gt;="&amp;$B54,$C$4:$BV$4,"&lt;"&amp;$C54)/COUNTIFS($C$4:$BV$4,"&gt;="&amp;$B54,$C$4:$BV$4,"&lt;"&amp;$C54))</f>
        <v>2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</row>
    <row r="55" customFormat="false" ht="15" hidden="false" customHeight="false" outlineLevel="0" collapsed="false">
      <c r="A55" s="88" t="str">
        <f aca="false">IF(OR(Milestones!$B11="",Milestones!$B12=""),"",Milestones!$B11&amp;" → "&amp;Milestones!$B12)</f>
        <v>Test Start → Test Complete</v>
      </c>
      <c r="B55" s="89" t="n">
        <f aca="false">IF($A55="","",Milestones!$E11)</f>
        <v>47153</v>
      </c>
      <c r="C55" s="89" t="n">
        <f aca="false">IF($A55="","",Milestones!$E12)</f>
        <v>47334</v>
      </c>
      <c r="D55" s="44" t="n">
        <f aca="false">IF($A55="","",MAX(0,($C55-$B55)/(365.25/12)))</f>
        <v>5.94661190965092</v>
      </c>
      <c r="E55" s="90" t="n">
        <f aca="false">IF($A55="","",SUMIFS($C$11:$BV$11,$C$4:$BV$4,"&gt;="&amp;$B55,$C$4:$BV$4,"&lt;"&amp;$C55))</f>
        <v>1781.50695926281</v>
      </c>
      <c r="F55" s="91" t="n">
        <f aca="false">IF(OR($A55="",N($D55)=0),"",$E55/Inputs!$B$6/$D55)</f>
        <v>1.92040721322289</v>
      </c>
      <c r="G55" s="91" t="n">
        <f aca="false">IF(OR($A55="",COUNTIFS($C$4:$BV$4,"&gt;="&amp;$B55,$C$4:$BV$4,"&lt;"&amp;$C55)=0),"",SUMIFS($C$22:$BV$22,$C$4:$BV$4,"&gt;="&amp;$B55,$C$4:$BV$4,"&lt;"&amp;$C55)/COUNTIFS($C$4:$BV$4,"&gt;="&amp;$B55,$C$4:$BV$4,"&lt;"&amp;$C55))</f>
        <v>2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</row>
    <row r="56" customFormat="false" ht="15" hidden="false" customHeight="false" outlineLevel="0" collapsed="false">
      <c r="A56" s="88" t="str">
        <f aca="false">IF(OR(Milestones!$B12="",Milestones!$B13=""),"",Milestones!$B12&amp;" → "&amp;Milestones!$B13)</f>
        <v>Test Complete → SAR Submittal</v>
      </c>
      <c r="B56" s="89" t="n">
        <f aca="false">IF($A56="","",Milestones!$E12)</f>
        <v>47334</v>
      </c>
      <c r="C56" s="89" t="n">
        <f aca="false">IF($A56="","",Milestones!$E13)</f>
        <v>47395</v>
      </c>
      <c r="D56" s="44" t="n">
        <f aca="false">IF($A56="","",MAX(0,($C56-$B56)/(365.25/12)))</f>
        <v>2.0041067761807</v>
      </c>
      <c r="E56" s="90" t="n">
        <f aca="false">IF($A56="","",SUMIFS($C$11:$BV$11,$C$4:$BV$4,"&gt;="&amp;$B56,$C$4:$BV$4,"&lt;"&amp;$C56))</f>
        <v>428.033712768913</v>
      </c>
      <c r="F56" s="91" t="n">
        <f aca="false">IF(OR($A56="",N($D56)=0),"",$E56/Inputs!$B$6/$D56)</f>
        <v>1.36909164905462</v>
      </c>
      <c r="G56" s="91" t="n">
        <f aca="false">IF(OR($A56="",COUNTIFS($C$4:$BV$4,"&gt;="&amp;$B56,$C$4:$BV$4,"&lt;"&amp;$C56)=0),"",SUMIFS($C$22:$BV$22,$C$4:$BV$4,"&gt;="&amp;$B56,$C$4:$BV$4,"&lt;"&amp;$C56)/COUNTIFS($C$4:$BV$4,"&gt;="&amp;$B56,$C$4:$BV$4,"&lt;"&amp;$C56))</f>
        <v>1.75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</row>
    <row r="57" customFormat="false" ht="15" hidden="false" customHeight="false" outlineLevel="0" collapsed="false">
      <c r="A57" s="88" t="str">
        <f aca="false">IF(OR(Milestones!$B13="",Milestones!$B14=""),"",Milestones!$B13&amp;" → "&amp;Milestones!$B14)</f>
        <v>SAR Submittal → Program End</v>
      </c>
      <c r="B57" s="89" t="n">
        <f aca="false">IF($A57="","",Milestones!$E13)</f>
        <v>47395</v>
      </c>
      <c r="C57" s="89" t="n">
        <f aca="false">IF($A57="","",Milestones!$E14)</f>
        <v>47483</v>
      </c>
      <c r="D57" s="44" t="n">
        <f aca="false">IF($A57="","",MAX(0,($C57-$B57)/(365.25/12)))</f>
        <v>2.8911704312115</v>
      </c>
      <c r="E57" s="90" t="n">
        <f aca="false">IF($A57="","",SUMIFS($C$11:$BV$11,$C$4:$BV$4,"&gt;="&amp;$B57,$C$4:$BV$4,"&lt;"&amp;$C57))</f>
        <v>263.452715979754</v>
      </c>
      <c r="F57" s="91" t="n">
        <f aca="false">IF(OR($A57="",N($D57)=0),"",$E57/Inputs!$B$6/$D57)</f>
        <v>0.584123109166211</v>
      </c>
      <c r="G57" s="91" t="n">
        <f aca="false">IF(OR($A57="",COUNTIFS($C$4:$BV$4,"&gt;="&amp;$B57,$C$4:$BV$4,"&lt;"&amp;$C57)=0),"",SUMIFS($C$22:$BV$22,$C$4:$BV$4,"&gt;="&amp;$B57,$C$4:$BV$4,"&lt;"&amp;$C57)/COUNTIFS($C$4:$BV$4,"&gt;="&amp;$B57,$C$4:$BV$4,"&lt;"&amp;$C57))</f>
        <v>1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</row>
    <row r="58" customFormat="false" ht="15" hidden="false" customHeight="false" outlineLevel="0" collapsed="false">
      <c r="A58" s="88" t="str">
        <f aca="false">IF(OR(Milestones!$B14="",Milestones!$B15=""),"",Milestones!$B14&amp;" → "&amp;Milestones!$B15)</f>
        <v/>
      </c>
      <c r="B58" s="89" t="str">
        <f aca="false">IF($A58="","",Milestones!$E14)</f>
        <v/>
      </c>
      <c r="C58" s="89" t="str">
        <f aca="false">IF($A58="","",Milestones!$E15)</f>
        <v/>
      </c>
      <c r="D58" s="44" t="str">
        <f aca="false">IF($A58="","",MAX(0,($C58-$B58)/(365.25/12)))</f>
        <v/>
      </c>
      <c r="E58" s="90" t="str">
        <f aca="false">IF($A58="","",SUMIFS($C$11:$BV$11,$C$4:$BV$4,"&gt;="&amp;$B58,$C$4:$BV$4,"&lt;"&amp;$C58))</f>
        <v/>
      </c>
      <c r="F58" s="91" t="str">
        <f aca="false">IF(OR($A58="",N($D58)=0),"",$E58/Inputs!$B$6/$D58)</f>
        <v/>
      </c>
      <c r="G58" s="91" t="str">
        <f aca="false">IF(OR($A58="",COUNTIFS($C$4:$BV$4,"&gt;="&amp;$B58,$C$4:$BV$4,"&lt;"&amp;$C58)=0),"",SUMIFS($C$22:$BV$22,$C$4:$BV$4,"&gt;="&amp;$B58,$C$4:$BV$4,"&lt;"&amp;$C58)/COUNTIFS($C$4:$BV$4,"&gt;="&amp;$B58,$C$4:$BV$4,"&lt;"&amp;$C58))</f>
        <v/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</row>
    <row r="59" customFormat="false" ht="15" hidden="false" customHeight="false" outlineLevel="0" collapsed="false">
      <c r="A59" s="88" t="str">
        <f aca="false">IF(OR(Milestones!$B15="",Milestones!$B16=""),"",Milestones!$B15&amp;" → "&amp;Milestones!$B16)</f>
        <v/>
      </c>
      <c r="B59" s="89" t="str">
        <f aca="false">IF($A59="","",Milestones!$E15)</f>
        <v/>
      </c>
      <c r="C59" s="89" t="str">
        <f aca="false">IF($A59="","",Milestones!$E16)</f>
        <v/>
      </c>
      <c r="D59" s="44" t="str">
        <f aca="false">IF($A59="","",MAX(0,($C59-$B59)/(365.25/12)))</f>
        <v/>
      </c>
      <c r="E59" s="90" t="str">
        <f aca="false">IF($A59="","",SUMIFS($C$11:$BV$11,$C$4:$BV$4,"&gt;="&amp;$B59,$C$4:$BV$4,"&lt;"&amp;$C59))</f>
        <v/>
      </c>
      <c r="F59" s="91" t="str">
        <f aca="false">IF(OR($A59="",N($D59)=0),"",$E59/Inputs!$B$6/$D59)</f>
        <v/>
      </c>
      <c r="G59" s="91" t="str">
        <f aca="false">IF(OR($A59="",COUNTIFS($C$4:$BV$4,"&gt;="&amp;$B59,$C$4:$BV$4,"&lt;"&amp;$C59)=0),"",SUMIFS($C$22:$BV$22,$C$4:$BV$4,"&gt;="&amp;$B59,$C$4:$BV$4,"&lt;"&amp;$C59)/COUNTIFS($C$4:$BV$4,"&gt;="&amp;$B59,$C$4:$BV$4,"&lt;"&amp;$C59))</f>
        <v/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</row>
    <row r="60" customFormat="false" ht="15" hidden="false" customHeight="false" outlineLevel="0" collapsed="false">
      <c r="A60" s="88" t="str">
        <f aca="false">IF(OR(Milestones!$B16="",Milestones!$B17=""),"",Milestones!$B16&amp;" → "&amp;Milestones!$B17)</f>
        <v/>
      </c>
      <c r="B60" s="89" t="str">
        <f aca="false">IF($A60="","",Milestones!$E16)</f>
        <v/>
      </c>
      <c r="C60" s="89" t="str">
        <f aca="false">IF($A60="","",Milestones!$E17)</f>
        <v/>
      </c>
      <c r="D60" s="44" t="str">
        <f aca="false">IF($A60="","",MAX(0,($C60-$B60)/(365.25/12)))</f>
        <v/>
      </c>
      <c r="E60" s="90" t="str">
        <f aca="false">IF($A60="","",SUMIFS($C$11:$BV$11,$C$4:$BV$4,"&gt;="&amp;$B60,$C$4:$BV$4,"&lt;"&amp;$C60))</f>
        <v/>
      </c>
      <c r="F60" s="91" t="str">
        <f aca="false">IF(OR($A60="",N($D60)=0),"",$E60/Inputs!$B$6/$D60)</f>
        <v/>
      </c>
      <c r="G60" s="91" t="str">
        <f aca="false">IF(OR($A60="",COUNTIFS($C$4:$BV$4,"&gt;="&amp;$B60,$C$4:$BV$4,"&lt;"&amp;$C60)=0),"",SUMIFS($C$22:$BV$22,$C$4:$BV$4,"&gt;="&amp;$B60,$C$4:$BV$4,"&lt;"&amp;$C60)/COUNTIFS($C$4:$BV$4,"&gt;="&amp;$B60,$C$4:$BV$4,"&lt;"&amp;$C60))</f>
        <v/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</row>
    <row r="61" customFormat="false" ht="15" hidden="false" customHeight="false" outlineLevel="0" collapsed="false">
      <c r="A61" s="88" t="str">
        <f aca="false">IF(OR(Milestones!$B17="",Milestones!$B18=""),"",Milestones!$B17&amp;" → "&amp;Milestones!$B18)</f>
        <v/>
      </c>
      <c r="B61" s="89" t="str">
        <f aca="false">IF($A61="","",Milestones!$E17)</f>
        <v/>
      </c>
      <c r="C61" s="89" t="str">
        <f aca="false">IF($A61="","",Milestones!$E18)</f>
        <v/>
      </c>
      <c r="D61" s="44" t="str">
        <f aca="false">IF($A61="","",MAX(0,($C61-$B61)/(365.25/12)))</f>
        <v/>
      </c>
      <c r="E61" s="90" t="str">
        <f aca="false">IF($A61="","",SUMIFS($C$11:$BV$11,$C$4:$BV$4,"&gt;="&amp;$B61,$C$4:$BV$4,"&lt;"&amp;$C61))</f>
        <v/>
      </c>
      <c r="F61" s="91" t="str">
        <f aca="false">IF(OR($A61="",N($D61)=0),"",$E61/Inputs!$B$6/$D61)</f>
        <v/>
      </c>
      <c r="G61" s="91" t="str">
        <f aca="false">IF(OR($A61="",COUNTIFS($C$4:$BV$4,"&gt;="&amp;$B61,$C$4:$BV$4,"&lt;"&amp;$C61)=0),"",SUMIFS($C$22:$BV$22,$C$4:$BV$4,"&gt;="&amp;$B61,$C$4:$BV$4,"&lt;"&amp;$C61)/COUNTIFS($C$4:$BV$4,"&gt;="&amp;$B61,$C$4:$BV$4,"&lt;"&amp;$C61))</f>
        <v/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</row>
    <row r="62" customFormat="false" ht="15" hidden="false" customHeight="false" outlineLevel="0" collapsed="false">
      <c r="A62" s="88" t="str">
        <f aca="false">IF(OR(Milestones!$B18="",Milestones!$B19=""),"",Milestones!$B18&amp;" → "&amp;Milestones!$B19)</f>
        <v/>
      </c>
      <c r="B62" s="89" t="str">
        <f aca="false">IF($A62="","",Milestones!$E18)</f>
        <v/>
      </c>
      <c r="C62" s="89" t="str">
        <f aca="false">IF($A62="","",Milestones!$E19)</f>
        <v/>
      </c>
      <c r="D62" s="44" t="str">
        <f aca="false">IF($A62="","",MAX(0,($C62-$B62)/(365.25/12)))</f>
        <v/>
      </c>
      <c r="E62" s="90" t="str">
        <f aca="false">IF($A62="","",SUMIFS($C$11:$BV$11,$C$4:$BV$4,"&gt;="&amp;$B62,$C$4:$BV$4,"&lt;"&amp;$C62))</f>
        <v/>
      </c>
      <c r="F62" s="91" t="str">
        <f aca="false">IF(OR($A62="",N($D62)=0),"",$E62/Inputs!$B$6/$D62)</f>
        <v/>
      </c>
      <c r="G62" s="91" t="str">
        <f aca="false">IF(OR($A62="",COUNTIFS($C$4:$BV$4,"&gt;="&amp;$B62,$C$4:$BV$4,"&lt;"&amp;$C62)=0),"",SUMIFS($C$22:$BV$22,$C$4:$BV$4,"&gt;="&amp;$B62,$C$4:$BV$4,"&lt;"&amp;$C62)/COUNTIFS($C$4:$BV$4,"&gt;="&amp;$B62,$C$4:$BV$4,"&lt;"&amp;$C62))</f>
        <v/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</row>
    <row r="63" customFormat="false" ht="15" hidden="false" customHeight="false" outlineLevel="0" collapsed="false">
      <c r="A63" s="88" t="str">
        <f aca="false">IF(OR(Milestones!$B19="",Milestones!$B20=""),"",Milestones!$B19&amp;" → "&amp;Milestones!$B20)</f>
        <v/>
      </c>
      <c r="B63" s="89" t="str">
        <f aca="false">IF($A63="","",Milestones!$E19)</f>
        <v/>
      </c>
      <c r="C63" s="89" t="str">
        <f aca="false">IF($A63="","",Milestones!$E20)</f>
        <v/>
      </c>
      <c r="D63" s="44" t="str">
        <f aca="false">IF($A63="","",MAX(0,($C63-$B63)/(365.25/12)))</f>
        <v/>
      </c>
      <c r="E63" s="90" t="str">
        <f aca="false">IF($A63="","",SUMIFS($C$11:$BV$11,$C$4:$BV$4,"&gt;="&amp;$B63,$C$4:$BV$4,"&lt;"&amp;$C63))</f>
        <v/>
      </c>
      <c r="F63" s="91" t="str">
        <f aca="false">IF(OR($A63="",N($D63)=0),"",$E63/Inputs!$B$6/$D63)</f>
        <v/>
      </c>
      <c r="G63" s="91" t="str">
        <f aca="false">IF(OR($A63="",COUNTIFS($C$4:$BV$4,"&gt;="&amp;$B63,$C$4:$BV$4,"&lt;"&amp;$C63)=0),"",SUMIFS($C$22:$BV$22,$C$4:$BV$4,"&gt;="&amp;$B63,$C$4:$BV$4,"&lt;"&amp;$C63)/COUNTIFS($C$4:$BV$4,"&gt;="&amp;$B63,$C$4:$BV$4,"&lt;"&amp;$C63))</f>
        <v/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</row>
    <row r="64" customFormat="false" ht="15" hidden="false" customHeight="false" outlineLevel="0" collapsed="false">
      <c r="A64" s="88" t="str">
        <f aca="false">IF(OR(Milestones!$B20="",Milestones!$B21=""),"",Milestones!$B20&amp;" → "&amp;Milestones!$B21)</f>
        <v/>
      </c>
      <c r="B64" s="89" t="str">
        <f aca="false">IF($A64="","",Milestones!$E20)</f>
        <v/>
      </c>
      <c r="C64" s="89" t="str">
        <f aca="false">IF($A64="","",Milestones!$E21)</f>
        <v/>
      </c>
      <c r="D64" s="44" t="str">
        <f aca="false">IF($A64="","",MAX(0,($C64-$B64)/(365.25/12)))</f>
        <v/>
      </c>
      <c r="E64" s="90" t="str">
        <f aca="false">IF($A64="","",SUMIFS($C$11:$BV$11,$C$4:$BV$4,"&gt;="&amp;$B64,$C$4:$BV$4,"&lt;"&amp;$C64))</f>
        <v/>
      </c>
      <c r="F64" s="91" t="str">
        <f aca="false">IF(OR($A64="",N($D64)=0),"",$E64/Inputs!$B$6/$D64)</f>
        <v/>
      </c>
      <c r="G64" s="91" t="str">
        <f aca="false">IF(OR($A64="",COUNTIFS($C$4:$BV$4,"&gt;="&amp;$B64,$C$4:$BV$4,"&lt;"&amp;$C64)=0),"",SUMIFS($C$22:$BV$22,$C$4:$BV$4,"&gt;="&amp;$B64,$C$4:$BV$4,"&lt;"&amp;$C64)/COUNTIFS($C$4:$BV$4,"&gt;="&amp;$B64,$C$4:$BV$4,"&lt;"&amp;$C64))</f>
        <v/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</row>
    <row r="65" customFormat="false" ht="15" hidden="false" customHeight="false" outlineLevel="0" collapsed="false">
      <c r="A65" s="88" t="str">
        <f aca="false">IF(OR(Milestones!$B21="",Milestones!$B22=""),"",Milestones!$B21&amp;" → "&amp;Milestones!$B22)</f>
        <v/>
      </c>
      <c r="B65" s="89" t="str">
        <f aca="false">IF($A65="","",Milestones!$E21)</f>
        <v/>
      </c>
      <c r="C65" s="89" t="str">
        <f aca="false">IF($A65="","",Milestones!$E22)</f>
        <v/>
      </c>
      <c r="D65" s="44" t="str">
        <f aca="false">IF($A65="","",MAX(0,($C65-$B65)/(365.25/12)))</f>
        <v/>
      </c>
      <c r="E65" s="90" t="str">
        <f aca="false">IF($A65="","",SUMIFS($C$11:$BV$11,$C$4:$BV$4,"&gt;="&amp;$B65,$C$4:$BV$4,"&lt;"&amp;$C65))</f>
        <v/>
      </c>
      <c r="F65" s="91" t="str">
        <f aca="false">IF(OR($A65="",N($D65)=0),"",$E65/Inputs!$B$6/$D65)</f>
        <v/>
      </c>
      <c r="G65" s="91" t="str">
        <f aca="false">IF(OR($A65="",COUNTIFS($C$4:$BV$4,"&gt;="&amp;$B65,$C$4:$BV$4,"&lt;"&amp;$C65)=0),"",SUMIFS($C$22:$BV$22,$C$4:$BV$4,"&gt;="&amp;$B65,$C$4:$BV$4,"&lt;"&amp;$C65)/COUNTIFS($C$4:$BV$4,"&gt;="&amp;$B65,$C$4:$BV$4,"&lt;"&amp;$C65))</f>
        <v/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</row>
    <row r="66" customFormat="false" ht="15" hidden="false" customHeight="false" outlineLevel="0" collapsed="false">
      <c r="A66" s="88" t="str">
        <f aca="false">IF(OR(Milestones!$B22="",Milestones!$B23=""),"",Milestones!$B22&amp;" → "&amp;Milestones!$B23)</f>
        <v/>
      </c>
      <c r="B66" s="89" t="str">
        <f aca="false">IF($A66="","",Milestones!$E22)</f>
        <v/>
      </c>
      <c r="C66" s="89" t="str">
        <f aca="false">IF($A66="","",Milestones!$E23)</f>
        <v/>
      </c>
      <c r="D66" s="44" t="str">
        <f aca="false">IF($A66="","",MAX(0,($C66-$B66)/(365.25/12)))</f>
        <v/>
      </c>
      <c r="E66" s="90" t="str">
        <f aca="false">IF($A66="","",SUMIFS($C$11:$BV$11,$C$4:$BV$4,"&gt;="&amp;$B66,$C$4:$BV$4,"&lt;"&amp;$C66))</f>
        <v/>
      </c>
      <c r="F66" s="91" t="str">
        <f aca="false">IF(OR($A66="",N($D66)=0),"",$E66/Inputs!$B$6/$D66)</f>
        <v/>
      </c>
      <c r="G66" s="91" t="str">
        <f aca="false">IF(OR($A66="",COUNTIFS($C$4:$BV$4,"&gt;="&amp;$B66,$C$4:$BV$4,"&lt;"&amp;$C66)=0),"",SUMIFS($C$22:$BV$22,$C$4:$BV$4,"&gt;="&amp;$B66,$C$4:$BV$4,"&lt;"&amp;$C66)/COUNTIFS($C$4:$BV$4,"&gt;="&amp;$B66,$C$4:$BV$4,"&lt;"&amp;$C66))</f>
        <v/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</row>
    <row r="67" customFormat="false" ht="15" hidden="false" customHeight="false" outlineLevel="0" collapsed="false">
      <c r="A67" s="88" t="str">
        <f aca="false">IF(OR(Milestones!$B23="",Milestones!$B24=""),"",Milestones!$B23&amp;" → "&amp;Milestones!$B24)</f>
        <v/>
      </c>
      <c r="B67" s="89" t="str">
        <f aca="false">IF($A67="","",Milestones!$E23)</f>
        <v/>
      </c>
      <c r="C67" s="89" t="str">
        <f aca="false">IF($A67="","",Milestones!$E24)</f>
        <v/>
      </c>
      <c r="D67" s="44" t="str">
        <f aca="false">IF($A67="","",MAX(0,($C67-$B67)/(365.25/12)))</f>
        <v/>
      </c>
      <c r="E67" s="90" t="str">
        <f aca="false">IF($A67="","",SUMIFS($C$11:$BV$11,$C$4:$BV$4,"&gt;="&amp;$B67,$C$4:$BV$4,"&lt;"&amp;$C67))</f>
        <v/>
      </c>
      <c r="F67" s="91" t="str">
        <f aca="false">IF(OR($A67="",N($D67)=0),"",$E67/Inputs!$B$6/$D67)</f>
        <v/>
      </c>
      <c r="G67" s="91" t="str">
        <f aca="false">IF(OR($A67="",COUNTIFS($C$4:$BV$4,"&gt;="&amp;$B67,$C$4:$BV$4,"&lt;"&amp;$C67)=0),"",SUMIFS($C$22:$BV$22,$C$4:$BV$4,"&gt;="&amp;$B67,$C$4:$BV$4,"&lt;"&amp;$C67)/COUNTIFS($C$4:$BV$4,"&gt;="&amp;$B67,$C$4:$BV$4,"&lt;"&amp;$C67))</f>
        <v/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</row>
    <row r="68" customFormat="false" ht="15" hidden="false" customHeight="false" outlineLevel="0" collapsed="false">
      <c r="A68" s="88" t="str">
        <f aca="false">IF(OR(Milestones!$B24="",Milestones!$B25=""),"",Milestones!$B24&amp;" → "&amp;Milestones!$B25)</f>
        <v/>
      </c>
      <c r="B68" s="89" t="str">
        <f aca="false">IF($A68="","",Milestones!$E24)</f>
        <v/>
      </c>
      <c r="C68" s="89" t="str">
        <f aca="false">IF($A68="","",Milestones!$E25)</f>
        <v/>
      </c>
      <c r="D68" s="44" t="str">
        <f aca="false">IF($A68="","",MAX(0,($C68-$B68)/(365.25/12)))</f>
        <v/>
      </c>
      <c r="E68" s="90" t="str">
        <f aca="false">IF($A68="","",SUMIFS($C$11:$BV$11,$C$4:$BV$4,"&gt;="&amp;$B68,$C$4:$BV$4,"&lt;"&amp;$C68))</f>
        <v/>
      </c>
      <c r="F68" s="91" t="str">
        <f aca="false">IF(OR($A68="",N($D68)=0),"",$E68/Inputs!$B$6/$D68)</f>
        <v/>
      </c>
      <c r="G68" s="91" t="str">
        <f aca="false">IF(OR($A68="",COUNTIFS($C$4:$BV$4,"&gt;="&amp;$B68,$C$4:$BV$4,"&lt;"&amp;$C68)=0),"",SUMIFS($C$22:$BV$22,$C$4:$BV$4,"&gt;="&amp;$B68,$C$4:$BV$4,"&lt;"&amp;$C68)/COUNTIFS($C$4:$BV$4,"&gt;="&amp;$B68,$C$4:$BV$4,"&lt;"&amp;$C68))</f>
        <v/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</row>
    <row r="69" customFormat="false" ht="15" hidden="false" customHeight="false" outlineLevel="0" collapsed="false">
      <c r="A69" s="88" t="str">
        <f aca="false">IF(OR(Milestones!$B25="",Milestones!$B26=""),"",Milestones!$B25&amp;" → "&amp;Milestones!$B26)</f>
        <v/>
      </c>
      <c r="B69" s="89" t="str">
        <f aca="false">IF($A69="","",Milestones!$E25)</f>
        <v/>
      </c>
      <c r="C69" s="89" t="str">
        <f aca="false">IF($A69="","",Milestones!$E26)</f>
        <v/>
      </c>
      <c r="D69" s="44" t="str">
        <f aca="false">IF($A69="","",MAX(0,($C69-$B69)/(365.25/12)))</f>
        <v/>
      </c>
      <c r="E69" s="90" t="str">
        <f aca="false">IF($A69="","",SUMIFS($C$11:$BV$11,$C$4:$BV$4,"&gt;="&amp;$B69,$C$4:$BV$4,"&lt;"&amp;$C69))</f>
        <v/>
      </c>
      <c r="F69" s="91" t="str">
        <f aca="false">IF(OR($A69="",N($D69)=0),"",$E69/Inputs!$B$6/$D69)</f>
        <v/>
      </c>
      <c r="G69" s="91" t="str">
        <f aca="false">IF(OR($A69="",COUNTIFS($C$4:$BV$4,"&gt;="&amp;$B69,$C$4:$BV$4,"&lt;"&amp;$C69)=0),"",SUMIFS($C$22:$BV$22,$C$4:$BV$4,"&gt;="&amp;$B69,$C$4:$BV$4,"&lt;"&amp;$C69)/COUNTIFS($C$4:$BV$4,"&gt;="&amp;$B69,$C$4:$BV$4,"&lt;"&amp;$C69))</f>
        <v/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</row>
    <row r="70" customFormat="false" ht="15" hidden="false" customHeight="false" outlineLevel="0" collapsed="false">
      <c r="A70" s="88" t="str">
        <f aca="false">IF(OR(Milestones!$B26="",Milestones!$B27=""),"",Milestones!$B26&amp;" → "&amp;Milestones!$B27)</f>
        <v/>
      </c>
      <c r="B70" s="89" t="str">
        <f aca="false">IF($A70="","",Milestones!$E26)</f>
        <v/>
      </c>
      <c r="C70" s="89" t="str">
        <f aca="false">IF($A70="","",Milestones!$E27)</f>
        <v/>
      </c>
      <c r="D70" s="44" t="str">
        <f aca="false">IF($A70="","",MAX(0,($C70-$B70)/(365.25/12)))</f>
        <v/>
      </c>
      <c r="E70" s="90" t="str">
        <f aca="false">IF($A70="","",SUMIFS($C$11:$BV$11,$C$4:$BV$4,"&gt;="&amp;$B70,$C$4:$BV$4,"&lt;"&amp;$C70))</f>
        <v/>
      </c>
      <c r="F70" s="91" t="str">
        <f aca="false">IF(OR($A70="",N($D70)=0),"",$E70/Inputs!$B$6/$D70)</f>
        <v/>
      </c>
      <c r="G70" s="91" t="str">
        <f aca="false">IF(OR($A70="",COUNTIFS($C$4:$BV$4,"&gt;="&amp;$B70,$C$4:$BV$4,"&lt;"&amp;$C70)=0),"",SUMIFS($C$22:$BV$22,$C$4:$BV$4,"&gt;="&amp;$B70,$C$4:$BV$4,"&lt;"&amp;$C70)/COUNTIFS($C$4:$BV$4,"&gt;="&amp;$B70,$C$4:$BV$4,"&lt;"&amp;$C70))</f>
        <v/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</row>
    <row r="71" customFormat="false" ht="15" hidden="false" customHeight="false" outlineLevel="0" collapsed="false">
      <c r="A71" s="88" t="str">
        <f aca="false">IF(OR(Milestones!$B27="",Milestones!$B28=""),"",Milestones!$B27&amp;" → "&amp;Milestones!$B28)</f>
        <v/>
      </c>
      <c r="B71" s="89" t="str">
        <f aca="false">IF($A71="","",Milestones!$E27)</f>
        <v/>
      </c>
      <c r="C71" s="89" t="str">
        <f aca="false">IF($A71="","",Milestones!$E28)</f>
        <v/>
      </c>
      <c r="D71" s="44" t="str">
        <f aca="false">IF($A71="","",MAX(0,($C71-$B71)/(365.25/12)))</f>
        <v/>
      </c>
      <c r="E71" s="90" t="str">
        <f aca="false">IF($A71="","",SUMIFS($C$11:$BV$11,$C$4:$BV$4,"&gt;="&amp;$B71,$C$4:$BV$4,"&lt;"&amp;$C71))</f>
        <v/>
      </c>
      <c r="F71" s="91" t="str">
        <f aca="false">IF(OR($A71="",N($D71)=0),"",$E71/Inputs!$B$6/$D71)</f>
        <v/>
      </c>
      <c r="G71" s="91" t="str">
        <f aca="false">IF(OR($A71="",COUNTIFS($C$4:$BV$4,"&gt;="&amp;$B71,$C$4:$BV$4,"&lt;"&amp;$C71)=0),"",SUMIFS($C$22:$BV$22,$C$4:$BV$4,"&gt;="&amp;$B71,$C$4:$BV$4,"&lt;"&amp;$C71)/COUNTIFS($C$4:$BV$4,"&gt;="&amp;$B71,$C$4:$BV$4,"&lt;"&amp;$C71))</f>
        <v/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</row>
    <row r="72" customFormat="false" ht="15" hidden="false" customHeight="false" outlineLevel="0" collapsed="false">
      <c r="A72" s="88" t="str">
        <f aca="false">IF(OR(Milestones!$B28="",Milestones!$B29=""),"",Milestones!$B28&amp;" → "&amp;Milestones!$B29)</f>
        <v/>
      </c>
      <c r="B72" s="89" t="str">
        <f aca="false">IF($A72="","",Milestones!$E28)</f>
        <v/>
      </c>
      <c r="C72" s="89" t="str">
        <f aca="false">IF($A72="","",Milestones!$E29)</f>
        <v/>
      </c>
      <c r="D72" s="44" t="str">
        <f aca="false">IF($A72="","",MAX(0,($C72-$B72)/(365.25/12)))</f>
        <v/>
      </c>
      <c r="E72" s="90" t="str">
        <f aca="false">IF($A72="","",SUMIFS($C$11:$BV$11,$C$4:$BV$4,"&gt;="&amp;$B72,$C$4:$BV$4,"&lt;"&amp;$C72))</f>
        <v/>
      </c>
      <c r="F72" s="91" t="str">
        <f aca="false">IF(OR($A72="",N($D72)=0),"",$E72/Inputs!$B$6/$D72)</f>
        <v/>
      </c>
      <c r="G72" s="91" t="str">
        <f aca="false">IF(OR($A72="",COUNTIFS($C$4:$BV$4,"&gt;="&amp;$B72,$C$4:$BV$4,"&lt;"&amp;$C72)=0),"",SUMIFS($C$22:$BV$22,$C$4:$BV$4,"&gt;="&amp;$B72,$C$4:$BV$4,"&lt;"&amp;$C72)/COUNTIFS($C$4:$BV$4,"&gt;="&amp;$B72,$C$4:$BV$4,"&lt;"&amp;$C72))</f>
        <v/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</row>
    <row r="73" customFormat="false" ht="15" hidden="false" customHeight="false" outlineLevel="0" collapsed="false">
      <c r="A73" s="88" t="str">
        <f aca="false">IF(OR(Milestones!$B29="",Milestones!$B30=""),"",Milestones!$B29&amp;" → "&amp;Milestones!$B30)</f>
        <v/>
      </c>
      <c r="B73" s="89" t="str">
        <f aca="false">IF($A73="","",Milestones!$E29)</f>
        <v/>
      </c>
      <c r="C73" s="89" t="str">
        <f aca="false">IF($A73="","",Milestones!$E30)</f>
        <v/>
      </c>
      <c r="D73" s="44" t="str">
        <f aca="false">IF($A73="","",MAX(0,($C73-$B73)/(365.25/12)))</f>
        <v/>
      </c>
      <c r="E73" s="90" t="str">
        <f aca="false">IF($A73="","",SUMIFS($C$11:$BV$11,$C$4:$BV$4,"&gt;="&amp;$B73,$C$4:$BV$4,"&lt;"&amp;$C73))</f>
        <v/>
      </c>
      <c r="F73" s="91" t="str">
        <f aca="false">IF(OR($A73="",N($D73)=0),"",$E73/Inputs!$B$6/$D73)</f>
        <v/>
      </c>
      <c r="G73" s="91" t="str">
        <f aca="false">IF(OR($A73="",COUNTIFS($C$4:$BV$4,"&gt;="&amp;$B73,$C$4:$BV$4,"&lt;"&amp;$C73)=0),"",SUMIFS($C$22:$BV$22,$C$4:$BV$4,"&gt;="&amp;$B73,$C$4:$BV$4,"&lt;"&amp;$C73)/COUNTIFS($C$4:$BV$4,"&gt;="&amp;$B73,$C$4:$BV$4,"&lt;"&amp;$C73))</f>
        <v/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</row>
    <row r="74" customFormat="false" ht="15" hidden="false" customHeight="false" outlineLevel="0" collapsed="false">
      <c r="A74" s="88" t="str">
        <f aca="false">IF(OR(Milestones!$B30="",Milestones!$B31=""),"",Milestones!$B30&amp;" → "&amp;Milestones!$B31)</f>
        <v/>
      </c>
      <c r="B74" s="89" t="str">
        <f aca="false">IF($A74="","",Milestones!$E30)</f>
        <v/>
      </c>
      <c r="C74" s="89" t="str">
        <f aca="false">IF($A74="","",Milestones!$E31)</f>
        <v/>
      </c>
      <c r="D74" s="44" t="str">
        <f aca="false">IF($A74="","",MAX(0,($C74-$B74)/(365.25/12)))</f>
        <v/>
      </c>
      <c r="E74" s="90" t="str">
        <f aca="false">IF($A74="","",SUMIFS($C$11:$BV$11,$C$4:$BV$4,"&gt;="&amp;$B74,$C$4:$BV$4,"&lt;"&amp;$C74))</f>
        <v/>
      </c>
      <c r="F74" s="91" t="str">
        <f aca="false">IF(OR($A74="",N($D74)=0),"",$E74/Inputs!$B$6/$D74)</f>
        <v/>
      </c>
      <c r="G74" s="91" t="str">
        <f aca="false">IF(OR($A74="",COUNTIFS($C$4:$BV$4,"&gt;="&amp;$B74,$C$4:$BV$4,"&lt;"&amp;$C74)=0),"",SUMIFS($C$22:$BV$22,$C$4:$BV$4,"&gt;="&amp;$B74,$C$4:$BV$4,"&lt;"&amp;$C74)/COUNTIFS($C$4:$BV$4,"&gt;="&amp;$B74,$C$4:$BV$4,"&lt;"&amp;$C74))</f>
        <v/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</row>
    <row r="75" customFormat="false" ht="15" hidden="false" customHeight="false" outlineLevel="0" collapsed="false">
      <c r="A75" s="88" t="str">
        <f aca="false">IF(OR(Milestones!$B31="",Milestones!$B32=""),"",Milestones!$B31&amp;" → "&amp;Milestones!$B32)</f>
        <v/>
      </c>
      <c r="B75" s="89" t="str">
        <f aca="false">IF($A75="","",Milestones!$E31)</f>
        <v/>
      </c>
      <c r="C75" s="89" t="str">
        <f aca="false">IF($A75="","",Milestones!$E32)</f>
        <v/>
      </c>
      <c r="D75" s="44" t="str">
        <f aca="false">IF($A75="","",MAX(0,($C75-$B75)/(365.25/12)))</f>
        <v/>
      </c>
      <c r="E75" s="90" t="str">
        <f aca="false">IF($A75="","",SUMIFS($C$11:$BV$11,$C$4:$BV$4,"&gt;="&amp;$B75,$C$4:$BV$4,"&lt;"&amp;$C75))</f>
        <v/>
      </c>
      <c r="F75" s="91" t="str">
        <f aca="false">IF(OR($A75="",N($D75)=0),"",$E75/Inputs!$B$6/$D75)</f>
        <v/>
      </c>
      <c r="G75" s="91" t="str">
        <f aca="false">IF(OR($A75="",COUNTIFS($C$4:$BV$4,"&gt;="&amp;$B75,$C$4:$BV$4,"&lt;"&amp;$C75)=0),"",SUMIFS($C$22:$BV$22,$C$4:$BV$4,"&gt;="&amp;$B75,$C$4:$BV$4,"&lt;"&amp;$C75)/COUNTIFS($C$4:$BV$4,"&gt;="&amp;$B75,$C$4:$BV$4,"&lt;"&amp;$C75))</f>
        <v/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</row>
    <row r="76" customFormat="false" ht="15" hidden="false" customHeight="false" outlineLevel="0" collapsed="false">
      <c r="A76" s="88" t="str">
        <f aca="false">IF(OR(Milestones!$B32="",Milestones!$B33=""),"",Milestones!$B32&amp;" → "&amp;Milestones!$B33)</f>
        <v/>
      </c>
      <c r="B76" s="89" t="str">
        <f aca="false">IF($A76="","",Milestones!$E32)</f>
        <v/>
      </c>
      <c r="C76" s="89" t="str">
        <f aca="false">IF($A76="","",Milestones!$E33)</f>
        <v/>
      </c>
      <c r="D76" s="44" t="str">
        <f aca="false">IF($A76="","",MAX(0,($C76-$B76)/(365.25/12)))</f>
        <v/>
      </c>
      <c r="E76" s="90" t="str">
        <f aca="false">IF($A76="","",SUMIFS($C$11:$BV$11,$C$4:$BV$4,"&gt;="&amp;$B76,$C$4:$BV$4,"&lt;"&amp;$C76))</f>
        <v/>
      </c>
      <c r="F76" s="91" t="str">
        <f aca="false">IF(OR($A76="",N($D76)=0),"",$E76/Inputs!$B$6/$D76)</f>
        <v/>
      </c>
      <c r="G76" s="91" t="str">
        <f aca="false">IF(OR($A76="",COUNTIFS($C$4:$BV$4,"&gt;="&amp;$B76,$C$4:$BV$4,"&lt;"&amp;$C76)=0),"",SUMIFS($C$22:$BV$22,$C$4:$BV$4,"&gt;="&amp;$B76,$C$4:$BV$4,"&lt;"&amp;$C76)/COUNTIFS($C$4:$BV$4,"&gt;="&amp;$B76,$C$4:$BV$4,"&lt;"&amp;$C76))</f>
        <v/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</row>
    <row r="77" customFormat="false" ht="15" hidden="false" customHeight="false" outlineLevel="0" collapsed="false">
      <c r="A77" s="88" t="str">
        <f aca="false">IF(OR(Milestones!$B33="",Milestones!$B34=""),"",Milestones!$B33&amp;" → "&amp;Milestones!$B34)</f>
        <v/>
      </c>
      <c r="B77" s="89" t="str">
        <f aca="false">IF($A77="","",Milestones!$E33)</f>
        <v/>
      </c>
      <c r="C77" s="89" t="str">
        <f aca="false">IF($A77="","",Milestones!$E34)</f>
        <v/>
      </c>
      <c r="D77" s="44" t="str">
        <f aca="false">IF($A77="","",MAX(0,($C77-$B77)/(365.25/12)))</f>
        <v/>
      </c>
      <c r="E77" s="90" t="str">
        <f aca="false">IF($A77="","",SUMIFS($C$11:$BV$11,$C$4:$BV$4,"&gt;="&amp;$B77,$C$4:$BV$4,"&lt;"&amp;$C77))</f>
        <v/>
      </c>
      <c r="F77" s="91" t="str">
        <f aca="false">IF(OR($A77="",N($D77)=0),"",$E77/Inputs!$B$6/$D77)</f>
        <v/>
      </c>
      <c r="G77" s="91" t="str">
        <f aca="false">IF(OR($A77="",COUNTIFS($C$4:$BV$4,"&gt;="&amp;$B77,$C$4:$BV$4,"&lt;"&amp;$C77)=0),"",SUMIFS($C$22:$BV$22,$C$4:$BV$4,"&gt;="&amp;$B77,$C$4:$BV$4,"&lt;"&amp;$C77)/COUNTIFS($C$4:$BV$4,"&gt;="&amp;$B77,$C$4:$BV$4,"&lt;"&amp;$C77))</f>
        <v/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</row>
    <row r="78" customFormat="false" ht="15" hidden="false" customHeight="false" outlineLevel="0" collapsed="false">
      <c r="A78" s="28" t="s">
        <v>349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</row>
    <row r="80" customFormat="false" ht="15" hidden="false" customHeight="false" outlineLevel="0" collapsed="false">
      <c r="A80" s="18" t="s">
        <v>350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CK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2" min="10" style="0" width="12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6" min="15" style="0" width="10"/>
    <col collapsed="false" customWidth="true" hidden="false" outlineLevel="0" max="17" min="17" style="0" width="3"/>
    <col collapsed="false" customWidth="true" hidden="false" outlineLevel="0" max="89" min="18" style="0" width="4.2"/>
  </cols>
  <sheetData>
    <row r="1" customFormat="false" ht="17.35" hidden="false" customHeight="false" outlineLevel="0" collapsed="false">
      <c r="A1" s="3" t="s">
        <v>351</v>
      </c>
    </row>
    <row r="2" customFormat="false" ht="15" hidden="false" customHeight="false" outlineLevel="0" collapsed="false">
      <c r="A2" s="5" t="s">
        <v>352</v>
      </c>
    </row>
    <row r="4" customFormat="false" ht="15" hidden="false" customHeight="false" outlineLevel="0" collapsed="false">
      <c r="A4" s="18" t="s">
        <v>353</v>
      </c>
      <c r="B4" s="33" t="s">
        <v>354</v>
      </c>
      <c r="C4" s="28" t="s">
        <v>355</v>
      </c>
    </row>
    <row r="7" customFormat="false" ht="45" hidden="false" customHeight="true" outlineLevel="0" collapsed="false">
      <c r="A7" s="6" t="s">
        <v>159</v>
      </c>
      <c r="B7" s="6" t="s">
        <v>356</v>
      </c>
      <c r="C7" s="6" t="s">
        <v>357</v>
      </c>
      <c r="D7" s="6" t="s">
        <v>358</v>
      </c>
      <c r="E7" s="6" t="s">
        <v>359</v>
      </c>
      <c r="F7" s="6" t="s">
        <v>360</v>
      </c>
      <c r="G7" s="6" t="s">
        <v>361</v>
      </c>
      <c r="H7" s="6" t="s">
        <v>362</v>
      </c>
      <c r="I7" s="6" t="s">
        <v>363</v>
      </c>
      <c r="J7" s="6" t="s">
        <v>364</v>
      </c>
      <c r="K7" s="6" t="s">
        <v>365</v>
      </c>
      <c r="L7" s="6" t="s">
        <v>366</v>
      </c>
      <c r="M7" s="6" t="s">
        <v>367</v>
      </c>
      <c r="N7" s="6" t="s">
        <v>368</v>
      </c>
      <c r="O7" s="6" t="s">
        <v>30</v>
      </c>
      <c r="P7" s="6" t="s">
        <v>31</v>
      </c>
    </row>
    <row r="8" customFormat="false" ht="15" hidden="false" customHeight="false" outlineLevel="0" collapsed="false">
      <c r="A8" s="50" t="s">
        <v>178</v>
      </c>
      <c r="B8" s="92" t="str">
        <f aca="false">IF($A8="","",IFERROR(INDEX(BOE!$C$6:$C$60,MATCH($A8,BOE!$A$6:$A$60,0)),"not in BOE"))</f>
        <v>Hazard identification &amp; mitigation effort using the system safety methodology (program execution)</v>
      </c>
      <c r="C8" s="22" t="str">
        <f aca="false">IF($A8="","",IFERROR(INDEX(BOE!$E$6:$E$60,MATCH($A8,BOE!$A$6:$A$60,0)),""))</f>
        <v>Y</v>
      </c>
      <c r="D8" s="30" t="s">
        <v>369</v>
      </c>
      <c r="E8" s="30"/>
      <c r="F8" s="30"/>
      <c r="G8" s="30"/>
      <c r="H8" s="41" t="str">
        <f aca="false">IF($A8="","",IF($B$4="Separate",IF($G8="","",$G8),IF($F8="","",$F8)))</f>
        <v/>
      </c>
      <c r="I8" s="22" t="str">
        <f aca="false">IF($A8="","",IFERROR(INDEX(BOE!$M$6:$M$60,MATCH($A8,BOE!$A$6:$A$60,0)),""))</f>
        <v>Program End</v>
      </c>
      <c r="J8" s="30"/>
      <c r="K8" s="30"/>
      <c r="L8" s="43" t="n">
        <f aca="false">IF($A8="","",IFERROR(INDEX(Milestones!$E$5:$E$34,MATCH(IF($M8&lt;&gt;"",$M8,$I8),Milestones!$B$5:$B$34,0))+IFERROR(INDEX(BOE!$N$6:$N$60,MATCH($A8,BOE!$A$6:$A$60,0)),0)*7*($M8=""),""))</f>
        <v>47483</v>
      </c>
      <c r="M8" s="93"/>
      <c r="N8" s="43" t="str">
        <f aca="false">IF(OR($L8="",N($K8)=0),"",$L8-$K8*7)</f>
        <v/>
      </c>
      <c r="O8" s="94" t="n">
        <f aca="false">IF($A8="","",IFERROR(INDEX(BOE!$R$6:$R$60,MATCH($A8,BOE!$A$6:$A$60,0)),0))</f>
        <v>717.535934291581</v>
      </c>
      <c r="P8" s="94" t="n">
        <f aca="false">IF($A8="","",IFERROR(INDEX(BOE!$T$6:$T$60,MATCH($A8,BOE!$A$6:$A$60,0)),0))</f>
        <v>1076.30390143737</v>
      </c>
    </row>
    <row r="9" customFormat="false" ht="15" hidden="false" customHeight="false" outlineLevel="0" collapsed="false">
      <c r="A9" s="50" t="s">
        <v>185</v>
      </c>
      <c r="B9" s="92" t="str">
        <f aca="false">IF($A9="","",IFERROR(INDEX(BOE!$C$6:$C$60,MATCH($A9,BOE!$A$6:$A$60,0)),"not in BOE"))</f>
        <v>System Safety Program Plan (SSPP)</v>
      </c>
      <c r="C9" s="22" t="str">
        <f aca="false">IF($A9="","",IFERROR(INDEX(BOE!$E$6:$E$60,MATCH($A9,BOE!$A$6:$A$60,0)),""))</f>
        <v>Y</v>
      </c>
      <c r="D9" s="30" t="s">
        <v>370</v>
      </c>
      <c r="E9" s="30" t="s">
        <v>371</v>
      </c>
      <c r="F9" s="30" t="s">
        <v>372</v>
      </c>
      <c r="G9" s="30" t="s">
        <v>372</v>
      </c>
      <c r="H9" s="41" t="str">
        <f aca="false">IF($A9="","",IF($B$4="Separate",IF($G9="","",$G9),IF($F9="","",$F9)))</f>
        <v>A001</v>
      </c>
      <c r="I9" s="22" t="str">
        <f aca="false">IF($A9="","",IFERROR(INDEX(BOE!$M$6:$M$60,MATCH($A9,BOE!$A$6:$A$60,0)),""))</f>
        <v>SRR</v>
      </c>
      <c r="J9" s="30" t="n">
        <v>2</v>
      </c>
      <c r="K9" s="30" t="n">
        <v>4</v>
      </c>
      <c r="L9" s="43" t="n">
        <f aca="false">IF($A9="","",IFERROR(INDEX(Milestones!$E$5:$E$34,MATCH(IF($M9&lt;&gt;"",$M9,$I9),Milestones!$B$5:$B$34,0))+IFERROR(INDEX(BOE!$N$6:$N$60,MATCH($A9,BOE!$A$6:$A$60,0)),0)*7*($M9=""),""))</f>
        <v>46481</v>
      </c>
      <c r="M9" s="93"/>
      <c r="N9" s="43" t="n">
        <f aca="false">IF(OR($L9="",N($K9)=0),"",$L9-$K9*7)</f>
        <v>46453</v>
      </c>
      <c r="O9" s="94" t="n">
        <f aca="false">IF($A9="","",IFERROR(INDEX(BOE!$R$6:$R$60,MATCH($A9,BOE!$A$6:$A$60,0)),0))</f>
        <v>320</v>
      </c>
      <c r="P9" s="94" t="n">
        <f aca="false">IF($A9="","",IFERROR(INDEX(BOE!$T$6:$T$60,MATCH($A9,BOE!$A$6:$A$60,0)),0))</f>
        <v>480</v>
      </c>
    </row>
    <row r="10" customFormat="false" ht="15" hidden="false" customHeight="false" outlineLevel="0" collapsed="false">
      <c r="A10" s="50" t="s">
        <v>190</v>
      </c>
      <c r="B10" s="92" t="str">
        <f aca="false">IF($A10="","",IFERROR(INDEX(BOE!$C$6:$C$60,MATCH($A10,BOE!$A$6:$A$60,0)),"not in BOE"))</f>
        <v>Hazard Management Plan (HMP) — other functional disciplines</v>
      </c>
      <c r="C10" s="22" t="str">
        <f aca="false">IF($A10="","",IFERROR(INDEX(BOE!$E$6:$E$60,MATCH($A10,BOE!$A$6:$A$60,0)),""))</f>
        <v>N</v>
      </c>
      <c r="D10" s="30" t="s">
        <v>370</v>
      </c>
      <c r="E10" s="30" t="s">
        <v>373</v>
      </c>
      <c r="F10" s="30" t="s">
        <v>372</v>
      </c>
      <c r="G10" s="30" t="s">
        <v>372</v>
      </c>
      <c r="H10" s="41" t="str">
        <f aca="false">IF($A10="","",IF($B$4="Separate",IF($G10="","",$G10),IF($F10="","",$F10)))</f>
        <v>A001</v>
      </c>
      <c r="I10" s="22" t="str">
        <f aca="false">IF($A10="","",IFERROR(INDEX(BOE!$M$6:$M$60,MATCH($A10,BOE!$A$6:$A$60,0)),""))</f>
        <v>SRR</v>
      </c>
      <c r="J10" s="30" t="n">
        <v>2</v>
      </c>
      <c r="K10" s="30" t="n">
        <v>4</v>
      </c>
      <c r="L10" s="43" t="n">
        <f aca="false">IF($A10="","",IFERROR(INDEX(Milestones!$E$5:$E$34,MATCH(IF($M10&lt;&gt;"",$M10,$I10),Milestones!$B$5:$B$34,0))+IFERROR(INDEX(BOE!$N$6:$N$60,MATCH($A10,BOE!$A$6:$A$60,0)),0)*7*($M10=""),""))</f>
        <v>46481</v>
      </c>
      <c r="M10" s="93"/>
      <c r="N10" s="43" t="n">
        <f aca="false">IF(OR($L10="",N($K10)=0),"",$L10-$K10*7)</f>
        <v>46453</v>
      </c>
      <c r="O10" s="94" t="n">
        <f aca="false">IF($A10="","",IFERROR(INDEX(BOE!$R$6:$R$60,MATCH($A10,BOE!$A$6:$A$60,0)),0))</f>
        <v>0</v>
      </c>
      <c r="P10" s="94" t="n">
        <f aca="false">IF($A10="","",IFERROR(INDEX(BOE!$T$6:$T$60,MATCH($A10,BOE!$A$6:$A$60,0)),0))</f>
        <v>0</v>
      </c>
    </row>
    <row r="11" customFormat="false" ht="15" hidden="false" customHeight="false" outlineLevel="0" collapsed="false">
      <c r="A11" s="50" t="s">
        <v>194</v>
      </c>
      <c r="B11" s="92" t="str">
        <f aca="false">IF($A11="","",IFERROR(INDEX(BOE!$C$6:$C$60,MATCH($A11,BOE!$A$6:$A$60,0)),"not in BOE"))</f>
        <v>Support of Government reviews / audits / boards</v>
      </c>
      <c r="C11" s="22" t="str">
        <f aca="false">IF($A11="","",IFERROR(INDEX(BOE!$E$6:$E$60,MATCH($A11,BOE!$A$6:$A$60,0)),""))</f>
        <v>Y</v>
      </c>
      <c r="D11" s="30" t="s">
        <v>369</v>
      </c>
      <c r="E11" s="30"/>
      <c r="F11" s="30"/>
      <c r="G11" s="30"/>
      <c r="H11" s="41" t="str">
        <f aca="false">IF($A11="","",IF($B$4="Separate",IF($G11="","",$G11),IF($F11="","",$F11)))</f>
        <v/>
      </c>
      <c r="I11" s="22" t="str">
        <f aca="false">IF($A11="","",IFERROR(INDEX(BOE!$M$6:$M$60,MATCH($A11,BOE!$A$6:$A$60,0)),""))</f>
        <v>Program End</v>
      </c>
      <c r="J11" s="30"/>
      <c r="K11" s="30"/>
      <c r="L11" s="43" t="n">
        <f aca="false">IF($A11="","",IFERROR(INDEX(Milestones!$E$5:$E$34,MATCH(IF($M11&lt;&gt;"",$M11,$I11),Milestones!$B$5:$B$34,0))+IFERROR(INDEX(BOE!$N$6:$N$60,MATCH($A11,BOE!$A$6:$A$60,0)),0)*7*($M11=""),""))</f>
        <v>47483</v>
      </c>
      <c r="M11" s="93"/>
      <c r="N11" s="43" t="str">
        <f aca="false">IF(OR($L11="",N($K11)=0),"",$L11-$K11*7)</f>
        <v/>
      </c>
      <c r="O11" s="94" t="n">
        <f aca="false">IF($A11="","",IFERROR(INDEX(BOE!$R$6:$R$60,MATCH($A11,BOE!$A$6:$A$60,0)),0))</f>
        <v>240</v>
      </c>
      <c r="P11" s="94" t="n">
        <f aca="false">IF($A11="","",IFERROR(INDEX(BOE!$T$6:$T$60,MATCH($A11,BOE!$A$6:$A$60,0)),0))</f>
        <v>360</v>
      </c>
    </row>
    <row r="12" customFormat="false" ht="15" hidden="false" customHeight="false" outlineLevel="0" collapsed="false">
      <c r="A12" s="50" t="s">
        <v>198</v>
      </c>
      <c r="B12" s="92" t="str">
        <f aca="false">IF($A12="","",IFERROR(INDEX(BOE!$C$6:$C$60,MATCH($A12,BOE!$A$6:$A$60,0)),"not in BOE"))</f>
        <v>Integrated Product Team / Working Group support</v>
      </c>
      <c r="C12" s="22" t="str">
        <f aca="false">IF($A12="","",IFERROR(INDEX(BOE!$E$6:$E$60,MATCH($A12,BOE!$A$6:$A$60,0)),""))</f>
        <v>Y</v>
      </c>
      <c r="D12" s="30" t="s">
        <v>369</v>
      </c>
      <c r="E12" s="30"/>
      <c r="F12" s="30"/>
      <c r="G12" s="30"/>
      <c r="H12" s="41" t="str">
        <f aca="false">IF($A12="","",IF($B$4="Separate",IF($G12="","",$G12),IF($F12="","",$F12)))</f>
        <v/>
      </c>
      <c r="I12" s="22" t="str">
        <f aca="false">IF($A12="","",IFERROR(INDEX(BOE!$M$6:$M$60,MATCH($A12,BOE!$A$6:$A$60,0)),""))</f>
        <v>Program End</v>
      </c>
      <c r="J12" s="30"/>
      <c r="K12" s="30"/>
      <c r="L12" s="43" t="n">
        <f aca="false">IF($A12="","",IFERROR(INDEX(Milestones!$E$5:$E$34,MATCH(IF($M12&lt;&gt;"",$M12,$I12),Milestones!$B$5:$B$34,0))+IFERROR(INDEX(BOE!$N$6:$N$60,MATCH($A12,BOE!$A$6:$A$60,0)),0)*7*($M12=""),""))</f>
        <v>47483</v>
      </c>
      <c r="M12" s="93"/>
      <c r="N12" s="43" t="str">
        <f aca="false">IF(OR($L12="",N($K12)=0),"",$L12-$K12*7)</f>
        <v/>
      </c>
      <c r="O12" s="94" t="n">
        <f aca="false">IF($A12="","",IFERROR(INDEX(BOE!$R$6:$R$60,MATCH($A12,BOE!$A$6:$A$60,0)),0))</f>
        <v>430.521560574949</v>
      </c>
      <c r="P12" s="94" t="n">
        <f aca="false">IF($A12="","",IFERROR(INDEX(BOE!$T$6:$T$60,MATCH($A12,BOE!$A$6:$A$60,0)),0))</f>
        <v>645.782340862423</v>
      </c>
    </row>
    <row r="13" customFormat="false" ht="15" hidden="false" customHeight="false" outlineLevel="0" collapsed="false">
      <c r="A13" s="50" t="s">
        <v>202</v>
      </c>
      <c r="B13" s="92" t="str">
        <f aca="false">IF($A13="","",IFERROR(INDEX(BOE!$C$6:$C$60,MATCH($A13,BOE!$A$6:$A$60,0)),"not in BOE"))</f>
        <v>Hazard Tracking System — establish</v>
      </c>
      <c r="C13" s="22" t="str">
        <f aca="false">IF($A13="","",IFERROR(INDEX(BOE!$E$6:$E$60,MATCH($A13,BOE!$A$6:$A$60,0)),""))</f>
        <v>Y</v>
      </c>
      <c r="D13" s="30" t="s">
        <v>374</v>
      </c>
      <c r="E13" s="30" t="s">
        <v>375</v>
      </c>
      <c r="F13" s="30"/>
      <c r="G13" s="30"/>
      <c r="H13" s="41" t="str">
        <f aca="false">IF($A13="","",IF($B$4="Separate",IF($G13="","",$G13),IF($F13="","",$F13)))</f>
        <v/>
      </c>
      <c r="I13" s="22" t="str">
        <f aca="false">IF($A13="","",IFERROR(INDEX(BOE!$M$6:$M$60,MATCH($A13,BOE!$A$6:$A$60,0)),""))</f>
        <v>SRR</v>
      </c>
      <c r="J13" s="30"/>
      <c r="K13" s="30"/>
      <c r="L13" s="43" t="n">
        <f aca="false">IF($A13="","",IFERROR(INDEX(Milestones!$E$5:$E$34,MATCH(IF($M13&lt;&gt;"",$M13,$I13),Milestones!$B$5:$B$34,0))+IFERROR(INDEX(BOE!$N$6:$N$60,MATCH($A13,BOE!$A$6:$A$60,0)),0)*7*($M13=""),""))</f>
        <v>46481</v>
      </c>
      <c r="M13" s="93"/>
      <c r="N13" s="43" t="str">
        <f aca="false">IF(OR($L13="",N($K13)=0),"",$L13-$K13*7)</f>
        <v/>
      </c>
      <c r="O13" s="94" t="n">
        <f aca="false">IF($A13="","",IFERROR(INDEX(BOE!$R$6:$R$60,MATCH($A13,BOE!$A$6:$A$60,0)),0))</f>
        <v>120</v>
      </c>
      <c r="P13" s="94" t="n">
        <f aca="false">IF($A13="","",IFERROR(INDEX(BOE!$T$6:$T$60,MATCH($A13,BOE!$A$6:$A$60,0)),0))</f>
        <v>180</v>
      </c>
    </row>
    <row r="14" customFormat="false" ht="15" hidden="false" customHeight="false" outlineLevel="0" collapsed="false">
      <c r="A14" s="50" t="s">
        <v>206</v>
      </c>
      <c r="B14" s="92" t="str">
        <f aca="false">IF($A14="","",IFERROR(INDEX(BOE!$C$6:$C$60,MATCH($A14,BOE!$A$6:$A$60,0)),"not in BOE"))</f>
        <v>Hazard Tracking System — maintain</v>
      </c>
      <c r="C14" s="22" t="str">
        <f aca="false">IF($A14="","",IFERROR(INDEX(BOE!$E$6:$E$60,MATCH($A14,BOE!$A$6:$A$60,0)),""))</f>
        <v>Y</v>
      </c>
      <c r="D14" s="30" t="s">
        <v>374</v>
      </c>
      <c r="E14" s="30" t="s">
        <v>375</v>
      </c>
      <c r="F14" s="30"/>
      <c r="G14" s="30"/>
      <c r="H14" s="41" t="str">
        <f aca="false">IF($A14="","",IF($B$4="Separate",IF($G14="","",$G14),IF($F14="","",$F14)))</f>
        <v/>
      </c>
      <c r="I14" s="22" t="str">
        <f aca="false">IF($A14="","",IFERROR(INDEX(BOE!$M$6:$M$60,MATCH($A14,BOE!$A$6:$A$60,0)),""))</f>
        <v>Program End</v>
      </c>
      <c r="J14" s="30"/>
      <c r="K14" s="30"/>
      <c r="L14" s="43" t="n">
        <f aca="false">IF($A14="","",IFERROR(INDEX(Milestones!$E$5:$E$34,MATCH(IF($M14&lt;&gt;"",$M14,$I14),Milestones!$B$5:$B$34,0))+IFERROR(INDEX(BOE!$N$6:$N$60,MATCH($A14,BOE!$A$6:$A$60,0)),0)*7*($M14=""),""))</f>
        <v>47483</v>
      </c>
      <c r="M14" s="93"/>
      <c r="N14" s="43" t="str">
        <f aca="false">IF(OR($L14="",N($K14)=0),"",$L14-$K14*7)</f>
        <v/>
      </c>
      <c r="O14" s="94" t="n">
        <f aca="false">IF($A14="","",IFERROR(INDEX(BOE!$R$6:$R$60,MATCH($A14,BOE!$A$6:$A$60,0)),0))</f>
        <v>263.359342915811</v>
      </c>
      <c r="P14" s="94" t="n">
        <f aca="false">IF($A14="","",IFERROR(INDEX(BOE!$T$6:$T$60,MATCH($A14,BOE!$A$6:$A$60,0)),0))</f>
        <v>395.039014373717</v>
      </c>
    </row>
    <row r="15" customFormat="false" ht="15" hidden="false" customHeight="false" outlineLevel="0" collapsed="false">
      <c r="A15" s="50" t="s">
        <v>210</v>
      </c>
      <c r="B15" s="92" t="str">
        <f aca="false">IF($A15="","",IFERROR(INDEX(BOE!$C$6:$C$60,MATCH($A15,BOE!$A$6:$A$60,0)),"not in BOE"))</f>
        <v>Hazard Management Progress Report</v>
      </c>
      <c r="C15" s="22" t="str">
        <f aca="false">IF($A15="","",IFERROR(INDEX(BOE!$E$6:$E$60,MATCH($A15,BOE!$A$6:$A$60,0)),""))</f>
        <v>Y</v>
      </c>
      <c r="D15" s="30" t="s">
        <v>376</v>
      </c>
      <c r="E15" s="30" t="s">
        <v>377</v>
      </c>
      <c r="F15" s="30" t="s">
        <v>378</v>
      </c>
      <c r="G15" s="30" t="s">
        <v>378</v>
      </c>
      <c r="H15" s="41" t="str">
        <f aca="false">IF($A15="","",IF($B$4="Separate",IF($G15="","",$G15),IF($F15="","",$F15)))</f>
        <v>A004</v>
      </c>
      <c r="I15" s="22" t="str">
        <f aca="false">IF($A15="","",IFERROR(INDEX(BOE!$M$6:$M$60,MATCH($A15,BOE!$A$6:$A$60,0)),""))</f>
        <v>Program End</v>
      </c>
      <c r="J15" s="30"/>
      <c r="K15" s="30"/>
      <c r="L15" s="43" t="n">
        <f aca="false">IF($A15="","",IFERROR(INDEX(Milestones!$E$5:$E$34,MATCH(IF($M15&lt;&gt;"",$M15,$I15),Milestones!$B$5:$B$34,0))+IFERROR(INDEX(BOE!$N$6:$N$60,MATCH($A15,BOE!$A$6:$A$60,0)),0)*7*($M15=""),""))</f>
        <v>47483</v>
      </c>
      <c r="M15" s="93"/>
      <c r="N15" s="43" t="str">
        <f aca="false">IF(OR($L15="",N($K15)=0),"",$L15-$K15*7)</f>
        <v/>
      </c>
      <c r="O15" s="94" t="n">
        <f aca="false">IF($A15="","",IFERROR(INDEX(BOE!$R$6:$R$60,MATCH($A15,BOE!$A$6:$A$60,0)),0))</f>
        <v>143.507186858316</v>
      </c>
      <c r="P15" s="94" t="n">
        <f aca="false">IF($A15="","",IFERROR(INDEX(BOE!$T$6:$T$60,MATCH($A15,BOE!$A$6:$A$60,0)),0))</f>
        <v>215.260780287474</v>
      </c>
    </row>
    <row r="16" customFormat="false" ht="15" hidden="false" customHeight="false" outlineLevel="0" collapsed="false">
      <c r="A16" s="50" t="s">
        <v>214</v>
      </c>
      <c r="B16" s="92" t="str">
        <f aca="false">IF($A16="","",IFERROR(INDEX(BOE!$C$6:$C$60,MATCH($A16,BOE!$A$6:$A$60,0)),"not in BOE"))</f>
        <v>Hazardous Materials Management Plan (HMMP)</v>
      </c>
      <c r="C16" s="22" t="str">
        <f aca="false">IF($A16="","",IFERROR(INDEX(BOE!$E$6:$E$60,MATCH($A16,BOE!$A$6:$A$60,0)),""))</f>
        <v>Y</v>
      </c>
      <c r="D16" s="30" t="s">
        <v>370</v>
      </c>
      <c r="E16" s="30" t="s">
        <v>379</v>
      </c>
      <c r="F16" s="30" t="s">
        <v>380</v>
      </c>
      <c r="G16" s="30" t="s">
        <v>380</v>
      </c>
      <c r="H16" s="41" t="str">
        <f aca="false">IF($A16="","",IF($B$4="Separate",IF($G16="","",$G16),IF($F16="","",$F16)))</f>
        <v>A008</v>
      </c>
      <c r="I16" s="22" t="str">
        <f aca="false">IF($A16="","",IFERROR(INDEX(BOE!$M$6:$M$60,MATCH($A16,BOE!$A$6:$A$60,0)),""))</f>
        <v>PDR</v>
      </c>
      <c r="J16" s="30" t="n">
        <v>2</v>
      </c>
      <c r="K16" s="30" t="n">
        <v>4</v>
      </c>
      <c r="L16" s="43" t="n">
        <f aca="false">IF($A16="","",IFERROR(INDEX(Milestones!$E$5:$E$34,MATCH(IF($M16&lt;&gt;"",$M16,$I16),Milestones!$B$5:$B$34,0))+IFERROR(INDEX(BOE!$N$6:$N$60,MATCH($A16,BOE!$A$6:$A$60,0)),0)*7*($M16=""),""))</f>
        <v>46695</v>
      </c>
      <c r="M16" s="93"/>
      <c r="N16" s="43" t="n">
        <f aca="false">IF(OR($L16="",N($K16)=0),"",$L16-$K16*7)</f>
        <v>46667</v>
      </c>
      <c r="O16" s="94" t="n">
        <f aca="false">IF($A16="","",IFERROR(INDEX(BOE!$R$6:$R$60,MATCH($A16,BOE!$A$6:$A$60,0)),0))</f>
        <v>200</v>
      </c>
      <c r="P16" s="94" t="n">
        <f aca="false">IF($A16="","",IFERROR(INDEX(BOE!$T$6:$T$60,MATCH($A16,BOE!$A$6:$A$60,0)),0))</f>
        <v>300</v>
      </c>
    </row>
    <row r="17" customFormat="false" ht="15" hidden="false" customHeight="false" outlineLevel="0" collapsed="false">
      <c r="A17" s="50" t="s">
        <v>218</v>
      </c>
      <c r="B17" s="92" t="str">
        <f aca="false">IF($A17="","",IFERROR(INDEX(BOE!$C$6:$C$60,MATCH($A17,BOE!$A$6:$A$60,0)),"not in BOE"))</f>
        <v>Preliminary Hazard List (PHL)</v>
      </c>
      <c r="C17" s="22" t="str">
        <f aca="false">IF($A17="","",IFERROR(INDEX(BOE!$E$6:$E$60,MATCH($A17,BOE!$A$6:$A$60,0)),""))</f>
        <v>Y</v>
      </c>
      <c r="D17" s="30" t="s">
        <v>370</v>
      </c>
      <c r="E17" s="30" t="s">
        <v>381</v>
      </c>
      <c r="F17" s="30" t="s">
        <v>382</v>
      </c>
      <c r="G17" s="30" t="s">
        <v>383</v>
      </c>
      <c r="H17" s="41" t="str">
        <f aca="false">IF($A17="","",IF($B$4="Separate",IF($G17="","",$G17),IF($F17="","",$F17)))</f>
        <v>A002</v>
      </c>
      <c r="I17" s="22" t="str">
        <f aca="false">IF($A17="","",IFERROR(INDEX(BOE!$M$6:$M$60,MATCH($A17,BOE!$A$6:$A$60,0)),""))</f>
        <v>SRR</v>
      </c>
      <c r="J17" s="30" t="n">
        <v>1</v>
      </c>
      <c r="K17" s="30" t="n">
        <v>2</v>
      </c>
      <c r="L17" s="43" t="n">
        <f aca="false">IF($A17="","",IFERROR(INDEX(Milestones!$E$5:$E$34,MATCH(IF($M17&lt;&gt;"",$M17,$I17),Milestones!$B$5:$B$34,0))+IFERROR(INDEX(BOE!$N$6:$N$60,MATCH($A17,BOE!$A$6:$A$60,0)),0)*7*($M17=""),""))</f>
        <v>46481</v>
      </c>
      <c r="M17" s="93"/>
      <c r="N17" s="43" t="n">
        <f aca="false">IF(OR($L17="",N($K17)=0),"",$L17-$K17*7)</f>
        <v>46467</v>
      </c>
      <c r="O17" s="94" t="n">
        <f aca="false">IF($A17="","",IFERROR(INDEX(BOE!$R$6:$R$60,MATCH($A17,BOE!$A$6:$A$60,0)),0))</f>
        <v>160</v>
      </c>
      <c r="P17" s="94" t="n">
        <f aca="false">IF($A17="","",IFERROR(INDEX(BOE!$T$6:$T$60,MATCH($A17,BOE!$A$6:$A$60,0)),0))</f>
        <v>240</v>
      </c>
    </row>
    <row r="18" customFormat="false" ht="15" hidden="false" customHeight="false" outlineLevel="0" collapsed="false">
      <c r="A18" s="50" t="s">
        <v>222</v>
      </c>
      <c r="B18" s="92" t="str">
        <f aca="false">IF($A18="","",IFERROR(INDEX(BOE!$C$6:$C$60,MATCH($A18,BOE!$A$6:$A$60,0)),"not in BOE"))</f>
        <v>Preliminary Hazard Analysis (PHA)</v>
      </c>
      <c r="C18" s="22" t="str">
        <f aca="false">IF($A18="","",IFERROR(INDEX(BOE!$E$6:$E$60,MATCH($A18,BOE!$A$6:$A$60,0)),""))</f>
        <v>Y</v>
      </c>
      <c r="D18" s="30" t="s">
        <v>370</v>
      </c>
      <c r="E18" s="30" t="s">
        <v>381</v>
      </c>
      <c r="F18" s="30" t="s">
        <v>382</v>
      </c>
      <c r="G18" s="30" t="s">
        <v>384</v>
      </c>
      <c r="H18" s="41" t="str">
        <f aca="false">IF($A18="","",IF($B$4="Separate",IF($G18="","",$G18),IF($F18="","",$F18)))</f>
        <v>A002</v>
      </c>
      <c r="I18" s="22" t="str">
        <f aca="false">IF($A18="","",IFERROR(INDEX(BOE!$M$6:$M$60,MATCH($A18,BOE!$A$6:$A$60,0)),""))</f>
        <v>SFR</v>
      </c>
      <c r="J18" s="30" t="n">
        <v>2</v>
      </c>
      <c r="K18" s="30" t="n">
        <v>4</v>
      </c>
      <c r="L18" s="43" t="n">
        <f aca="false">IF($A18="","",IFERROR(INDEX(Milestones!$E$5:$E$34,MATCH(IF($M18&lt;&gt;"",$M18,$I18),Milestones!$B$5:$B$34,0))+IFERROR(INDEX(BOE!$N$6:$N$60,MATCH($A18,BOE!$A$6:$A$60,0)),0)*7*($M18=""),""))</f>
        <v>46600</v>
      </c>
      <c r="M18" s="93"/>
      <c r="N18" s="43" t="n">
        <f aca="false">IF(OR($L18="",N($K18)=0),"",$L18-$K18*7)</f>
        <v>46572</v>
      </c>
      <c r="O18" s="94" t="n">
        <f aca="false">IF($A18="","",IFERROR(INDEX(BOE!$R$6:$R$60,MATCH($A18,BOE!$A$6:$A$60,0)),0))</f>
        <v>480</v>
      </c>
      <c r="P18" s="94" t="n">
        <f aca="false">IF($A18="","",IFERROR(INDEX(BOE!$T$6:$T$60,MATCH($A18,BOE!$A$6:$A$60,0)),0))</f>
        <v>720</v>
      </c>
    </row>
    <row r="19" customFormat="false" ht="15" hidden="false" customHeight="false" outlineLevel="0" collapsed="false">
      <c r="A19" s="50" t="s">
        <v>226</v>
      </c>
      <c r="B19" s="92" t="str">
        <f aca="false">IF($A19="","",IFERROR(INDEX(BOE!$C$6:$C$60,MATCH($A19,BOE!$A$6:$A$60,0)),"not in BOE"))</f>
        <v>System Requirements Hazard Analysis (SRHA)</v>
      </c>
      <c r="C19" s="22" t="str">
        <f aca="false">IF($A19="","",IFERROR(INDEX(BOE!$E$6:$E$60,MATCH($A19,BOE!$A$6:$A$60,0)),""))</f>
        <v>Y</v>
      </c>
      <c r="D19" s="30" t="s">
        <v>370</v>
      </c>
      <c r="E19" s="30" t="s">
        <v>381</v>
      </c>
      <c r="F19" s="30" t="s">
        <v>382</v>
      </c>
      <c r="G19" s="30" t="s">
        <v>385</v>
      </c>
      <c r="H19" s="41" t="str">
        <f aca="false">IF($A19="","",IF($B$4="Separate",IF($G19="","",$G19),IF($F19="","",$F19)))</f>
        <v>A002</v>
      </c>
      <c r="I19" s="22" t="str">
        <f aca="false">IF($A19="","",IFERROR(INDEX(BOE!$M$6:$M$60,MATCH($A19,BOE!$A$6:$A$60,0)),""))</f>
        <v>CDR</v>
      </c>
      <c r="J19" s="30" t="n">
        <v>3</v>
      </c>
      <c r="K19" s="30" t="n">
        <v>4</v>
      </c>
      <c r="L19" s="43" t="n">
        <f aca="false">IF($A19="","",IFERROR(INDEX(Milestones!$E$5:$E$34,MATCH(IF($M19&lt;&gt;"",$M19,$I19),Milestones!$B$5:$B$34,0))+IFERROR(INDEX(BOE!$N$6:$N$60,MATCH($A19,BOE!$A$6:$A$60,0)),0)*7*($M19=""),""))</f>
        <v>46877</v>
      </c>
      <c r="M19" s="93"/>
      <c r="N19" s="43" t="n">
        <f aca="false">IF(OR($L19="",N($K19)=0),"",$L19-$K19*7)</f>
        <v>46849</v>
      </c>
      <c r="O19" s="94" t="n">
        <f aca="false">IF($A19="","",IFERROR(INDEX(BOE!$R$6:$R$60,MATCH($A19,BOE!$A$6:$A$60,0)),0))</f>
        <v>520</v>
      </c>
      <c r="P19" s="94" t="n">
        <f aca="false">IF($A19="","",IFERROR(INDEX(BOE!$T$6:$T$60,MATCH($A19,BOE!$A$6:$A$60,0)),0))</f>
        <v>780</v>
      </c>
    </row>
    <row r="20" customFormat="false" ht="15" hidden="false" customHeight="false" outlineLevel="0" collapsed="false">
      <c r="A20" s="50" t="s">
        <v>230</v>
      </c>
      <c r="B20" s="92" t="str">
        <f aca="false">IF($A20="","",IFERROR(INDEX(BOE!$C$6:$C$60,MATCH($A20,BOE!$A$6:$A$60,0)),"not in BOE"))</f>
        <v>Subsystem Hazard Analysis (SSHA)</v>
      </c>
      <c r="C20" s="22" t="str">
        <f aca="false">IF($A20="","",IFERROR(INDEX(BOE!$E$6:$E$60,MATCH($A20,BOE!$A$6:$A$60,0)),""))</f>
        <v>Y</v>
      </c>
      <c r="D20" s="30" t="s">
        <v>370</v>
      </c>
      <c r="E20" s="30" t="s">
        <v>381</v>
      </c>
      <c r="F20" s="30" t="s">
        <v>382</v>
      </c>
      <c r="G20" s="30" t="s">
        <v>386</v>
      </c>
      <c r="H20" s="41" t="str">
        <f aca="false">IF($A20="","",IF($B$4="Separate",IF($G20="","",$G20),IF($F20="","",$F20)))</f>
        <v>A002</v>
      </c>
      <c r="I20" s="22" t="str">
        <f aca="false">IF($A20="","",IFERROR(INDEX(BOE!$M$6:$M$60,MATCH($A20,BOE!$A$6:$A$60,0)),""))</f>
        <v>CDR</v>
      </c>
      <c r="J20" s="30" t="n">
        <v>3</v>
      </c>
      <c r="K20" s="30" t="n">
        <v>4</v>
      </c>
      <c r="L20" s="43" t="n">
        <f aca="false">IF($A20="","",IFERROR(INDEX(Milestones!$E$5:$E$34,MATCH(IF($M20&lt;&gt;"",$M20,$I20),Milestones!$B$5:$B$34,0))+IFERROR(INDEX(BOE!$N$6:$N$60,MATCH($A20,BOE!$A$6:$A$60,0)),0)*7*($M20=""),""))</f>
        <v>46905</v>
      </c>
      <c r="M20" s="93"/>
      <c r="N20" s="43" t="n">
        <f aca="false">IF(OR($L20="",N($K20)=0),"",$L20-$K20*7)</f>
        <v>46877</v>
      </c>
      <c r="O20" s="94" t="n">
        <f aca="false">IF($A20="","",IFERROR(INDEX(BOE!$R$6:$R$60,MATCH($A20,BOE!$A$6:$A$60,0)),0))</f>
        <v>1872</v>
      </c>
      <c r="P20" s="94" t="n">
        <f aca="false">IF($A20="","",IFERROR(INDEX(BOE!$T$6:$T$60,MATCH($A20,BOE!$A$6:$A$60,0)),0))</f>
        <v>2808</v>
      </c>
    </row>
    <row r="21" customFormat="false" ht="15" hidden="false" customHeight="false" outlineLevel="0" collapsed="false">
      <c r="A21" s="50" t="s">
        <v>234</v>
      </c>
      <c r="B21" s="92" t="str">
        <f aca="false">IF($A21="","",IFERROR(INDEX(BOE!$C$6:$C$60,MATCH($A21,BOE!$A$6:$A$60,0)),"not in BOE"))</f>
        <v>System Hazard Analysis (SHA)</v>
      </c>
      <c r="C21" s="22" t="str">
        <f aca="false">IF($A21="","",IFERROR(INDEX(BOE!$E$6:$E$60,MATCH($A21,BOE!$A$6:$A$60,0)),""))</f>
        <v>Y</v>
      </c>
      <c r="D21" s="30" t="s">
        <v>370</v>
      </c>
      <c r="E21" s="30" t="s">
        <v>381</v>
      </c>
      <c r="F21" s="30" t="s">
        <v>382</v>
      </c>
      <c r="G21" s="30" t="s">
        <v>387</v>
      </c>
      <c r="H21" s="41" t="str">
        <f aca="false">IF($A21="","",IF($B$4="Separate",IF($G21="","",$G21),IF($F21="","",$F21)))</f>
        <v>A002</v>
      </c>
      <c r="I21" s="22" t="str">
        <f aca="false">IF($A21="","",IFERROR(INDEX(BOE!$M$6:$M$60,MATCH($A21,BOE!$A$6:$A$60,0)),""))</f>
        <v>CDR</v>
      </c>
      <c r="J21" s="30" t="n">
        <v>3</v>
      </c>
      <c r="K21" s="30" t="n">
        <v>4</v>
      </c>
      <c r="L21" s="43" t="n">
        <f aca="false">IF($A21="","",IFERROR(INDEX(Milestones!$E$5:$E$34,MATCH(IF($M21&lt;&gt;"",$M21,$I21),Milestones!$B$5:$B$34,0))+IFERROR(INDEX(BOE!$N$6:$N$60,MATCH($A21,BOE!$A$6:$A$60,0)),0)*7*($M21=""),""))</f>
        <v>46933</v>
      </c>
      <c r="M21" s="93"/>
      <c r="N21" s="43" t="n">
        <f aca="false">IF(OR($L21="",N($K21)=0),"",$L21-$K21*7)</f>
        <v>46905</v>
      </c>
      <c r="O21" s="94" t="n">
        <f aca="false">IF($A21="","",IFERROR(INDEX(BOE!$R$6:$R$60,MATCH($A21,BOE!$A$6:$A$60,0)),0))</f>
        <v>832</v>
      </c>
      <c r="P21" s="94" t="n">
        <f aca="false">IF($A21="","",IFERROR(INDEX(BOE!$T$6:$T$60,MATCH($A21,BOE!$A$6:$A$60,0)),0))</f>
        <v>1248</v>
      </c>
    </row>
    <row r="22" customFormat="false" ht="15" hidden="false" customHeight="false" outlineLevel="0" collapsed="false">
      <c r="A22" s="50" t="s">
        <v>238</v>
      </c>
      <c r="B22" s="92" t="str">
        <f aca="false">IF($A22="","",IFERROR(INDEX(BOE!$C$6:$C$60,MATCH($A22,BOE!$A$6:$A$60,0)),"not in BOE"))</f>
        <v>Operating &amp; Support Hazard Analysis (O&amp;SHA)</v>
      </c>
      <c r="C22" s="22" t="str">
        <f aca="false">IF($A22="","",IFERROR(INDEX(BOE!$E$6:$E$60,MATCH($A22,BOE!$A$6:$A$60,0)),""))</f>
        <v>Y</v>
      </c>
      <c r="D22" s="30" t="s">
        <v>370</v>
      </c>
      <c r="E22" s="30" t="s">
        <v>381</v>
      </c>
      <c r="F22" s="30" t="s">
        <v>382</v>
      </c>
      <c r="G22" s="30" t="s">
        <v>388</v>
      </c>
      <c r="H22" s="41" t="str">
        <f aca="false">IF($A22="","",IF($B$4="Separate",IF($G22="","",$G22),IF($F22="","",$F22)))</f>
        <v>A002</v>
      </c>
      <c r="I22" s="22" t="str">
        <f aca="false">IF($A22="","",IFERROR(INDEX(BOE!$M$6:$M$60,MATCH($A22,BOE!$A$6:$A$60,0)),""))</f>
        <v>TRR</v>
      </c>
      <c r="J22" s="30" t="n">
        <v>2</v>
      </c>
      <c r="K22" s="30" t="n">
        <v>4</v>
      </c>
      <c r="L22" s="43" t="n">
        <f aca="false">IF($A22="","",IFERROR(INDEX(Milestones!$E$5:$E$34,MATCH(IF($M22&lt;&gt;"",$M22,$I22),Milestones!$B$5:$B$34,0))+IFERROR(INDEX(BOE!$N$6:$N$60,MATCH($A22,BOE!$A$6:$A$60,0)),0)*7*($M22=""),""))</f>
        <v>47122</v>
      </c>
      <c r="M22" s="93"/>
      <c r="N22" s="43" t="n">
        <f aca="false">IF(OR($L22="",N($K22)=0),"",$L22-$K22*7)</f>
        <v>47094</v>
      </c>
      <c r="O22" s="94" t="n">
        <f aca="false">IF($A22="","",IFERROR(INDEX(BOE!$R$6:$R$60,MATCH($A22,BOE!$A$6:$A$60,0)),0))</f>
        <v>480</v>
      </c>
      <c r="P22" s="94" t="n">
        <f aca="false">IF($A22="","",IFERROR(INDEX(BOE!$T$6:$T$60,MATCH($A22,BOE!$A$6:$A$60,0)),0))</f>
        <v>720</v>
      </c>
    </row>
    <row r="23" customFormat="false" ht="15" hidden="false" customHeight="false" outlineLevel="0" collapsed="false">
      <c r="A23" s="50" t="s">
        <v>242</v>
      </c>
      <c r="B23" s="92" t="str">
        <f aca="false">IF($A23="","",IFERROR(INDEX(BOE!$C$6:$C$60,MATCH($A23,BOE!$A$6:$A$60,0)),"not in BOE"))</f>
        <v>Health Hazard Analysis (HHA)</v>
      </c>
      <c r="C23" s="22" t="str">
        <f aca="false">IF($A23="","",IFERROR(INDEX(BOE!$E$6:$E$60,MATCH($A23,BOE!$A$6:$A$60,0)),""))</f>
        <v>Y</v>
      </c>
      <c r="D23" s="30" t="s">
        <v>370</v>
      </c>
      <c r="E23" s="30" t="s">
        <v>389</v>
      </c>
      <c r="F23" s="30" t="s">
        <v>390</v>
      </c>
      <c r="G23" s="30" t="s">
        <v>390</v>
      </c>
      <c r="H23" s="41" t="str">
        <f aca="false">IF($A23="","",IF($B$4="Separate",IF($G23="","",$G23),IF($F23="","",$F23)))</f>
        <v>A003</v>
      </c>
      <c r="I23" s="22" t="str">
        <f aca="false">IF($A23="","",IFERROR(INDEX(BOE!$M$6:$M$60,MATCH($A23,BOE!$A$6:$A$60,0)),""))</f>
        <v>CDR</v>
      </c>
      <c r="J23" s="30" t="n">
        <v>2</v>
      </c>
      <c r="K23" s="30" t="n">
        <v>4</v>
      </c>
      <c r="L23" s="43" t="n">
        <f aca="false">IF($A23="","",IFERROR(INDEX(Milestones!$E$5:$E$34,MATCH(IF($M23&lt;&gt;"",$M23,$I23),Milestones!$B$5:$B$34,0))+IFERROR(INDEX(BOE!$N$6:$N$60,MATCH($A23,BOE!$A$6:$A$60,0)),0)*7*($M23=""),""))</f>
        <v>46877</v>
      </c>
      <c r="M23" s="93"/>
      <c r="N23" s="43" t="n">
        <f aca="false">IF(OR($L23="",N($K23)=0),"",$L23-$K23*7)</f>
        <v>46849</v>
      </c>
      <c r="O23" s="94" t="n">
        <f aca="false">IF($A23="","",IFERROR(INDEX(BOE!$R$6:$R$60,MATCH($A23,BOE!$A$6:$A$60,0)),0))</f>
        <v>280</v>
      </c>
      <c r="P23" s="94" t="n">
        <f aca="false">IF($A23="","",IFERROR(INDEX(BOE!$T$6:$T$60,MATCH($A23,BOE!$A$6:$A$60,0)),0))</f>
        <v>420</v>
      </c>
    </row>
    <row r="24" customFormat="false" ht="15" hidden="false" customHeight="false" outlineLevel="0" collapsed="false">
      <c r="A24" s="50" t="s">
        <v>246</v>
      </c>
      <c r="B24" s="92" t="str">
        <f aca="false">IF($A24="","",IFERROR(INDEX(BOE!$C$6:$C$60,MATCH($A24,BOE!$A$6:$A$60,0)),"not in BOE"))</f>
        <v>Functional Hazard Analysis (FHA)</v>
      </c>
      <c r="C24" s="22" t="str">
        <f aca="false">IF($A24="","",IFERROR(INDEX(BOE!$E$6:$E$60,MATCH($A24,BOE!$A$6:$A$60,0)),""))</f>
        <v>Y</v>
      </c>
      <c r="D24" s="30" t="s">
        <v>370</v>
      </c>
      <c r="E24" s="30" t="s">
        <v>381</v>
      </c>
      <c r="F24" s="30" t="s">
        <v>382</v>
      </c>
      <c r="G24" s="30" t="s">
        <v>391</v>
      </c>
      <c r="H24" s="41" t="str">
        <f aca="false">IF($A24="","",IF($B$4="Separate",IF($G24="","",$G24),IF($F24="","",$F24)))</f>
        <v>A002</v>
      </c>
      <c r="I24" s="22" t="str">
        <f aca="false">IF($A24="","",IFERROR(INDEX(BOE!$M$6:$M$60,MATCH($A24,BOE!$A$6:$A$60,0)),""))</f>
        <v>PDR</v>
      </c>
      <c r="J24" s="30" t="n">
        <v>2</v>
      </c>
      <c r="K24" s="30" t="n">
        <v>4</v>
      </c>
      <c r="L24" s="43" t="n">
        <f aca="false">IF($A24="","",IFERROR(INDEX(Milestones!$E$5:$E$34,MATCH(IF($M24&lt;&gt;"",$M24,$I24),Milestones!$B$5:$B$34,0))+IFERROR(INDEX(BOE!$N$6:$N$60,MATCH($A24,BOE!$A$6:$A$60,0)),0)*7*($M24=""),""))</f>
        <v>46695</v>
      </c>
      <c r="M24" s="93"/>
      <c r="N24" s="43" t="n">
        <f aca="false">IF(OR($L24="",N($K24)=0),"",$L24-$K24*7)</f>
        <v>46667</v>
      </c>
      <c r="O24" s="94" t="n">
        <f aca="false">IF($A24="","",IFERROR(INDEX(BOE!$R$6:$R$60,MATCH($A24,BOE!$A$6:$A$60,0)),0))</f>
        <v>520</v>
      </c>
      <c r="P24" s="94" t="n">
        <f aca="false">IF($A24="","",IFERROR(INDEX(BOE!$T$6:$T$60,MATCH($A24,BOE!$A$6:$A$60,0)),0))</f>
        <v>780</v>
      </c>
    </row>
    <row r="25" customFormat="false" ht="15" hidden="false" customHeight="false" outlineLevel="0" collapsed="false">
      <c r="A25" s="50" t="s">
        <v>250</v>
      </c>
      <c r="B25" s="92" t="str">
        <f aca="false">IF($A25="","",IFERROR(INDEX(BOE!$C$6:$C$60,MATCH($A25,BOE!$A$6:$A$60,0)),"not in BOE"))</f>
        <v>System-of-Systems Hazard Analysis</v>
      </c>
      <c r="C25" s="22" t="str">
        <f aca="false">IF($A25="","",IFERROR(INDEX(BOE!$E$6:$E$60,MATCH($A25,BOE!$A$6:$A$60,0)),""))</f>
        <v>N</v>
      </c>
      <c r="D25" s="30" t="s">
        <v>370</v>
      </c>
      <c r="E25" s="30" t="s">
        <v>381</v>
      </c>
      <c r="F25" s="30" t="s">
        <v>382</v>
      </c>
      <c r="G25" s="30" t="s">
        <v>392</v>
      </c>
      <c r="H25" s="41" t="str">
        <f aca="false">IF($A25="","",IF($B$4="Separate",IF($G25="","",$G25),IF($F25="","",$F25)))</f>
        <v>A002</v>
      </c>
      <c r="I25" s="22" t="str">
        <f aca="false">IF($A25="","",IFERROR(INDEX(BOE!$M$6:$M$60,MATCH($A25,BOE!$A$6:$A$60,0)),""))</f>
        <v>CDR</v>
      </c>
      <c r="J25" s="30" t="n">
        <v>2</v>
      </c>
      <c r="K25" s="30" t="n">
        <v>4</v>
      </c>
      <c r="L25" s="43" t="n">
        <f aca="false">IF($A25="","",IFERROR(INDEX(Milestones!$E$5:$E$34,MATCH(IF($M25&lt;&gt;"",$M25,$I25),Milestones!$B$5:$B$34,0))+IFERROR(INDEX(BOE!$N$6:$N$60,MATCH($A25,BOE!$A$6:$A$60,0)),0)*7*($M25=""),""))</f>
        <v>46877</v>
      </c>
      <c r="M25" s="93"/>
      <c r="N25" s="43" t="n">
        <f aca="false">IF(OR($L25="",N($K25)=0),"",$L25-$K25*7)</f>
        <v>46849</v>
      </c>
      <c r="O25" s="94" t="n">
        <f aca="false">IF($A25="","",IFERROR(INDEX(BOE!$R$6:$R$60,MATCH($A25,BOE!$A$6:$A$60,0)),0))</f>
        <v>0</v>
      </c>
      <c r="P25" s="94" t="n">
        <f aca="false">IF($A25="","",IFERROR(INDEX(BOE!$T$6:$T$60,MATCH($A25,BOE!$A$6:$A$60,0)),0))</f>
        <v>0</v>
      </c>
    </row>
    <row r="26" customFormat="false" ht="15" hidden="false" customHeight="false" outlineLevel="0" collapsed="false">
      <c r="A26" s="50" t="s">
        <v>254</v>
      </c>
      <c r="B26" s="92" t="str">
        <f aca="false">IF($A26="","",IFERROR(INDEX(BOE!$C$6:$C$60,MATCH($A26,BOE!$A$6:$A$60,0)),"not in BOE"))</f>
        <v>Environmental Hazard Analysis (EHA)</v>
      </c>
      <c r="C26" s="22" t="str">
        <f aca="false">IF($A26="","",IFERROR(INDEX(BOE!$E$6:$E$60,MATCH($A26,BOE!$A$6:$A$60,0)),""))</f>
        <v>Y</v>
      </c>
      <c r="D26" s="30" t="s">
        <v>370</v>
      </c>
      <c r="E26" s="30" t="s">
        <v>381</v>
      </c>
      <c r="F26" s="30" t="s">
        <v>382</v>
      </c>
      <c r="G26" s="30" t="s">
        <v>393</v>
      </c>
      <c r="H26" s="41" t="str">
        <f aca="false">IF($A26="","",IF($B$4="Separate",IF($G26="","",$G26),IF($F26="","",$F26)))</f>
        <v>A002</v>
      </c>
      <c r="I26" s="22" t="str">
        <f aca="false">IF($A26="","",IFERROR(INDEX(BOE!$M$6:$M$60,MATCH($A26,BOE!$A$6:$A$60,0)),""))</f>
        <v>CDR</v>
      </c>
      <c r="J26" s="30" t="n">
        <v>2</v>
      </c>
      <c r="K26" s="30" t="n">
        <v>4</v>
      </c>
      <c r="L26" s="43" t="n">
        <f aca="false">IF($A26="","",IFERROR(INDEX(Milestones!$E$5:$E$34,MATCH(IF($M26&lt;&gt;"",$M26,$I26),Milestones!$B$5:$B$34,0))+IFERROR(INDEX(BOE!$N$6:$N$60,MATCH($A26,BOE!$A$6:$A$60,0)),0)*7*($M26=""),""))</f>
        <v>46877</v>
      </c>
      <c r="M26" s="93"/>
      <c r="N26" s="43" t="n">
        <f aca="false">IF(OR($L26="",N($K26)=0),"",$L26-$K26*7)</f>
        <v>46849</v>
      </c>
      <c r="O26" s="94" t="n">
        <f aca="false">IF($A26="","",IFERROR(INDEX(BOE!$R$6:$R$60,MATCH($A26,BOE!$A$6:$A$60,0)),0))</f>
        <v>280</v>
      </c>
      <c r="P26" s="94" t="n">
        <f aca="false">IF($A26="","",IFERROR(INDEX(BOE!$T$6:$T$60,MATCH($A26,BOE!$A$6:$A$60,0)),0))</f>
        <v>420</v>
      </c>
    </row>
    <row r="27" customFormat="false" ht="15" hidden="false" customHeight="false" outlineLevel="0" collapsed="false">
      <c r="A27" s="50" t="s">
        <v>258</v>
      </c>
      <c r="B27" s="92" t="str">
        <f aca="false">IF($A27="","",IFERROR(INDEX(BOE!$C$6:$C$60,MATCH($A27,BOE!$A$6:$A$60,0)),"not in BOE"))</f>
        <v>Safety Assessment Report (SAR)  — ANCHOR</v>
      </c>
      <c r="C27" s="22" t="str">
        <f aca="false">IF($A27="","",IFERROR(INDEX(BOE!$E$6:$E$60,MATCH($A27,BOE!$A$6:$A$60,0)),""))</f>
        <v>Y</v>
      </c>
      <c r="D27" s="30" t="s">
        <v>370</v>
      </c>
      <c r="E27" s="30" t="s">
        <v>394</v>
      </c>
      <c r="F27" s="30" t="s">
        <v>395</v>
      </c>
      <c r="G27" s="30" t="s">
        <v>395</v>
      </c>
      <c r="H27" s="41" t="str">
        <f aca="false">IF($A27="","",IF($B$4="Separate",IF($G27="","",$G27),IF($F27="","",$F27)))</f>
        <v>A005</v>
      </c>
      <c r="I27" s="22" t="str">
        <f aca="false">IF($A27="","",IFERROR(INDEX(BOE!$M$6:$M$60,MATCH($A27,BOE!$A$6:$A$60,0)),""))</f>
        <v>SAR Submittal</v>
      </c>
      <c r="J27" s="30" t="n">
        <v>2</v>
      </c>
      <c r="K27" s="30" t="n">
        <v>6</v>
      </c>
      <c r="L27" s="43" t="n">
        <f aca="false">IF($A27="","",IFERROR(INDEX(Milestones!$E$5:$E$34,MATCH(IF($M27&lt;&gt;"",$M27,$I27),Milestones!$B$5:$B$34,0))+IFERROR(INDEX(BOE!$N$6:$N$60,MATCH($A27,BOE!$A$6:$A$60,0)),0)*7*($M27=""),""))</f>
        <v>47395</v>
      </c>
      <c r="M27" s="93"/>
      <c r="N27" s="43" t="n">
        <f aca="false">IF(OR($L27="",N($K27)=0),"",$L27-$K27*7)</f>
        <v>47353</v>
      </c>
      <c r="O27" s="94" t="n">
        <f aca="false">IF($A27="","",IFERROR(INDEX(BOE!$R$6:$R$60,MATCH($A27,BOE!$A$6:$A$60,0)),0))</f>
        <v>800</v>
      </c>
      <c r="P27" s="94" t="n">
        <f aca="false">IF($A27="","",IFERROR(INDEX(BOE!$T$6:$T$60,MATCH($A27,BOE!$A$6:$A$60,0)),0))</f>
        <v>1200</v>
      </c>
    </row>
    <row r="28" customFormat="false" ht="15" hidden="false" customHeight="false" outlineLevel="0" collapsed="false">
      <c r="A28" s="50" t="s">
        <v>261</v>
      </c>
      <c r="B28" s="92" t="str">
        <f aca="false">IF($A28="","",IFERROR(INDEX(BOE!$C$6:$C$60,MATCH($A28,BOE!$A$6:$A$60,0)),"not in BOE"))</f>
        <v>Hazard Management Assessment Report (HMAR)</v>
      </c>
      <c r="C28" s="22" t="str">
        <f aca="false">IF($A28="","",IFERROR(INDEX(BOE!$E$6:$E$60,MATCH($A28,BOE!$A$6:$A$60,0)),""))</f>
        <v>N</v>
      </c>
      <c r="D28" s="30" t="s">
        <v>370</v>
      </c>
      <c r="E28" s="30" t="s">
        <v>396</v>
      </c>
      <c r="F28" s="30" t="s">
        <v>395</v>
      </c>
      <c r="G28" s="30" t="s">
        <v>395</v>
      </c>
      <c r="H28" s="41" t="str">
        <f aca="false">IF($A28="","",IF($B$4="Separate",IF($G28="","",$G28),IF($F28="","",$F28)))</f>
        <v>A005</v>
      </c>
      <c r="I28" s="22" t="str">
        <f aca="false">IF($A28="","",IFERROR(INDEX(BOE!$M$6:$M$60,MATCH($A28,BOE!$A$6:$A$60,0)),""))</f>
        <v>SAR Submittal</v>
      </c>
      <c r="J28" s="30" t="n">
        <v>2</v>
      </c>
      <c r="K28" s="30" t="n">
        <v>6</v>
      </c>
      <c r="L28" s="43" t="n">
        <f aca="false">IF($A28="","",IFERROR(INDEX(Milestones!$E$5:$E$34,MATCH(IF($M28&lt;&gt;"",$M28,$I28),Milestones!$B$5:$B$34,0))+IFERROR(INDEX(BOE!$N$6:$N$60,MATCH($A28,BOE!$A$6:$A$60,0)),0)*7*($M28=""),""))</f>
        <v>47395</v>
      </c>
      <c r="M28" s="93"/>
      <c r="N28" s="43" t="n">
        <f aca="false">IF(OR($L28="",N($K28)=0),"",$L28-$K28*7)</f>
        <v>47353</v>
      </c>
      <c r="O28" s="94" t="n">
        <f aca="false">IF($A28="","",IFERROR(INDEX(BOE!$R$6:$R$60,MATCH($A28,BOE!$A$6:$A$60,0)),0))</f>
        <v>0</v>
      </c>
      <c r="P28" s="94" t="n">
        <f aca="false">IF($A28="","",IFERROR(INDEX(BOE!$T$6:$T$60,MATCH($A28,BOE!$A$6:$A$60,0)),0))</f>
        <v>0</v>
      </c>
    </row>
    <row r="29" customFormat="false" ht="15" hidden="false" customHeight="false" outlineLevel="0" collapsed="false">
      <c r="A29" s="50" t="s">
        <v>265</v>
      </c>
      <c r="B29" s="92" t="str">
        <f aca="false">IF($A29="","",IFERROR(INDEX(BOE!$C$6:$C$60,MATCH($A29,BOE!$A$6:$A$60,0)),"not in BOE"))</f>
        <v>Test &amp; Evaluation participation</v>
      </c>
      <c r="C29" s="22" t="str">
        <f aca="false">IF($A29="","",IFERROR(INDEX(BOE!$E$6:$E$60,MATCH($A29,BOE!$A$6:$A$60,0)),""))</f>
        <v>Y</v>
      </c>
      <c r="D29" s="30" t="s">
        <v>369</v>
      </c>
      <c r="E29" s="30" t="s">
        <v>397</v>
      </c>
      <c r="F29" s="30"/>
      <c r="G29" s="30"/>
      <c r="H29" s="41" t="str">
        <f aca="false">IF($A29="","",IF($B$4="Separate",IF($G29="","",$G29),IF($F29="","",$F29)))</f>
        <v/>
      </c>
      <c r="I29" s="22" t="str">
        <f aca="false">IF($A29="","",IFERROR(INDEX(BOE!$M$6:$M$60,MATCH($A29,BOE!$A$6:$A$60,0)),""))</f>
        <v>Test Complete</v>
      </c>
      <c r="J29" s="30"/>
      <c r="K29" s="30"/>
      <c r="L29" s="43" t="n">
        <f aca="false">IF($A29="","",IFERROR(INDEX(Milestones!$E$5:$E$34,MATCH(IF($M29&lt;&gt;"",$M29,$I29),Milestones!$B$5:$B$34,0))+IFERROR(INDEX(BOE!$N$6:$N$60,MATCH($A29,BOE!$A$6:$A$60,0)),0)*7*($M29=""),""))</f>
        <v>47362</v>
      </c>
      <c r="M29" s="93"/>
      <c r="N29" s="43" t="str">
        <f aca="false">IF(OR($L29="",N($K29)=0),"",$L29-$K29*7)</f>
        <v/>
      </c>
      <c r="O29" s="94" t="n">
        <f aca="false">IF($A29="","",IFERROR(INDEX(BOE!$R$6:$R$60,MATCH($A29,BOE!$A$6:$A$60,0)),0))</f>
        <v>640</v>
      </c>
      <c r="P29" s="94" t="n">
        <f aca="false">IF($A29="","",IFERROR(INDEX(BOE!$T$6:$T$60,MATCH($A29,BOE!$A$6:$A$60,0)),0))</f>
        <v>960</v>
      </c>
    </row>
    <row r="30" customFormat="false" ht="15" hidden="false" customHeight="false" outlineLevel="0" collapsed="false">
      <c r="A30" s="50" t="s">
        <v>269</v>
      </c>
      <c r="B30" s="92" t="str">
        <f aca="false">IF($A30="","",IFERROR(INDEX(BOE!$C$6:$C$60,MATCH($A30,BOE!$A$6:$A$60,0)),"not in BOE"))</f>
        <v>Review of ECPs, change notices, deficiency reports, waivers</v>
      </c>
      <c r="C30" s="22" t="str">
        <f aca="false">IF($A30="","",IFERROR(INDEX(BOE!$E$6:$E$60,MATCH($A30,BOE!$A$6:$A$60,0)),""))</f>
        <v>Y</v>
      </c>
      <c r="D30" s="30" t="s">
        <v>398</v>
      </c>
      <c r="E30" s="30" t="s">
        <v>399</v>
      </c>
      <c r="F30" s="30" t="s">
        <v>400</v>
      </c>
      <c r="G30" s="30" t="s">
        <v>400</v>
      </c>
      <c r="H30" s="41" t="str">
        <f aca="false">IF($A30="","",IF($B$4="Separate",IF($G30="","",$G30),IF($F30="","",$F30)))</f>
        <v>A006</v>
      </c>
      <c r="I30" s="22" t="str">
        <f aca="false">IF($A30="","",IFERROR(INDEX(BOE!$M$6:$M$60,MATCH($A30,BOE!$A$6:$A$60,0)),""))</f>
        <v>Program End</v>
      </c>
      <c r="J30" s="30"/>
      <c r="K30" s="30"/>
      <c r="L30" s="43" t="n">
        <f aca="false">IF($A30="","",IFERROR(INDEX(Milestones!$E$5:$E$34,MATCH(IF($M30&lt;&gt;"",$M30,$I30),Milestones!$B$5:$B$34,0))+IFERROR(INDEX(BOE!$N$6:$N$60,MATCH($A30,BOE!$A$6:$A$60,0)),0)*7*($M30=""),""))</f>
        <v>47483</v>
      </c>
      <c r="M30" s="93"/>
      <c r="N30" s="43" t="str">
        <f aca="false">IF(OR($L30="",N($K30)=0),"",$L30-$K30*7)</f>
        <v/>
      </c>
      <c r="O30" s="94" t="n">
        <f aca="false">IF($A30="","",IFERROR(INDEX(BOE!$R$6:$R$60,MATCH($A30,BOE!$A$6:$A$60,0)),0))</f>
        <v>480</v>
      </c>
      <c r="P30" s="94" t="n">
        <f aca="false">IF($A30="","",IFERROR(INDEX(BOE!$T$6:$T$60,MATCH($A30,BOE!$A$6:$A$60,0)),0))</f>
        <v>720</v>
      </c>
    </row>
    <row r="31" customFormat="false" ht="15" hidden="false" customHeight="false" outlineLevel="0" collapsed="false">
      <c r="A31" s="50" t="s">
        <v>273</v>
      </c>
      <c r="B31" s="92" t="str">
        <f aca="false">IF($A31="","",IFERROR(INDEX(BOE!$C$6:$C$60,MATCH($A31,BOE!$A$6:$A$60,0)),"not in BOE"))</f>
        <v>Safety Verification (tests, demonstrations, induced/simulated failures)</v>
      </c>
      <c r="C31" s="22" t="str">
        <f aca="false">IF($A31="","",IFERROR(INDEX(BOE!$E$6:$E$60,MATCH($A31,BOE!$A$6:$A$60,0)),""))</f>
        <v>Y</v>
      </c>
      <c r="D31" s="30" t="s">
        <v>370</v>
      </c>
      <c r="E31" s="30" t="s">
        <v>401</v>
      </c>
      <c r="F31" s="30" t="s">
        <v>402</v>
      </c>
      <c r="G31" s="30" t="s">
        <v>402</v>
      </c>
      <c r="H31" s="41" t="str">
        <f aca="false">IF($A31="","",IF($B$4="Separate",IF($G31="","",$G31),IF($F31="","",$F31)))</f>
        <v>A007</v>
      </c>
      <c r="I31" s="22" t="str">
        <f aca="false">IF($A31="","",IFERROR(INDEX(BOE!$M$6:$M$60,MATCH($A31,BOE!$A$6:$A$60,0)),""))</f>
        <v>Test Complete</v>
      </c>
      <c r="J31" s="30" t="n">
        <v>2</v>
      </c>
      <c r="K31" s="30" t="n">
        <v>4</v>
      </c>
      <c r="L31" s="43" t="n">
        <f aca="false">IF($A31="","",IFERROR(INDEX(Milestones!$E$5:$E$34,MATCH(IF($M31&lt;&gt;"",$M31,$I31),Milestones!$B$5:$B$34,0))+IFERROR(INDEX(BOE!$N$6:$N$60,MATCH($A31,BOE!$A$6:$A$60,0)),0)*7*($M31=""),""))</f>
        <v>47334</v>
      </c>
      <c r="M31" s="93"/>
      <c r="N31" s="43" t="n">
        <f aca="false">IF(OR($L31="",N($K31)=0),"",$L31-$K31*7)</f>
        <v>47306</v>
      </c>
      <c r="O31" s="94" t="n">
        <f aca="false">IF($A31="","",IFERROR(INDEX(BOE!$R$6:$R$60,MATCH($A31,BOE!$A$6:$A$60,0)),0))</f>
        <v>728</v>
      </c>
      <c r="P31" s="94" t="n">
        <f aca="false">IF($A31="","",IFERROR(INDEX(BOE!$T$6:$T$60,MATCH($A31,BOE!$A$6:$A$60,0)),0))</f>
        <v>1092</v>
      </c>
    </row>
    <row r="32" customFormat="false" ht="15" hidden="false" customHeight="false" outlineLevel="0" collapsed="false">
      <c r="A32" s="50" t="s">
        <v>277</v>
      </c>
      <c r="B32" s="92" t="str">
        <f aca="false">IF($A32="","",IFERROR(INDEX(BOE!$C$6:$C$60,MATCH($A32,BOE!$A$6:$A$60,0)),"not in BOE"))</f>
        <v>Explosives Hazard Classification Data</v>
      </c>
      <c r="C32" s="22" t="str">
        <f aca="false">IF($A32="","",IFERROR(INDEX(BOE!$E$6:$E$60,MATCH($A32,BOE!$A$6:$A$60,0)),""))</f>
        <v>N</v>
      </c>
      <c r="D32" s="30" t="s">
        <v>370</v>
      </c>
      <c r="E32" s="30" t="s">
        <v>403</v>
      </c>
      <c r="F32" s="30" t="s">
        <v>404</v>
      </c>
      <c r="G32" s="30" t="s">
        <v>404</v>
      </c>
      <c r="H32" s="41" t="str">
        <f aca="false">IF($A32="","",IF($B$4="Separate",IF($G32="","",$G32),IF($F32="","",$F32)))</f>
        <v>A009</v>
      </c>
      <c r="I32" s="22" t="str">
        <f aca="false">IF($A32="","",IFERROR(INDEX(BOE!$M$6:$M$60,MATCH($A32,BOE!$A$6:$A$60,0)),""))</f>
        <v>TRR</v>
      </c>
      <c r="J32" s="30" t="n">
        <v>1</v>
      </c>
      <c r="K32" s="30" t="n">
        <v>4</v>
      </c>
      <c r="L32" s="43" t="n">
        <f aca="false">IF($A32="","",IFERROR(INDEX(Milestones!$E$5:$E$34,MATCH(IF($M32&lt;&gt;"",$M32,$I32),Milestones!$B$5:$B$34,0))+IFERROR(INDEX(BOE!$N$6:$N$60,MATCH($A32,BOE!$A$6:$A$60,0)),0)*7*($M32=""),""))</f>
        <v>47122</v>
      </c>
      <c r="M32" s="93"/>
      <c r="N32" s="43" t="n">
        <f aca="false">IF(OR($L32="",N($K32)=0),"",$L32-$K32*7)</f>
        <v>47094</v>
      </c>
      <c r="O32" s="94" t="n">
        <f aca="false">IF($A32="","",IFERROR(INDEX(BOE!$R$6:$R$60,MATCH($A32,BOE!$A$6:$A$60,0)),0))</f>
        <v>0</v>
      </c>
      <c r="P32" s="94" t="n">
        <f aca="false">IF($A32="","",IFERROR(INDEX(BOE!$T$6:$T$60,MATCH($A32,BOE!$A$6:$A$60,0)),0))</f>
        <v>0</v>
      </c>
    </row>
    <row r="33" customFormat="false" ht="15" hidden="false" customHeight="false" outlineLevel="0" collapsed="false">
      <c r="A33" s="50" t="s">
        <v>281</v>
      </c>
      <c r="B33" s="92" t="str">
        <f aca="false">IF($A33="","",IFERROR(INDEX(BOE!$C$6:$C$60,MATCH($A33,BOE!$A$6:$A$60,0)),"not in BOE"))</f>
        <v>Explosive Ordnance Disposal Data</v>
      </c>
      <c r="C33" s="22" t="str">
        <f aca="false">IF($A33="","",IFERROR(INDEX(BOE!$E$6:$E$60,MATCH($A33,BOE!$A$6:$A$60,0)),""))</f>
        <v>N</v>
      </c>
      <c r="D33" s="30" t="s">
        <v>370</v>
      </c>
      <c r="E33" s="30" t="s">
        <v>405</v>
      </c>
      <c r="F33" s="30" t="s">
        <v>406</v>
      </c>
      <c r="G33" s="30" t="s">
        <v>406</v>
      </c>
      <c r="H33" s="41" t="str">
        <f aca="false">IF($A33="","",IF($B$4="Separate",IF($G33="","",$G33),IF($F33="","",$F33)))</f>
        <v>A010</v>
      </c>
      <c r="I33" s="22" t="str">
        <f aca="false">IF($A33="","",IFERROR(INDEX(BOE!$M$6:$M$60,MATCH($A33,BOE!$A$6:$A$60,0)),""))</f>
        <v>TRR</v>
      </c>
      <c r="J33" s="30" t="n">
        <v>1</v>
      </c>
      <c r="K33" s="30" t="n">
        <v>4</v>
      </c>
      <c r="L33" s="43" t="n">
        <f aca="false">IF($A33="","",IFERROR(INDEX(Milestones!$E$5:$E$34,MATCH(IF($M33&lt;&gt;"",$M33,$I33),Milestones!$B$5:$B$34,0))+IFERROR(INDEX(BOE!$N$6:$N$60,MATCH($A33,BOE!$A$6:$A$60,0)),0)*7*($M33=""),""))</f>
        <v>47122</v>
      </c>
      <c r="M33" s="93"/>
      <c r="N33" s="43" t="n">
        <f aca="false">IF(OR($L33="",N($K33)=0),"",$L33-$K33*7)</f>
        <v>47094</v>
      </c>
      <c r="O33" s="94" t="n">
        <f aca="false">IF($A33="","",IFERROR(INDEX(BOE!$R$6:$R$60,MATCH($A33,BOE!$A$6:$A$60,0)),0))</f>
        <v>0</v>
      </c>
      <c r="P33" s="94" t="n">
        <f aca="false">IF($A33="","",IFERROR(INDEX(BOE!$T$6:$T$60,MATCH($A33,BOE!$A$6:$A$60,0)),0))</f>
        <v>0</v>
      </c>
    </row>
    <row r="34" customFormat="false" ht="15" hidden="false" customHeight="false" outlineLevel="0" collapsed="false">
      <c r="A34" s="50" t="s">
        <v>285</v>
      </c>
      <c r="B34" s="92" t="str">
        <f aca="false">IF($A34="","",IFERROR(INDEX(BOE!$C$6:$C$60,MATCH($A34,BOE!$A$6:$A$60,0)),"not in BOE"))</f>
        <v>Software Level-of-Rigor tasks (Section 4.4, Table V)</v>
      </c>
      <c r="C34" s="22" t="str">
        <f aca="false">IF($A34="","",IFERROR(INDEX(BOE!$E$6:$E$60,MATCH($A34,BOE!$A$6:$A$60,0)),""))</f>
        <v>Y</v>
      </c>
      <c r="D34" s="30" t="s">
        <v>407</v>
      </c>
      <c r="E34" s="30" t="s">
        <v>408</v>
      </c>
      <c r="F34" s="30" t="s">
        <v>382</v>
      </c>
      <c r="G34" s="30" t="s">
        <v>409</v>
      </c>
      <c r="H34" s="41" t="str">
        <f aca="false">IF($A34="","",IF($B$4="Separate",IF($G34="","",$G34),IF($F34="","",$F34)))</f>
        <v>A002</v>
      </c>
      <c r="I34" s="22" t="str">
        <f aca="false">IF($A34="","",IFERROR(INDEX(BOE!$M$6:$M$60,MATCH($A34,BOE!$A$6:$A$60,0)),""))</f>
        <v>TRR</v>
      </c>
      <c r="J34" s="30"/>
      <c r="K34" s="30"/>
      <c r="L34" s="43" t="n">
        <f aca="false">IF($A34="","",IFERROR(INDEX(Milestones!$E$5:$E$34,MATCH(IF($M34&lt;&gt;"",$M34,$I34),Milestones!$B$5:$B$34,0))+IFERROR(INDEX(BOE!$N$6:$N$60,MATCH($A34,BOE!$A$6:$A$60,0)),0)*7*($M34=""),""))</f>
        <v>47122</v>
      </c>
      <c r="M34" s="93"/>
      <c r="N34" s="43" t="str">
        <f aca="false">IF(OR($L34="",N($K34)=0),"",$L34-$K34*7)</f>
        <v/>
      </c>
      <c r="O34" s="94" t="n">
        <f aca="false">IF($A34="","",IFERROR(INDEX(BOE!$R$6:$R$60,MATCH($A34,BOE!$A$6:$A$60,0)),0))</f>
        <v>624</v>
      </c>
      <c r="P34" s="94" t="n">
        <f aca="false">IF($A34="","",IFERROR(INDEX(BOE!$T$6:$T$60,MATCH($A34,BOE!$A$6:$A$60,0)),0))</f>
        <v>936</v>
      </c>
    </row>
    <row r="35" customFormat="false" ht="15" hidden="false" customHeight="false" outlineLevel="0" collapsed="false">
      <c r="A35" s="50" t="s">
        <v>289</v>
      </c>
      <c r="B35" s="92" t="str">
        <f aca="false">IF($A35="","",IFERROR(INDEX(BOE!$C$6:$C$60,MATCH($A35,BOE!$A$6:$A$60,0)),"not in BOE"))</f>
        <v>System Safety Working Group meetings</v>
      </c>
      <c r="C35" s="22" t="str">
        <f aca="false">IF($A35="","",IFERROR(INDEX(BOE!$E$6:$E$60,MATCH($A35,BOE!$A$6:$A$60,0)),""))</f>
        <v>Y</v>
      </c>
      <c r="D35" s="30" t="s">
        <v>369</v>
      </c>
      <c r="E35" s="30"/>
      <c r="F35" s="30"/>
      <c r="G35" s="30"/>
      <c r="H35" s="41" t="str">
        <f aca="false">IF($A35="","",IF($B$4="Separate",IF($G35="","",$G35),IF($F35="","",$F35)))</f>
        <v/>
      </c>
      <c r="I35" s="22" t="str">
        <f aca="false">IF($A35="","",IFERROR(INDEX(BOE!$M$6:$M$60,MATCH($A35,BOE!$A$6:$A$60,0)),""))</f>
        <v>Program End</v>
      </c>
      <c r="J35" s="30"/>
      <c r="K35" s="30"/>
      <c r="L35" s="43" t="n">
        <f aca="false">IF($A35="","",IFERROR(INDEX(Milestones!$E$5:$E$34,MATCH(IF($M35&lt;&gt;"",$M35,$I35),Milestones!$B$5:$B$34,0))+IFERROR(INDEX(BOE!$N$6:$N$60,MATCH($A35,BOE!$A$6:$A$60,0)),0)*7*($M35=""),""))</f>
        <v>47483</v>
      </c>
      <c r="M35" s="93"/>
      <c r="N35" s="43" t="str">
        <f aca="false">IF(OR($L35="",N($K35)=0),"",$L35-$K35*7)</f>
        <v/>
      </c>
      <c r="O35" s="94" t="n">
        <f aca="false">IF($A35="","",IFERROR(INDEX(BOE!$R$6:$R$60,MATCH($A35,BOE!$A$6:$A$60,0)),0))</f>
        <v>287.014373716632</v>
      </c>
      <c r="P35" s="94" t="n">
        <f aca="false">IF($A35="","",IFERROR(INDEX(BOE!$T$6:$T$60,MATCH($A35,BOE!$A$6:$A$60,0)),0))</f>
        <v>430.521560574949</v>
      </c>
    </row>
    <row r="36" customFormat="false" ht="15" hidden="false" customHeight="false" outlineLevel="0" collapsed="false">
      <c r="A36" s="50" t="s">
        <v>293</v>
      </c>
      <c r="B36" s="92" t="str">
        <f aca="false">IF($A36="","",IFERROR(INDEX(BOE!$C$6:$C$60,MATCH($A36,BOE!$A$6:$A$60,0)),"not in BOE"))</f>
        <v>Design review safety data packages (SRR/PDR/CDR/TRR)</v>
      </c>
      <c r="C36" s="22" t="str">
        <f aca="false">IF($A36="","",IFERROR(INDEX(BOE!$E$6:$E$60,MATCH($A36,BOE!$A$6:$A$60,0)),""))</f>
        <v>Y</v>
      </c>
      <c r="D36" s="30" t="s">
        <v>369</v>
      </c>
      <c r="E36" s="30" t="s">
        <v>410</v>
      </c>
      <c r="F36" s="30"/>
      <c r="G36" s="30"/>
      <c r="H36" s="41" t="str">
        <f aca="false">IF($A36="","",IF($B$4="Separate",IF($G36="","",$G36),IF($F36="","",$F36)))</f>
        <v/>
      </c>
      <c r="I36" s="22" t="str">
        <f aca="false">IF($A36="","",IFERROR(INDEX(BOE!$M$6:$M$60,MATCH($A36,BOE!$A$6:$A$60,0)),""))</f>
        <v>TRR</v>
      </c>
      <c r="J36" s="30"/>
      <c r="K36" s="30"/>
      <c r="L36" s="43" t="n">
        <f aca="false">IF($A36="","",IFERROR(INDEX(Milestones!$E$5:$E$34,MATCH(IF($M36&lt;&gt;"",$M36,$I36),Milestones!$B$5:$B$34,0))+IFERROR(INDEX(BOE!$N$6:$N$60,MATCH($A36,BOE!$A$6:$A$60,0)),0)*7*($M36=""),""))</f>
        <v>47122</v>
      </c>
      <c r="M36" s="93"/>
      <c r="N36" s="43" t="str">
        <f aca="false">IF(OR($L36="",N($K36)=0),"",$L36-$K36*7)</f>
        <v/>
      </c>
      <c r="O36" s="94" t="n">
        <f aca="false">IF($A36="","",IFERROR(INDEX(BOE!$R$6:$R$60,MATCH($A36,BOE!$A$6:$A$60,0)),0))</f>
        <v>320</v>
      </c>
      <c r="P36" s="94" t="n">
        <f aca="false">IF($A36="","",IFERROR(INDEX(BOE!$T$6:$T$60,MATCH($A36,BOE!$A$6:$A$60,0)),0))</f>
        <v>480</v>
      </c>
    </row>
    <row r="37" customFormat="false" ht="15" hidden="false" customHeight="false" outlineLevel="0" collapsed="false">
      <c r="A37" s="50" t="s">
        <v>297</v>
      </c>
      <c r="B37" s="92" t="str">
        <f aca="false">IF($A37="","",IFERROR(INDEX(BOE!$C$6:$C$60,MATCH($A37,BOE!$A$6:$A$60,0)),"not in BOE"))</f>
        <v>Safety program management, BOE/EVM upkeep, travel</v>
      </c>
      <c r="C37" s="22" t="str">
        <f aca="false">IF($A37="","",IFERROR(INDEX(BOE!$E$6:$E$60,MATCH($A37,BOE!$A$6:$A$60,0)),""))</f>
        <v>Y</v>
      </c>
      <c r="D37" s="30" t="s">
        <v>369</v>
      </c>
      <c r="E37" s="30"/>
      <c r="F37" s="30"/>
      <c r="G37" s="30"/>
      <c r="H37" s="41" t="str">
        <f aca="false">IF($A37="","",IF($B$4="Separate",IF($G37="","",$G37),IF($F37="","",$F37)))</f>
        <v/>
      </c>
      <c r="I37" s="22" t="str">
        <f aca="false">IF($A37="","",IFERROR(INDEX(BOE!$M$6:$M$60,MATCH($A37,BOE!$A$6:$A$60,0)),""))</f>
        <v>Program End</v>
      </c>
      <c r="J37" s="30"/>
      <c r="K37" s="30"/>
      <c r="L37" s="43" t="n">
        <f aca="false">IF($A37="","",IFERROR(INDEX(Milestones!$E$5:$E$34,MATCH(IF($M37&lt;&gt;"",$M37,$I37),Milestones!$B$5:$B$34,0))+IFERROR(INDEX(BOE!$N$6:$N$60,MATCH($A37,BOE!$A$6:$A$60,0)),0)*7*($M37=""),""))</f>
        <v>47483</v>
      </c>
      <c r="M37" s="93"/>
      <c r="N37" s="43" t="str">
        <f aca="false">IF(OR($L37="",N($K37)=0),"",$L37-$K37*7)</f>
        <v/>
      </c>
      <c r="O37" s="94" t="n">
        <f aca="false">IF($A37="","",IFERROR(INDEX(BOE!$R$6:$R$60,MATCH($A37,BOE!$A$6:$A$60,0)),0))</f>
        <v>215.260780287474</v>
      </c>
      <c r="P37" s="94" t="n">
        <f aca="false">IF($A37="","",IFERROR(INDEX(BOE!$T$6:$T$60,MATCH($A37,BOE!$A$6:$A$60,0)),0))</f>
        <v>322.891170431212</v>
      </c>
    </row>
    <row r="38" customFormat="false" ht="15" hidden="false" customHeight="false" outlineLevel="0" collapsed="false">
      <c r="A38" s="93"/>
      <c r="B38" s="92" t="str">
        <f aca="false">IF($A38="","",IFERROR(INDEX(BOE!$C$6:$C$60,MATCH($A38,BOE!$A$6:$A$60,0)),"not in BOE"))</f>
        <v/>
      </c>
      <c r="C38" s="22" t="str">
        <f aca="false">IF($A38="","",IFERROR(INDEX(BOE!$E$6:$E$60,MATCH($A38,BOE!$A$6:$A$60,0)),""))</f>
        <v/>
      </c>
      <c r="D38" s="93"/>
      <c r="E38" s="93"/>
      <c r="F38" s="93"/>
      <c r="G38" s="93"/>
      <c r="H38" s="41" t="str">
        <f aca="false">IF($A38="","",IF($B$4="Separate",IF($G38="","",$G38),IF($F38="","",$F38)))</f>
        <v/>
      </c>
      <c r="I38" s="22" t="str">
        <f aca="false">IF($A38="","",IFERROR(INDEX(BOE!$M$6:$M$60,MATCH($A38,BOE!$A$6:$A$60,0)),""))</f>
        <v/>
      </c>
      <c r="J38" s="93"/>
      <c r="K38" s="93"/>
      <c r="L38" s="43" t="str">
        <f aca="false">IF($A38="","",IFERROR(INDEX(Milestones!$E$5:$E$34,MATCH(IF($M38&lt;&gt;"",$M38,$I38),Milestones!$B$5:$B$34,0))+IFERROR(INDEX(BOE!$N$6:$N$60,MATCH($A38,BOE!$A$6:$A$60,0)),0)*7*($M38=""),""))</f>
        <v/>
      </c>
      <c r="M38" s="93"/>
      <c r="N38" s="43" t="str">
        <f aca="false">IF(OR($L38="",N($K38)=0),"",$L38-$K38*7)</f>
        <v/>
      </c>
      <c r="O38" s="94" t="str">
        <f aca="false">IF($A38="","",IFERROR(INDEX(BOE!$R$6:$R$60,MATCH($A38,BOE!$A$6:$A$60,0)),0))</f>
        <v/>
      </c>
      <c r="P38" s="94" t="str">
        <f aca="false">IF($A38="","",IFERROR(INDEX(BOE!$T$6:$T$60,MATCH($A38,BOE!$A$6:$A$60,0)),0))</f>
        <v/>
      </c>
    </row>
    <row r="39" customFormat="false" ht="15" hidden="false" customHeight="false" outlineLevel="0" collapsed="false">
      <c r="A39" s="93"/>
      <c r="B39" s="92" t="str">
        <f aca="false">IF($A39="","",IFERROR(INDEX(BOE!$C$6:$C$60,MATCH($A39,BOE!$A$6:$A$60,0)),"not in BOE"))</f>
        <v/>
      </c>
      <c r="C39" s="22" t="str">
        <f aca="false">IF($A39="","",IFERROR(INDEX(BOE!$E$6:$E$60,MATCH($A39,BOE!$A$6:$A$60,0)),""))</f>
        <v/>
      </c>
      <c r="D39" s="93"/>
      <c r="E39" s="93"/>
      <c r="F39" s="93"/>
      <c r="G39" s="93"/>
      <c r="H39" s="41" t="str">
        <f aca="false">IF($A39="","",IF($B$4="Separate",IF($G39="","",$G39),IF($F39="","",$F39)))</f>
        <v/>
      </c>
      <c r="I39" s="22" t="str">
        <f aca="false">IF($A39="","",IFERROR(INDEX(BOE!$M$6:$M$60,MATCH($A39,BOE!$A$6:$A$60,0)),""))</f>
        <v/>
      </c>
      <c r="J39" s="93"/>
      <c r="K39" s="93"/>
      <c r="L39" s="43" t="str">
        <f aca="false">IF($A39="","",IFERROR(INDEX(Milestones!$E$5:$E$34,MATCH(IF($M39&lt;&gt;"",$M39,$I39),Milestones!$B$5:$B$34,0))+IFERROR(INDEX(BOE!$N$6:$N$60,MATCH($A39,BOE!$A$6:$A$60,0)),0)*7*($M39=""),""))</f>
        <v/>
      </c>
      <c r="M39" s="93"/>
      <c r="N39" s="43" t="str">
        <f aca="false">IF(OR($L39="",N($K39)=0),"",$L39-$K39*7)</f>
        <v/>
      </c>
      <c r="O39" s="94" t="str">
        <f aca="false">IF($A39="","",IFERROR(INDEX(BOE!$R$6:$R$60,MATCH($A39,BOE!$A$6:$A$60,0)),0))</f>
        <v/>
      </c>
      <c r="P39" s="94" t="str">
        <f aca="false">IF($A39="","",IFERROR(INDEX(BOE!$T$6:$T$60,MATCH($A39,BOE!$A$6:$A$60,0)),0))</f>
        <v/>
      </c>
    </row>
    <row r="40" customFormat="false" ht="15" hidden="false" customHeight="false" outlineLevel="0" collapsed="false">
      <c r="A40" s="93"/>
      <c r="B40" s="92" t="str">
        <f aca="false">IF($A40="","",IFERROR(INDEX(BOE!$C$6:$C$60,MATCH($A40,BOE!$A$6:$A$60,0)),"not in BOE"))</f>
        <v/>
      </c>
      <c r="C40" s="22" t="str">
        <f aca="false">IF($A40="","",IFERROR(INDEX(BOE!$E$6:$E$60,MATCH($A40,BOE!$A$6:$A$60,0)),""))</f>
        <v/>
      </c>
      <c r="D40" s="93"/>
      <c r="E40" s="93"/>
      <c r="F40" s="93"/>
      <c r="G40" s="93"/>
      <c r="H40" s="41" t="str">
        <f aca="false">IF($A40="","",IF($B$4="Separate",IF($G40="","",$G40),IF($F40="","",$F40)))</f>
        <v/>
      </c>
      <c r="I40" s="22" t="str">
        <f aca="false">IF($A40="","",IFERROR(INDEX(BOE!$M$6:$M$60,MATCH($A40,BOE!$A$6:$A$60,0)),""))</f>
        <v/>
      </c>
      <c r="J40" s="93"/>
      <c r="K40" s="93"/>
      <c r="L40" s="43" t="str">
        <f aca="false">IF($A40="","",IFERROR(INDEX(Milestones!$E$5:$E$34,MATCH(IF($M40&lt;&gt;"",$M40,$I40),Milestones!$B$5:$B$34,0))+IFERROR(INDEX(BOE!$N$6:$N$60,MATCH($A40,BOE!$A$6:$A$60,0)),0)*7*($M40=""),""))</f>
        <v/>
      </c>
      <c r="M40" s="93"/>
      <c r="N40" s="43" t="str">
        <f aca="false">IF(OR($L40="",N($K40)=0),"",$L40-$K40*7)</f>
        <v/>
      </c>
      <c r="O40" s="94" t="str">
        <f aca="false">IF($A40="","",IFERROR(INDEX(BOE!$R$6:$R$60,MATCH($A40,BOE!$A$6:$A$60,0)),0))</f>
        <v/>
      </c>
      <c r="P40" s="94" t="str">
        <f aca="false">IF($A40="","",IFERROR(INDEX(BOE!$T$6:$T$60,MATCH($A40,BOE!$A$6:$A$60,0)),0))</f>
        <v/>
      </c>
    </row>
    <row r="41" customFormat="false" ht="15" hidden="false" customHeight="false" outlineLevel="0" collapsed="false">
      <c r="A41" s="93"/>
      <c r="B41" s="92" t="str">
        <f aca="false">IF($A41="","",IFERROR(INDEX(BOE!$C$6:$C$60,MATCH($A41,BOE!$A$6:$A$60,0)),"not in BOE"))</f>
        <v/>
      </c>
      <c r="C41" s="22" t="str">
        <f aca="false">IF($A41="","",IFERROR(INDEX(BOE!$E$6:$E$60,MATCH($A41,BOE!$A$6:$A$60,0)),""))</f>
        <v/>
      </c>
      <c r="D41" s="93"/>
      <c r="E41" s="93"/>
      <c r="F41" s="93"/>
      <c r="G41" s="93"/>
      <c r="H41" s="41" t="str">
        <f aca="false">IF($A41="","",IF($B$4="Separate",IF($G41="","",$G41),IF($F41="","",$F41)))</f>
        <v/>
      </c>
      <c r="I41" s="22" t="str">
        <f aca="false">IF($A41="","",IFERROR(INDEX(BOE!$M$6:$M$60,MATCH($A41,BOE!$A$6:$A$60,0)),""))</f>
        <v/>
      </c>
      <c r="J41" s="93"/>
      <c r="K41" s="93"/>
      <c r="L41" s="43" t="str">
        <f aca="false">IF($A41="","",IFERROR(INDEX(Milestones!$E$5:$E$34,MATCH(IF($M41&lt;&gt;"",$M41,$I41),Milestones!$B$5:$B$34,0))+IFERROR(INDEX(BOE!$N$6:$N$60,MATCH($A41,BOE!$A$6:$A$60,0)),0)*7*($M41=""),""))</f>
        <v/>
      </c>
      <c r="M41" s="93"/>
      <c r="N41" s="43" t="str">
        <f aca="false">IF(OR($L41="",N($K41)=0),"",$L41-$K41*7)</f>
        <v/>
      </c>
      <c r="O41" s="94" t="str">
        <f aca="false">IF($A41="","",IFERROR(INDEX(BOE!$R$6:$R$60,MATCH($A41,BOE!$A$6:$A$60,0)),0))</f>
        <v/>
      </c>
      <c r="P41" s="94" t="str">
        <f aca="false">IF($A41="","",IFERROR(INDEX(BOE!$T$6:$T$60,MATCH($A41,BOE!$A$6:$A$60,0)),0))</f>
        <v/>
      </c>
    </row>
    <row r="42" customFormat="false" ht="15" hidden="false" customHeight="false" outlineLevel="0" collapsed="false">
      <c r="A42" s="93"/>
      <c r="B42" s="92" t="str">
        <f aca="false">IF($A42="","",IFERROR(INDEX(BOE!$C$6:$C$60,MATCH($A42,BOE!$A$6:$A$60,0)),"not in BOE"))</f>
        <v/>
      </c>
      <c r="C42" s="22" t="str">
        <f aca="false">IF($A42="","",IFERROR(INDEX(BOE!$E$6:$E$60,MATCH($A42,BOE!$A$6:$A$60,0)),""))</f>
        <v/>
      </c>
      <c r="D42" s="93"/>
      <c r="E42" s="93"/>
      <c r="F42" s="93"/>
      <c r="G42" s="93"/>
      <c r="H42" s="41" t="str">
        <f aca="false">IF($A42="","",IF($B$4="Separate",IF($G42="","",$G42),IF($F42="","",$F42)))</f>
        <v/>
      </c>
      <c r="I42" s="22" t="str">
        <f aca="false">IF($A42="","",IFERROR(INDEX(BOE!$M$6:$M$60,MATCH($A42,BOE!$A$6:$A$60,0)),""))</f>
        <v/>
      </c>
      <c r="J42" s="93"/>
      <c r="K42" s="93"/>
      <c r="L42" s="43" t="str">
        <f aca="false">IF($A42="","",IFERROR(INDEX(Milestones!$E$5:$E$34,MATCH(IF($M42&lt;&gt;"",$M42,$I42),Milestones!$B$5:$B$34,0))+IFERROR(INDEX(BOE!$N$6:$N$60,MATCH($A42,BOE!$A$6:$A$60,0)),0)*7*($M42=""),""))</f>
        <v/>
      </c>
      <c r="M42" s="93"/>
      <c r="N42" s="43" t="str">
        <f aca="false">IF(OR($L42="",N($K42)=0),"",$L42-$K42*7)</f>
        <v/>
      </c>
      <c r="O42" s="94" t="str">
        <f aca="false">IF($A42="","",IFERROR(INDEX(BOE!$R$6:$R$60,MATCH($A42,BOE!$A$6:$A$60,0)),0))</f>
        <v/>
      </c>
      <c r="P42" s="94" t="str">
        <f aca="false">IF($A42="","",IFERROR(INDEX(BOE!$T$6:$T$60,MATCH($A42,BOE!$A$6:$A$60,0)),0))</f>
        <v/>
      </c>
    </row>
    <row r="43" customFormat="false" ht="15" hidden="false" customHeight="false" outlineLevel="0" collapsed="false">
      <c r="A43" s="93"/>
      <c r="B43" s="92" t="str">
        <f aca="false">IF($A43="","",IFERROR(INDEX(BOE!$C$6:$C$60,MATCH($A43,BOE!$A$6:$A$60,0)),"not in BOE"))</f>
        <v/>
      </c>
      <c r="C43" s="22" t="str">
        <f aca="false">IF($A43="","",IFERROR(INDEX(BOE!$E$6:$E$60,MATCH($A43,BOE!$A$6:$A$60,0)),""))</f>
        <v/>
      </c>
      <c r="D43" s="93"/>
      <c r="E43" s="93"/>
      <c r="F43" s="93"/>
      <c r="G43" s="93"/>
      <c r="H43" s="41" t="str">
        <f aca="false">IF($A43="","",IF($B$4="Separate",IF($G43="","",$G43),IF($F43="","",$F43)))</f>
        <v/>
      </c>
      <c r="I43" s="22" t="str">
        <f aca="false">IF($A43="","",IFERROR(INDEX(BOE!$M$6:$M$60,MATCH($A43,BOE!$A$6:$A$60,0)),""))</f>
        <v/>
      </c>
      <c r="J43" s="93"/>
      <c r="K43" s="93"/>
      <c r="L43" s="43" t="str">
        <f aca="false">IF($A43="","",IFERROR(INDEX(Milestones!$E$5:$E$34,MATCH(IF($M43&lt;&gt;"",$M43,$I43),Milestones!$B$5:$B$34,0))+IFERROR(INDEX(BOE!$N$6:$N$60,MATCH($A43,BOE!$A$6:$A$60,0)),0)*7*($M43=""),""))</f>
        <v/>
      </c>
      <c r="M43" s="93"/>
      <c r="N43" s="43" t="str">
        <f aca="false">IF(OR($L43="",N($K43)=0),"",$L43-$K43*7)</f>
        <v/>
      </c>
      <c r="O43" s="94" t="str">
        <f aca="false">IF($A43="","",IFERROR(INDEX(BOE!$R$6:$R$60,MATCH($A43,BOE!$A$6:$A$60,0)),0))</f>
        <v/>
      </c>
      <c r="P43" s="94" t="str">
        <f aca="false">IF($A43="","",IFERROR(INDEX(BOE!$T$6:$T$60,MATCH($A43,BOE!$A$6:$A$60,0)),0))</f>
        <v/>
      </c>
    </row>
    <row r="44" customFormat="false" ht="15" hidden="false" customHeight="false" outlineLevel="0" collapsed="false">
      <c r="A44" s="93"/>
      <c r="B44" s="92" t="str">
        <f aca="false">IF($A44="","",IFERROR(INDEX(BOE!$C$6:$C$60,MATCH($A44,BOE!$A$6:$A$60,0)),"not in BOE"))</f>
        <v/>
      </c>
      <c r="C44" s="22" t="str">
        <f aca="false">IF($A44="","",IFERROR(INDEX(BOE!$E$6:$E$60,MATCH($A44,BOE!$A$6:$A$60,0)),""))</f>
        <v/>
      </c>
      <c r="D44" s="93"/>
      <c r="E44" s="93"/>
      <c r="F44" s="93"/>
      <c r="G44" s="93"/>
      <c r="H44" s="41" t="str">
        <f aca="false">IF($A44="","",IF($B$4="Separate",IF($G44="","",$G44),IF($F44="","",$F44)))</f>
        <v/>
      </c>
      <c r="I44" s="22" t="str">
        <f aca="false">IF($A44="","",IFERROR(INDEX(BOE!$M$6:$M$60,MATCH($A44,BOE!$A$6:$A$60,0)),""))</f>
        <v/>
      </c>
      <c r="J44" s="93"/>
      <c r="K44" s="93"/>
      <c r="L44" s="43" t="str">
        <f aca="false">IF($A44="","",IFERROR(INDEX(Milestones!$E$5:$E$34,MATCH(IF($M44&lt;&gt;"",$M44,$I44),Milestones!$B$5:$B$34,0))+IFERROR(INDEX(BOE!$N$6:$N$60,MATCH($A44,BOE!$A$6:$A$60,0)),0)*7*($M44=""),""))</f>
        <v/>
      </c>
      <c r="M44" s="93"/>
      <c r="N44" s="43" t="str">
        <f aca="false">IF(OR($L44="",N($K44)=0),"",$L44-$K44*7)</f>
        <v/>
      </c>
      <c r="O44" s="94" t="str">
        <f aca="false">IF($A44="","",IFERROR(INDEX(BOE!$R$6:$R$60,MATCH($A44,BOE!$A$6:$A$60,0)),0))</f>
        <v/>
      </c>
      <c r="P44" s="94" t="str">
        <f aca="false">IF($A44="","",IFERROR(INDEX(BOE!$T$6:$T$60,MATCH($A44,BOE!$A$6:$A$60,0)),0))</f>
        <v/>
      </c>
    </row>
    <row r="45" customFormat="false" ht="15" hidden="false" customHeight="false" outlineLevel="0" collapsed="false">
      <c r="A45" s="93"/>
      <c r="B45" s="92" t="str">
        <f aca="false">IF($A45="","",IFERROR(INDEX(BOE!$C$6:$C$60,MATCH($A45,BOE!$A$6:$A$60,0)),"not in BOE"))</f>
        <v/>
      </c>
      <c r="C45" s="22" t="str">
        <f aca="false">IF($A45="","",IFERROR(INDEX(BOE!$E$6:$E$60,MATCH($A45,BOE!$A$6:$A$60,0)),""))</f>
        <v/>
      </c>
      <c r="D45" s="93"/>
      <c r="E45" s="93"/>
      <c r="F45" s="93"/>
      <c r="G45" s="93"/>
      <c r="H45" s="41" t="str">
        <f aca="false">IF($A45="","",IF($B$4="Separate",IF($G45="","",$G45),IF($F45="","",$F45)))</f>
        <v/>
      </c>
      <c r="I45" s="22" t="str">
        <f aca="false">IF($A45="","",IFERROR(INDEX(BOE!$M$6:$M$60,MATCH($A45,BOE!$A$6:$A$60,0)),""))</f>
        <v/>
      </c>
      <c r="J45" s="93"/>
      <c r="K45" s="93"/>
      <c r="L45" s="43" t="str">
        <f aca="false">IF($A45="","",IFERROR(INDEX(Milestones!$E$5:$E$34,MATCH(IF($M45&lt;&gt;"",$M45,$I45),Milestones!$B$5:$B$34,0))+IFERROR(INDEX(BOE!$N$6:$N$60,MATCH($A45,BOE!$A$6:$A$60,0)),0)*7*($M45=""),""))</f>
        <v/>
      </c>
      <c r="M45" s="93"/>
      <c r="N45" s="43" t="str">
        <f aca="false">IF(OR($L45="",N($K45)=0),"",$L45-$K45*7)</f>
        <v/>
      </c>
      <c r="O45" s="94" t="str">
        <f aca="false">IF($A45="","",IFERROR(INDEX(BOE!$R$6:$R$60,MATCH($A45,BOE!$A$6:$A$60,0)),0))</f>
        <v/>
      </c>
      <c r="P45" s="94" t="str">
        <f aca="false">IF($A45="","",IFERROR(INDEX(BOE!$T$6:$T$60,MATCH($A45,BOE!$A$6:$A$60,0)),0))</f>
        <v/>
      </c>
    </row>
    <row r="46" customFormat="false" ht="15" hidden="false" customHeight="false" outlineLevel="0" collapsed="false">
      <c r="A46" s="93"/>
      <c r="B46" s="92" t="str">
        <f aca="false">IF($A46="","",IFERROR(INDEX(BOE!$C$6:$C$60,MATCH($A46,BOE!$A$6:$A$60,0)),"not in BOE"))</f>
        <v/>
      </c>
      <c r="C46" s="22" t="str">
        <f aca="false">IF($A46="","",IFERROR(INDEX(BOE!$E$6:$E$60,MATCH($A46,BOE!$A$6:$A$60,0)),""))</f>
        <v/>
      </c>
      <c r="D46" s="93"/>
      <c r="E46" s="93"/>
      <c r="F46" s="93"/>
      <c r="G46" s="93"/>
      <c r="H46" s="41" t="str">
        <f aca="false">IF($A46="","",IF($B$4="Separate",IF($G46="","",$G46),IF($F46="","",$F46)))</f>
        <v/>
      </c>
      <c r="I46" s="22" t="str">
        <f aca="false">IF($A46="","",IFERROR(INDEX(BOE!$M$6:$M$60,MATCH($A46,BOE!$A$6:$A$60,0)),""))</f>
        <v/>
      </c>
      <c r="J46" s="93"/>
      <c r="K46" s="93"/>
      <c r="L46" s="43" t="str">
        <f aca="false">IF($A46="","",IFERROR(INDEX(Milestones!$E$5:$E$34,MATCH(IF($M46&lt;&gt;"",$M46,$I46),Milestones!$B$5:$B$34,0))+IFERROR(INDEX(BOE!$N$6:$N$60,MATCH($A46,BOE!$A$6:$A$60,0)),0)*7*($M46=""),""))</f>
        <v/>
      </c>
      <c r="M46" s="93"/>
      <c r="N46" s="43" t="str">
        <f aca="false">IF(OR($L46="",N($K46)=0),"",$L46-$K46*7)</f>
        <v/>
      </c>
      <c r="O46" s="94" t="str">
        <f aca="false">IF($A46="","",IFERROR(INDEX(BOE!$R$6:$R$60,MATCH($A46,BOE!$A$6:$A$60,0)),0))</f>
        <v/>
      </c>
      <c r="P46" s="94" t="str">
        <f aca="false">IF($A46="","",IFERROR(INDEX(BOE!$T$6:$T$60,MATCH($A46,BOE!$A$6:$A$60,0)),0))</f>
        <v/>
      </c>
    </row>
    <row r="47" customFormat="false" ht="15" hidden="false" customHeight="false" outlineLevel="0" collapsed="false">
      <c r="A47" s="93"/>
      <c r="B47" s="92" t="str">
        <f aca="false">IF($A47="","",IFERROR(INDEX(BOE!$C$6:$C$60,MATCH($A47,BOE!$A$6:$A$60,0)),"not in BOE"))</f>
        <v/>
      </c>
      <c r="C47" s="22" t="str">
        <f aca="false">IF($A47="","",IFERROR(INDEX(BOE!$E$6:$E$60,MATCH($A47,BOE!$A$6:$A$60,0)),""))</f>
        <v/>
      </c>
      <c r="D47" s="93"/>
      <c r="E47" s="93"/>
      <c r="F47" s="93"/>
      <c r="G47" s="93"/>
      <c r="H47" s="41" t="str">
        <f aca="false">IF($A47="","",IF($B$4="Separate",IF($G47="","",$G47),IF($F47="","",$F47)))</f>
        <v/>
      </c>
      <c r="I47" s="22" t="str">
        <f aca="false">IF($A47="","",IFERROR(INDEX(BOE!$M$6:$M$60,MATCH($A47,BOE!$A$6:$A$60,0)),""))</f>
        <v/>
      </c>
      <c r="J47" s="93"/>
      <c r="K47" s="93"/>
      <c r="L47" s="43" t="str">
        <f aca="false">IF($A47="","",IFERROR(INDEX(Milestones!$E$5:$E$34,MATCH(IF($M47&lt;&gt;"",$M47,$I47),Milestones!$B$5:$B$34,0))+IFERROR(INDEX(BOE!$N$6:$N$60,MATCH($A47,BOE!$A$6:$A$60,0)),0)*7*($M47=""),""))</f>
        <v/>
      </c>
      <c r="M47" s="93"/>
      <c r="N47" s="43" t="str">
        <f aca="false">IF(OR($L47="",N($K47)=0),"",$L47-$K47*7)</f>
        <v/>
      </c>
      <c r="O47" s="94" t="str">
        <f aca="false">IF($A47="","",IFERROR(INDEX(BOE!$R$6:$R$60,MATCH($A47,BOE!$A$6:$A$60,0)),0))</f>
        <v/>
      </c>
      <c r="P47" s="94" t="str">
        <f aca="false">IF($A47="","",IFERROR(INDEX(BOE!$T$6:$T$60,MATCH($A47,BOE!$A$6:$A$60,0)),0))</f>
        <v/>
      </c>
    </row>
    <row r="48" customFormat="false" ht="15" hidden="false" customHeight="false" outlineLevel="0" collapsed="false">
      <c r="A48" s="93"/>
      <c r="B48" s="92" t="str">
        <f aca="false">IF($A48="","",IFERROR(INDEX(BOE!$C$6:$C$60,MATCH($A48,BOE!$A$6:$A$60,0)),"not in BOE"))</f>
        <v/>
      </c>
      <c r="C48" s="22" t="str">
        <f aca="false">IF($A48="","",IFERROR(INDEX(BOE!$E$6:$E$60,MATCH($A48,BOE!$A$6:$A$60,0)),""))</f>
        <v/>
      </c>
      <c r="D48" s="93"/>
      <c r="E48" s="93"/>
      <c r="F48" s="93"/>
      <c r="G48" s="93"/>
      <c r="H48" s="41" t="str">
        <f aca="false">IF($A48="","",IF($B$4="Separate",IF($G48="","",$G48),IF($F48="","",$F48)))</f>
        <v/>
      </c>
      <c r="I48" s="22" t="str">
        <f aca="false">IF($A48="","",IFERROR(INDEX(BOE!$M$6:$M$60,MATCH($A48,BOE!$A$6:$A$60,0)),""))</f>
        <v/>
      </c>
      <c r="J48" s="93"/>
      <c r="K48" s="93"/>
      <c r="L48" s="43" t="str">
        <f aca="false">IF($A48="","",IFERROR(INDEX(Milestones!$E$5:$E$34,MATCH(IF($M48&lt;&gt;"",$M48,$I48),Milestones!$B$5:$B$34,0))+IFERROR(INDEX(BOE!$N$6:$N$60,MATCH($A48,BOE!$A$6:$A$60,0)),0)*7*($M48=""),""))</f>
        <v/>
      </c>
      <c r="M48" s="93"/>
      <c r="N48" s="43" t="str">
        <f aca="false">IF(OR($L48="",N($K48)=0),"",$L48-$K48*7)</f>
        <v/>
      </c>
      <c r="O48" s="94" t="str">
        <f aca="false">IF($A48="","",IFERROR(INDEX(BOE!$R$6:$R$60,MATCH($A48,BOE!$A$6:$A$60,0)),0))</f>
        <v/>
      </c>
      <c r="P48" s="94" t="str">
        <f aca="false">IF($A48="","",IFERROR(INDEX(BOE!$T$6:$T$60,MATCH($A48,BOE!$A$6:$A$60,0)),0))</f>
        <v/>
      </c>
    </row>
    <row r="49" customFormat="false" ht="15" hidden="false" customHeight="false" outlineLevel="0" collapsed="false">
      <c r="A49" s="93"/>
      <c r="B49" s="92" t="str">
        <f aca="false">IF($A49="","",IFERROR(INDEX(BOE!$C$6:$C$60,MATCH($A49,BOE!$A$6:$A$60,0)),"not in BOE"))</f>
        <v/>
      </c>
      <c r="C49" s="22" t="str">
        <f aca="false">IF($A49="","",IFERROR(INDEX(BOE!$E$6:$E$60,MATCH($A49,BOE!$A$6:$A$60,0)),""))</f>
        <v/>
      </c>
      <c r="D49" s="93"/>
      <c r="E49" s="93"/>
      <c r="F49" s="93"/>
      <c r="G49" s="93"/>
      <c r="H49" s="41" t="str">
        <f aca="false">IF($A49="","",IF($B$4="Separate",IF($G49="","",$G49),IF($F49="","",$F49)))</f>
        <v/>
      </c>
      <c r="I49" s="22" t="str">
        <f aca="false">IF($A49="","",IFERROR(INDEX(BOE!$M$6:$M$60,MATCH($A49,BOE!$A$6:$A$60,0)),""))</f>
        <v/>
      </c>
      <c r="J49" s="93"/>
      <c r="K49" s="93"/>
      <c r="L49" s="43" t="str">
        <f aca="false">IF($A49="","",IFERROR(INDEX(Milestones!$E$5:$E$34,MATCH(IF($M49&lt;&gt;"",$M49,$I49),Milestones!$B$5:$B$34,0))+IFERROR(INDEX(BOE!$N$6:$N$60,MATCH($A49,BOE!$A$6:$A$60,0)),0)*7*($M49=""),""))</f>
        <v/>
      </c>
      <c r="M49" s="93"/>
      <c r="N49" s="43" t="str">
        <f aca="false">IF(OR($L49="",N($K49)=0),"",$L49-$K49*7)</f>
        <v/>
      </c>
      <c r="O49" s="94" t="str">
        <f aca="false">IF($A49="","",IFERROR(INDEX(BOE!$R$6:$R$60,MATCH($A49,BOE!$A$6:$A$60,0)),0))</f>
        <v/>
      </c>
      <c r="P49" s="94" t="str">
        <f aca="false">IF($A49="","",IFERROR(INDEX(BOE!$T$6:$T$60,MATCH($A49,BOE!$A$6:$A$60,0)),0))</f>
        <v/>
      </c>
    </row>
    <row r="50" customFormat="false" ht="15" hidden="false" customHeight="false" outlineLevel="0" collapsed="false">
      <c r="A50" s="93"/>
      <c r="B50" s="92" t="str">
        <f aca="false">IF($A50="","",IFERROR(INDEX(BOE!$C$6:$C$60,MATCH($A50,BOE!$A$6:$A$60,0)),"not in BOE"))</f>
        <v/>
      </c>
      <c r="C50" s="22" t="str">
        <f aca="false">IF($A50="","",IFERROR(INDEX(BOE!$E$6:$E$60,MATCH($A50,BOE!$A$6:$A$60,0)),""))</f>
        <v/>
      </c>
      <c r="D50" s="93"/>
      <c r="E50" s="93"/>
      <c r="F50" s="93"/>
      <c r="G50" s="93"/>
      <c r="H50" s="41" t="str">
        <f aca="false">IF($A50="","",IF($B$4="Separate",IF($G50="","",$G50),IF($F50="","",$F50)))</f>
        <v/>
      </c>
      <c r="I50" s="22" t="str">
        <f aca="false">IF($A50="","",IFERROR(INDEX(BOE!$M$6:$M$60,MATCH($A50,BOE!$A$6:$A$60,0)),""))</f>
        <v/>
      </c>
      <c r="J50" s="93"/>
      <c r="K50" s="93"/>
      <c r="L50" s="43" t="str">
        <f aca="false">IF($A50="","",IFERROR(INDEX(Milestones!$E$5:$E$34,MATCH(IF($M50&lt;&gt;"",$M50,$I50),Milestones!$B$5:$B$34,0))+IFERROR(INDEX(BOE!$N$6:$N$60,MATCH($A50,BOE!$A$6:$A$60,0)),0)*7*($M50=""),""))</f>
        <v/>
      </c>
      <c r="M50" s="93"/>
      <c r="N50" s="43" t="str">
        <f aca="false">IF(OR($L50="",N($K50)=0),"",$L50-$K50*7)</f>
        <v/>
      </c>
      <c r="O50" s="94" t="str">
        <f aca="false">IF($A50="","",IFERROR(INDEX(BOE!$R$6:$R$60,MATCH($A50,BOE!$A$6:$A$60,0)),0))</f>
        <v/>
      </c>
      <c r="P50" s="94" t="str">
        <f aca="false">IF($A50="","",IFERROR(INDEX(BOE!$T$6:$T$60,MATCH($A50,BOE!$A$6:$A$60,0)),0))</f>
        <v/>
      </c>
    </row>
    <row r="51" customFormat="false" ht="15" hidden="false" customHeight="false" outlineLevel="0" collapsed="false">
      <c r="A51" s="93"/>
      <c r="B51" s="92" t="str">
        <f aca="false">IF($A51="","",IFERROR(INDEX(BOE!$C$6:$C$60,MATCH($A51,BOE!$A$6:$A$60,0)),"not in BOE"))</f>
        <v/>
      </c>
      <c r="C51" s="22" t="str">
        <f aca="false">IF($A51="","",IFERROR(INDEX(BOE!$E$6:$E$60,MATCH($A51,BOE!$A$6:$A$60,0)),""))</f>
        <v/>
      </c>
      <c r="D51" s="93"/>
      <c r="E51" s="93"/>
      <c r="F51" s="93"/>
      <c r="G51" s="93"/>
      <c r="H51" s="41" t="str">
        <f aca="false">IF($A51="","",IF($B$4="Separate",IF($G51="","",$G51),IF($F51="","",$F51)))</f>
        <v/>
      </c>
      <c r="I51" s="22" t="str">
        <f aca="false">IF($A51="","",IFERROR(INDEX(BOE!$M$6:$M$60,MATCH($A51,BOE!$A$6:$A$60,0)),""))</f>
        <v/>
      </c>
      <c r="J51" s="93"/>
      <c r="K51" s="93"/>
      <c r="L51" s="43" t="str">
        <f aca="false">IF($A51="","",IFERROR(INDEX(Milestones!$E$5:$E$34,MATCH(IF($M51&lt;&gt;"",$M51,$I51),Milestones!$B$5:$B$34,0))+IFERROR(INDEX(BOE!$N$6:$N$60,MATCH($A51,BOE!$A$6:$A$60,0)),0)*7*($M51=""),""))</f>
        <v/>
      </c>
      <c r="M51" s="93"/>
      <c r="N51" s="43" t="str">
        <f aca="false">IF(OR($L51="",N($K51)=0),"",$L51-$K51*7)</f>
        <v/>
      </c>
      <c r="O51" s="94" t="str">
        <f aca="false">IF($A51="","",IFERROR(INDEX(BOE!$R$6:$R$60,MATCH($A51,BOE!$A$6:$A$60,0)),0))</f>
        <v/>
      </c>
      <c r="P51" s="94" t="str">
        <f aca="false">IF($A51="","",IFERROR(INDEX(BOE!$T$6:$T$60,MATCH($A51,BOE!$A$6:$A$60,0)),0))</f>
        <v/>
      </c>
    </row>
    <row r="52" customFormat="false" ht="15" hidden="false" customHeight="false" outlineLevel="0" collapsed="false">
      <c r="A52" s="93"/>
      <c r="B52" s="92" t="str">
        <f aca="false">IF($A52="","",IFERROR(INDEX(BOE!$C$6:$C$60,MATCH($A52,BOE!$A$6:$A$60,0)),"not in BOE"))</f>
        <v/>
      </c>
      <c r="C52" s="22" t="str">
        <f aca="false">IF($A52="","",IFERROR(INDEX(BOE!$E$6:$E$60,MATCH($A52,BOE!$A$6:$A$60,0)),""))</f>
        <v/>
      </c>
      <c r="D52" s="93"/>
      <c r="E52" s="93"/>
      <c r="F52" s="93"/>
      <c r="G52" s="93"/>
      <c r="H52" s="41" t="str">
        <f aca="false">IF($A52="","",IF($B$4="Separate",IF($G52="","",$G52),IF($F52="","",$F52)))</f>
        <v/>
      </c>
      <c r="I52" s="22" t="str">
        <f aca="false">IF($A52="","",IFERROR(INDEX(BOE!$M$6:$M$60,MATCH($A52,BOE!$A$6:$A$60,0)),""))</f>
        <v/>
      </c>
      <c r="J52" s="93"/>
      <c r="K52" s="93"/>
      <c r="L52" s="43" t="str">
        <f aca="false">IF($A52="","",IFERROR(INDEX(Milestones!$E$5:$E$34,MATCH(IF($M52&lt;&gt;"",$M52,$I52),Milestones!$B$5:$B$34,0))+IFERROR(INDEX(BOE!$N$6:$N$60,MATCH($A52,BOE!$A$6:$A$60,0)),0)*7*($M52=""),""))</f>
        <v/>
      </c>
      <c r="M52" s="93"/>
      <c r="N52" s="43" t="str">
        <f aca="false">IF(OR($L52="",N($K52)=0),"",$L52-$K52*7)</f>
        <v/>
      </c>
      <c r="O52" s="94" t="str">
        <f aca="false">IF($A52="","",IFERROR(INDEX(BOE!$R$6:$R$60,MATCH($A52,BOE!$A$6:$A$60,0)),0))</f>
        <v/>
      </c>
      <c r="P52" s="94" t="str">
        <f aca="false">IF($A52="","",IFERROR(INDEX(BOE!$T$6:$T$60,MATCH($A52,BOE!$A$6:$A$60,0)),0))</f>
        <v/>
      </c>
    </row>
    <row r="53" customFormat="false" ht="15" hidden="false" customHeight="false" outlineLevel="0" collapsed="false">
      <c r="A53" s="93"/>
      <c r="B53" s="92" t="str">
        <f aca="false">IF($A53="","",IFERROR(INDEX(BOE!$C$6:$C$60,MATCH($A53,BOE!$A$6:$A$60,0)),"not in BOE"))</f>
        <v/>
      </c>
      <c r="C53" s="22" t="str">
        <f aca="false">IF($A53="","",IFERROR(INDEX(BOE!$E$6:$E$60,MATCH($A53,BOE!$A$6:$A$60,0)),""))</f>
        <v/>
      </c>
      <c r="D53" s="93"/>
      <c r="E53" s="93"/>
      <c r="F53" s="93"/>
      <c r="G53" s="93"/>
      <c r="H53" s="41" t="str">
        <f aca="false">IF($A53="","",IF($B$4="Separate",IF($G53="","",$G53),IF($F53="","",$F53)))</f>
        <v/>
      </c>
      <c r="I53" s="22" t="str">
        <f aca="false">IF($A53="","",IFERROR(INDEX(BOE!$M$6:$M$60,MATCH($A53,BOE!$A$6:$A$60,0)),""))</f>
        <v/>
      </c>
      <c r="J53" s="93"/>
      <c r="K53" s="93"/>
      <c r="L53" s="43" t="str">
        <f aca="false">IF($A53="","",IFERROR(INDEX(Milestones!$E$5:$E$34,MATCH(IF($M53&lt;&gt;"",$M53,$I53),Milestones!$B$5:$B$34,0))+IFERROR(INDEX(BOE!$N$6:$N$60,MATCH($A53,BOE!$A$6:$A$60,0)),0)*7*($M53=""),""))</f>
        <v/>
      </c>
      <c r="M53" s="93"/>
      <c r="N53" s="43" t="str">
        <f aca="false">IF(OR($L53="",N($K53)=0),"",$L53-$K53*7)</f>
        <v/>
      </c>
      <c r="O53" s="94" t="str">
        <f aca="false">IF($A53="","",IFERROR(INDEX(BOE!$R$6:$R$60,MATCH($A53,BOE!$A$6:$A$60,0)),0))</f>
        <v/>
      </c>
      <c r="P53" s="94" t="str">
        <f aca="false">IF($A53="","",IFERROR(INDEX(BOE!$T$6:$T$60,MATCH($A53,BOE!$A$6:$A$60,0)),0))</f>
        <v/>
      </c>
    </row>
    <row r="54" customFormat="false" ht="15" hidden="false" customHeight="false" outlineLevel="0" collapsed="false">
      <c r="A54" s="93"/>
      <c r="B54" s="92" t="str">
        <f aca="false">IF($A54="","",IFERROR(INDEX(BOE!$C$6:$C$60,MATCH($A54,BOE!$A$6:$A$60,0)),"not in BOE"))</f>
        <v/>
      </c>
      <c r="C54" s="22" t="str">
        <f aca="false">IF($A54="","",IFERROR(INDEX(BOE!$E$6:$E$60,MATCH($A54,BOE!$A$6:$A$60,0)),""))</f>
        <v/>
      </c>
      <c r="D54" s="93"/>
      <c r="E54" s="93"/>
      <c r="F54" s="93"/>
      <c r="G54" s="93"/>
      <c r="H54" s="41" t="str">
        <f aca="false">IF($A54="","",IF($B$4="Separate",IF($G54="","",$G54),IF($F54="","",$F54)))</f>
        <v/>
      </c>
      <c r="I54" s="22" t="str">
        <f aca="false">IF($A54="","",IFERROR(INDEX(BOE!$M$6:$M$60,MATCH($A54,BOE!$A$6:$A$60,0)),""))</f>
        <v/>
      </c>
      <c r="J54" s="93"/>
      <c r="K54" s="93"/>
      <c r="L54" s="43" t="str">
        <f aca="false">IF($A54="","",IFERROR(INDEX(Milestones!$E$5:$E$34,MATCH(IF($M54&lt;&gt;"",$M54,$I54),Milestones!$B$5:$B$34,0))+IFERROR(INDEX(BOE!$N$6:$N$60,MATCH($A54,BOE!$A$6:$A$60,0)),0)*7*($M54=""),""))</f>
        <v/>
      </c>
      <c r="M54" s="93"/>
      <c r="N54" s="43" t="str">
        <f aca="false">IF(OR($L54="",N($K54)=0),"",$L54-$K54*7)</f>
        <v/>
      </c>
      <c r="O54" s="94" t="str">
        <f aca="false">IF($A54="","",IFERROR(INDEX(BOE!$R$6:$R$60,MATCH($A54,BOE!$A$6:$A$60,0)),0))</f>
        <v/>
      </c>
      <c r="P54" s="94" t="str">
        <f aca="false">IF($A54="","",IFERROR(INDEX(BOE!$T$6:$T$60,MATCH($A54,BOE!$A$6:$A$60,0)),0))</f>
        <v/>
      </c>
    </row>
    <row r="55" customFormat="false" ht="15" hidden="false" customHeight="false" outlineLevel="0" collapsed="false">
      <c r="A55" s="93"/>
      <c r="B55" s="92" t="str">
        <f aca="false">IF($A55="","",IFERROR(INDEX(BOE!$C$6:$C$60,MATCH($A55,BOE!$A$6:$A$60,0)),"not in BOE"))</f>
        <v/>
      </c>
      <c r="C55" s="22" t="str">
        <f aca="false">IF($A55="","",IFERROR(INDEX(BOE!$E$6:$E$60,MATCH($A55,BOE!$A$6:$A$60,0)),""))</f>
        <v/>
      </c>
      <c r="D55" s="93"/>
      <c r="E55" s="93"/>
      <c r="F55" s="93"/>
      <c r="G55" s="93"/>
      <c r="H55" s="41" t="str">
        <f aca="false">IF($A55="","",IF($B$4="Separate",IF($G55="","",$G55),IF($F55="","",$F55)))</f>
        <v/>
      </c>
      <c r="I55" s="22" t="str">
        <f aca="false">IF($A55="","",IFERROR(INDEX(BOE!$M$6:$M$60,MATCH($A55,BOE!$A$6:$A$60,0)),""))</f>
        <v/>
      </c>
      <c r="J55" s="93"/>
      <c r="K55" s="93"/>
      <c r="L55" s="43" t="str">
        <f aca="false">IF($A55="","",IFERROR(INDEX(Milestones!$E$5:$E$34,MATCH(IF($M55&lt;&gt;"",$M55,$I55),Milestones!$B$5:$B$34,0))+IFERROR(INDEX(BOE!$N$6:$N$60,MATCH($A55,BOE!$A$6:$A$60,0)),0)*7*($M55=""),""))</f>
        <v/>
      </c>
      <c r="M55" s="93"/>
      <c r="N55" s="43" t="str">
        <f aca="false">IF(OR($L55="",N($K55)=0),"",$L55-$K55*7)</f>
        <v/>
      </c>
      <c r="O55" s="94" t="str">
        <f aca="false">IF($A55="","",IFERROR(INDEX(BOE!$R$6:$R$60,MATCH($A55,BOE!$A$6:$A$60,0)),0))</f>
        <v/>
      </c>
      <c r="P55" s="94" t="str">
        <f aca="false">IF($A55="","",IFERROR(INDEX(BOE!$T$6:$T$60,MATCH($A55,BOE!$A$6:$A$60,0)),0))</f>
        <v/>
      </c>
    </row>
    <row r="56" customFormat="false" ht="15" hidden="false" customHeight="false" outlineLevel="0" collapsed="false">
      <c r="A56" s="93"/>
      <c r="B56" s="92" t="str">
        <f aca="false">IF($A56="","",IFERROR(INDEX(BOE!$C$6:$C$60,MATCH($A56,BOE!$A$6:$A$60,0)),"not in BOE"))</f>
        <v/>
      </c>
      <c r="C56" s="22" t="str">
        <f aca="false">IF($A56="","",IFERROR(INDEX(BOE!$E$6:$E$60,MATCH($A56,BOE!$A$6:$A$60,0)),""))</f>
        <v/>
      </c>
      <c r="D56" s="93"/>
      <c r="E56" s="93"/>
      <c r="F56" s="93"/>
      <c r="G56" s="93"/>
      <c r="H56" s="41" t="str">
        <f aca="false">IF($A56="","",IF($B$4="Separate",IF($G56="","",$G56),IF($F56="","",$F56)))</f>
        <v/>
      </c>
      <c r="I56" s="22" t="str">
        <f aca="false">IF($A56="","",IFERROR(INDEX(BOE!$M$6:$M$60,MATCH($A56,BOE!$A$6:$A$60,0)),""))</f>
        <v/>
      </c>
      <c r="J56" s="93"/>
      <c r="K56" s="93"/>
      <c r="L56" s="43" t="str">
        <f aca="false">IF($A56="","",IFERROR(INDEX(Milestones!$E$5:$E$34,MATCH(IF($M56&lt;&gt;"",$M56,$I56),Milestones!$B$5:$B$34,0))+IFERROR(INDEX(BOE!$N$6:$N$60,MATCH($A56,BOE!$A$6:$A$60,0)),0)*7*($M56=""),""))</f>
        <v/>
      </c>
      <c r="M56" s="93"/>
      <c r="N56" s="43" t="str">
        <f aca="false">IF(OR($L56="",N($K56)=0),"",$L56-$K56*7)</f>
        <v/>
      </c>
      <c r="O56" s="94" t="str">
        <f aca="false">IF($A56="","",IFERROR(INDEX(BOE!$R$6:$R$60,MATCH($A56,BOE!$A$6:$A$60,0)),0))</f>
        <v/>
      </c>
      <c r="P56" s="94" t="str">
        <f aca="false">IF($A56="","",IFERROR(INDEX(BOE!$T$6:$T$60,MATCH($A56,BOE!$A$6:$A$60,0)),0))</f>
        <v/>
      </c>
    </row>
    <row r="57" customFormat="false" ht="15" hidden="false" customHeight="false" outlineLevel="0" collapsed="false">
      <c r="A57" s="93"/>
      <c r="B57" s="92" t="str">
        <f aca="false">IF($A57="","",IFERROR(INDEX(BOE!$C$6:$C$60,MATCH($A57,BOE!$A$6:$A$60,0)),"not in BOE"))</f>
        <v/>
      </c>
      <c r="C57" s="22" t="str">
        <f aca="false">IF($A57="","",IFERROR(INDEX(BOE!$E$6:$E$60,MATCH($A57,BOE!$A$6:$A$60,0)),""))</f>
        <v/>
      </c>
      <c r="D57" s="93"/>
      <c r="E57" s="93"/>
      <c r="F57" s="93"/>
      <c r="G57" s="93"/>
      <c r="H57" s="41" t="str">
        <f aca="false">IF($A57="","",IF($B$4="Separate",IF($G57="","",$G57),IF($F57="","",$F57)))</f>
        <v/>
      </c>
      <c r="I57" s="22" t="str">
        <f aca="false">IF($A57="","",IFERROR(INDEX(BOE!$M$6:$M$60,MATCH($A57,BOE!$A$6:$A$60,0)),""))</f>
        <v/>
      </c>
      <c r="J57" s="93"/>
      <c r="K57" s="93"/>
      <c r="L57" s="43" t="str">
        <f aca="false">IF($A57="","",IFERROR(INDEX(Milestones!$E$5:$E$34,MATCH(IF($M57&lt;&gt;"",$M57,$I57),Milestones!$B$5:$B$34,0))+IFERROR(INDEX(BOE!$N$6:$N$60,MATCH($A57,BOE!$A$6:$A$60,0)),0)*7*($M57=""),""))</f>
        <v/>
      </c>
      <c r="M57" s="93"/>
      <c r="N57" s="43" t="str">
        <f aca="false">IF(OR($L57="",N($K57)=0),"",$L57-$K57*7)</f>
        <v/>
      </c>
      <c r="O57" s="94" t="str">
        <f aca="false">IF($A57="","",IFERROR(INDEX(BOE!$R$6:$R$60,MATCH($A57,BOE!$A$6:$A$60,0)),0))</f>
        <v/>
      </c>
      <c r="P57" s="94" t="str">
        <f aca="false">IF($A57="","",IFERROR(INDEX(BOE!$T$6:$T$60,MATCH($A57,BOE!$A$6:$A$60,0)),0))</f>
        <v/>
      </c>
    </row>
    <row r="58" customFormat="false" ht="15" hidden="false" customHeight="false" outlineLevel="0" collapsed="false">
      <c r="A58" s="93"/>
      <c r="B58" s="92" t="str">
        <f aca="false">IF($A58="","",IFERROR(INDEX(BOE!$C$6:$C$60,MATCH($A58,BOE!$A$6:$A$60,0)),"not in BOE"))</f>
        <v/>
      </c>
      <c r="C58" s="22" t="str">
        <f aca="false">IF($A58="","",IFERROR(INDEX(BOE!$E$6:$E$60,MATCH($A58,BOE!$A$6:$A$60,0)),""))</f>
        <v/>
      </c>
      <c r="D58" s="93"/>
      <c r="E58" s="93"/>
      <c r="F58" s="93"/>
      <c r="G58" s="93"/>
      <c r="H58" s="41" t="str">
        <f aca="false">IF($A58="","",IF($B$4="Separate",IF($G58="","",$G58),IF($F58="","",$F58)))</f>
        <v/>
      </c>
      <c r="I58" s="22" t="str">
        <f aca="false">IF($A58="","",IFERROR(INDEX(BOE!$M$6:$M$60,MATCH($A58,BOE!$A$6:$A$60,0)),""))</f>
        <v/>
      </c>
      <c r="J58" s="93"/>
      <c r="K58" s="93"/>
      <c r="L58" s="43" t="str">
        <f aca="false">IF($A58="","",IFERROR(INDEX(Milestones!$E$5:$E$34,MATCH(IF($M58&lt;&gt;"",$M58,$I58),Milestones!$B$5:$B$34,0))+IFERROR(INDEX(BOE!$N$6:$N$60,MATCH($A58,BOE!$A$6:$A$60,0)),0)*7*($M58=""),""))</f>
        <v/>
      </c>
      <c r="M58" s="93"/>
      <c r="N58" s="43" t="str">
        <f aca="false">IF(OR($L58="",N($K58)=0),"",$L58-$K58*7)</f>
        <v/>
      </c>
      <c r="O58" s="94" t="str">
        <f aca="false">IF($A58="","",IFERROR(INDEX(BOE!$R$6:$R$60,MATCH($A58,BOE!$A$6:$A$60,0)),0))</f>
        <v/>
      </c>
      <c r="P58" s="94" t="str">
        <f aca="false">IF($A58="","",IFERROR(INDEX(BOE!$T$6:$T$60,MATCH($A58,BOE!$A$6:$A$60,0)),0))</f>
        <v/>
      </c>
    </row>
    <row r="59" customFormat="false" ht="15" hidden="false" customHeight="false" outlineLevel="0" collapsed="false">
      <c r="A59" s="93"/>
      <c r="B59" s="92" t="str">
        <f aca="false">IF($A59="","",IFERROR(INDEX(BOE!$C$6:$C$60,MATCH($A59,BOE!$A$6:$A$60,0)),"not in BOE"))</f>
        <v/>
      </c>
      <c r="C59" s="22" t="str">
        <f aca="false">IF($A59="","",IFERROR(INDEX(BOE!$E$6:$E$60,MATCH($A59,BOE!$A$6:$A$60,0)),""))</f>
        <v/>
      </c>
      <c r="D59" s="93"/>
      <c r="E59" s="93"/>
      <c r="F59" s="93"/>
      <c r="G59" s="93"/>
      <c r="H59" s="41" t="str">
        <f aca="false">IF($A59="","",IF($B$4="Separate",IF($G59="","",$G59),IF($F59="","",$F59)))</f>
        <v/>
      </c>
      <c r="I59" s="22" t="str">
        <f aca="false">IF($A59="","",IFERROR(INDEX(BOE!$M$6:$M$60,MATCH($A59,BOE!$A$6:$A$60,0)),""))</f>
        <v/>
      </c>
      <c r="J59" s="93"/>
      <c r="K59" s="93"/>
      <c r="L59" s="43" t="str">
        <f aca="false">IF($A59="","",IFERROR(INDEX(Milestones!$E$5:$E$34,MATCH(IF($M59&lt;&gt;"",$M59,$I59),Milestones!$B$5:$B$34,0))+IFERROR(INDEX(BOE!$N$6:$N$60,MATCH($A59,BOE!$A$6:$A$60,0)),0)*7*($M59=""),""))</f>
        <v/>
      </c>
      <c r="M59" s="93"/>
      <c r="N59" s="43" t="str">
        <f aca="false">IF(OR($L59="",N($K59)=0),"",$L59-$K59*7)</f>
        <v/>
      </c>
      <c r="O59" s="94" t="str">
        <f aca="false">IF($A59="","",IFERROR(INDEX(BOE!$R$6:$R$60,MATCH($A59,BOE!$A$6:$A$60,0)),0))</f>
        <v/>
      </c>
      <c r="P59" s="94" t="str">
        <f aca="false">IF($A59="","",IFERROR(INDEX(BOE!$T$6:$T$60,MATCH($A59,BOE!$A$6:$A$60,0)),0))</f>
        <v/>
      </c>
    </row>
    <row r="60" customFormat="false" ht="15" hidden="false" customHeight="false" outlineLevel="0" collapsed="false">
      <c r="A60" s="93"/>
      <c r="B60" s="92" t="str">
        <f aca="false">IF($A60="","",IFERROR(INDEX(BOE!$C$6:$C$60,MATCH($A60,BOE!$A$6:$A$60,0)),"not in BOE"))</f>
        <v/>
      </c>
      <c r="C60" s="22" t="str">
        <f aca="false">IF($A60="","",IFERROR(INDEX(BOE!$E$6:$E$60,MATCH($A60,BOE!$A$6:$A$60,0)),""))</f>
        <v/>
      </c>
      <c r="D60" s="93"/>
      <c r="E60" s="93"/>
      <c r="F60" s="93"/>
      <c r="G60" s="93"/>
      <c r="H60" s="41" t="str">
        <f aca="false">IF($A60="","",IF($B$4="Separate",IF($G60="","",$G60),IF($F60="","",$F60)))</f>
        <v/>
      </c>
      <c r="I60" s="22" t="str">
        <f aca="false">IF($A60="","",IFERROR(INDEX(BOE!$M$6:$M$60,MATCH($A60,BOE!$A$6:$A$60,0)),""))</f>
        <v/>
      </c>
      <c r="J60" s="93"/>
      <c r="K60" s="93"/>
      <c r="L60" s="43" t="str">
        <f aca="false">IF($A60="","",IFERROR(INDEX(Milestones!$E$5:$E$34,MATCH(IF($M60&lt;&gt;"",$M60,$I60),Milestones!$B$5:$B$34,0))+IFERROR(INDEX(BOE!$N$6:$N$60,MATCH($A60,BOE!$A$6:$A$60,0)),0)*7*($M60=""),""))</f>
        <v/>
      </c>
      <c r="M60" s="93"/>
      <c r="N60" s="43" t="str">
        <f aca="false">IF(OR($L60="",N($K60)=0),"",$L60-$K60*7)</f>
        <v/>
      </c>
      <c r="O60" s="94" t="str">
        <f aca="false">IF($A60="","",IFERROR(INDEX(BOE!$R$6:$R$60,MATCH($A60,BOE!$A$6:$A$60,0)),0))</f>
        <v/>
      </c>
      <c r="P60" s="94" t="str">
        <f aca="false">IF($A60="","",IFERROR(INDEX(BOE!$T$6:$T$60,MATCH($A60,BOE!$A$6:$A$60,0)),0))</f>
        <v/>
      </c>
    </row>
    <row r="61" customFormat="false" ht="15" hidden="false" customHeight="false" outlineLevel="0" collapsed="false">
      <c r="A61" s="93"/>
      <c r="B61" s="92" t="str">
        <f aca="false">IF($A61="","",IFERROR(INDEX(BOE!$C$6:$C$60,MATCH($A61,BOE!$A$6:$A$60,0)),"not in BOE"))</f>
        <v/>
      </c>
      <c r="C61" s="22" t="str">
        <f aca="false">IF($A61="","",IFERROR(INDEX(BOE!$E$6:$E$60,MATCH($A61,BOE!$A$6:$A$60,0)),""))</f>
        <v/>
      </c>
      <c r="D61" s="93"/>
      <c r="E61" s="93"/>
      <c r="F61" s="93"/>
      <c r="G61" s="93"/>
      <c r="H61" s="41" t="str">
        <f aca="false">IF($A61="","",IF($B$4="Separate",IF($G61="","",$G61),IF($F61="","",$F61)))</f>
        <v/>
      </c>
      <c r="I61" s="22" t="str">
        <f aca="false">IF($A61="","",IFERROR(INDEX(BOE!$M$6:$M$60,MATCH($A61,BOE!$A$6:$A$60,0)),""))</f>
        <v/>
      </c>
      <c r="J61" s="93"/>
      <c r="K61" s="93"/>
      <c r="L61" s="43" t="str">
        <f aca="false">IF($A61="","",IFERROR(INDEX(Milestones!$E$5:$E$34,MATCH(IF($M61&lt;&gt;"",$M61,$I61),Milestones!$B$5:$B$34,0))+IFERROR(INDEX(BOE!$N$6:$N$60,MATCH($A61,BOE!$A$6:$A$60,0)),0)*7*($M61=""),""))</f>
        <v/>
      </c>
      <c r="M61" s="93"/>
      <c r="N61" s="43" t="str">
        <f aca="false">IF(OR($L61="",N($K61)=0),"",$L61-$K61*7)</f>
        <v/>
      </c>
      <c r="O61" s="94" t="str">
        <f aca="false">IF($A61="","",IFERROR(INDEX(BOE!$R$6:$R$60,MATCH($A61,BOE!$A$6:$A$60,0)),0))</f>
        <v/>
      </c>
      <c r="P61" s="94" t="str">
        <f aca="false">IF($A61="","",IFERROR(INDEX(BOE!$T$6:$T$60,MATCH($A61,BOE!$A$6:$A$60,0)),0))</f>
        <v/>
      </c>
    </row>
    <row r="62" customFormat="false" ht="15" hidden="false" customHeight="false" outlineLevel="0" collapsed="false">
      <c r="A62" s="93"/>
      <c r="B62" s="92" t="str">
        <f aca="false">IF($A62="","",IFERROR(INDEX(BOE!$C$6:$C$60,MATCH($A62,BOE!$A$6:$A$60,0)),"not in BOE"))</f>
        <v/>
      </c>
      <c r="C62" s="22" t="str">
        <f aca="false">IF($A62="","",IFERROR(INDEX(BOE!$E$6:$E$60,MATCH($A62,BOE!$A$6:$A$60,0)),""))</f>
        <v/>
      </c>
      <c r="D62" s="93"/>
      <c r="E62" s="93"/>
      <c r="F62" s="93"/>
      <c r="G62" s="93"/>
      <c r="H62" s="41" t="str">
        <f aca="false">IF($A62="","",IF($B$4="Separate",IF($G62="","",$G62),IF($F62="","",$F62)))</f>
        <v/>
      </c>
      <c r="I62" s="22" t="str">
        <f aca="false">IF($A62="","",IFERROR(INDEX(BOE!$M$6:$M$60,MATCH($A62,BOE!$A$6:$A$60,0)),""))</f>
        <v/>
      </c>
      <c r="J62" s="93"/>
      <c r="K62" s="93"/>
      <c r="L62" s="43" t="str">
        <f aca="false">IF($A62="","",IFERROR(INDEX(Milestones!$E$5:$E$34,MATCH(IF($M62&lt;&gt;"",$M62,$I62),Milestones!$B$5:$B$34,0))+IFERROR(INDEX(BOE!$N$6:$N$60,MATCH($A62,BOE!$A$6:$A$60,0)),0)*7*($M62=""),""))</f>
        <v/>
      </c>
      <c r="M62" s="93"/>
      <c r="N62" s="43" t="str">
        <f aca="false">IF(OR($L62="",N($K62)=0),"",$L62-$K62*7)</f>
        <v/>
      </c>
      <c r="O62" s="94" t="str">
        <f aca="false">IF($A62="","",IFERROR(INDEX(BOE!$R$6:$R$60,MATCH($A62,BOE!$A$6:$A$60,0)),0))</f>
        <v/>
      </c>
      <c r="P62" s="94" t="str">
        <f aca="false">IF($A62="","",IFERROR(INDEX(BOE!$T$6:$T$60,MATCH($A62,BOE!$A$6:$A$60,0)),0))</f>
        <v/>
      </c>
    </row>
    <row r="64" customFormat="false" ht="15" hidden="false" customHeight="false" outlineLevel="0" collapsed="false">
      <c r="A64" s="18" t="s">
        <v>411</v>
      </c>
    </row>
    <row r="65" customFormat="false" ht="31.5" hidden="false" customHeight="true" outlineLevel="0" collapsed="false">
      <c r="A65" s="6" t="s">
        <v>412</v>
      </c>
      <c r="B65" s="6" t="s">
        <v>413</v>
      </c>
      <c r="C65" s="6" t="s">
        <v>414</v>
      </c>
      <c r="D65" s="6" t="s">
        <v>415</v>
      </c>
      <c r="E65" s="6" t="s">
        <v>30</v>
      </c>
      <c r="F65" s="6" t="s">
        <v>31</v>
      </c>
      <c r="G65" s="6" t="s">
        <v>416</v>
      </c>
      <c r="H65" s="6" t="s">
        <v>417</v>
      </c>
      <c r="I65" s="6" t="s">
        <v>418</v>
      </c>
    </row>
    <row r="66" customFormat="false" ht="15" hidden="false" customHeight="false" outlineLevel="0" collapsed="false">
      <c r="A66" s="30" t="s">
        <v>372</v>
      </c>
      <c r="B66" s="41" t="str">
        <f aca="false">IF($A66="","",IFERROR(INDEX($E$8:$E$62,MATCH($A66,$H$8:$H$62,0)),""))</f>
        <v>DI-SAFT-81626 System Safety Program Plan</v>
      </c>
      <c r="C66" s="41" t="str">
        <f aca="false" t="array" ref="C66:C66">IF($A66="","",IFERROR(_xlfn.TEXTJOIN(", ",TRUE(),IF(($H$8:$H$62=$A66)*($C$8:$C$62="Y"),$A$8:$A$62,"")),""))</f>
        <v>102</v>
      </c>
      <c r="D66" s="41" t="n">
        <f aca="false">IF($A66="","",COUNTIFS($H$8:$H$62,$A66,$C$8:$C$62,"Y"))</f>
        <v>1</v>
      </c>
      <c r="E66" s="53" t="n">
        <f aca="false">IF($A66="","",SUMIFS($O$8:$O$62,$H$8:$H$62,$A66,$C$8:$C$62,"Y"))</f>
        <v>320</v>
      </c>
      <c r="F66" s="53" t="n">
        <f aca="false">IF($A66="","",SUMIFS($P$8:$P$62,$H$8:$H$62,$A66,$C$8:$C$62,"Y"))</f>
        <v>480</v>
      </c>
      <c r="G66" s="43" t="n">
        <f aca="false" t="array" ref="G66:G66">IF(OR($A66="",COUNTIFS($H$8:$H$62,$A66,$C$8:$C$62,"Y")=0),"",MAX(IF(($H$8:$H$62=$A66)*($C$8:$C$62="Y"),$L$8:$L$62,0)))</f>
        <v>46481</v>
      </c>
      <c r="H66" s="43" t="n">
        <f aca="false" t="array" ref="H66:H66">IF(OR($A66="",COUNTIFS($H$8:$H$62,$A66,$C$8:$C$62,"Y")=0),"",IF(MIN(IF(($H$8:$H$62=$A66)*($C$8:$C$62="Y")*ISNUMBER($N$8:$N$62),$N$8:$N$62,9E+099))&gt;=9E+099,"",MIN(IF(($H$8:$H$62=$A66)*($C$8:$C$62="Y")*ISNUMBER($N$8:$N$62),$N$8:$N$62,9E+099))))</f>
        <v>46453</v>
      </c>
      <c r="I66" s="41" t="n">
        <f aca="false" t="array" ref="I66:I66">IF(OR($A66="",COUNTIFS($H$8:$H$62,$A66,$C$8:$C$62,"Y")=0),"",MAX(IF(($H$8:$H$62=$A66)*($C$8:$C$62="Y"),$J$8:$J$62,0)))</f>
        <v>2</v>
      </c>
    </row>
    <row r="67" customFormat="false" ht="15" hidden="false" customHeight="false" outlineLevel="0" collapsed="false">
      <c r="A67" s="30" t="s">
        <v>382</v>
      </c>
      <c r="B67" s="41" t="str">
        <f aca="false">IF($A67="","",IFERROR(INDEX($E$8:$E$62,MATCH($A67,$H$8:$H$62,0)),""))</f>
        <v>DI-SAFT-80101 System Safety Hazard Analysis Report</v>
      </c>
      <c r="C67" s="41" t="str">
        <f aca="false" t="array" ref="C67:C67">IF($A67="","",IFERROR(_xlfn.TEXTJOIN(", ",TRUE(),IF(($H$8:$H$62=$A67)*($C$8:$C$62="Y"),$A$8:$A$62,"")),""))</f>
        <v>201, 202, 203, 204, 205, 206, 208, 210, SW-LOR</v>
      </c>
      <c r="D67" s="41" t="n">
        <f aca="false">IF($A67="","",COUNTIFS($H$8:$H$62,$A67,$C$8:$C$62,"Y"))</f>
        <v>9</v>
      </c>
      <c r="E67" s="53" t="n">
        <f aca="false">IF($A67="","",SUMIFS($O$8:$O$62,$H$8:$H$62,$A67,$C$8:$C$62,"Y"))</f>
        <v>5768</v>
      </c>
      <c r="F67" s="53" t="n">
        <f aca="false">IF($A67="","",SUMIFS($P$8:$P$62,$H$8:$H$62,$A67,$C$8:$C$62,"Y"))</f>
        <v>8652</v>
      </c>
      <c r="G67" s="43" t="n">
        <f aca="false" t="array" ref="G67:G67">IF(OR($A67="",COUNTIFS($H$8:$H$62,$A67,$C$8:$C$62,"Y")=0),"",MAX(IF(($H$8:$H$62=$A67)*($C$8:$C$62="Y"),$L$8:$L$62,0)))</f>
        <v>47122</v>
      </c>
      <c r="H67" s="43" t="n">
        <f aca="false" t="array" ref="H67:H67">IF(OR($A67="",COUNTIFS($H$8:$H$62,$A67,$C$8:$C$62,"Y")=0),"",IF(MIN(IF(($H$8:$H$62=$A67)*($C$8:$C$62="Y")*ISNUMBER($N$8:$N$62),$N$8:$N$62,9E+099))&gt;=9E+099,"",MIN(IF(($H$8:$H$62=$A67)*($C$8:$C$62="Y")*ISNUMBER($N$8:$N$62),$N$8:$N$62,9E+099))))</f>
        <v>46467</v>
      </c>
      <c r="I67" s="41" t="n">
        <f aca="false" t="array" ref="I67:I67">IF(OR($A67="",COUNTIFS($H$8:$H$62,$A67,$C$8:$C$62,"Y")=0),"",MAX(IF(($H$8:$H$62=$A67)*($C$8:$C$62="Y"),$J$8:$J$62,0)))</f>
        <v>3</v>
      </c>
    </row>
    <row r="68" customFormat="false" ht="15" hidden="false" customHeight="false" outlineLevel="0" collapsed="false">
      <c r="A68" s="30" t="s">
        <v>383</v>
      </c>
      <c r="B68" s="41" t="str">
        <f aca="false">IF($A68="","",IFERROR(INDEX($E$8:$E$62,MATCH($A68,$H$8:$H$62,0)),""))</f>
        <v/>
      </c>
      <c r="C68" s="41" t="str">
        <f aca="false" t="array" ref="C68:C68">IF($A68="","",IFERROR(_xlfn.TEXTJOIN(", ",TRUE(),IF(($H$8:$H$62=$A68)*($C$8:$C$62="Y"),$A$8:$A$62,"")),""))</f>
        <v/>
      </c>
      <c r="D68" s="41" t="n">
        <f aca="false">IF($A68="","",COUNTIFS($H$8:$H$62,$A68,$C$8:$C$62,"Y"))</f>
        <v>0</v>
      </c>
      <c r="E68" s="53" t="n">
        <f aca="false">IF($A68="","",SUMIFS($O$8:$O$62,$H$8:$H$62,$A68,$C$8:$C$62,"Y"))</f>
        <v>0</v>
      </c>
      <c r="F68" s="53" t="n">
        <f aca="false">IF($A68="","",SUMIFS($P$8:$P$62,$H$8:$H$62,$A68,$C$8:$C$62,"Y"))</f>
        <v>0</v>
      </c>
      <c r="G68" s="43" t="str">
        <f aca="false" t="array" ref="G68:G68">IF(OR($A68="",COUNTIFS($H$8:$H$62,$A68,$C$8:$C$62,"Y")=0),"",MAX(IF(($H$8:$H$62=$A68)*($C$8:$C$62="Y"),$L$8:$L$62,0)))</f>
        <v/>
      </c>
      <c r="H68" s="43" t="str">
        <f aca="false" t="array" ref="H68:H68">IF(OR($A68="",COUNTIFS($H$8:$H$62,$A68,$C$8:$C$62,"Y")=0),"",IF(MIN(IF(($H$8:$H$62=$A68)*($C$8:$C$62="Y")*ISNUMBER($N$8:$N$62),$N$8:$N$62,9E+099))&gt;=9E+099,"",MIN(IF(($H$8:$H$62=$A68)*($C$8:$C$62="Y")*ISNUMBER($N$8:$N$62),$N$8:$N$62,9E+099))))</f>
        <v/>
      </c>
      <c r="I68" s="41" t="str">
        <f aca="false" t="array" ref="I68:I68">IF(OR($A68="",COUNTIFS($H$8:$H$62,$A68,$C$8:$C$62,"Y")=0),"",MAX(IF(($H$8:$H$62=$A68)*($C$8:$C$62="Y"),$J$8:$J$62,0)))</f>
        <v/>
      </c>
    </row>
    <row r="69" customFormat="false" ht="15" hidden="false" customHeight="false" outlineLevel="0" collapsed="false">
      <c r="A69" s="30" t="s">
        <v>384</v>
      </c>
      <c r="B69" s="41" t="str">
        <f aca="false">IF($A69="","",IFERROR(INDEX($E$8:$E$62,MATCH($A69,$H$8:$H$62,0)),""))</f>
        <v/>
      </c>
      <c r="C69" s="41" t="str">
        <f aca="false" t="array" ref="C69:C69">IF($A69="","",IFERROR(_xlfn.TEXTJOIN(", ",TRUE(),IF(($H$8:$H$62=$A69)*($C$8:$C$62="Y"),$A$8:$A$62,"")),""))</f>
        <v/>
      </c>
      <c r="D69" s="41" t="n">
        <f aca="false">IF($A69="","",COUNTIFS($H$8:$H$62,$A69,$C$8:$C$62,"Y"))</f>
        <v>0</v>
      </c>
      <c r="E69" s="53" t="n">
        <f aca="false">IF($A69="","",SUMIFS($O$8:$O$62,$H$8:$H$62,$A69,$C$8:$C$62,"Y"))</f>
        <v>0</v>
      </c>
      <c r="F69" s="53" t="n">
        <f aca="false">IF($A69="","",SUMIFS($P$8:$P$62,$H$8:$H$62,$A69,$C$8:$C$62,"Y"))</f>
        <v>0</v>
      </c>
      <c r="G69" s="43" t="str">
        <f aca="false" t="array" ref="G69:G69">IF(OR($A69="",COUNTIFS($H$8:$H$62,$A69,$C$8:$C$62,"Y")=0),"",MAX(IF(($H$8:$H$62=$A69)*($C$8:$C$62="Y"),$L$8:$L$62,0)))</f>
        <v/>
      </c>
      <c r="H69" s="43" t="str">
        <f aca="false" t="array" ref="H69:H69">IF(OR($A69="",COUNTIFS($H$8:$H$62,$A69,$C$8:$C$62,"Y")=0),"",IF(MIN(IF(($H$8:$H$62=$A69)*($C$8:$C$62="Y")*ISNUMBER($N$8:$N$62),$N$8:$N$62,9E+099))&gt;=9E+099,"",MIN(IF(($H$8:$H$62=$A69)*($C$8:$C$62="Y")*ISNUMBER($N$8:$N$62),$N$8:$N$62,9E+099))))</f>
        <v/>
      </c>
      <c r="I69" s="41" t="str">
        <f aca="false" t="array" ref="I69:I69">IF(OR($A69="",COUNTIFS($H$8:$H$62,$A69,$C$8:$C$62,"Y")=0),"",MAX(IF(($H$8:$H$62=$A69)*($C$8:$C$62="Y"),$J$8:$J$62,0)))</f>
        <v/>
      </c>
    </row>
    <row r="70" customFormat="false" ht="15" hidden="false" customHeight="false" outlineLevel="0" collapsed="false">
      <c r="A70" s="30" t="s">
        <v>385</v>
      </c>
      <c r="B70" s="41" t="str">
        <f aca="false">IF($A70="","",IFERROR(INDEX($E$8:$E$62,MATCH($A70,$H$8:$H$62,0)),""))</f>
        <v/>
      </c>
      <c r="C70" s="41" t="str">
        <f aca="false" t="array" ref="C70:C70">IF($A70="","",IFERROR(_xlfn.TEXTJOIN(", ",TRUE(),IF(($H$8:$H$62=$A70)*($C$8:$C$62="Y"),$A$8:$A$62,"")),""))</f>
        <v/>
      </c>
      <c r="D70" s="41" t="n">
        <f aca="false">IF($A70="","",COUNTIFS($H$8:$H$62,$A70,$C$8:$C$62,"Y"))</f>
        <v>0</v>
      </c>
      <c r="E70" s="53" t="n">
        <f aca="false">IF($A70="","",SUMIFS($O$8:$O$62,$H$8:$H$62,$A70,$C$8:$C$62,"Y"))</f>
        <v>0</v>
      </c>
      <c r="F70" s="53" t="n">
        <f aca="false">IF($A70="","",SUMIFS($P$8:$P$62,$H$8:$H$62,$A70,$C$8:$C$62,"Y"))</f>
        <v>0</v>
      </c>
      <c r="G70" s="43" t="str">
        <f aca="false" t="array" ref="G70:G70">IF(OR($A70="",COUNTIFS($H$8:$H$62,$A70,$C$8:$C$62,"Y")=0),"",MAX(IF(($H$8:$H$62=$A70)*($C$8:$C$62="Y"),$L$8:$L$62,0)))</f>
        <v/>
      </c>
      <c r="H70" s="43" t="str">
        <f aca="false" t="array" ref="H70:H70">IF(OR($A70="",COUNTIFS($H$8:$H$62,$A70,$C$8:$C$62,"Y")=0),"",IF(MIN(IF(($H$8:$H$62=$A70)*($C$8:$C$62="Y")*ISNUMBER($N$8:$N$62),$N$8:$N$62,9E+099))&gt;=9E+099,"",MIN(IF(($H$8:$H$62=$A70)*($C$8:$C$62="Y")*ISNUMBER($N$8:$N$62),$N$8:$N$62,9E+099))))</f>
        <v/>
      </c>
      <c r="I70" s="41" t="str">
        <f aca="false" t="array" ref="I70:I70">IF(OR($A70="",COUNTIFS($H$8:$H$62,$A70,$C$8:$C$62,"Y")=0),"",MAX(IF(($H$8:$H$62=$A70)*($C$8:$C$62="Y"),$J$8:$J$62,0)))</f>
        <v/>
      </c>
    </row>
    <row r="71" customFormat="false" ht="15" hidden="false" customHeight="false" outlineLevel="0" collapsed="false">
      <c r="A71" s="30" t="s">
        <v>386</v>
      </c>
      <c r="B71" s="41" t="str">
        <f aca="false">IF($A71="","",IFERROR(INDEX($E$8:$E$62,MATCH($A71,$H$8:$H$62,0)),""))</f>
        <v/>
      </c>
      <c r="C71" s="41" t="str">
        <f aca="false" t="array" ref="C71:C71">IF($A71="","",IFERROR(_xlfn.TEXTJOIN(", ",TRUE(),IF(($H$8:$H$62=$A71)*($C$8:$C$62="Y"),$A$8:$A$62,"")),""))</f>
        <v/>
      </c>
      <c r="D71" s="41" t="n">
        <f aca="false">IF($A71="","",COUNTIFS($H$8:$H$62,$A71,$C$8:$C$62,"Y"))</f>
        <v>0</v>
      </c>
      <c r="E71" s="53" t="n">
        <f aca="false">IF($A71="","",SUMIFS($O$8:$O$62,$H$8:$H$62,$A71,$C$8:$C$62,"Y"))</f>
        <v>0</v>
      </c>
      <c r="F71" s="53" t="n">
        <f aca="false">IF($A71="","",SUMIFS($P$8:$P$62,$H$8:$H$62,$A71,$C$8:$C$62,"Y"))</f>
        <v>0</v>
      </c>
      <c r="G71" s="43" t="str">
        <f aca="false" t="array" ref="G71:G71">IF(OR($A71="",COUNTIFS($H$8:$H$62,$A71,$C$8:$C$62,"Y")=0),"",MAX(IF(($H$8:$H$62=$A71)*($C$8:$C$62="Y"),$L$8:$L$62,0)))</f>
        <v/>
      </c>
      <c r="H71" s="43" t="str">
        <f aca="false" t="array" ref="H71:H71">IF(OR($A71="",COUNTIFS($H$8:$H$62,$A71,$C$8:$C$62,"Y")=0),"",IF(MIN(IF(($H$8:$H$62=$A71)*($C$8:$C$62="Y")*ISNUMBER($N$8:$N$62),$N$8:$N$62,9E+099))&gt;=9E+099,"",MIN(IF(($H$8:$H$62=$A71)*($C$8:$C$62="Y")*ISNUMBER($N$8:$N$62),$N$8:$N$62,9E+099))))</f>
        <v/>
      </c>
      <c r="I71" s="41" t="str">
        <f aca="false" t="array" ref="I71:I71">IF(OR($A71="",COUNTIFS($H$8:$H$62,$A71,$C$8:$C$62,"Y")=0),"",MAX(IF(($H$8:$H$62=$A71)*($C$8:$C$62="Y"),$J$8:$J$62,0)))</f>
        <v/>
      </c>
    </row>
    <row r="72" customFormat="false" ht="15" hidden="false" customHeight="false" outlineLevel="0" collapsed="false">
      <c r="A72" s="30" t="s">
        <v>387</v>
      </c>
      <c r="B72" s="41" t="str">
        <f aca="false">IF($A72="","",IFERROR(INDEX($E$8:$E$62,MATCH($A72,$H$8:$H$62,0)),""))</f>
        <v/>
      </c>
      <c r="C72" s="41" t="str">
        <f aca="false" t="array" ref="C72:C72">IF($A72="","",IFERROR(_xlfn.TEXTJOIN(", ",TRUE(),IF(($H$8:$H$62=$A72)*($C$8:$C$62="Y"),$A$8:$A$62,"")),""))</f>
        <v/>
      </c>
      <c r="D72" s="41" t="n">
        <f aca="false">IF($A72="","",COUNTIFS($H$8:$H$62,$A72,$C$8:$C$62,"Y"))</f>
        <v>0</v>
      </c>
      <c r="E72" s="53" t="n">
        <f aca="false">IF($A72="","",SUMIFS($O$8:$O$62,$H$8:$H$62,$A72,$C$8:$C$62,"Y"))</f>
        <v>0</v>
      </c>
      <c r="F72" s="53" t="n">
        <f aca="false">IF($A72="","",SUMIFS($P$8:$P$62,$H$8:$H$62,$A72,$C$8:$C$62,"Y"))</f>
        <v>0</v>
      </c>
      <c r="G72" s="43" t="str">
        <f aca="false" t="array" ref="G72:G72">IF(OR($A72="",COUNTIFS($H$8:$H$62,$A72,$C$8:$C$62,"Y")=0),"",MAX(IF(($H$8:$H$62=$A72)*($C$8:$C$62="Y"),$L$8:$L$62,0)))</f>
        <v/>
      </c>
      <c r="H72" s="43" t="str">
        <f aca="false" t="array" ref="H72:H72">IF(OR($A72="",COUNTIFS($H$8:$H$62,$A72,$C$8:$C$62,"Y")=0),"",IF(MIN(IF(($H$8:$H$62=$A72)*($C$8:$C$62="Y")*ISNUMBER($N$8:$N$62),$N$8:$N$62,9E+099))&gt;=9E+099,"",MIN(IF(($H$8:$H$62=$A72)*($C$8:$C$62="Y")*ISNUMBER($N$8:$N$62),$N$8:$N$62,9E+099))))</f>
        <v/>
      </c>
      <c r="I72" s="41" t="str">
        <f aca="false" t="array" ref="I72:I72">IF(OR($A72="",COUNTIFS($H$8:$H$62,$A72,$C$8:$C$62,"Y")=0),"",MAX(IF(($H$8:$H$62=$A72)*($C$8:$C$62="Y"),$J$8:$J$62,0)))</f>
        <v/>
      </c>
    </row>
    <row r="73" customFormat="false" ht="15" hidden="false" customHeight="false" outlineLevel="0" collapsed="false">
      <c r="A73" s="30" t="s">
        <v>388</v>
      </c>
      <c r="B73" s="41" t="str">
        <f aca="false">IF($A73="","",IFERROR(INDEX($E$8:$E$62,MATCH($A73,$H$8:$H$62,0)),""))</f>
        <v/>
      </c>
      <c r="C73" s="41" t="str">
        <f aca="false" t="array" ref="C73:C73">IF($A73="","",IFERROR(_xlfn.TEXTJOIN(", ",TRUE(),IF(($H$8:$H$62=$A73)*($C$8:$C$62="Y"),$A$8:$A$62,"")),""))</f>
        <v/>
      </c>
      <c r="D73" s="41" t="n">
        <f aca="false">IF($A73="","",COUNTIFS($H$8:$H$62,$A73,$C$8:$C$62,"Y"))</f>
        <v>0</v>
      </c>
      <c r="E73" s="53" t="n">
        <f aca="false">IF($A73="","",SUMIFS($O$8:$O$62,$H$8:$H$62,$A73,$C$8:$C$62,"Y"))</f>
        <v>0</v>
      </c>
      <c r="F73" s="53" t="n">
        <f aca="false">IF($A73="","",SUMIFS($P$8:$P$62,$H$8:$H$62,$A73,$C$8:$C$62,"Y"))</f>
        <v>0</v>
      </c>
      <c r="G73" s="43" t="str">
        <f aca="false" t="array" ref="G73:G73">IF(OR($A73="",COUNTIFS($H$8:$H$62,$A73,$C$8:$C$62,"Y")=0),"",MAX(IF(($H$8:$H$62=$A73)*($C$8:$C$62="Y"),$L$8:$L$62,0)))</f>
        <v/>
      </c>
      <c r="H73" s="43" t="str">
        <f aca="false" t="array" ref="H73:H73">IF(OR($A73="",COUNTIFS($H$8:$H$62,$A73,$C$8:$C$62,"Y")=0),"",IF(MIN(IF(($H$8:$H$62=$A73)*($C$8:$C$62="Y")*ISNUMBER($N$8:$N$62),$N$8:$N$62,9E+099))&gt;=9E+099,"",MIN(IF(($H$8:$H$62=$A73)*($C$8:$C$62="Y")*ISNUMBER($N$8:$N$62),$N$8:$N$62,9E+099))))</f>
        <v/>
      </c>
      <c r="I73" s="41" t="str">
        <f aca="false" t="array" ref="I73:I73">IF(OR($A73="",COUNTIFS($H$8:$H$62,$A73,$C$8:$C$62,"Y")=0),"",MAX(IF(($H$8:$H$62=$A73)*($C$8:$C$62="Y"),$J$8:$J$62,0)))</f>
        <v/>
      </c>
    </row>
    <row r="74" customFormat="false" ht="15" hidden="false" customHeight="false" outlineLevel="0" collapsed="false">
      <c r="A74" s="30" t="s">
        <v>391</v>
      </c>
      <c r="B74" s="41" t="str">
        <f aca="false">IF($A74="","",IFERROR(INDEX($E$8:$E$62,MATCH($A74,$H$8:$H$62,0)),""))</f>
        <v/>
      </c>
      <c r="C74" s="41" t="str">
        <f aca="false" t="array" ref="C74:C74">IF($A74="","",IFERROR(_xlfn.TEXTJOIN(", ",TRUE(),IF(($H$8:$H$62=$A74)*($C$8:$C$62="Y"),$A$8:$A$62,"")),""))</f>
        <v/>
      </c>
      <c r="D74" s="41" t="n">
        <f aca="false">IF($A74="","",COUNTIFS($H$8:$H$62,$A74,$C$8:$C$62,"Y"))</f>
        <v>0</v>
      </c>
      <c r="E74" s="53" t="n">
        <f aca="false">IF($A74="","",SUMIFS($O$8:$O$62,$H$8:$H$62,$A74,$C$8:$C$62,"Y"))</f>
        <v>0</v>
      </c>
      <c r="F74" s="53" t="n">
        <f aca="false">IF($A74="","",SUMIFS($P$8:$P$62,$H$8:$H$62,$A74,$C$8:$C$62,"Y"))</f>
        <v>0</v>
      </c>
      <c r="G74" s="43" t="str">
        <f aca="false" t="array" ref="G74:G74">IF(OR($A74="",COUNTIFS($H$8:$H$62,$A74,$C$8:$C$62,"Y")=0),"",MAX(IF(($H$8:$H$62=$A74)*($C$8:$C$62="Y"),$L$8:$L$62,0)))</f>
        <v/>
      </c>
      <c r="H74" s="43" t="str">
        <f aca="false" t="array" ref="H74:H74">IF(OR($A74="",COUNTIFS($H$8:$H$62,$A74,$C$8:$C$62,"Y")=0),"",IF(MIN(IF(($H$8:$H$62=$A74)*($C$8:$C$62="Y")*ISNUMBER($N$8:$N$62),$N$8:$N$62,9E+099))&gt;=9E+099,"",MIN(IF(($H$8:$H$62=$A74)*($C$8:$C$62="Y")*ISNUMBER($N$8:$N$62),$N$8:$N$62,9E+099))))</f>
        <v/>
      </c>
      <c r="I74" s="41" t="str">
        <f aca="false" t="array" ref="I74:I74">IF(OR($A74="",COUNTIFS($H$8:$H$62,$A74,$C$8:$C$62,"Y")=0),"",MAX(IF(($H$8:$H$62=$A74)*($C$8:$C$62="Y"),$J$8:$J$62,0)))</f>
        <v/>
      </c>
    </row>
    <row r="75" customFormat="false" ht="15" hidden="false" customHeight="false" outlineLevel="0" collapsed="false">
      <c r="A75" s="30" t="s">
        <v>392</v>
      </c>
      <c r="B75" s="41" t="str">
        <f aca="false">IF($A75="","",IFERROR(INDEX($E$8:$E$62,MATCH($A75,$H$8:$H$62,0)),""))</f>
        <v/>
      </c>
      <c r="C75" s="41" t="str">
        <f aca="false" t="array" ref="C75:C75">IF($A75="","",IFERROR(_xlfn.TEXTJOIN(", ",TRUE(),IF(($H$8:$H$62=$A75)*($C$8:$C$62="Y"),$A$8:$A$62,"")),""))</f>
        <v/>
      </c>
      <c r="D75" s="41" t="n">
        <f aca="false">IF($A75="","",COUNTIFS($H$8:$H$62,$A75,$C$8:$C$62,"Y"))</f>
        <v>0</v>
      </c>
      <c r="E75" s="53" t="n">
        <f aca="false">IF($A75="","",SUMIFS($O$8:$O$62,$H$8:$H$62,$A75,$C$8:$C$62,"Y"))</f>
        <v>0</v>
      </c>
      <c r="F75" s="53" t="n">
        <f aca="false">IF($A75="","",SUMIFS($P$8:$P$62,$H$8:$H$62,$A75,$C$8:$C$62,"Y"))</f>
        <v>0</v>
      </c>
      <c r="G75" s="43" t="str">
        <f aca="false" t="array" ref="G75:G75">IF(OR($A75="",COUNTIFS($H$8:$H$62,$A75,$C$8:$C$62,"Y")=0),"",MAX(IF(($H$8:$H$62=$A75)*($C$8:$C$62="Y"),$L$8:$L$62,0)))</f>
        <v/>
      </c>
      <c r="H75" s="43" t="str">
        <f aca="false" t="array" ref="H75:H75">IF(OR($A75="",COUNTIFS($H$8:$H$62,$A75,$C$8:$C$62,"Y")=0),"",IF(MIN(IF(($H$8:$H$62=$A75)*($C$8:$C$62="Y")*ISNUMBER($N$8:$N$62),$N$8:$N$62,9E+099))&gt;=9E+099,"",MIN(IF(($H$8:$H$62=$A75)*($C$8:$C$62="Y")*ISNUMBER($N$8:$N$62),$N$8:$N$62,9E+099))))</f>
        <v/>
      </c>
      <c r="I75" s="41" t="str">
        <f aca="false" t="array" ref="I75:I75">IF(OR($A75="",COUNTIFS($H$8:$H$62,$A75,$C$8:$C$62,"Y")=0),"",MAX(IF(($H$8:$H$62=$A75)*($C$8:$C$62="Y"),$J$8:$J$62,0)))</f>
        <v/>
      </c>
    </row>
    <row r="76" customFormat="false" ht="15" hidden="false" customHeight="false" outlineLevel="0" collapsed="false">
      <c r="A76" s="30" t="s">
        <v>393</v>
      </c>
      <c r="B76" s="41" t="str">
        <f aca="false">IF($A76="","",IFERROR(INDEX($E$8:$E$62,MATCH($A76,$H$8:$H$62,0)),""))</f>
        <v/>
      </c>
      <c r="C76" s="41" t="str">
        <f aca="false" t="array" ref="C76:C76">IF($A76="","",IFERROR(_xlfn.TEXTJOIN(", ",TRUE(),IF(($H$8:$H$62=$A76)*($C$8:$C$62="Y"),$A$8:$A$62,"")),""))</f>
        <v/>
      </c>
      <c r="D76" s="41" t="n">
        <f aca="false">IF($A76="","",COUNTIFS($H$8:$H$62,$A76,$C$8:$C$62,"Y"))</f>
        <v>0</v>
      </c>
      <c r="E76" s="53" t="n">
        <f aca="false">IF($A76="","",SUMIFS($O$8:$O$62,$H$8:$H$62,$A76,$C$8:$C$62,"Y"))</f>
        <v>0</v>
      </c>
      <c r="F76" s="53" t="n">
        <f aca="false">IF($A76="","",SUMIFS($P$8:$P$62,$H$8:$H$62,$A76,$C$8:$C$62,"Y"))</f>
        <v>0</v>
      </c>
      <c r="G76" s="43" t="str">
        <f aca="false" t="array" ref="G76:G76">IF(OR($A76="",COUNTIFS($H$8:$H$62,$A76,$C$8:$C$62,"Y")=0),"",MAX(IF(($H$8:$H$62=$A76)*($C$8:$C$62="Y"),$L$8:$L$62,0)))</f>
        <v/>
      </c>
      <c r="H76" s="43" t="str">
        <f aca="false" t="array" ref="H76:H76">IF(OR($A76="",COUNTIFS($H$8:$H$62,$A76,$C$8:$C$62,"Y")=0),"",IF(MIN(IF(($H$8:$H$62=$A76)*($C$8:$C$62="Y")*ISNUMBER($N$8:$N$62),$N$8:$N$62,9E+099))&gt;=9E+099,"",MIN(IF(($H$8:$H$62=$A76)*($C$8:$C$62="Y")*ISNUMBER($N$8:$N$62),$N$8:$N$62,9E+099))))</f>
        <v/>
      </c>
      <c r="I76" s="41" t="str">
        <f aca="false" t="array" ref="I76:I76">IF(OR($A76="",COUNTIFS($H$8:$H$62,$A76,$C$8:$C$62,"Y")=0),"",MAX(IF(($H$8:$H$62=$A76)*($C$8:$C$62="Y"),$J$8:$J$62,0)))</f>
        <v/>
      </c>
    </row>
    <row r="77" customFormat="false" ht="15" hidden="false" customHeight="false" outlineLevel="0" collapsed="false">
      <c r="A77" s="30" t="s">
        <v>409</v>
      </c>
      <c r="B77" s="41" t="str">
        <f aca="false">IF($A77="","",IFERROR(INDEX($E$8:$E$62,MATCH($A77,$H$8:$H$62,0)),""))</f>
        <v/>
      </c>
      <c r="C77" s="41" t="str">
        <f aca="false" t="array" ref="C77:C77">IF($A77="","",IFERROR(_xlfn.TEXTJOIN(", ",TRUE(),IF(($H$8:$H$62=$A77)*($C$8:$C$62="Y"),$A$8:$A$62,"")),""))</f>
        <v/>
      </c>
      <c r="D77" s="41" t="n">
        <f aca="false">IF($A77="","",COUNTIFS($H$8:$H$62,$A77,$C$8:$C$62,"Y"))</f>
        <v>0</v>
      </c>
      <c r="E77" s="53" t="n">
        <f aca="false">IF($A77="","",SUMIFS($O$8:$O$62,$H$8:$H$62,$A77,$C$8:$C$62,"Y"))</f>
        <v>0</v>
      </c>
      <c r="F77" s="53" t="n">
        <f aca="false">IF($A77="","",SUMIFS($P$8:$P$62,$H$8:$H$62,$A77,$C$8:$C$62,"Y"))</f>
        <v>0</v>
      </c>
      <c r="G77" s="43" t="str">
        <f aca="false" t="array" ref="G77:G77">IF(OR($A77="",COUNTIFS($H$8:$H$62,$A77,$C$8:$C$62,"Y")=0),"",MAX(IF(($H$8:$H$62=$A77)*($C$8:$C$62="Y"),$L$8:$L$62,0)))</f>
        <v/>
      </c>
      <c r="H77" s="43" t="str">
        <f aca="false" t="array" ref="H77:H77">IF(OR($A77="",COUNTIFS($H$8:$H$62,$A77,$C$8:$C$62,"Y")=0),"",IF(MIN(IF(($H$8:$H$62=$A77)*($C$8:$C$62="Y")*ISNUMBER($N$8:$N$62),$N$8:$N$62,9E+099))&gt;=9E+099,"",MIN(IF(($H$8:$H$62=$A77)*($C$8:$C$62="Y")*ISNUMBER($N$8:$N$62),$N$8:$N$62,9E+099))))</f>
        <v/>
      </c>
      <c r="I77" s="41" t="str">
        <f aca="false" t="array" ref="I77:I77">IF(OR($A77="",COUNTIFS($H$8:$H$62,$A77,$C$8:$C$62,"Y")=0),"",MAX(IF(($H$8:$H$62=$A77)*($C$8:$C$62="Y"),$J$8:$J$62,0)))</f>
        <v/>
      </c>
    </row>
    <row r="78" customFormat="false" ht="15" hidden="false" customHeight="false" outlineLevel="0" collapsed="false">
      <c r="A78" s="30" t="s">
        <v>390</v>
      </c>
      <c r="B78" s="41" t="str">
        <f aca="false">IF($A78="","",IFERROR(INDEX($E$8:$E$62,MATCH($A78,$H$8:$H$62,0)),""))</f>
        <v>DI-SAFT-80106 Health Hazard Assessment Report</v>
      </c>
      <c r="C78" s="41" t="str">
        <f aca="false" t="array" ref="C78:C78">IF($A78="","",IFERROR(_xlfn.TEXTJOIN(", ",TRUE(),IF(($H$8:$H$62=$A78)*($C$8:$C$62="Y"),$A$8:$A$62,"")),""))</f>
        <v>207</v>
      </c>
      <c r="D78" s="41" t="n">
        <f aca="false">IF($A78="","",COUNTIFS($H$8:$H$62,$A78,$C$8:$C$62,"Y"))</f>
        <v>1</v>
      </c>
      <c r="E78" s="53" t="n">
        <f aca="false">IF($A78="","",SUMIFS($O$8:$O$62,$H$8:$H$62,$A78,$C$8:$C$62,"Y"))</f>
        <v>280</v>
      </c>
      <c r="F78" s="53" t="n">
        <f aca="false">IF($A78="","",SUMIFS($P$8:$P$62,$H$8:$H$62,$A78,$C$8:$C$62,"Y"))</f>
        <v>420</v>
      </c>
      <c r="G78" s="43" t="n">
        <f aca="false" t="array" ref="G78:G78">IF(OR($A78="",COUNTIFS($H$8:$H$62,$A78,$C$8:$C$62,"Y")=0),"",MAX(IF(($H$8:$H$62=$A78)*($C$8:$C$62="Y"),$L$8:$L$62,0)))</f>
        <v>46877</v>
      </c>
      <c r="H78" s="43" t="n">
        <f aca="false" t="array" ref="H78:H78">IF(OR($A78="",COUNTIFS($H$8:$H$62,$A78,$C$8:$C$62,"Y")=0),"",IF(MIN(IF(($H$8:$H$62=$A78)*($C$8:$C$62="Y")*ISNUMBER($N$8:$N$62),$N$8:$N$62,9E+099))&gt;=9E+099,"",MIN(IF(($H$8:$H$62=$A78)*($C$8:$C$62="Y")*ISNUMBER($N$8:$N$62),$N$8:$N$62,9E+099))))</f>
        <v>46849</v>
      </c>
      <c r="I78" s="41" t="n">
        <f aca="false" t="array" ref="I78:I78">IF(OR($A78="",COUNTIFS($H$8:$H$62,$A78,$C$8:$C$62,"Y")=0),"",MAX(IF(($H$8:$H$62=$A78)*($C$8:$C$62="Y"),$J$8:$J$62,0)))</f>
        <v>2</v>
      </c>
    </row>
    <row r="79" customFormat="false" ht="15" hidden="false" customHeight="false" outlineLevel="0" collapsed="false">
      <c r="A79" s="30" t="s">
        <v>378</v>
      </c>
      <c r="B79" s="41" t="str">
        <f aca="false">IF($A79="","",IFERROR(INDEX($E$8:$E$62,MATCH($A79,$H$8:$H$62,0)),""))</f>
        <v>DI-SAFT-80105 System Safety Program Progress Report</v>
      </c>
      <c r="C79" s="41" t="str">
        <f aca="false" t="array" ref="C79:C79">IF($A79="","",IFERROR(_xlfn.TEXTJOIN(", ",TRUE(),IF(($H$8:$H$62=$A79)*($C$8:$C$62="Y"),$A$8:$A$62,"")),""))</f>
        <v>107</v>
      </c>
      <c r="D79" s="41" t="n">
        <f aca="false">IF($A79="","",COUNTIFS($H$8:$H$62,$A79,$C$8:$C$62,"Y"))</f>
        <v>1</v>
      </c>
      <c r="E79" s="53" t="n">
        <f aca="false">IF($A79="","",SUMIFS($O$8:$O$62,$H$8:$H$62,$A79,$C$8:$C$62,"Y"))</f>
        <v>143.507186858316</v>
      </c>
      <c r="F79" s="53" t="n">
        <f aca="false">IF($A79="","",SUMIFS($P$8:$P$62,$H$8:$H$62,$A79,$C$8:$C$62,"Y"))</f>
        <v>215.260780287474</v>
      </c>
      <c r="G79" s="43" t="n">
        <f aca="false" t="array" ref="G79:G79">IF(OR($A79="",COUNTIFS($H$8:$H$62,$A79,$C$8:$C$62,"Y")=0),"",MAX(IF(($H$8:$H$62=$A79)*($C$8:$C$62="Y"),$L$8:$L$62,0)))</f>
        <v>47483</v>
      </c>
      <c r="H79" s="43" t="str">
        <f aca="false" t="array" ref="H79:H79">IF(OR($A79="",COUNTIFS($H$8:$H$62,$A79,$C$8:$C$62,"Y")=0),"",IF(MIN(IF(($H$8:$H$62=$A79)*($C$8:$C$62="Y")*ISNUMBER($N$8:$N$62),$N$8:$N$62,9E+099))&gt;=9E+099,"",MIN(IF(($H$8:$H$62=$A79)*($C$8:$C$62="Y")*ISNUMBER($N$8:$N$62),$N$8:$N$62,9E+099))))</f>
        <v/>
      </c>
      <c r="I79" s="41" t="n">
        <f aca="false" t="array" ref="I79:I79">IF(OR($A79="",COUNTIFS($H$8:$H$62,$A79,$C$8:$C$62,"Y")=0),"",MAX(IF(($H$8:$H$62=$A79)*($C$8:$C$62="Y"),$J$8:$J$62,0)))</f>
        <v>0</v>
      </c>
    </row>
    <row r="80" customFormat="false" ht="15" hidden="false" customHeight="false" outlineLevel="0" collapsed="false">
      <c r="A80" s="30" t="s">
        <v>395</v>
      </c>
      <c r="B80" s="41" t="str">
        <f aca="false">IF($A80="","",IFERROR(INDEX($E$8:$E$62,MATCH($A80,$H$8:$H$62,0)),""))</f>
        <v>DI-SAFT-80102 Safety Assessment Report</v>
      </c>
      <c r="C80" s="41" t="str">
        <f aca="false" t="array" ref="C80:C80">IF($A80="","",IFERROR(_xlfn.TEXTJOIN(", ",TRUE(),IF(($H$8:$H$62=$A80)*($C$8:$C$62="Y"),$A$8:$A$62,"")),""))</f>
        <v>301</v>
      </c>
      <c r="D80" s="41" t="n">
        <f aca="false">IF($A80="","",COUNTIFS($H$8:$H$62,$A80,$C$8:$C$62,"Y"))</f>
        <v>1</v>
      </c>
      <c r="E80" s="53" t="n">
        <f aca="false">IF($A80="","",SUMIFS($O$8:$O$62,$H$8:$H$62,$A80,$C$8:$C$62,"Y"))</f>
        <v>800</v>
      </c>
      <c r="F80" s="53" t="n">
        <f aca="false">IF($A80="","",SUMIFS($P$8:$P$62,$H$8:$H$62,$A80,$C$8:$C$62,"Y"))</f>
        <v>1200</v>
      </c>
      <c r="G80" s="43" t="n">
        <f aca="false" t="array" ref="G80:G80">IF(OR($A80="",COUNTIFS($H$8:$H$62,$A80,$C$8:$C$62,"Y")=0),"",MAX(IF(($H$8:$H$62=$A80)*($C$8:$C$62="Y"),$L$8:$L$62,0)))</f>
        <v>47395</v>
      </c>
      <c r="H80" s="43" t="n">
        <f aca="false" t="array" ref="H80:H80">IF(OR($A80="",COUNTIFS($H$8:$H$62,$A80,$C$8:$C$62,"Y")=0),"",IF(MIN(IF(($H$8:$H$62=$A80)*($C$8:$C$62="Y")*ISNUMBER($N$8:$N$62),$N$8:$N$62,9E+099))&gt;=9E+099,"",MIN(IF(($H$8:$H$62=$A80)*($C$8:$C$62="Y")*ISNUMBER($N$8:$N$62),$N$8:$N$62,9E+099))))</f>
        <v>47353</v>
      </c>
      <c r="I80" s="41" t="n">
        <f aca="false" t="array" ref="I80:I80">IF(OR($A80="",COUNTIFS($H$8:$H$62,$A80,$C$8:$C$62,"Y")=0),"",MAX(IF(($H$8:$H$62=$A80)*($C$8:$C$62="Y"),$J$8:$J$62,0)))</f>
        <v>2</v>
      </c>
    </row>
    <row r="81" customFormat="false" ht="15" hidden="false" customHeight="false" outlineLevel="0" collapsed="false">
      <c r="A81" s="30" t="s">
        <v>400</v>
      </c>
      <c r="B81" s="41" t="str">
        <f aca="false">IF($A81="","",IFERROR(INDEX($E$8:$E$62,MATCH($A81,$H$8:$H$62,0)),""))</f>
        <v>DI-SAFT-80103 ECP System Safety Report / DI-SAFT-80104 Waiver-Deviation Report</v>
      </c>
      <c r="C81" s="41" t="str">
        <f aca="false" t="array" ref="C81:C81">IF($A81="","",IFERROR(_xlfn.TEXTJOIN(", ",TRUE(),IF(($H$8:$H$62=$A81)*($C$8:$C$62="Y"),$A$8:$A$62,"")),""))</f>
        <v>304</v>
      </c>
      <c r="D81" s="41" t="n">
        <f aca="false">IF($A81="","",COUNTIFS($H$8:$H$62,$A81,$C$8:$C$62,"Y"))</f>
        <v>1</v>
      </c>
      <c r="E81" s="53" t="n">
        <f aca="false">IF($A81="","",SUMIFS($O$8:$O$62,$H$8:$H$62,$A81,$C$8:$C$62,"Y"))</f>
        <v>480</v>
      </c>
      <c r="F81" s="53" t="n">
        <f aca="false">IF($A81="","",SUMIFS($P$8:$P$62,$H$8:$H$62,$A81,$C$8:$C$62,"Y"))</f>
        <v>720</v>
      </c>
      <c r="G81" s="43" t="n">
        <f aca="false" t="array" ref="G81:G81">IF(OR($A81="",COUNTIFS($H$8:$H$62,$A81,$C$8:$C$62,"Y")=0),"",MAX(IF(($H$8:$H$62=$A81)*($C$8:$C$62="Y"),$L$8:$L$62,0)))</f>
        <v>47483</v>
      </c>
      <c r="H81" s="43" t="str">
        <f aca="false" t="array" ref="H81:H81">IF(OR($A81="",COUNTIFS($H$8:$H$62,$A81,$C$8:$C$62,"Y")=0),"",IF(MIN(IF(($H$8:$H$62=$A81)*($C$8:$C$62="Y")*ISNUMBER($N$8:$N$62),$N$8:$N$62,9E+099))&gt;=9E+099,"",MIN(IF(($H$8:$H$62=$A81)*($C$8:$C$62="Y")*ISNUMBER($N$8:$N$62),$N$8:$N$62,9E+099))))</f>
        <v/>
      </c>
      <c r="I81" s="41" t="n">
        <f aca="false" t="array" ref="I81:I81">IF(OR($A81="",COUNTIFS($H$8:$H$62,$A81,$C$8:$C$62,"Y")=0),"",MAX(IF(($H$8:$H$62=$A81)*($C$8:$C$62="Y"),$J$8:$J$62,0)))</f>
        <v>0</v>
      </c>
    </row>
    <row r="82" customFormat="false" ht="15" hidden="false" customHeight="false" outlineLevel="0" collapsed="false">
      <c r="A82" s="30" t="s">
        <v>402</v>
      </c>
      <c r="B82" s="41" t="str">
        <f aca="false">IF($A82="","",IFERROR(INDEX($E$8:$E$62,MATCH($A82,$H$8:$H$62,0)),""))</f>
        <v>DI-MISC-80370 Safety Engineering Analysis Report (safety verification results, 401.2.4)</v>
      </c>
      <c r="C82" s="41" t="str">
        <f aca="false" t="array" ref="C82:C82">IF($A82="","",IFERROR(_xlfn.TEXTJOIN(", ",TRUE(),IF(($H$8:$H$62=$A82)*($C$8:$C$62="Y"),$A$8:$A$62,"")),""))</f>
        <v>401</v>
      </c>
      <c r="D82" s="41" t="n">
        <f aca="false">IF($A82="","",COUNTIFS($H$8:$H$62,$A82,$C$8:$C$62,"Y"))</f>
        <v>1</v>
      </c>
      <c r="E82" s="53" t="n">
        <f aca="false">IF($A82="","",SUMIFS($O$8:$O$62,$H$8:$H$62,$A82,$C$8:$C$62,"Y"))</f>
        <v>728</v>
      </c>
      <c r="F82" s="53" t="n">
        <f aca="false">IF($A82="","",SUMIFS($P$8:$P$62,$H$8:$H$62,$A82,$C$8:$C$62,"Y"))</f>
        <v>1092</v>
      </c>
      <c r="G82" s="43" t="n">
        <f aca="false" t="array" ref="G82:G82">IF(OR($A82="",COUNTIFS($H$8:$H$62,$A82,$C$8:$C$62,"Y")=0),"",MAX(IF(($H$8:$H$62=$A82)*($C$8:$C$62="Y"),$L$8:$L$62,0)))</f>
        <v>47334</v>
      </c>
      <c r="H82" s="43" t="n">
        <f aca="false" t="array" ref="H82:H82">IF(OR($A82="",COUNTIFS($H$8:$H$62,$A82,$C$8:$C$62,"Y")=0),"",IF(MIN(IF(($H$8:$H$62=$A82)*($C$8:$C$62="Y")*ISNUMBER($N$8:$N$62),$N$8:$N$62,9E+099))&gt;=9E+099,"",MIN(IF(($H$8:$H$62=$A82)*($C$8:$C$62="Y")*ISNUMBER($N$8:$N$62),$N$8:$N$62,9E+099))))</f>
        <v>47306</v>
      </c>
      <c r="I82" s="41" t="n">
        <f aca="false" t="array" ref="I82:I82">IF(OR($A82="",COUNTIFS($H$8:$H$62,$A82,$C$8:$C$62,"Y")=0),"",MAX(IF(($H$8:$H$62=$A82)*($C$8:$C$62="Y"),$J$8:$J$62,0)))</f>
        <v>2</v>
      </c>
    </row>
    <row r="83" customFormat="false" ht="15" hidden="false" customHeight="false" outlineLevel="0" collapsed="false">
      <c r="A83" s="30" t="s">
        <v>380</v>
      </c>
      <c r="B83" s="41" t="str">
        <f aca="false">IF($A83="","",IFERROR(INDEX($E$8:$E$62,MATCH($A83,$H$8:$H$62,0)),""))</f>
        <v>DI-MGMT-81398 Hazardous Materials Management Program Report</v>
      </c>
      <c r="C83" s="41" t="str">
        <f aca="false" t="array" ref="C83:C83">IF($A83="","",IFERROR(_xlfn.TEXTJOIN(", ",TRUE(),IF(($H$8:$H$62=$A83)*($C$8:$C$62="Y"),$A$8:$A$62,"")),""))</f>
        <v>108</v>
      </c>
      <c r="D83" s="41" t="n">
        <f aca="false">IF($A83="","",COUNTIFS($H$8:$H$62,$A83,$C$8:$C$62,"Y"))</f>
        <v>1</v>
      </c>
      <c r="E83" s="53" t="n">
        <f aca="false">IF($A83="","",SUMIFS($O$8:$O$62,$H$8:$H$62,$A83,$C$8:$C$62,"Y"))</f>
        <v>200</v>
      </c>
      <c r="F83" s="53" t="n">
        <f aca="false">IF($A83="","",SUMIFS($P$8:$P$62,$H$8:$H$62,$A83,$C$8:$C$62,"Y"))</f>
        <v>300</v>
      </c>
      <c r="G83" s="43" t="n">
        <f aca="false" t="array" ref="G83:G83">IF(OR($A83="",COUNTIFS($H$8:$H$62,$A83,$C$8:$C$62,"Y")=0),"",MAX(IF(($H$8:$H$62=$A83)*($C$8:$C$62="Y"),$L$8:$L$62,0)))</f>
        <v>46695</v>
      </c>
      <c r="H83" s="43" t="n">
        <f aca="false" t="array" ref="H83:H83">IF(OR($A83="",COUNTIFS($H$8:$H$62,$A83,$C$8:$C$62,"Y")=0),"",IF(MIN(IF(($H$8:$H$62=$A83)*($C$8:$C$62="Y")*ISNUMBER($N$8:$N$62),$N$8:$N$62,9E+099))&gt;=9E+099,"",MIN(IF(($H$8:$H$62=$A83)*($C$8:$C$62="Y")*ISNUMBER($N$8:$N$62),$N$8:$N$62,9E+099))))</f>
        <v>46667</v>
      </c>
      <c r="I83" s="41" t="n">
        <f aca="false" t="array" ref="I83:I83">IF(OR($A83="",COUNTIFS($H$8:$H$62,$A83,$C$8:$C$62,"Y")=0),"",MAX(IF(($H$8:$H$62=$A83)*($C$8:$C$62="Y"),$J$8:$J$62,0)))</f>
        <v>2</v>
      </c>
    </row>
    <row r="84" customFormat="false" ht="15" hidden="false" customHeight="false" outlineLevel="0" collapsed="false">
      <c r="A84" s="30" t="s">
        <v>404</v>
      </c>
      <c r="B84" s="41" t="str">
        <f aca="false">IF($A84="","",IFERROR(INDEX($E$8:$E$62,MATCH($A84,$H$8:$H$62,0)),""))</f>
        <v>DI-SAFT-81299 Explosive Hazard Classification Data</v>
      </c>
      <c r="C84" s="41" t="str">
        <f aca="false" t="array" ref="C84:C84">IF($A84="","",IFERROR(_xlfn.TEXTJOIN(", ",TRUE(),IF(($H$8:$H$62=$A84)*($C$8:$C$62="Y"),$A$8:$A$62,"")),""))</f>
        <v/>
      </c>
      <c r="D84" s="41" t="n">
        <f aca="false">IF($A84="","",COUNTIFS($H$8:$H$62,$A84,$C$8:$C$62,"Y"))</f>
        <v>0</v>
      </c>
      <c r="E84" s="53" t="n">
        <f aca="false">IF($A84="","",SUMIFS($O$8:$O$62,$H$8:$H$62,$A84,$C$8:$C$62,"Y"))</f>
        <v>0</v>
      </c>
      <c r="F84" s="53" t="n">
        <f aca="false">IF($A84="","",SUMIFS($P$8:$P$62,$H$8:$H$62,$A84,$C$8:$C$62,"Y"))</f>
        <v>0</v>
      </c>
      <c r="G84" s="43" t="str">
        <f aca="false" t="array" ref="G84:G84">IF(OR($A84="",COUNTIFS($H$8:$H$62,$A84,$C$8:$C$62,"Y")=0),"",MAX(IF(($H$8:$H$62=$A84)*($C$8:$C$62="Y"),$L$8:$L$62,0)))</f>
        <v/>
      </c>
      <c r="H84" s="43" t="str">
        <f aca="false" t="array" ref="H84:H84">IF(OR($A84="",COUNTIFS($H$8:$H$62,$A84,$C$8:$C$62,"Y")=0),"",IF(MIN(IF(($H$8:$H$62=$A84)*($C$8:$C$62="Y")*ISNUMBER($N$8:$N$62),$N$8:$N$62,9E+099))&gt;=9E+099,"",MIN(IF(($H$8:$H$62=$A84)*($C$8:$C$62="Y")*ISNUMBER($N$8:$N$62),$N$8:$N$62,9E+099))))</f>
        <v/>
      </c>
      <c r="I84" s="41" t="str">
        <f aca="false" t="array" ref="I84:I84">IF(OR($A84="",COUNTIFS($H$8:$H$62,$A84,$C$8:$C$62,"Y")=0),"",MAX(IF(($H$8:$H$62=$A84)*($C$8:$C$62="Y"),$J$8:$J$62,0)))</f>
        <v/>
      </c>
    </row>
    <row r="85" customFormat="false" ht="15" hidden="false" customHeight="false" outlineLevel="0" collapsed="false">
      <c r="A85" s="30" t="s">
        <v>406</v>
      </c>
      <c r="B85" s="41" t="str">
        <f aca="false">IF($A85="","",IFERROR(INDEX($E$8:$E$62,MATCH($A85,$H$8:$H$62,0)),""))</f>
        <v>DI-SAFT-80931 Explosive Ordnance Disposal Data</v>
      </c>
      <c r="C85" s="41" t="str">
        <f aca="false" t="array" ref="C85:C85">IF($A85="","",IFERROR(_xlfn.TEXTJOIN(", ",TRUE(),IF(($H$8:$H$62=$A85)*($C$8:$C$62="Y"),$A$8:$A$62,"")),""))</f>
        <v/>
      </c>
      <c r="D85" s="41" t="n">
        <f aca="false">IF($A85="","",COUNTIFS($H$8:$H$62,$A85,$C$8:$C$62,"Y"))</f>
        <v>0</v>
      </c>
      <c r="E85" s="53" t="n">
        <f aca="false">IF($A85="","",SUMIFS($O$8:$O$62,$H$8:$H$62,$A85,$C$8:$C$62,"Y"))</f>
        <v>0</v>
      </c>
      <c r="F85" s="53" t="n">
        <f aca="false">IF($A85="","",SUMIFS($P$8:$P$62,$H$8:$H$62,$A85,$C$8:$C$62,"Y"))</f>
        <v>0</v>
      </c>
      <c r="G85" s="43" t="str">
        <f aca="false" t="array" ref="G85:G85">IF(OR($A85="",COUNTIFS($H$8:$H$62,$A85,$C$8:$C$62,"Y")=0),"",MAX(IF(($H$8:$H$62=$A85)*($C$8:$C$62="Y"),$L$8:$L$62,0)))</f>
        <v/>
      </c>
      <c r="H85" s="43" t="str">
        <f aca="false" t="array" ref="H85:H85">IF(OR($A85="",COUNTIFS($H$8:$H$62,$A85,$C$8:$C$62,"Y")=0),"",IF(MIN(IF(($H$8:$H$62=$A85)*($C$8:$C$62="Y")*ISNUMBER($N$8:$N$62),$N$8:$N$62,9E+099))&gt;=9E+099,"",MIN(IF(($H$8:$H$62=$A85)*($C$8:$C$62="Y")*ISNUMBER($N$8:$N$62),$N$8:$N$62,9E+099))))</f>
        <v/>
      </c>
      <c r="I85" s="41" t="str">
        <f aca="false" t="array" ref="I85:I85">IF(OR($A85="",COUNTIFS($H$8:$H$62,$A85,$C$8:$C$62,"Y")=0),"",MAX(IF(($H$8:$H$62=$A85)*($C$8:$C$62="Y"),$J$8:$J$62,0)))</f>
        <v/>
      </c>
    </row>
    <row r="86" customFormat="false" ht="15" hidden="false" customHeight="false" outlineLevel="0" collapsed="false">
      <c r="A86" s="93"/>
      <c r="B86" s="41" t="str">
        <f aca="false">IF($A86="","",IFERROR(INDEX($E$8:$E$62,MATCH($A86,$H$8:$H$62,0)),""))</f>
        <v/>
      </c>
      <c r="C86" s="41" t="str">
        <f aca="false" t="array" ref="C86:C86">IF($A86="","",IFERROR(_xlfn.TEXTJOIN(", ",TRUE(),IF(($H$8:$H$62=$A86)*($C$8:$C$62="Y"),$A$8:$A$62,"")),""))</f>
        <v/>
      </c>
      <c r="D86" s="41" t="str">
        <f aca="false">IF($A86="","",COUNTIFS($H$8:$H$62,$A86,$C$8:$C$62,"Y"))</f>
        <v/>
      </c>
      <c r="E86" s="53" t="str">
        <f aca="false">IF($A86="","",SUMIFS($O$8:$O$62,$H$8:$H$62,$A86,$C$8:$C$62,"Y"))</f>
        <v/>
      </c>
      <c r="F86" s="53" t="str">
        <f aca="false">IF($A86="","",SUMIFS($P$8:$P$62,$H$8:$H$62,$A86,$C$8:$C$62,"Y"))</f>
        <v/>
      </c>
      <c r="G86" s="43" t="str">
        <f aca="false" t="array" ref="G86:G86">IF(OR($A86="",COUNTIFS($H$8:$H$62,$A86,$C$8:$C$62,"Y")=0),"",MAX(IF(($H$8:$H$62=$A86)*($C$8:$C$62="Y"),$L$8:$L$62,0)))</f>
        <v/>
      </c>
      <c r="H86" s="43" t="str">
        <f aca="false" t="array" ref="H86:H86">IF(OR($A86="",COUNTIFS($H$8:$H$62,$A86,$C$8:$C$62,"Y")=0),"",IF(MIN(IF(($H$8:$H$62=$A86)*($C$8:$C$62="Y")*ISNUMBER($N$8:$N$62),$N$8:$N$62,9E+099))&gt;=9E+099,"",MIN(IF(($H$8:$H$62=$A86)*($C$8:$C$62="Y")*ISNUMBER($N$8:$N$62),$N$8:$N$62,9E+099))))</f>
        <v/>
      </c>
      <c r="I86" s="41" t="str">
        <f aca="false" t="array" ref="I86:I86">IF(OR($A86="",COUNTIFS($H$8:$H$62,$A86,$C$8:$C$62,"Y")=0),"",MAX(IF(($H$8:$H$62=$A86)*($C$8:$C$62="Y"),$J$8:$J$62,0)))</f>
        <v/>
      </c>
    </row>
    <row r="87" customFormat="false" ht="15" hidden="false" customHeight="false" outlineLevel="0" collapsed="false">
      <c r="A87" s="93"/>
      <c r="B87" s="41" t="str">
        <f aca="false">IF($A87="","",IFERROR(INDEX($E$8:$E$62,MATCH($A87,$H$8:$H$62,0)),""))</f>
        <v/>
      </c>
      <c r="C87" s="41" t="str">
        <f aca="false" t="array" ref="C87:C87">IF($A87="","",IFERROR(_xlfn.TEXTJOIN(", ",TRUE(),IF(($H$8:$H$62=$A87)*($C$8:$C$62="Y"),$A$8:$A$62,"")),""))</f>
        <v/>
      </c>
      <c r="D87" s="41" t="str">
        <f aca="false">IF($A87="","",COUNTIFS($H$8:$H$62,$A87,$C$8:$C$62,"Y"))</f>
        <v/>
      </c>
      <c r="E87" s="53" t="str">
        <f aca="false">IF($A87="","",SUMIFS($O$8:$O$62,$H$8:$H$62,$A87,$C$8:$C$62,"Y"))</f>
        <v/>
      </c>
      <c r="F87" s="53" t="str">
        <f aca="false">IF($A87="","",SUMIFS($P$8:$P$62,$H$8:$H$62,$A87,$C$8:$C$62,"Y"))</f>
        <v/>
      </c>
      <c r="G87" s="43" t="str">
        <f aca="false" t="array" ref="G87:G87">IF(OR($A87="",COUNTIFS($H$8:$H$62,$A87,$C$8:$C$62,"Y")=0),"",MAX(IF(($H$8:$H$62=$A87)*($C$8:$C$62="Y"),$L$8:$L$62,0)))</f>
        <v/>
      </c>
      <c r="H87" s="43" t="str">
        <f aca="false" t="array" ref="H87:H87">IF(OR($A87="",COUNTIFS($H$8:$H$62,$A87,$C$8:$C$62,"Y")=0),"",IF(MIN(IF(($H$8:$H$62=$A87)*($C$8:$C$62="Y")*ISNUMBER($N$8:$N$62),$N$8:$N$62,9E+099))&gt;=9E+099,"",MIN(IF(($H$8:$H$62=$A87)*($C$8:$C$62="Y")*ISNUMBER($N$8:$N$62),$N$8:$N$62,9E+099))))</f>
        <v/>
      </c>
      <c r="I87" s="41" t="str">
        <f aca="false" t="array" ref="I87:I87">IF(OR($A87="",COUNTIFS($H$8:$H$62,$A87,$C$8:$C$62,"Y")=0),"",MAX(IF(($H$8:$H$62=$A87)*($C$8:$C$62="Y"),$J$8:$J$62,0)))</f>
        <v/>
      </c>
    </row>
    <row r="88" customFormat="false" ht="15" hidden="false" customHeight="false" outlineLevel="0" collapsed="false">
      <c r="A88" s="93"/>
      <c r="B88" s="41" t="str">
        <f aca="false">IF($A88="","",IFERROR(INDEX($E$8:$E$62,MATCH($A88,$H$8:$H$62,0)),""))</f>
        <v/>
      </c>
      <c r="C88" s="41" t="str">
        <f aca="false" t="array" ref="C88:C88">IF($A88="","",IFERROR(_xlfn.TEXTJOIN(", ",TRUE(),IF(($H$8:$H$62=$A88)*($C$8:$C$62="Y"),$A$8:$A$62,"")),""))</f>
        <v/>
      </c>
      <c r="D88" s="41" t="str">
        <f aca="false">IF($A88="","",COUNTIFS($H$8:$H$62,$A88,$C$8:$C$62,"Y"))</f>
        <v/>
      </c>
      <c r="E88" s="53" t="str">
        <f aca="false">IF($A88="","",SUMIFS($O$8:$O$62,$H$8:$H$62,$A88,$C$8:$C$62,"Y"))</f>
        <v/>
      </c>
      <c r="F88" s="53" t="str">
        <f aca="false">IF($A88="","",SUMIFS($P$8:$P$62,$H$8:$H$62,$A88,$C$8:$C$62,"Y"))</f>
        <v/>
      </c>
      <c r="G88" s="43" t="str">
        <f aca="false" t="array" ref="G88:G88">IF(OR($A88="",COUNTIFS($H$8:$H$62,$A88,$C$8:$C$62,"Y")=0),"",MAX(IF(($H$8:$H$62=$A88)*($C$8:$C$62="Y"),$L$8:$L$62,0)))</f>
        <v/>
      </c>
      <c r="H88" s="43" t="str">
        <f aca="false" t="array" ref="H88:H88">IF(OR($A88="",COUNTIFS($H$8:$H$62,$A88,$C$8:$C$62,"Y")=0),"",IF(MIN(IF(($H$8:$H$62=$A88)*($C$8:$C$62="Y")*ISNUMBER($N$8:$N$62),$N$8:$N$62,9E+099))&gt;=9E+099,"",MIN(IF(($H$8:$H$62=$A88)*($C$8:$C$62="Y")*ISNUMBER($N$8:$N$62),$N$8:$N$62,9E+099))))</f>
        <v/>
      </c>
      <c r="I88" s="41" t="str">
        <f aca="false" t="array" ref="I88:I88">IF(OR($A88="",COUNTIFS($H$8:$H$62,$A88,$C$8:$C$62,"Y")=0),"",MAX(IF(($H$8:$H$62=$A88)*($C$8:$C$62="Y"),$J$8:$J$62,0)))</f>
        <v/>
      </c>
    </row>
    <row r="89" customFormat="false" ht="15" hidden="false" customHeight="false" outlineLevel="0" collapsed="false">
      <c r="A89" s="93"/>
      <c r="B89" s="41" t="str">
        <f aca="false">IF($A89="","",IFERROR(INDEX($E$8:$E$62,MATCH($A89,$H$8:$H$62,0)),""))</f>
        <v/>
      </c>
      <c r="C89" s="41" t="str">
        <f aca="false" t="array" ref="C89:C89">IF($A89="","",IFERROR(_xlfn.TEXTJOIN(", ",TRUE(),IF(($H$8:$H$62=$A89)*($C$8:$C$62="Y"),$A$8:$A$62,"")),""))</f>
        <v/>
      </c>
      <c r="D89" s="41" t="str">
        <f aca="false">IF($A89="","",COUNTIFS($H$8:$H$62,$A89,$C$8:$C$62,"Y"))</f>
        <v/>
      </c>
      <c r="E89" s="53" t="str">
        <f aca="false">IF($A89="","",SUMIFS($O$8:$O$62,$H$8:$H$62,$A89,$C$8:$C$62,"Y"))</f>
        <v/>
      </c>
      <c r="F89" s="53" t="str">
        <f aca="false">IF($A89="","",SUMIFS($P$8:$P$62,$H$8:$H$62,$A89,$C$8:$C$62,"Y"))</f>
        <v/>
      </c>
      <c r="G89" s="43" t="str">
        <f aca="false" t="array" ref="G89:G89">IF(OR($A89="",COUNTIFS($H$8:$H$62,$A89,$C$8:$C$62,"Y")=0),"",MAX(IF(($H$8:$H$62=$A89)*($C$8:$C$62="Y"),$L$8:$L$62,0)))</f>
        <v/>
      </c>
      <c r="H89" s="43" t="str">
        <f aca="false" t="array" ref="H89:H89">IF(OR($A89="",COUNTIFS($H$8:$H$62,$A89,$C$8:$C$62,"Y")=0),"",IF(MIN(IF(($H$8:$H$62=$A89)*($C$8:$C$62="Y")*ISNUMBER($N$8:$N$62),$N$8:$N$62,9E+099))&gt;=9E+099,"",MIN(IF(($H$8:$H$62=$A89)*($C$8:$C$62="Y")*ISNUMBER($N$8:$N$62),$N$8:$N$62,9E+099))))</f>
        <v/>
      </c>
      <c r="I89" s="41" t="str">
        <f aca="false" t="array" ref="I89:I89">IF(OR($A89="",COUNTIFS($H$8:$H$62,$A89,$C$8:$C$62,"Y")=0),"",MAX(IF(($H$8:$H$62=$A89)*($C$8:$C$62="Y"),$J$8:$J$62,0)))</f>
        <v/>
      </c>
    </row>
    <row r="90" customFormat="false" ht="15" hidden="false" customHeight="false" outlineLevel="0" collapsed="false">
      <c r="A90" s="93"/>
      <c r="B90" s="41" t="str">
        <f aca="false">IF($A90="","",IFERROR(INDEX($E$8:$E$62,MATCH($A90,$H$8:$H$62,0)),""))</f>
        <v/>
      </c>
      <c r="C90" s="41" t="str">
        <f aca="false" t="array" ref="C90:C90">IF($A90="","",IFERROR(_xlfn.TEXTJOIN(", ",TRUE(),IF(($H$8:$H$62=$A90)*($C$8:$C$62="Y"),$A$8:$A$62,"")),""))</f>
        <v/>
      </c>
      <c r="D90" s="41" t="str">
        <f aca="false">IF($A90="","",COUNTIFS($H$8:$H$62,$A90,$C$8:$C$62,"Y"))</f>
        <v/>
      </c>
      <c r="E90" s="53" t="str">
        <f aca="false">IF($A90="","",SUMIFS($O$8:$O$62,$H$8:$H$62,$A90,$C$8:$C$62,"Y"))</f>
        <v/>
      </c>
      <c r="F90" s="53" t="str">
        <f aca="false">IF($A90="","",SUMIFS($P$8:$P$62,$H$8:$H$62,$A90,$C$8:$C$62,"Y"))</f>
        <v/>
      </c>
      <c r="G90" s="43" t="str">
        <f aca="false" t="array" ref="G90:G90">IF(OR($A90="",COUNTIFS($H$8:$H$62,$A90,$C$8:$C$62,"Y")=0),"",MAX(IF(($H$8:$H$62=$A90)*($C$8:$C$62="Y"),$L$8:$L$62,0)))</f>
        <v/>
      </c>
      <c r="H90" s="43" t="str">
        <f aca="false" t="array" ref="H90:H90">IF(OR($A90="",COUNTIFS($H$8:$H$62,$A90,$C$8:$C$62,"Y")=0),"",IF(MIN(IF(($H$8:$H$62=$A90)*($C$8:$C$62="Y")*ISNUMBER($N$8:$N$62),$N$8:$N$62,9E+099))&gt;=9E+099,"",MIN(IF(($H$8:$H$62=$A90)*($C$8:$C$62="Y")*ISNUMBER($N$8:$N$62),$N$8:$N$62,9E+099))))</f>
        <v/>
      </c>
      <c r="I90" s="41" t="str">
        <f aca="false" t="array" ref="I90:I90">IF(OR($A90="",COUNTIFS($H$8:$H$62,$A90,$C$8:$C$62,"Y")=0),"",MAX(IF(($H$8:$H$62=$A90)*($C$8:$C$62="Y"),$J$8:$J$62,0)))</f>
        <v/>
      </c>
    </row>
    <row r="91" customFormat="false" ht="15" hidden="false" customHeight="false" outlineLevel="0" collapsed="false">
      <c r="A91" s="93"/>
      <c r="B91" s="41" t="str">
        <f aca="false">IF($A91="","",IFERROR(INDEX($E$8:$E$62,MATCH($A91,$H$8:$H$62,0)),""))</f>
        <v/>
      </c>
      <c r="C91" s="41" t="str">
        <f aca="false" t="array" ref="C91:C91">IF($A91="","",IFERROR(_xlfn.TEXTJOIN(", ",TRUE(),IF(($H$8:$H$62=$A91)*($C$8:$C$62="Y"),$A$8:$A$62,"")),""))</f>
        <v/>
      </c>
      <c r="D91" s="41" t="str">
        <f aca="false">IF($A91="","",COUNTIFS($H$8:$H$62,$A91,$C$8:$C$62,"Y"))</f>
        <v/>
      </c>
      <c r="E91" s="53" t="str">
        <f aca="false">IF($A91="","",SUMIFS($O$8:$O$62,$H$8:$H$62,$A91,$C$8:$C$62,"Y"))</f>
        <v/>
      </c>
      <c r="F91" s="53" t="str">
        <f aca="false">IF($A91="","",SUMIFS($P$8:$P$62,$H$8:$H$62,$A91,$C$8:$C$62,"Y"))</f>
        <v/>
      </c>
      <c r="G91" s="43" t="str">
        <f aca="false" t="array" ref="G91:G91">IF(OR($A91="",COUNTIFS($H$8:$H$62,$A91,$C$8:$C$62,"Y")=0),"",MAX(IF(($H$8:$H$62=$A91)*($C$8:$C$62="Y"),$L$8:$L$62,0)))</f>
        <v/>
      </c>
      <c r="H91" s="43" t="str">
        <f aca="false" t="array" ref="H91:H91">IF(OR($A91="",COUNTIFS($H$8:$H$62,$A91,$C$8:$C$62,"Y")=0),"",IF(MIN(IF(($H$8:$H$62=$A91)*($C$8:$C$62="Y")*ISNUMBER($N$8:$N$62),$N$8:$N$62,9E+099))&gt;=9E+099,"",MIN(IF(($H$8:$H$62=$A91)*($C$8:$C$62="Y")*ISNUMBER($N$8:$N$62),$N$8:$N$62,9E+099))))</f>
        <v/>
      </c>
      <c r="I91" s="41" t="str">
        <f aca="false" t="array" ref="I91:I91">IF(OR($A91="",COUNTIFS($H$8:$H$62,$A91,$C$8:$C$62,"Y")=0),"",MAX(IF(($H$8:$H$62=$A91)*($C$8:$C$62="Y"),$J$8:$J$62,0)))</f>
        <v/>
      </c>
    </row>
    <row r="92" customFormat="false" ht="15" hidden="false" customHeight="false" outlineLevel="0" collapsed="false">
      <c r="A92" s="93"/>
      <c r="B92" s="41" t="str">
        <f aca="false">IF($A92="","",IFERROR(INDEX($E$8:$E$62,MATCH($A92,$H$8:$H$62,0)),""))</f>
        <v/>
      </c>
      <c r="C92" s="41" t="str">
        <f aca="false" t="array" ref="C92:C92">IF($A92="","",IFERROR(_xlfn.TEXTJOIN(", ",TRUE(),IF(($H$8:$H$62=$A92)*($C$8:$C$62="Y"),$A$8:$A$62,"")),""))</f>
        <v/>
      </c>
      <c r="D92" s="41" t="str">
        <f aca="false">IF($A92="","",COUNTIFS($H$8:$H$62,$A92,$C$8:$C$62,"Y"))</f>
        <v/>
      </c>
      <c r="E92" s="53" t="str">
        <f aca="false">IF($A92="","",SUMIFS($O$8:$O$62,$H$8:$H$62,$A92,$C$8:$C$62,"Y"))</f>
        <v/>
      </c>
      <c r="F92" s="53" t="str">
        <f aca="false">IF($A92="","",SUMIFS($P$8:$P$62,$H$8:$H$62,$A92,$C$8:$C$62,"Y"))</f>
        <v/>
      </c>
      <c r="G92" s="43" t="str">
        <f aca="false" t="array" ref="G92:G92">IF(OR($A92="",COUNTIFS($H$8:$H$62,$A92,$C$8:$C$62,"Y")=0),"",MAX(IF(($H$8:$H$62=$A92)*($C$8:$C$62="Y"),$L$8:$L$62,0)))</f>
        <v/>
      </c>
      <c r="H92" s="43" t="str">
        <f aca="false" t="array" ref="H92:H92">IF(OR($A92="",COUNTIFS($H$8:$H$62,$A92,$C$8:$C$62,"Y")=0),"",IF(MIN(IF(($H$8:$H$62=$A92)*($C$8:$C$62="Y")*ISNUMBER($N$8:$N$62),$N$8:$N$62,9E+099))&gt;=9E+099,"",MIN(IF(($H$8:$H$62=$A92)*($C$8:$C$62="Y")*ISNUMBER($N$8:$N$62),$N$8:$N$62,9E+099))))</f>
        <v/>
      </c>
      <c r="I92" s="41" t="str">
        <f aca="false" t="array" ref="I92:I92">IF(OR($A92="",COUNTIFS($H$8:$H$62,$A92,$C$8:$C$62,"Y")=0),"",MAX(IF(($H$8:$H$62=$A92)*($C$8:$C$62="Y"),$J$8:$J$62,0)))</f>
        <v/>
      </c>
    </row>
    <row r="93" customFormat="false" ht="15" hidden="false" customHeight="false" outlineLevel="0" collapsed="false">
      <c r="A93" s="93"/>
      <c r="B93" s="41" t="str">
        <f aca="false">IF($A93="","",IFERROR(INDEX($E$8:$E$62,MATCH($A93,$H$8:$H$62,0)),""))</f>
        <v/>
      </c>
      <c r="C93" s="41" t="str">
        <f aca="false" t="array" ref="C93:C93">IF($A93="","",IFERROR(_xlfn.TEXTJOIN(", ",TRUE(),IF(($H$8:$H$62=$A93)*($C$8:$C$62="Y"),$A$8:$A$62,"")),""))</f>
        <v/>
      </c>
      <c r="D93" s="41" t="str">
        <f aca="false">IF($A93="","",COUNTIFS($H$8:$H$62,$A93,$C$8:$C$62,"Y"))</f>
        <v/>
      </c>
      <c r="E93" s="53" t="str">
        <f aca="false">IF($A93="","",SUMIFS($O$8:$O$62,$H$8:$H$62,$A93,$C$8:$C$62,"Y"))</f>
        <v/>
      </c>
      <c r="F93" s="53" t="str">
        <f aca="false">IF($A93="","",SUMIFS($P$8:$P$62,$H$8:$H$62,$A93,$C$8:$C$62,"Y"))</f>
        <v/>
      </c>
      <c r="G93" s="43" t="str">
        <f aca="false" t="array" ref="G93:G93">IF(OR($A93="",COUNTIFS($H$8:$H$62,$A93,$C$8:$C$62,"Y")=0),"",MAX(IF(($H$8:$H$62=$A93)*($C$8:$C$62="Y"),$L$8:$L$62,0)))</f>
        <v/>
      </c>
      <c r="H93" s="43" t="str">
        <f aca="false" t="array" ref="H93:H93">IF(OR($A93="",COUNTIFS($H$8:$H$62,$A93,$C$8:$C$62,"Y")=0),"",IF(MIN(IF(($H$8:$H$62=$A93)*($C$8:$C$62="Y")*ISNUMBER($N$8:$N$62),$N$8:$N$62,9E+099))&gt;=9E+099,"",MIN(IF(($H$8:$H$62=$A93)*($C$8:$C$62="Y")*ISNUMBER($N$8:$N$62),$N$8:$N$62,9E+099))))</f>
        <v/>
      </c>
      <c r="I93" s="41" t="str">
        <f aca="false" t="array" ref="I93:I93">IF(OR($A93="",COUNTIFS($H$8:$H$62,$A93,$C$8:$C$62,"Y")=0),"",MAX(IF(($H$8:$H$62=$A93)*($C$8:$C$62="Y"),$J$8:$J$62,0)))</f>
        <v/>
      </c>
    </row>
    <row r="94" customFormat="false" ht="15" hidden="false" customHeight="false" outlineLevel="0" collapsed="false">
      <c r="A94" s="93"/>
      <c r="B94" s="41" t="str">
        <f aca="false">IF($A94="","",IFERROR(INDEX($E$8:$E$62,MATCH($A94,$H$8:$H$62,0)),""))</f>
        <v/>
      </c>
      <c r="C94" s="41" t="str">
        <f aca="false" t="array" ref="C94:C94">IF($A94="","",IFERROR(_xlfn.TEXTJOIN(", ",TRUE(),IF(($H$8:$H$62=$A94)*($C$8:$C$62="Y"),$A$8:$A$62,"")),""))</f>
        <v/>
      </c>
      <c r="D94" s="41" t="str">
        <f aca="false">IF($A94="","",COUNTIFS($H$8:$H$62,$A94,$C$8:$C$62,"Y"))</f>
        <v/>
      </c>
      <c r="E94" s="53" t="str">
        <f aca="false">IF($A94="","",SUMIFS($O$8:$O$62,$H$8:$H$62,$A94,$C$8:$C$62,"Y"))</f>
        <v/>
      </c>
      <c r="F94" s="53" t="str">
        <f aca="false">IF($A94="","",SUMIFS($P$8:$P$62,$H$8:$H$62,$A94,$C$8:$C$62,"Y"))</f>
        <v/>
      </c>
      <c r="G94" s="43" t="str">
        <f aca="false" t="array" ref="G94:G94">IF(OR($A94="",COUNTIFS($H$8:$H$62,$A94,$C$8:$C$62,"Y")=0),"",MAX(IF(($H$8:$H$62=$A94)*($C$8:$C$62="Y"),$L$8:$L$62,0)))</f>
        <v/>
      </c>
      <c r="H94" s="43" t="str">
        <f aca="false" t="array" ref="H94:H94">IF(OR($A94="",COUNTIFS($H$8:$H$62,$A94,$C$8:$C$62,"Y")=0),"",IF(MIN(IF(($H$8:$H$62=$A94)*($C$8:$C$62="Y")*ISNUMBER($N$8:$N$62),$N$8:$N$62,9E+099))&gt;=9E+099,"",MIN(IF(($H$8:$H$62=$A94)*($C$8:$C$62="Y")*ISNUMBER($N$8:$N$62),$N$8:$N$62,9E+099))))</f>
        <v/>
      </c>
      <c r="I94" s="41" t="str">
        <f aca="false" t="array" ref="I94:I94">IF(OR($A94="",COUNTIFS($H$8:$H$62,$A94,$C$8:$C$62,"Y")=0),"",MAX(IF(($H$8:$H$62=$A94)*($C$8:$C$62="Y"),$J$8:$J$62,0)))</f>
        <v/>
      </c>
    </row>
    <row r="95" customFormat="false" ht="15" hidden="false" customHeight="false" outlineLevel="0" collapsed="false">
      <c r="A95" s="93"/>
      <c r="B95" s="41" t="str">
        <f aca="false">IF($A95="","",IFERROR(INDEX($E$8:$E$62,MATCH($A95,$H$8:$H$62,0)),""))</f>
        <v/>
      </c>
      <c r="C95" s="41" t="str">
        <f aca="false" t="array" ref="C95:C95">IF($A95="","",IFERROR(_xlfn.TEXTJOIN(", ",TRUE(),IF(($H$8:$H$62=$A95)*($C$8:$C$62="Y"),$A$8:$A$62,"")),""))</f>
        <v/>
      </c>
      <c r="D95" s="41" t="str">
        <f aca="false">IF($A95="","",COUNTIFS($H$8:$H$62,$A95,$C$8:$C$62,"Y"))</f>
        <v/>
      </c>
      <c r="E95" s="53" t="str">
        <f aca="false">IF($A95="","",SUMIFS($O$8:$O$62,$H$8:$H$62,$A95,$C$8:$C$62,"Y"))</f>
        <v/>
      </c>
      <c r="F95" s="53" t="str">
        <f aca="false">IF($A95="","",SUMIFS($P$8:$P$62,$H$8:$H$62,$A95,$C$8:$C$62,"Y"))</f>
        <v/>
      </c>
      <c r="G95" s="43" t="str">
        <f aca="false" t="array" ref="G95:G95">IF(OR($A95="",COUNTIFS($H$8:$H$62,$A95,$C$8:$C$62,"Y")=0),"",MAX(IF(($H$8:$H$62=$A95)*($C$8:$C$62="Y"),$L$8:$L$62,0)))</f>
        <v/>
      </c>
      <c r="H95" s="43" t="str">
        <f aca="false" t="array" ref="H95:H95">IF(OR($A95="",COUNTIFS($H$8:$H$62,$A95,$C$8:$C$62,"Y")=0),"",IF(MIN(IF(($H$8:$H$62=$A95)*($C$8:$C$62="Y")*ISNUMBER($N$8:$N$62),$N$8:$N$62,9E+099))&gt;=9E+099,"",MIN(IF(($H$8:$H$62=$A95)*($C$8:$C$62="Y")*ISNUMBER($N$8:$N$62),$N$8:$N$62,9E+099))))</f>
        <v/>
      </c>
      <c r="I95" s="41" t="str">
        <f aca="false" t="array" ref="I95:I95">IF(OR($A95="",COUNTIFS($H$8:$H$62,$A95,$C$8:$C$62,"Y")=0),"",MAX(IF(($H$8:$H$62=$A95)*($C$8:$C$62="Y"),$J$8:$J$62,0)))</f>
        <v/>
      </c>
    </row>
    <row r="96" customFormat="false" ht="15" hidden="false" customHeight="false" outlineLevel="0" collapsed="false">
      <c r="A96" s="18" t="s">
        <v>419</v>
      </c>
      <c r="B96" s="28" t="s">
        <v>420</v>
      </c>
      <c r="E96" s="58" t="n">
        <f aca="false">SUM(E66:E95)</f>
        <v>8719.50718685832</v>
      </c>
      <c r="F96" s="58" t="n">
        <f aca="false">SUM(F66:F95)</f>
        <v>13079.2607802875</v>
      </c>
    </row>
    <row r="98" customFormat="false" ht="15" hidden="false" customHeight="false" outlineLevel="0" collapsed="false">
      <c r="A98" s="18" t="s">
        <v>421</v>
      </c>
    </row>
    <row r="99" customFormat="false" ht="48" hidden="false" customHeight="true" outlineLevel="0" collapsed="false">
      <c r="A99" s="6" t="s">
        <v>412</v>
      </c>
      <c r="B99" s="6" t="s">
        <v>413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8" t="n">
        <f aca="false">IF(EDATE(Inputs!$B$4,0)&gt;Inputs!$B$5,"",EDATE(Inputs!$B$4,0))</f>
        <v>46391</v>
      </c>
      <c r="S99" s="68" t="n">
        <f aca="false">IF(EDATE(Inputs!$B$4,1)&gt;Inputs!$B$5,"",EDATE(Inputs!$B$4,1))</f>
        <v>46422</v>
      </c>
      <c r="T99" s="68" t="n">
        <f aca="false">IF(EDATE(Inputs!$B$4,2)&gt;Inputs!$B$5,"",EDATE(Inputs!$B$4,2))</f>
        <v>46450</v>
      </c>
      <c r="U99" s="68" t="n">
        <f aca="false">IF(EDATE(Inputs!$B$4,3)&gt;Inputs!$B$5,"",EDATE(Inputs!$B$4,3))</f>
        <v>46481</v>
      </c>
      <c r="V99" s="68" t="n">
        <f aca="false">IF(EDATE(Inputs!$B$4,4)&gt;Inputs!$B$5,"",EDATE(Inputs!$B$4,4))</f>
        <v>46511</v>
      </c>
      <c r="W99" s="68" t="n">
        <f aca="false">IF(EDATE(Inputs!$B$4,5)&gt;Inputs!$B$5,"",EDATE(Inputs!$B$4,5))</f>
        <v>46542</v>
      </c>
      <c r="X99" s="68" t="n">
        <f aca="false">IF(EDATE(Inputs!$B$4,6)&gt;Inputs!$B$5,"",EDATE(Inputs!$B$4,6))</f>
        <v>46572</v>
      </c>
      <c r="Y99" s="68" t="n">
        <f aca="false">IF(EDATE(Inputs!$B$4,7)&gt;Inputs!$B$5,"",EDATE(Inputs!$B$4,7))</f>
        <v>46603</v>
      </c>
      <c r="Z99" s="68" t="n">
        <f aca="false">IF(EDATE(Inputs!$B$4,8)&gt;Inputs!$B$5,"",EDATE(Inputs!$B$4,8))</f>
        <v>46634</v>
      </c>
      <c r="AA99" s="68" t="n">
        <f aca="false">IF(EDATE(Inputs!$B$4,9)&gt;Inputs!$B$5,"",EDATE(Inputs!$B$4,9))</f>
        <v>46664</v>
      </c>
      <c r="AB99" s="68" t="n">
        <f aca="false">IF(EDATE(Inputs!$B$4,10)&gt;Inputs!$B$5,"",EDATE(Inputs!$B$4,10))</f>
        <v>46695</v>
      </c>
      <c r="AC99" s="68" t="n">
        <f aca="false">IF(EDATE(Inputs!$B$4,11)&gt;Inputs!$B$5,"",EDATE(Inputs!$B$4,11))</f>
        <v>46725</v>
      </c>
      <c r="AD99" s="68" t="n">
        <f aca="false">IF(EDATE(Inputs!$B$4,12)&gt;Inputs!$B$5,"",EDATE(Inputs!$B$4,12))</f>
        <v>46756</v>
      </c>
      <c r="AE99" s="68" t="n">
        <f aca="false">IF(EDATE(Inputs!$B$4,13)&gt;Inputs!$B$5,"",EDATE(Inputs!$B$4,13))</f>
        <v>46787</v>
      </c>
      <c r="AF99" s="68" t="n">
        <f aca="false">IF(EDATE(Inputs!$B$4,14)&gt;Inputs!$B$5,"",EDATE(Inputs!$B$4,14))</f>
        <v>46816</v>
      </c>
      <c r="AG99" s="68" t="n">
        <f aca="false">IF(EDATE(Inputs!$B$4,15)&gt;Inputs!$B$5,"",EDATE(Inputs!$B$4,15))</f>
        <v>46847</v>
      </c>
      <c r="AH99" s="68" t="n">
        <f aca="false">IF(EDATE(Inputs!$B$4,16)&gt;Inputs!$B$5,"",EDATE(Inputs!$B$4,16))</f>
        <v>46877</v>
      </c>
      <c r="AI99" s="68" t="n">
        <f aca="false">IF(EDATE(Inputs!$B$4,17)&gt;Inputs!$B$5,"",EDATE(Inputs!$B$4,17))</f>
        <v>46908</v>
      </c>
      <c r="AJ99" s="68" t="n">
        <f aca="false">IF(EDATE(Inputs!$B$4,18)&gt;Inputs!$B$5,"",EDATE(Inputs!$B$4,18))</f>
        <v>46938</v>
      </c>
      <c r="AK99" s="68" t="n">
        <f aca="false">IF(EDATE(Inputs!$B$4,19)&gt;Inputs!$B$5,"",EDATE(Inputs!$B$4,19))</f>
        <v>46969</v>
      </c>
      <c r="AL99" s="68" t="n">
        <f aca="false">IF(EDATE(Inputs!$B$4,20)&gt;Inputs!$B$5,"",EDATE(Inputs!$B$4,20))</f>
        <v>47000</v>
      </c>
      <c r="AM99" s="68" t="n">
        <f aca="false">IF(EDATE(Inputs!$B$4,21)&gt;Inputs!$B$5,"",EDATE(Inputs!$B$4,21))</f>
        <v>47030</v>
      </c>
      <c r="AN99" s="68" t="n">
        <f aca="false">IF(EDATE(Inputs!$B$4,22)&gt;Inputs!$B$5,"",EDATE(Inputs!$B$4,22))</f>
        <v>47061</v>
      </c>
      <c r="AO99" s="68" t="n">
        <f aca="false">IF(EDATE(Inputs!$B$4,23)&gt;Inputs!$B$5,"",EDATE(Inputs!$B$4,23))</f>
        <v>47091</v>
      </c>
      <c r="AP99" s="68" t="n">
        <f aca="false">IF(EDATE(Inputs!$B$4,24)&gt;Inputs!$B$5,"",EDATE(Inputs!$B$4,24))</f>
        <v>47122</v>
      </c>
      <c r="AQ99" s="68" t="n">
        <f aca="false">IF(EDATE(Inputs!$B$4,25)&gt;Inputs!$B$5,"",EDATE(Inputs!$B$4,25))</f>
        <v>47153</v>
      </c>
      <c r="AR99" s="68" t="n">
        <f aca="false">IF(EDATE(Inputs!$B$4,26)&gt;Inputs!$B$5,"",EDATE(Inputs!$B$4,26))</f>
        <v>47181</v>
      </c>
      <c r="AS99" s="68" t="n">
        <f aca="false">IF(EDATE(Inputs!$B$4,27)&gt;Inputs!$B$5,"",EDATE(Inputs!$B$4,27))</f>
        <v>47212</v>
      </c>
      <c r="AT99" s="68" t="n">
        <f aca="false">IF(EDATE(Inputs!$B$4,28)&gt;Inputs!$B$5,"",EDATE(Inputs!$B$4,28))</f>
        <v>47242</v>
      </c>
      <c r="AU99" s="68" t="n">
        <f aca="false">IF(EDATE(Inputs!$B$4,29)&gt;Inputs!$B$5,"",EDATE(Inputs!$B$4,29))</f>
        <v>47273</v>
      </c>
      <c r="AV99" s="68" t="n">
        <f aca="false">IF(EDATE(Inputs!$B$4,30)&gt;Inputs!$B$5,"",EDATE(Inputs!$B$4,30))</f>
        <v>47303</v>
      </c>
      <c r="AW99" s="68" t="n">
        <f aca="false">IF(EDATE(Inputs!$B$4,31)&gt;Inputs!$B$5,"",EDATE(Inputs!$B$4,31))</f>
        <v>47334</v>
      </c>
      <c r="AX99" s="68" t="n">
        <f aca="false">IF(EDATE(Inputs!$B$4,32)&gt;Inputs!$B$5,"",EDATE(Inputs!$B$4,32))</f>
        <v>47365</v>
      </c>
      <c r="AY99" s="68" t="n">
        <f aca="false">IF(EDATE(Inputs!$B$4,33)&gt;Inputs!$B$5,"",EDATE(Inputs!$B$4,33))</f>
        <v>47395</v>
      </c>
      <c r="AZ99" s="68" t="n">
        <f aca="false">IF(EDATE(Inputs!$B$4,34)&gt;Inputs!$B$5,"",EDATE(Inputs!$B$4,34))</f>
        <v>47426</v>
      </c>
      <c r="BA99" s="68" t="n">
        <f aca="false">IF(EDATE(Inputs!$B$4,35)&gt;Inputs!$B$5,"",EDATE(Inputs!$B$4,35))</f>
        <v>47456</v>
      </c>
      <c r="BB99" s="68" t="str">
        <f aca="false">IF(EDATE(Inputs!$B$4,36)&gt;Inputs!$B$5,"",EDATE(Inputs!$B$4,36))</f>
        <v/>
      </c>
      <c r="BC99" s="68" t="str">
        <f aca="false">IF(EDATE(Inputs!$B$4,37)&gt;Inputs!$B$5,"",EDATE(Inputs!$B$4,37))</f>
        <v/>
      </c>
      <c r="BD99" s="68" t="str">
        <f aca="false">IF(EDATE(Inputs!$B$4,38)&gt;Inputs!$B$5,"",EDATE(Inputs!$B$4,38))</f>
        <v/>
      </c>
      <c r="BE99" s="68" t="str">
        <f aca="false">IF(EDATE(Inputs!$B$4,39)&gt;Inputs!$B$5,"",EDATE(Inputs!$B$4,39))</f>
        <v/>
      </c>
      <c r="BF99" s="68" t="str">
        <f aca="false">IF(EDATE(Inputs!$B$4,40)&gt;Inputs!$B$5,"",EDATE(Inputs!$B$4,40))</f>
        <v/>
      </c>
      <c r="BG99" s="68" t="str">
        <f aca="false">IF(EDATE(Inputs!$B$4,41)&gt;Inputs!$B$5,"",EDATE(Inputs!$B$4,41))</f>
        <v/>
      </c>
      <c r="BH99" s="68" t="str">
        <f aca="false">IF(EDATE(Inputs!$B$4,42)&gt;Inputs!$B$5,"",EDATE(Inputs!$B$4,42))</f>
        <v/>
      </c>
      <c r="BI99" s="68" t="str">
        <f aca="false">IF(EDATE(Inputs!$B$4,43)&gt;Inputs!$B$5,"",EDATE(Inputs!$B$4,43))</f>
        <v/>
      </c>
      <c r="BJ99" s="68" t="str">
        <f aca="false">IF(EDATE(Inputs!$B$4,44)&gt;Inputs!$B$5,"",EDATE(Inputs!$B$4,44))</f>
        <v/>
      </c>
      <c r="BK99" s="68" t="str">
        <f aca="false">IF(EDATE(Inputs!$B$4,45)&gt;Inputs!$B$5,"",EDATE(Inputs!$B$4,45))</f>
        <v/>
      </c>
      <c r="BL99" s="68" t="str">
        <f aca="false">IF(EDATE(Inputs!$B$4,46)&gt;Inputs!$B$5,"",EDATE(Inputs!$B$4,46))</f>
        <v/>
      </c>
      <c r="BM99" s="68" t="str">
        <f aca="false">IF(EDATE(Inputs!$B$4,47)&gt;Inputs!$B$5,"",EDATE(Inputs!$B$4,47))</f>
        <v/>
      </c>
      <c r="BN99" s="68" t="str">
        <f aca="false">IF(EDATE(Inputs!$B$4,48)&gt;Inputs!$B$5,"",EDATE(Inputs!$B$4,48))</f>
        <v/>
      </c>
      <c r="BO99" s="68" t="str">
        <f aca="false">IF(EDATE(Inputs!$B$4,49)&gt;Inputs!$B$5,"",EDATE(Inputs!$B$4,49))</f>
        <v/>
      </c>
      <c r="BP99" s="68" t="str">
        <f aca="false">IF(EDATE(Inputs!$B$4,50)&gt;Inputs!$B$5,"",EDATE(Inputs!$B$4,50))</f>
        <v/>
      </c>
      <c r="BQ99" s="68" t="str">
        <f aca="false">IF(EDATE(Inputs!$B$4,51)&gt;Inputs!$B$5,"",EDATE(Inputs!$B$4,51))</f>
        <v/>
      </c>
      <c r="BR99" s="68" t="str">
        <f aca="false">IF(EDATE(Inputs!$B$4,52)&gt;Inputs!$B$5,"",EDATE(Inputs!$B$4,52))</f>
        <v/>
      </c>
      <c r="BS99" s="68" t="str">
        <f aca="false">IF(EDATE(Inputs!$B$4,53)&gt;Inputs!$B$5,"",EDATE(Inputs!$B$4,53))</f>
        <v/>
      </c>
      <c r="BT99" s="68" t="str">
        <f aca="false">IF(EDATE(Inputs!$B$4,54)&gt;Inputs!$B$5,"",EDATE(Inputs!$B$4,54))</f>
        <v/>
      </c>
      <c r="BU99" s="68" t="str">
        <f aca="false">IF(EDATE(Inputs!$B$4,55)&gt;Inputs!$B$5,"",EDATE(Inputs!$B$4,55))</f>
        <v/>
      </c>
      <c r="BV99" s="68" t="str">
        <f aca="false">IF(EDATE(Inputs!$B$4,56)&gt;Inputs!$B$5,"",EDATE(Inputs!$B$4,56))</f>
        <v/>
      </c>
      <c r="BW99" s="68" t="str">
        <f aca="false">IF(EDATE(Inputs!$B$4,57)&gt;Inputs!$B$5,"",EDATE(Inputs!$B$4,57))</f>
        <v/>
      </c>
      <c r="BX99" s="68" t="str">
        <f aca="false">IF(EDATE(Inputs!$B$4,58)&gt;Inputs!$B$5,"",EDATE(Inputs!$B$4,58))</f>
        <v/>
      </c>
      <c r="BY99" s="68" t="str">
        <f aca="false">IF(EDATE(Inputs!$B$4,59)&gt;Inputs!$B$5,"",EDATE(Inputs!$B$4,59))</f>
        <v/>
      </c>
      <c r="BZ99" s="68" t="str">
        <f aca="false">IF(EDATE(Inputs!$B$4,60)&gt;Inputs!$B$5,"",EDATE(Inputs!$B$4,60))</f>
        <v/>
      </c>
      <c r="CA99" s="68" t="str">
        <f aca="false">IF(EDATE(Inputs!$B$4,61)&gt;Inputs!$B$5,"",EDATE(Inputs!$B$4,61))</f>
        <v/>
      </c>
      <c r="CB99" s="68" t="str">
        <f aca="false">IF(EDATE(Inputs!$B$4,62)&gt;Inputs!$B$5,"",EDATE(Inputs!$B$4,62))</f>
        <v/>
      </c>
      <c r="CC99" s="68" t="str">
        <f aca="false">IF(EDATE(Inputs!$B$4,63)&gt;Inputs!$B$5,"",EDATE(Inputs!$B$4,63))</f>
        <v/>
      </c>
      <c r="CD99" s="68" t="str">
        <f aca="false">IF(EDATE(Inputs!$B$4,64)&gt;Inputs!$B$5,"",EDATE(Inputs!$B$4,64))</f>
        <v/>
      </c>
      <c r="CE99" s="68" t="str">
        <f aca="false">IF(EDATE(Inputs!$B$4,65)&gt;Inputs!$B$5,"",EDATE(Inputs!$B$4,65))</f>
        <v/>
      </c>
      <c r="CF99" s="68" t="str">
        <f aca="false">IF(EDATE(Inputs!$B$4,66)&gt;Inputs!$B$5,"",EDATE(Inputs!$B$4,66))</f>
        <v/>
      </c>
      <c r="CG99" s="68" t="str">
        <f aca="false">IF(EDATE(Inputs!$B$4,67)&gt;Inputs!$B$5,"",EDATE(Inputs!$B$4,67))</f>
        <v/>
      </c>
      <c r="CH99" s="68" t="str">
        <f aca="false">IF(EDATE(Inputs!$B$4,68)&gt;Inputs!$B$5,"",EDATE(Inputs!$B$4,68))</f>
        <v/>
      </c>
      <c r="CI99" s="68" t="str">
        <f aca="false">IF(EDATE(Inputs!$B$4,69)&gt;Inputs!$B$5,"",EDATE(Inputs!$B$4,69))</f>
        <v/>
      </c>
      <c r="CJ99" s="68" t="str">
        <f aca="false">IF(EDATE(Inputs!$B$4,70)&gt;Inputs!$B$5,"",EDATE(Inputs!$B$4,70))</f>
        <v/>
      </c>
      <c r="CK99" s="68" t="str">
        <f aca="false">IF(EDATE(Inputs!$B$4,71)&gt;Inputs!$B$5,"",EDATE(Inputs!$B$4,71))</f>
        <v/>
      </c>
    </row>
    <row r="100" customFormat="false" ht="15" hidden="false" customHeight="false" outlineLevel="0" collapsed="false">
      <c r="A100" s="74" t="str">
        <f aca="false">IF($A66="","",$A66)</f>
        <v>A001</v>
      </c>
      <c r="B100" s="74" t="str">
        <f aca="false">IF($A66="","",$B66)</f>
        <v>DI-SAFT-81626 System Safety Program Plan</v>
      </c>
      <c r="R100" s="71" t="str">
        <f aca="false">IF(OR(R$99="",$A66=""),"",IF(AND(ISNUMBER($G66),$G66&gt;=R$99,$G66&lt;EDATE(R$99,1)),"F",IF(AND(ISNUMBER($H66),$H66&gt;=R$99,$H66&lt;EDATE(R$99,1)),"D","")))</f>
        <v/>
      </c>
      <c r="S100" s="71" t="str">
        <f aca="false">IF(OR(S$99="",$A66=""),"",IF(AND(ISNUMBER($G66),$G66&gt;=S$99,$G66&lt;EDATE(S$99,1)),"F",IF(AND(ISNUMBER($H66),$H66&gt;=S$99,$H66&lt;EDATE(S$99,1)),"D","")))</f>
        <v/>
      </c>
      <c r="T100" s="71" t="str">
        <f aca="false">IF(OR(T$99="",$A66=""),"",IF(AND(ISNUMBER($G66),$G66&gt;=T$99,$G66&lt;EDATE(T$99,1)),"F",IF(AND(ISNUMBER($H66),$H66&gt;=T$99,$H66&lt;EDATE(T$99,1)),"D","")))</f>
        <v>D</v>
      </c>
      <c r="U100" s="71" t="str">
        <f aca="false">IF(OR(U$99="",$A66=""),"",IF(AND(ISNUMBER($G66),$G66&gt;=U$99,$G66&lt;EDATE(U$99,1)),"F",IF(AND(ISNUMBER($H66),$H66&gt;=U$99,$H66&lt;EDATE(U$99,1)),"D","")))</f>
        <v>F</v>
      </c>
      <c r="V100" s="71" t="str">
        <f aca="false">IF(OR(V$99="",$A66=""),"",IF(AND(ISNUMBER($G66),$G66&gt;=V$99,$G66&lt;EDATE(V$99,1)),"F",IF(AND(ISNUMBER($H66),$H66&gt;=V$99,$H66&lt;EDATE(V$99,1)),"D","")))</f>
        <v/>
      </c>
      <c r="W100" s="71" t="str">
        <f aca="false">IF(OR(W$99="",$A66=""),"",IF(AND(ISNUMBER($G66),$G66&gt;=W$99,$G66&lt;EDATE(W$99,1)),"F",IF(AND(ISNUMBER($H66),$H66&gt;=W$99,$H66&lt;EDATE(W$99,1)),"D","")))</f>
        <v/>
      </c>
      <c r="X100" s="71" t="str">
        <f aca="false">IF(OR(X$99="",$A66=""),"",IF(AND(ISNUMBER($G66),$G66&gt;=X$99,$G66&lt;EDATE(X$99,1)),"F",IF(AND(ISNUMBER($H66),$H66&gt;=X$99,$H66&lt;EDATE(X$99,1)),"D","")))</f>
        <v/>
      </c>
      <c r="Y100" s="71" t="str">
        <f aca="false">IF(OR(Y$99="",$A66=""),"",IF(AND(ISNUMBER($G66),$G66&gt;=Y$99,$G66&lt;EDATE(Y$99,1)),"F",IF(AND(ISNUMBER($H66),$H66&gt;=Y$99,$H66&lt;EDATE(Y$99,1)),"D","")))</f>
        <v/>
      </c>
      <c r="Z100" s="71" t="str">
        <f aca="false">IF(OR(Z$99="",$A66=""),"",IF(AND(ISNUMBER($G66),$G66&gt;=Z$99,$G66&lt;EDATE(Z$99,1)),"F",IF(AND(ISNUMBER($H66),$H66&gt;=Z$99,$H66&lt;EDATE(Z$99,1)),"D","")))</f>
        <v/>
      </c>
      <c r="AA100" s="71" t="str">
        <f aca="false">IF(OR(AA$99="",$A66=""),"",IF(AND(ISNUMBER($G66),$G66&gt;=AA$99,$G66&lt;EDATE(AA$99,1)),"F",IF(AND(ISNUMBER($H66),$H66&gt;=AA$99,$H66&lt;EDATE(AA$99,1)),"D","")))</f>
        <v/>
      </c>
      <c r="AB100" s="71" t="str">
        <f aca="false">IF(OR(AB$99="",$A66=""),"",IF(AND(ISNUMBER($G66),$G66&gt;=AB$99,$G66&lt;EDATE(AB$99,1)),"F",IF(AND(ISNUMBER($H66),$H66&gt;=AB$99,$H66&lt;EDATE(AB$99,1)),"D","")))</f>
        <v/>
      </c>
      <c r="AC100" s="71" t="str">
        <f aca="false">IF(OR(AC$99="",$A66=""),"",IF(AND(ISNUMBER($G66),$G66&gt;=AC$99,$G66&lt;EDATE(AC$99,1)),"F",IF(AND(ISNUMBER($H66),$H66&gt;=AC$99,$H66&lt;EDATE(AC$99,1)),"D","")))</f>
        <v/>
      </c>
      <c r="AD100" s="71" t="str">
        <f aca="false">IF(OR(AD$99="",$A66=""),"",IF(AND(ISNUMBER($G66),$G66&gt;=AD$99,$G66&lt;EDATE(AD$99,1)),"F",IF(AND(ISNUMBER($H66),$H66&gt;=AD$99,$H66&lt;EDATE(AD$99,1)),"D","")))</f>
        <v/>
      </c>
      <c r="AE100" s="71" t="str">
        <f aca="false">IF(OR(AE$99="",$A66=""),"",IF(AND(ISNUMBER($G66),$G66&gt;=AE$99,$G66&lt;EDATE(AE$99,1)),"F",IF(AND(ISNUMBER($H66),$H66&gt;=AE$99,$H66&lt;EDATE(AE$99,1)),"D","")))</f>
        <v/>
      </c>
      <c r="AF100" s="71" t="str">
        <f aca="false">IF(OR(AF$99="",$A66=""),"",IF(AND(ISNUMBER($G66),$G66&gt;=AF$99,$G66&lt;EDATE(AF$99,1)),"F",IF(AND(ISNUMBER($H66),$H66&gt;=AF$99,$H66&lt;EDATE(AF$99,1)),"D","")))</f>
        <v/>
      </c>
      <c r="AG100" s="71" t="str">
        <f aca="false">IF(OR(AG$99="",$A66=""),"",IF(AND(ISNUMBER($G66),$G66&gt;=AG$99,$G66&lt;EDATE(AG$99,1)),"F",IF(AND(ISNUMBER($H66),$H66&gt;=AG$99,$H66&lt;EDATE(AG$99,1)),"D","")))</f>
        <v/>
      </c>
      <c r="AH100" s="71" t="str">
        <f aca="false">IF(OR(AH$99="",$A66=""),"",IF(AND(ISNUMBER($G66),$G66&gt;=AH$99,$G66&lt;EDATE(AH$99,1)),"F",IF(AND(ISNUMBER($H66),$H66&gt;=AH$99,$H66&lt;EDATE(AH$99,1)),"D","")))</f>
        <v/>
      </c>
      <c r="AI100" s="71" t="str">
        <f aca="false">IF(OR(AI$99="",$A66=""),"",IF(AND(ISNUMBER($G66),$G66&gt;=AI$99,$G66&lt;EDATE(AI$99,1)),"F",IF(AND(ISNUMBER($H66),$H66&gt;=AI$99,$H66&lt;EDATE(AI$99,1)),"D","")))</f>
        <v/>
      </c>
      <c r="AJ100" s="71" t="str">
        <f aca="false">IF(OR(AJ$99="",$A66=""),"",IF(AND(ISNUMBER($G66),$G66&gt;=AJ$99,$G66&lt;EDATE(AJ$99,1)),"F",IF(AND(ISNUMBER($H66),$H66&gt;=AJ$99,$H66&lt;EDATE(AJ$99,1)),"D","")))</f>
        <v/>
      </c>
      <c r="AK100" s="71" t="str">
        <f aca="false">IF(OR(AK$99="",$A66=""),"",IF(AND(ISNUMBER($G66),$G66&gt;=AK$99,$G66&lt;EDATE(AK$99,1)),"F",IF(AND(ISNUMBER($H66),$H66&gt;=AK$99,$H66&lt;EDATE(AK$99,1)),"D","")))</f>
        <v/>
      </c>
      <c r="AL100" s="71" t="str">
        <f aca="false">IF(OR(AL$99="",$A66=""),"",IF(AND(ISNUMBER($G66),$G66&gt;=AL$99,$G66&lt;EDATE(AL$99,1)),"F",IF(AND(ISNUMBER($H66),$H66&gt;=AL$99,$H66&lt;EDATE(AL$99,1)),"D","")))</f>
        <v/>
      </c>
      <c r="AM100" s="71" t="str">
        <f aca="false">IF(OR(AM$99="",$A66=""),"",IF(AND(ISNUMBER($G66),$G66&gt;=AM$99,$G66&lt;EDATE(AM$99,1)),"F",IF(AND(ISNUMBER($H66),$H66&gt;=AM$99,$H66&lt;EDATE(AM$99,1)),"D","")))</f>
        <v/>
      </c>
      <c r="AN100" s="71" t="str">
        <f aca="false">IF(OR(AN$99="",$A66=""),"",IF(AND(ISNUMBER($G66),$G66&gt;=AN$99,$G66&lt;EDATE(AN$99,1)),"F",IF(AND(ISNUMBER($H66),$H66&gt;=AN$99,$H66&lt;EDATE(AN$99,1)),"D","")))</f>
        <v/>
      </c>
      <c r="AO100" s="71" t="str">
        <f aca="false">IF(OR(AO$99="",$A66=""),"",IF(AND(ISNUMBER($G66),$G66&gt;=AO$99,$G66&lt;EDATE(AO$99,1)),"F",IF(AND(ISNUMBER($H66),$H66&gt;=AO$99,$H66&lt;EDATE(AO$99,1)),"D","")))</f>
        <v/>
      </c>
      <c r="AP100" s="71" t="str">
        <f aca="false">IF(OR(AP$99="",$A66=""),"",IF(AND(ISNUMBER($G66),$G66&gt;=AP$99,$G66&lt;EDATE(AP$99,1)),"F",IF(AND(ISNUMBER($H66),$H66&gt;=AP$99,$H66&lt;EDATE(AP$99,1)),"D","")))</f>
        <v/>
      </c>
      <c r="AQ100" s="71" t="str">
        <f aca="false">IF(OR(AQ$99="",$A66=""),"",IF(AND(ISNUMBER($G66),$G66&gt;=AQ$99,$G66&lt;EDATE(AQ$99,1)),"F",IF(AND(ISNUMBER($H66),$H66&gt;=AQ$99,$H66&lt;EDATE(AQ$99,1)),"D","")))</f>
        <v/>
      </c>
      <c r="AR100" s="71" t="str">
        <f aca="false">IF(OR(AR$99="",$A66=""),"",IF(AND(ISNUMBER($G66),$G66&gt;=AR$99,$G66&lt;EDATE(AR$99,1)),"F",IF(AND(ISNUMBER($H66),$H66&gt;=AR$99,$H66&lt;EDATE(AR$99,1)),"D","")))</f>
        <v/>
      </c>
      <c r="AS100" s="71" t="str">
        <f aca="false">IF(OR(AS$99="",$A66=""),"",IF(AND(ISNUMBER($G66),$G66&gt;=AS$99,$G66&lt;EDATE(AS$99,1)),"F",IF(AND(ISNUMBER($H66),$H66&gt;=AS$99,$H66&lt;EDATE(AS$99,1)),"D","")))</f>
        <v/>
      </c>
      <c r="AT100" s="71" t="str">
        <f aca="false">IF(OR(AT$99="",$A66=""),"",IF(AND(ISNUMBER($G66),$G66&gt;=AT$99,$G66&lt;EDATE(AT$99,1)),"F",IF(AND(ISNUMBER($H66),$H66&gt;=AT$99,$H66&lt;EDATE(AT$99,1)),"D","")))</f>
        <v/>
      </c>
      <c r="AU100" s="71" t="str">
        <f aca="false">IF(OR(AU$99="",$A66=""),"",IF(AND(ISNUMBER($G66),$G66&gt;=AU$99,$G66&lt;EDATE(AU$99,1)),"F",IF(AND(ISNUMBER($H66),$H66&gt;=AU$99,$H66&lt;EDATE(AU$99,1)),"D","")))</f>
        <v/>
      </c>
      <c r="AV100" s="71" t="str">
        <f aca="false">IF(OR(AV$99="",$A66=""),"",IF(AND(ISNUMBER($G66),$G66&gt;=AV$99,$G66&lt;EDATE(AV$99,1)),"F",IF(AND(ISNUMBER($H66),$H66&gt;=AV$99,$H66&lt;EDATE(AV$99,1)),"D","")))</f>
        <v/>
      </c>
      <c r="AW100" s="71" t="str">
        <f aca="false">IF(OR(AW$99="",$A66=""),"",IF(AND(ISNUMBER($G66),$G66&gt;=AW$99,$G66&lt;EDATE(AW$99,1)),"F",IF(AND(ISNUMBER($H66),$H66&gt;=AW$99,$H66&lt;EDATE(AW$99,1)),"D","")))</f>
        <v/>
      </c>
      <c r="AX100" s="71" t="str">
        <f aca="false">IF(OR(AX$99="",$A66=""),"",IF(AND(ISNUMBER($G66),$G66&gt;=AX$99,$G66&lt;EDATE(AX$99,1)),"F",IF(AND(ISNUMBER($H66),$H66&gt;=AX$99,$H66&lt;EDATE(AX$99,1)),"D","")))</f>
        <v/>
      </c>
      <c r="AY100" s="71" t="str">
        <f aca="false">IF(OR(AY$99="",$A66=""),"",IF(AND(ISNUMBER($G66),$G66&gt;=AY$99,$G66&lt;EDATE(AY$99,1)),"F",IF(AND(ISNUMBER($H66),$H66&gt;=AY$99,$H66&lt;EDATE(AY$99,1)),"D","")))</f>
        <v/>
      </c>
      <c r="AZ100" s="71" t="str">
        <f aca="false">IF(OR(AZ$99="",$A66=""),"",IF(AND(ISNUMBER($G66),$G66&gt;=AZ$99,$G66&lt;EDATE(AZ$99,1)),"F",IF(AND(ISNUMBER($H66),$H66&gt;=AZ$99,$H66&lt;EDATE(AZ$99,1)),"D","")))</f>
        <v/>
      </c>
      <c r="BA100" s="71" t="str">
        <f aca="false">IF(OR(BA$99="",$A66=""),"",IF(AND(ISNUMBER($G66),$G66&gt;=BA$99,$G66&lt;EDATE(BA$99,1)),"F",IF(AND(ISNUMBER($H66),$H66&gt;=BA$99,$H66&lt;EDATE(BA$99,1)),"D","")))</f>
        <v/>
      </c>
      <c r="BB100" s="71" t="str">
        <f aca="false">IF(OR(BB$99="",$A66=""),"",IF(AND(ISNUMBER($G66),$G66&gt;=BB$99,$G66&lt;EDATE(BB$99,1)),"F",IF(AND(ISNUMBER($H66),$H66&gt;=BB$99,$H66&lt;EDATE(BB$99,1)),"D","")))</f>
        <v/>
      </c>
      <c r="BC100" s="71" t="str">
        <f aca="false">IF(OR(BC$99="",$A66=""),"",IF(AND(ISNUMBER($G66),$G66&gt;=BC$99,$G66&lt;EDATE(BC$99,1)),"F",IF(AND(ISNUMBER($H66),$H66&gt;=BC$99,$H66&lt;EDATE(BC$99,1)),"D","")))</f>
        <v/>
      </c>
      <c r="BD100" s="71" t="str">
        <f aca="false">IF(OR(BD$99="",$A66=""),"",IF(AND(ISNUMBER($G66),$G66&gt;=BD$99,$G66&lt;EDATE(BD$99,1)),"F",IF(AND(ISNUMBER($H66),$H66&gt;=BD$99,$H66&lt;EDATE(BD$99,1)),"D","")))</f>
        <v/>
      </c>
      <c r="BE100" s="71" t="str">
        <f aca="false">IF(OR(BE$99="",$A66=""),"",IF(AND(ISNUMBER($G66),$G66&gt;=BE$99,$G66&lt;EDATE(BE$99,1)),"F",IF(AND(ISNUMBER($H66),$H66&gt;=BE$99,$H66&lt;EDATE(BE$99,1)),"D","")))</f>
        <v/>
      </c>
      <c r="BF100" s="71" t="str">
        <f aca="false">IF(OR(BF$99="",$A66=""),"",IF(AND(ISNUMBER($G66),$G66&gt;=BF$99,$G66&lt;EDATE(BF$99,1)),"F",IF(AND(ISNUMBER($H66),$H66&gt;=BF$99,$H66&lt;EDATE(BF$99,1)),"D","")))</f>
        <v/>
      </c>
      <c r="BG100" s="71" t="str">
        <f aca="false">IF(OR(BG$99="",$A66=""),"",IF(AND(ISNUMBER($G66),$G66&gt;=BG$99,$G66&lt;EDATE(BG$99,1)),"F",IF(AND(ISNUMBER($H66),$H66&gt;=BG$99,$H66&lt;EDATE(BG$99,1)),"D","")))</f>
        <v/>
      </c>
      <c r="BH100" s="71" t="str">
        <f aca="false">IF(OR(BH$99="",$A66=""),"",IF(AND(ISNUMBER($G66),$G66&gt;=BH$99,$G66&lt;EDATE(BH$99,1)),"F",IF(AND(ISNUMBER($H66),$H66&gt;=BH$99,$H66&lt;EDATE(BH$99,1)),"D","")))</f>
        <v/>
      </c>
      <c r="BI100" s="71" t="str">
        <f aca="false">IF(OR(BI$99="",$A66=""),"",IF(AND(ISNUMBER($G66),$G66&gt;=BI$99,$G66&lt;EDATE(BI$99,1)),"F",IF(AND(ISNUMBER($H66),$H66&gt;=BI$99,$H66&lt;EDATE(BI$99,1)),"D","")))</f>
        <v/>
      </c>
      <c r="BJ100" s="71" t="str">
        <f aca="false">IF(OR(BJ$99="",$A66=""),"",IF(AND(ISNUMBER($G66),$G66&gt;=BJ$99,$G66&lt;EDATE(BJ$99,1)),"F",IF(AND(ISNUMBER($H66),$H66&gt;=BJ$99,$H66&lt;EDATE(BJ$99,1)),"D","")))</f>
        <v/>
      </c>
      <c r="BK100" s="71" t="str">
        <f aca="false">IF(OR(BK$99="",$A66=""),"",IF(AND(ISNUMBER($G66),$G66&gt;=BK$99,$G66&lt;EDATE(BK$99,1)),"F",IF(AND(ISNUMBER($H66),$H66&gt;=BK$99,$H66&lt;EDATE(BK$99,1)),"D","")))</f>
        <v/>
      </c>
      <c r="BL100" s="71" t="str">
        <f aca="false">IF(OR(BL$99="",$A66=""),"",IF(AND(ISNUMBER($G66),$G66&gt;=BL$99,$G66&lt;EDATE(BL$99,1)),"F",IF(AND(ISNUMBER($H66),$H66&gt;=BL$99,$H66&lt;EDATE(BL$99,1)),"D","")))</f>
        <v/>
      </c>
      <c r="BM100" s="71" t="str">
        <f aca="false">IF(OR(BM$99="",$A66=""),"",IF(AND(ISNUMBER($G66),$G66&gt;=BM$99,$G66&lt;EDATE(BM$99,1)),"F",IF(AND(ISNUMBER($H66),$H66&gt;=BM$99,$H66&lt;EDATE(BM$99,1)),"D","")))</f>
        <v/>
      </c>
      <c r="BN100" s="71" t="str">
        <f aca="false">IF(OR(BN$99="",$A66=""),"",IF(AND(ISNUMBER($G66),$G66&gt;=BN$99,$G66&lt;EDATE(BN$99,1)),"F",IF(AND(ISNUMBER($H66),$H66&gt;=BN$99,$H66&lt;EDATE(BN$99,1)),"D","")))</f>
        <v/>
      </c>
      <c r="BO100" s="71" t="str">
        <f aca="false">IF(OR(BO$99="",$A66=""),"",IF(AND(ISNUMBER($G66),$G66&gt;=BO$99,$G66&lt;EDATE(BO$99,1)),"F",IF(AND(ISNUMBER($H66),$H66&gt;=BO$99,$H66&lt;EDATE(BO$99,1)),"D","")))</f>
        <v/>
      </c>
      <c r="BP100" s="71" t="str">
        <f aca="false">IF(OR(BP$99="",$A66=""),"",IF(AND(ISNUMBER($G66),$G66&gt;=BP$99,$G66&lt;EDATE(BP$99,1)),"F",IF(AND(ISNUMBER($H66),$H66&gt;=BP$99,$H66&lt;EDATE(BP$99,1)),"D","")))</f>
        <v/>
      </c>
      <c r="BQ100" s="71" t="str">
        <f aca="false">IF(OR(BQ$99="",$A66=""),"",IF(AND(ISNUMBER($G66),$G66&gt;=BQ$99,$G66&lt;EDATE(BQ$99,1)),"F",IF(AND(ISNUMBER($H66),$H66&gt;=BQ$99,$H66&lt;EDATE(BQ$99,1)),"D","")))</f>
        <v/>
      </c>
      <c r="BR100" s="71" t="str">
        <f aca="false">IF(OR(BR$99="",$A66=""),"",IF(AND(ISNUMBER($G66),$G66&gt;=BR$99,$G66&lt;EDATE(BR$99,1)),"F",IF(AND(ISNUMBER($H66),$H66&gt;=BR$99,$H66&lt;EDATE(BR$99,1)),"D","")))</f>
        <v/>
      </c>
      <c r="BS100" s="71" t="str">
        <f aca="false">IF(OR(BS$99="",$A66=""),"",IF(AND(ISNUMBER($G66),$G66&gt;=BS$99,$G66&lt;EDATE(BS$99,1)),"F",IF(AND(ISNUMBER($H66),$H66&gt;=BS$99,$H66&lt;EDATE(BS$99,1)),"D","")))</f>
        <v/>
      </c>
      <c r="BT100" s="71" t="str">
        <f aca="false">IF(OR(BT$99="",$A66=""),"",IF(AND(ISNUMBER($G66),$G66&gt;=BT$99,$G66&lt;EDATE(BT$99,1)),"F",IF(AND(ISNUMBER($H66),$H66&gt;=BT$99,$H66&lt;EDATE(BT$99,1)),"D","")))</f>
        <v/>
      </c>
      <c r="BU100" s="71" t="str">
        <f aca="false">IF(OR(BU$99="",$A66=""),"",IF(AND(ISNUMBER($G66),$G66&gt;=BU$99,$G66&lt;EDATE(BU$99,1)),"F",IF(AND(ISNUMBER($H66),$H66&gt;=BU$99,$H66&lt;EDATE(BU$99,1)),"D","")))</f>
        <v/>
      </c>
      <c r="BV100" s="71" t="str">
        <f aca="false">IF(OR(BV$99="",$A66=""),"",IF(AND(ISNUMBER($G66),$G66&gt;=BV$99,$G66&lt;EDATE(BV$99,1)),"F",IF(AND(ISNUMBER($H66),$H66&gt;=BV$99,$H66&lt;EDATE(BV$99,1)),"D","")))</f>
        <v/>
      </c>
      <c r="BW100" s="71" t="str">
        <f aca="false">IF(OR(BW$99="",$A66=""),"",IF(AND(ISNUMBER($G66),$G66&gt;=BW$99,$G66&lt;EDATE(BW$99,1)),"F",IF(AND(ISNUMBER($H66),$H66&gt;=BW$99,$H66&lt;EDATE(BW$99,1)),"D","")))</f>
        <v/>
      </c>
      <c r="BX100" s="71" t="str">
        <f aca="false">IF(OR(BX$99="",$A66=""),"",IF(AND(ISNUMBER($G66),$G66&gt;=BX$99,$G66&lt;EDATE(BX$99,1)),"F",IF(AND(ISNUMBER($H66),$H66&gt;=BX$99,$H66&lt;EDATE(BX$99,1)),"D","")))</f>
        <v/>
      </c>
      <c r="BY100" s="71" t="str">
        <f aca="false">IF(OR(BY$99="",$A66=""),"",IF(AND(ISNUMBER($G66),$G66&gt;=BY$99,$G66&lt;EDATE(BY$99,1)),"F",IF(AND(ISNUMBER($H66),$H66&gt;=BY$99,$H66&lt;EDATE(BY$99,1)),"D","")))</f>
        <v/>
      </c>
      <c r="BZ100" s="71" t="str">
        <f aca="false">IF(OR(BZ$99="",$A66=""),"",IF(AND(ISNUMBER($G66),$G66&gt;=BZ$99,$G66&lt;EDATE(BZ$99,1)),"F",IF(AND(ISNUMBER($H66),$H66&gt;=BZ$99,$H66&lt;EDATE(BZ$99,1)),"D","")))</f>
        <v/>
      </c>
      <c r="CA100" s="71" t="str">
        <f aca="false">IF(OR(CA$99="",$A66=""),"",IF(AND(ISNUMBER($G66),$G66&gt;=CA$99,$G66&lt;EDATE(CA$99,1)),"F",IF(AND(ISNUMBER($H66),$H66&gt;=CA$99,$H66&lt;EDATE(CA$99,1)),"D","")))</f>
        <v/>
      </c>
      <c r="CB100" s="71" t="str">
        <f aca="false">IF(OR(CB$99="",$A66=""),"",IF(AND(ISNUMBER($G66),$G66&gt;=CB$99,$G66&lt;EDATE(CB$99,1)),"F",IF(AND(ISNUMBER($H66),$H66&gt;=CB$99,$H66&lt;EDATE(CB$99,1)),"D","")))</f>
        <v/>
      </c>
      <c r="CC100" s="71" t="str">
        <f aca="false">IF(OR(CC$99="",$A66=""),"",IF(AND(ISNUMBER($G66),$G66&gt;=CC$99,$G66&lt;EDATE(CC$99,1)),"F",IF(AND(ISNUMBER($H66),$H66&gt;=CC$99,$H66&lt;EDATE(CC$99,1)),"D","")))</f>
        <v/>
      </c>
      <c r="CD100" s="71" t="str">
        <f aca="false">IF(OR(CD$99="",$A66=""),"",IF(AND(ISNUMBER($G66),$G66&gt;=CD$99,$G66&lt;EDATE(CD$99,1)),"F",IF(AND(ISNUMBER($H66),$H66&gt;=CD$99,$H66&lt;EDATE(CD$99,1)),"D","")))</f>
        <v/>
      </c>
      <c r="CE100" s="71" t="str">
        <f aca="false">IF(OR(CE$99="",$A66=""),"",IF(AND(ISNUMBER($G66),$G66&gt;=CE$99,$G66&lt;EDATE(CE$99,1)),"F",IF(AND(ISNUMBER($H66),$H66&gt;=CE$99,$H66&lt;EDATE(CE$99,1)),"D","")))</f>
        <v/>
      </c>
      <c r="CF100" s="71" t="str">
        <f aca="false">IF(OR(CF$99="",$A66=""),"",IF(AND(ISNUMBER($G66),$G66&gt;=CF$99,$G66&lt;EDATE(CF$99,1)),"F",IF(AND(ISNUMBER($H66),$H66&gt;=CF$99,$H66&lt;EDATE(CF$99,1)),"D","")))</f>
        <v/>
      </c>
      <c r="CG100" s="71" t="str">
        <f aca="false">IF(OR(CG$99="",$A66=""),"",IF(AND(ISNUMBER($G66),$G66&gt;=CG$99,$G66&lt;EDATE(CG$99,1)),"F",IF(AND(ISNUMBER($H66),$H66&gt;=CG$99,$H66&lt;EDATE(CG$99,1)),"D","")))</f>
        <v/>
      </c>
      <c r="CH100" s="71" t="str">
        <f aca="false">IF(OR(CH$99="",$A66=""),"",IF(AND(ISNUMBER($G66),$G66&gt;=CH$99,$G66&lt;EDATE(CH$99,1)),"F",IF(AND(ISNUMBER($H66),$H66&gt;=CH$99,$H66&lt;EDATE(CH$99,1)),"D","")))</f>
        <v/>
      </c>
      <c r="CI100" s="71" t="str">
        <f aca="false">IF(OR(CI$99="",$A66=""),"",IF(AND(ISNUMBER($G66),$G66&gt;=CI$99,$G66&lt;EDATE(CI$99,1)),"F",IF(AND(ISNUMBER($H66),$H66&gt;=CI$99,$H66&lt;EDATE(CI$99,1)),"D","")))</f>
        <v/>
      </c>
      <c r="CJ100" s="71" t="str">
        <f aca="false">IF(OR(CJ$99="",$A66=""),"",IF(AND(ISNUMBER($G66),$G66&gt;=CJ$99,$G66&lt;EDATE(CJ$99,1)),"F",IF(AND(ISNUMBER($H66),$H66&gt;=CJ$99,$H66&lt;EDATE(CJ$99,1)),"D","")))</f>
        <v/>
      </c>
      <c r="CK100" s="71" t="str">
        <f aca="false">IF(OR(CK$99="",$A66=""),"",IF(AND(ISNUMBER($G66),$G66&gt;=CK$99,$G66&lt;EDATE(CK$99,1)),"F",IF(AND(ISNUMBER($H66),$H66&gt;=CK$99,$H66&lt;EDATE(CK$99,1)),"D","")))</f>
        <v/>
      </c>
    </row>
    <row r="101" customFormat="false" ht="15" hidden="false" customHeight="false" outlineLevel="0" collapsed="false">
      <c r="A101" s="74" t="str">
        <f aca="false">IF($A67="","",$A67)</f>
        <v>A002</v>
      </c>
      <c r="B101" s="74" t="str">
        <f aca="false">IF($A67="","",$B67)</f>
        <v>DI-SAFT-80101 System Safety Hazard Analysis Report</v>
      </c>
      <c r="R101" s="71" t="str">
        <f aca="false">IF(OR(R$99="",$A67=""),"",IF(AND(ISNUMBER($G67),$G67&gt;=R$99,$G67&lt;EDATE(R$99,1)),"F",IF(AND(ISNUMBER($H67),$H67&gt;=R$99,$H67&lt;EDATE(R$99,1)),"D","")))</f>
        <v/>
      </c>
      <c r="S101" s="71" t="str">
        <f aca="false">IF(OR(S$99="",$A67=""),"",IF(AND(ISNUMBER($G67),$G67&gt;=S$99,$G67&lt;EDATE(S$99,1)),"F",IF(AND(ISNUMBER($H67),$H67&gt;=S$99,$H67&lt;EDATE(S$99,1)),"D","")))</f>
        <v/>
      </c>
      <c r="T101" s="71" t="str">
        <f aca="false">IF(OR(T$99="",$A67=""),"",IF(AND(ISNUMBER($G67),$G67&gt;=T$99,$G67&lt;EDATE(T$99,1)),"F",IF(AND(ISNUMBER($H67),$H67&gt;=T$99,$H67&lt;EDATE(T$99,1)),"D","")))</f>
        <v>D</v>
      </c>
      <c r="U101" s="71" t="str">
        <f aca="false">IF(OR(U$99="",$A67=""),"",IF(AND(ISNUMBER($G67),$G67&gt;=U$99,$G67&lt;EDATE(U$99,1)),"F",IF(AND(ISNUMBER($H67),$H67&gt;=U$99,$H67&lt;EDATE(U$99,1)),"D","")))</f>
        <v/>
      </c>
      <c r="V101" s="71" t="str">
        <f aca="false">IF(OR(V$99="",$A67=""),"",IF(AND(ISNUMBER($G67),$G67&gt;=V$99,$G67&lt;EDATE(V$99,1)),"F",IF(AND(ISNUMBER($H67),$H67&gt;=V$99,$H67&lt;EDATE(V$99,1)),"D","")))</f>
        <v/>
      </c>
      <c r="W101" s="71" t="str">
        <f aca="false">IF(OR(W$99="",$A67=""),"",IF(AND(ISNUMBER($G67),$G67&gt;=W$99,$G67&lt;EDATE(W$99,1)),"F",IF(AND(ISNUMBER($H67),$H67&gt;=W$99,$H67&lt;EDATE(W$99,1)),"D","")))</f>
        <v/>
      </c>
      <c r="X101" s="71" t="str">
        <f aca="false">IF(OR(X$99="",$A67=""),"",IF(AND(ISNUMBER($G67),$G67&gt;=X$99,$G67&lt;EDATE(X$99,1)),"F",IF(AND(ISNUMBER($H67),$H67&gt;=X$99,$H67&lt;EDATE(X$99,1)),"D","")))</f>
        <v/>
      </c>
      <c r="Y101" s="71" t="str">
        <f aca="false">IF(OR(Y$99="",$A67=""),"",IF(AND(ISNUMBER($G67),$G67&gt;=Y$99,$G67&lt;EDATE(Y$99,1)),"F",IF(AND(ISNUMBER($H67),$H67&gt;=Y$99,$H67&lt;EDATE(Y$99,1)),"D","")))</f>
        <v/>
      </c>
      <c r="Z101" s="71" t="str">
        <f aca="false">IF(OR(Z$99="",$A67=""),"",IF(AND(ISNUMBER($G67),$G67&gt;=Z$99,$G67&lt;EDATE(Z$99,1)),"F",IF(AND(ISNUMBER($H67),$H67&gt;=Z$99,$H67&lt;EDATE(Z$99,1)),"D","")))</f>
        <v/>
      </c>
      <c r="AA101" s="71" t="str">
        <f aca="false">IF(OR(AA$99="",$A67=""),"",IF(AND(ISNUMBER($G67),$G67&gt;=AA$99,$G67&lt;EDATE(AA$99,1)),"F",IF(AND(ISNUMBER($H67),$H67&gt;=AA$99,$H67&lt;EDATE(AA$99,1)),"D","")))</f>
        <v/>
      </c>
      <c r="AB101" s="71" t="str">
        <f aca="false">IF(OR(AB$99="",$A67=""),"",IF(AND(ISNUMBER($G67),$G67&gt;=AB$99,$G67&lt;EDATE(AB$99,1)),"F",IF(AND(ISNUMBER($H67),$H67&gt;=AB$99,$H67&lt;EDATE(AB$99,1)),"D","")))</f>
        <v/>
      </c>
      <c r="AC101" s="71" t="str">
        <f aca="false">IF(OR(AC$99="",$A67=""),"",IF(AND(ISNUMBER($G67),$G67&gt;=AC$99,$G67&lt;EDATE(AC$99,1)),"F",IF(AND(ISNUMBER($H67),$H67&gt;=AC$99,$H67&lt;EDATE(AC$99,1)),"D","")))</f>
        <v/>
      </c>
      <c r="AD101" s="71" t="str">
        <f aca="false">IF(OR(AD$99="",$A67=""),"",IF(AND(ISNUMBER($G67),$G67&gt;=AD$99,$G67&lt;EDATE(AD$99,1)),"F",IF(AND(ISNUMBER($H67),$H67&gt;=AD$99,$H67&lt;EDATE(AD$99,1)),"D","")))</f>
        <v/>
      </c>
      <c r="AE101" s="71" t="str">
        <f aca="false">IF(OR(AE$99="",$A67=""),"",IF(AND(ISNUMBER($G67),$G67&gt;=AE$99,$G67&lt;EDATE(AE$99,1)),"F",IF(AND(ISNUMBER($H67),$H67&gt;=AE$99,$H67&lt;EDATE(AE$99,1)),"D","")))</f>
        <v/>
      </c>
      <c r="AF101" s="71" t="str">
        <f aca="false">IF(OR(AF$99="",$A67=""),"",IF(AND(ISNUMBER($G67),$G67&gt;=AF$99,$G67&lt;EDATE(AF$99,1)),"F",IF(AND(ISNUMBER($H67),$H67&gt;=AF$99,$H67&lt;EDATE(AF$99,1)),"D","")))</f>
        <v/>
      </c>
      <c r="AG101" s="71" t="str">
        <f aca="false">IF(OR(AG$99="",$A67=""),"",IF(AND(ISNUMBER($G67),$G67&gt;=AG$99,$G67&lt;EDATE(AG$99,1)),"F",IF(AND(ISNUMBER($H67),$H67&gt;=AG$99,$H67&lt;EDATE(AG$99,1)),"D","")))</f>
        <v/>
      </c>
      <c r="AH101" s="71" t="str">
        <f aca="false">IF(OR(AH$99="",$A67=""),"",IF(AND(ISNUMBER($G67),$G67&gt;=AH$99,$G67&lt;EDATE(AH$99,1)),"F",IF(AND(ISNUMBER($H67),$H67&gt;=AH$99,$H67&lt;EDATE(AH$99,1)),"D","")))</f>
        <v/>
      </c>
      <c r="AI101" s="71" t="str">
        <f aca="false">IF(OR(AI$99="",$A67=""),"",IF(AND(ISNUMBER($G67),$G67&gt;=AI$99,$G67&lt;EDATE(AI$99,1)),"F",IF(AND(ISNUMBER($H67),$H67&gt;=AI$99,$H67&lt;EDATE(AI$99,1)),"D","")))</f>
        <v/>
      </c>
      <c r="AJ101" s="71" t="str">
        <f aca="false">IF(OR(AJ$99="",$A67=""),"",IF(AND(ISNUMBER($G67),$G67&gt;=AJ$99,$G67&lt;EDATE(AJ$99,1)),"F",IF(AND(ISNUMBER($H67),$H67&gt;=AJ$99,$H67&lt;EDATE(AJ$99,1)),"D","")))</f>
        <v/>
      </c>
      <c r="AK101" s="71" t="str">
        <f aca="false">IF(OR(AK$99="",$A67=""),"",IF(AND(ISNUMBER($G67),$G67&gt;=AK$99,$G67&lt;EDATE(AK$99,1)),"F",IF(AND(ISNUMBER($H67),$H67&gt;=AK$99,$H67&lt;EDATE(AK$99,1)),"D","")))</f>
        <v/>
      </c>
      <c r="AL101" s="71" t="str">
        <f aca="false">IF(OR(AL$99="",$A67=""),"",IF(AND(ISNUMBER($G67),$G67&gt;=AL$99,$G67&lt;EDATE(AL$99,1)),"F",IF(AND(ISNUMBER($H67),$H67&gt;=AL$99,$H67&lt;EDATE(AL$99,1)),"D","")))</f>
        <v/>
      </c>
      <c r="AM101" s="71" t="str">
        <f aca="false">IF(OR(AM$99="",$A67=""),"",IF(AND(ISNUMBER($G67),$G67&gt;=AM$99,$G67&lt;EDATE(AM$99,1)),"F",IF(AND(ISNUMBER($H67),$H67&gt;=AM$99,$H67&lt;EDATE(AM$99,1)),"D","")))</f>
        <v/>
      </c>
      <c r="AN101" s="71" t="str">
        <f aca="false">IF(OR(AN$99="",$A67=""),"",IF(AND(ISNUMBER($G67),$G67&gt;=AN$99,$G67&lt;EDATE(AN$99,1)),"F",IF(AND(ISNUMBER($H67),$H67&gt;=AN$99,$H67&lt;EDATE(AN$99,1)),"D","")))</f>
        <v/>
      </c>
      <c r="AO101" s="71" t="str">
        <f aca="false">IF(OR(AO$99="",$A67=""),"",IF(AND(ISNUMBER($G67),$G67&gt;=AO$99,$G67&lt;EDATE(AO$99,1)),"F",IF(AND(ISNUMBER($H67),$H67&gt;=AO$99,$H67&lt;EDATE(AO$99,1)),"D","")))</f>
        <v/>
      </c>
      <c r="AP101" s="71" t="str">
        <f aca="false">IF(OR(AP$99="",$A67=""),"",IF(AND(ISNUMBER($G67),$G67&gt;=AP$99,$G67&lt;EDATE(AP$99,1)),"F",IF(AND(ISNUMBER($H67),$H67&gt;=AP$99,$H67&lt;EDATE(AP$99,1)),"D","")))</f>
        <v>F</v>
      </c>
      <c r="AQ101" s="71" t="str">
        <f aca="false">IF(OR(AQ$99="",$A67=""),"",IF(AND(ISNUMBER($G67),$G67&gt;=AQ$99,$G67&lt;EDATE(AQ$99,1)),"F",IF(AND(ISNUMBER($H67),$H67&gt;=AQ$99,$H67&lt;EDATE(AQ$99,1)),"D","")))</f>
        <v/>
      </c>
      <c r="AR101" s="71" t="str">
        <f aca="false">IF(OR(AR$99="",$A67=""),"",IF(AND(ISNUMBER($G67),$G67&gt;=AR$99,$G67&lt;EDATE(AR$99,1)),"F",IF(AND(ISNUMBER($H67),$H67&gt;=AR$99,$H67&lt;EDATE(AR$99,1)),"D","")))</f>
        <v/>
      </c>
      <c r="AS101" s="71" t="str">
        <f aca="false">IF(OR(AS$99="",$A67=""),"",IF(AND(ISNUMBER($G67),$G67&gt;=AS$99,$G67&lt;EDATE(AS$99,1)),"F",IF(AND(ISNUMBER($H67),$H67&gt;=AS$99,$H67&lt;EDATE(AS$99,1)),"D","")))</f>
        <v/>
      </c>
      <c r="AT101" s="71" t="str">
        <f aca="false">IF(OR(AT$99="",$A67=""),"",IF(AND(ISNUMBER($G67),$G67&gt;=AT$99,$G67&lt;EDATE(AT$99,1)),"F",IF(AND(ISNUMBER($H67),$H67&gt;=AT$99,$H67&lt;EDATE(AT$99,1)),"D","")))</f>
        <v/>
      </c>
      <c r="AU101" s="71" t="str">
        <f aca="false">IF(OR(AU$99="",$A67=""),"",IF(AND(ISNUMBER($G67),$G67&gt;=AU$99,$G67&lt;EDATE(AU$99,1)),"F",IF(AND(ISNUMBER($H67),$H67&gt;=AU$99,$H67&lt;EDATE(AU$99,1)),"D","")))</f>
        <v/>
      </c>
      <c r="AV101" s="71" t="str">
        <f aca="false">IF(OR(AV$99="",$A67=""),"",IF(AND(ISNUMBER($G67),$G67&gt;=AV$99,$G67&lt;EDATE(AV$99,1)),"F",IF(AND(ISNUMBER($H67),$H67&gt;=AV$99,$H67&lt;EDATE(AV$99,1)),"D","")))</f>
        <v/>
      </c>
      <c r="AW101" s="71" t="str">
        <f aca="false">IF(OR(AW$99="",$A67=""),"",IF(AND(ISNUMBER($G67),$G67&gt;=AW$99,$G67&lt;EDATE(AW$99,1)),"F",IF(AND(ISNUMBER($H67),$H67&gt;=AW$99,$H67&lt;EDATE(AW$99,1)),"D","")))</f>
        <v/>
      </c>
      <c r="AX101" s="71" t="str">
        <f aca="false">IF(OR(AX$99="",$A67=""),"",IF(AND(ISNUMBER($G67),$G67&gt;=AX$99,$G67&lt;EDATE(AX$99,1)),"F",IF(AND(ISNUMBER($H67),$H67&gt;=AX$99,$H67&lt;EDATE(AX$99,1)),"D","")))</f>
        <v/>
      </c>
      <c r="AY101" s="71" t="str">
        <f aca="false">IF(OR(AY$99="",$A67=""),"",IF(AND(ISNUMBER($G67),$G67&gt;=AY$99,$G67&lt;EDATE(AY$99,1)),"F",IF(AND(ISNUMBER($H67),$H67&gt;=AY$99,$H67&lt;EDATE(AY$99,1)),"D","")))</f>
        <v/>
      </c>
      <c r="AZ101" s="71" t="str">
        <f aca="false">IF(OR(AZ$99="",$A67=""),"",IF(AND(ISNUMBER($G67),$G67&gt;=AZ$99,$G67&lt;EDATE(AZ$99,1)),"F",IF(AND(ISNUMBER($H67),$H67&gt;=AZ$99,$H67&lt;EDATE(AZ$99,1)),"D","")))</f>
        <v/>
      </c>
      <c r="BA101" s="71" t="str">
        <f aca="false">IF(OR(BA$99="",$A67=""),"",IF(AND(ISNUMBER($G67),$G67&gt;=BA$99,$G67&lt;EDATE(BA$99,1)),"F",IF(AND(ISNUMBER($H67),$H67&gt;=BA$99,$H67&lt;EDATE(BA$99,1)),"D","")))</f>
        <v/>
      </c>
      <c r="BB101" s="71" t="str">
        <f aca="false">IF(OR(BB$99="",$A67=""),"",IF(AND(ISNUMBER($G67),$G67&gt;=BB$99,$G67&lt;EDATE(BB$99,1)),"F",IF(AND(ISNUMBER($H67),$H67&gt;=BB$99,$H67&lt;EDATE(BB$99,1)),"D","")))</f>
        <v/>
      </c>
      <c r="BC101" s="71" t="str">
        <f aca="false">IF(OR(BC$99="",$A67=""),"",IF(AND(ISNUMBER($G67),$G67&gt;=BC$99,$G67&lt;EDATE(BC$99,1)),"F",IF(AND(ISNUMBER($H67),$H67&gt;=BC$99,$H67&lt;EDATE(BC$99,1)),"D","")))</f>
        <v/>
      </c>
      <c r="BD101" s="71" t="str">
        <f aca="false">IF(OR(BD$99="",$A67=""),"",IF(AND(ISNUMBER($G67),$G67&gt;=BD$99,$G67&lt;EDATE(BD$99,1)),"F",IF(AND(ISNUMBER($H67),$H67&gt;=BD$99,$H67&lt;EDATE(BD$99,1)),"D","")))</f>
        <v/>
      </c>
      <c r="BE101" s="71" t="str">
        <f aca="false">IF(OR(BE$99="",$A67=""),"",IF(AND(ISNUMBER($G67),$G67&gt;=BE$99,$G67&lt;EDATE(BE$99,1)),"F",IF(AND(ISNUMBER($H67),$H67&gt;=BE$99,$H67&lt;EDATE(BE$99,1)),"D","")))</f>
        <v/>
      </c>
      <c r="BF101" s="71" t="str">
        <f aca="false">IF(OR(BF$99="",$A67=""),"",IF(AND(ISNUMBER($G67),$G67&gt;=BF$99,$G67&lt;EDATE(BF$99,1)),"F",IF(AND(ISNUMBER($H67),$H67&gt;=BF$99,$H67&lt;EDATE(BF$99,1)),"D","")))</f>
        <v/>
      </c>
      <c r="BG101" s="71" t="str">
        <f aca="false">IF(OR(BG$99="",$A67=""),"",IF(AND(ISNUMBER($G67),$G67&gt;=BG$99,$G67&lt;EDATE(BG$99,1)),"F",IF(AND(ISNUMBER($H67),$H67&gt;=BG$99,$H67&lt;EDATE(BG$99,1)),"D","")))</f>
        <v/>
      </c>
      <c r="BH101" s="71" t="str">
        <f aca="false">IF(OR(BH$99="",$A67=""),"",IF(AND(ISNUMBER($G67),$G67&gt;=BH$99,$G67&lt;EDATE(BH$99,1)),"F",IF(AND(ISNUMBER($H67),$H67&gt;=BH$99,$H67&lt;EDATE(BH$99,1)),"D","")))</f>
        <v/>
      </c>
      <c r="BI101" s="71" t="str">
        <f aca="false">IF(OR(BI$99="",$A67=""),"",IF(AND(ISNUMBER($G67),$G67&gt;=BI$99,$G67&lt;EDATE(BI$99,1)),"F",IF(AND(ISNUMBER($H67),$H67&gt;=BI$99,$H67&lt;EDATE(BI$99,1)),"D","")))</f>
        <v/>
      </c>
      <c r="BJ101" s="71" t="str">
        <f aca="false">IF(OR(BJ$99="",$A67=""),"",IF(AND(ISNUMBER($G67),$G67&gt;=BJ$99,$G67&lt;EDATE(BJ$99,1)),"F",IF(AND(ISNUMBER($H67),$H67&gt;=BJ$99,$H67&lt;EDATE(BJ$99,1)),"D","")))</f>
        <v/>
      </c>
      <c r="BK101" s="71" t="str">
        <f aca="false">IF(OR(BK$99="",$A67=""),"",IF(AND(ISNUMBER($G67),$G67&gt;=BK$99,$G67&lt;EDATE(BK$99,1)),"F",IF(AND(ISNUMBER($H67),$H67&gt;=BK$99,$H67&lt;EDATE(BK$99,1)),"D","")))</f>
        <v/>
      </c>
      <c r="BL101" s="71" t="str">
        <f aca="false">IF(OR(BL$99="",$A67=""),"",IF(AND(ISNUMBER($G67),$G67&gt;=BL$99,$G67&lt;EDATE(BL$99,1)),"F",IF(AND(ISNUMBER($H67),$H67&gt;=BL$99,$H67&lt;EDATE(BL$99,1)),"D","")))</f>
        <v/>
      </c>
      <c r="BM101" s="71" t="str">
        <f aca="false">IF(OR(BM$99="",$A67=""),"",IF(AND(ISNUMBER($G67),$G67&gt;=BM$99,$G67&lt;EDATE(BM$99,1)),"F",IF(AND(ISNUMBER($H67),$H67&gt;=BM$99,$H67&lt;EDATE(BM$99,1)),"D","")))</f>
        <v/>
      </c>
      <c r="BN101" s="71" t="str">
        <f aca="false">IF(OR(BN$99="",$A67=""),"",IF(AND(ISNUMBER($G67),$G67&gt;=BN$99,$G67&lt;EDATE(BN$99,1)),"F",IF(AND(ISNUMBER($H67),$H67&gt;=BN$99,$H67&lt;EDATE(BN$99,1)),"D","")))</f>
        <v/>
      </c>
      <c r="BO101" s="71" t="str">
        <f aca="false">IF(OR(BO$99="",$A67=""),"",IF(AND(ISNUMBER($G67),$G67&gt;=BO$99,$G67&lt;EDATE(BO$99,1)),"F",IF(AND(ISNUMBER($H67),$H67&gt;=BO$99,$H67&lt;EDATE(BO$99,1)),"D","")))</f>
        <v/>
      </c>
      <c r="BP101" s="71" t="str">
        <f aca="false">IF(OR(BP$99="",$A67=""),"",IF(AND(ISNUMBER($G67),$G67&gt;=BP$99,$G67&lt;EDATE(BP$99,1)),"F",IF(AND(ISNUMBER($H67),$H67&gt;=BP$99,$H67&lt;EDATE(BP$99,1)),"D","")))</f>
        <v/>
      </c>
      <c r="BQ101" s="71" t="str">
        <f aca="false">IF(OR(BQ$99="",$A67=""),"",IF(AND(ISNUMBER($G67),$G67&gt;=BQ$99,$G67&lt;EDATE(BQ$99,1)),"F",IF(AND(ISNUMBER($H67),$H67&gt;=BQ$99,$H67&lt;EDATE(BQ$99,1)),"D","")))</f>
        <v/>
      </c>
      <c r="BR101" s="71" t="str">
        <f aca="false">IF(OR(BR$99="",$A67=""),"",IF(AND(ISNUMBER($G67),$G67&gt;=BR$99,$G67&lt;EDATE(BR$99,1)),"F",IF(AND(ISNUMBER($H67),$H67&gt;=BR$99,$H67&lt;EDATE(BR$99,1)),"D","")))</f>
        <v/>
      </c>
      <c r="BS101" s="71" t="str">
        <f aca="false">IF(OR(BS$99="",$A67=""),"",IF(AND(ISNUMBER($G67),$G67&gt;=BS$99,$G67&lt;EDATE(BS$99,1)),"F",IF(AND(ISNUMBER($H67),$H67&gt;=BS$99,$H67&lt;EDATE(BS$99,1)),"D","")))</f>
        <v/>
      </c>
      <c r="BT101" s="71" t="str">
        <f aca="false">IF(OR(BT$99="",$A67=""),"",IF(AND(ISNUMBER($G67),$G67&gt;=BT$99,$G67&lt;EDATE(BT$99,1)),"F",IF(AND(ISNUMBER($H67),$H67&gt;=BT$99,$H67&lt;EDATE(BT$99,1)),"D","")))</f>
        <v/>
      </c>
      <c r="BU101" s="71" t="str">
        <f aca="false">IF(OR(BU$99="",$A67=""),"",IF(AND(ISNUMBER($G67),$G67&gt;=BU$99,$G67&lt;EDATE(BU$99,1)),"F",IF(AND(ISNUMBER($H67),$H67&gt;=BU$99,$H67&lt;EDATE(BU$99,1)),"D","")))</f>
        <v/>
      </c>
      <c r="BV101" s="71" t="str">
        <f aca="false">IF(OR(BV$99="",$A67=""),"",IF(AND(ISNUMBER($G67),$G67&gt;=BV$99,$G67&lt;EDATE(BV$99,1)),"F",IF(AND(ISNUMBER($H67),$H67&gt;=BV$99,$H67&lt;EDATE(BV$99,1)),"D","")))</f>
        <v/>
      </c>
      <c r="BW101" s="71" t="str">
        <f aca="false">IF(OR(BW$99="",$A67=""),"",IF(AND(ISNUMBER($G67),$G67&gt;=BW$99,$G67&lt;EDATE(BW$99,1)),"F",IF(AND(ISNUMBER($H67),$H67&gt;=BW$99,$H67&lt;EDATE(BW$99,1)),"D","")))</f>
        <v/>
      </c>
      <c r="BX101" s="71" t="str">
        <f aca="false">IF(OR(BX$99="",$A67=""),"",IF(AND(ISNUMBER($G67),$G67&gt;=BX$99,$G67&lt;EDATE(BX$99,1)),"F",IF(AND(ISNUMBER($H67),$H67&gt;=BX$99,$H67&lt;EDATE(BX$99,1)),"D","")))</f>
        <v/>
      </c>
      <c r="BY101" s="71" t="str">
        <f aca="false">IF(OR(BY$99="",$A67=""),"",IF(AND(ISNUMBER($G67),$G67&gt;=BY$99,$G67&lt;EDATE(BY$99,1)),"F",IF(AND(ISNUMBER($H67),$H67&gt;=BY$99,$H67&lt;EDATE(BY$99,1)),"D","")))</f>
        <v/>
      </c>
      <c r="BZ101" s="71" t="str">
        <f aca="false">IF(OR(BZ$99="",$A67=""),"",IF(AND(ISNUMBER($G67),$G67&gt;=BZ$99,$G67&lt;EDATE(BZ$99,1)),"F",IF(AND(ISNUMBER($H67),$H67&gt;=BZ$99,$H67&lt;EDATE(BZ$99,1)),"D","")))</f>
        <v/>
      </c>
      <c r="CA101" s="71" t="str">
        <f aca="false">IF(OR(CA$99="",$A67=""),"",IF(AND(ISNUMBER($G67),$G67&gt;=CA$99,$G67&lt;EDATE(CA$99,1)),"F",IF(AND(ISNUMBER($H67),$H67&gt;=CA$99,$H67&lt;EDATE(CA$99,1)),"D","")))</f>
        <v/>
      </c>
      <c r="CB101" s="71" t="str">
        <f aca="false">IF(OR(CB$99="",$A67=""),"",IF(AND(ISNUMBER($G67),$G67&gt;=CB$99,$G67&lt;EDATE(CB$99,1)),"F",IF(AND(ISNUMBER($H67),$H67&gt;=CB$99,$H67&lt;EDATE(CB$99,1)),"D","")))</f>
        <v/>
      </c>
      <c r="CC101" s="71" t="str">
        <f aca="false">IF(OR(CC$99="",$A67=""),"",IF(AND(ISNUMBER($G67),$G67&gt;=CC$99,$G67&lt;EDATE(CC$99,1)),"F",IF(AND(ISNUMBER($H67),$H67&gt;=CC$99,$H67&lt;EDATE(CC$99,1)),"D","")))</f>
        <v/>
      </c>
      <c r="CD101" s="71" t="str">
        <f aca="false">IF(OR(CD$99="",$A67=""),"",IF(AND(ISNUMBER($G67),$G67&gt;=CD$99,$G67&lt;EDATE(CD$99,1)),"F",IF(AND(ISNUMBER($H67),$H67&gt;=CD$99,$H67&lt;EDATE(CD$99,1)),"D","")))</f>
        <v/>
      </c>
      <c r="CE101" s="71" t="str">
        <f aca="false">IF(OR(CE$99="",$A67=""),"",IF(AND(ISNUMBER($G67),$G67&gt;=CE$99,$G67&lt;EDATE(CE$99,1)),"F",IF(AND(ISNUMBER($H67),$H67&gt;=CE$99,$H67&lt;EDATE(CE$99,1)),"D","")))</f>
        <v/>
      </c>
      <c r="CF101" s="71" t="str">
        <f aca="false">IF(OR(CF$99="",$A67=""),"",IF(AND(ISNUMBER($G67),$G67&gt;=CF$99,$G67&lt;EDATE(CF$99,1)),"F",IF(AND(ISNUMBER($H67),$H67&gt;=CF$99,$H67&lt;EDATE(CF$99,1)),"D","")))</f>
        <v/>
      </c>
      <c r="CG101" s="71" t="str">
        <f aca="false">IF(OR(CG$99="",$A67=""),"",IF(AND(ISNUMBER($G67),$G67&gt;=CG$99,$G67&lt;EDATE(CG$99,1)),"F",IF(AND(ISNUMBER($H67),$H67&gt;=CG$99,$H67&lt;EDATE(CG$99,1)),"D","")))</f>
        <v/>
      </c>
      <c r="CH101" s="71" t="str">
        <f aca="false">IF(OR(CH$99="",$A67=""),"",IF(AND(ISNUMBER($G67),$G67&gt;=CH$99,$G67&lt;EDATE(CH$99,1)),"F",IF(AND(ISNUMBER($H67),$H67&gt;=CH$99,$H67&lt;EDATE(CH$99,1)),"D","")))</f>
        <v/>
      </c>
      <c r="CI101" s="71" t="str">
        <f aca="false">IF(OR(CI$99="",$A67=""),"",IF(AND(ISNUMBER($G67),$G67&gt;=CI$99,$G67&lt;EDATE(CI$99,1)),"F",IF(AND(ISNUMBER($H67),$H67&gt;=CI$99,$H67&lt;EDATE(CI$99,1)),"D","")))</f>
        <v/>
      </c>
      <c r="CJ101" s="71" t="str">
        <f aca="false">IF(OR(CJ$99="",$A67=""),"",IF(AND(ISNUMBER($G67),$G67&gt;=CJ$99,$G67&lt;EDATE(CJ$99,1)),"F",IF(AND(ISNUMBER($H67),$H67&gt;=CJ$99,$H67&lt;EDATE(CJ$99,1)),"D","")))</f>
        <v/>
      </c>
      <c r="CK101" s="71" t="str">
        <f aca="false">IF(OR(CK$99="",$A67=""),"",IF(AND(ISNUMBER($G67),$G67&gt;=CK$99,$G67&lt;EDATE(CK$99,1)),"F",IF(AND(ISNUMBER($H67),$H67&gt;=CK$99,$H67&lt;EDATE(CK$99,1)),"D","")))</f>
        <v/>
      </c>
    </row>
    <row r="102" customFormat="false" ht="15" hidden="false" customHeight="false" outlineLevel="0" collapsed="false">
      <c r="A102" s="74" t="str">
        <f aca="false">IF($A68="","",$A68)</f>
        <v>A002-PHL</v>
      </c>
      <c r="B102" s="74" t="str">
        <f aca="false">IF($A68="","",$B68)</f>
        <v/>
      </c>
      <c r="R102" s="71" t="str">
        <f aca="false">IF(OR(R$99="",$A68=""),"",IF(AND(ISNUMBER($G68),$G68&gt;=R$99,$G68&lt;EDATE(R$99,1)),"F",IF(AND(ISNUMBER($H68),$H68&gt;=R$99,$H68&lt;EDATE(R$99,1)),"D","")))</f>
        <v/>
      </c>
      <c r="S102" s="71" t="str">
        <f aca="false">IF(OR(S$99="",$A68=""),"",IF(AND(ISNUMBER($G68),$G68&gt;=S$99,$G68&lt;EDATE(S$99,1)),"F",IF(AND(ISNUMBER($H68),$H68&gt;=S$99,$H68&lt;EDATE(S$99,1)),"D","")))</f>
        <v/>
      </c>
      <c r="T102" s="71" t="str">
        <f aca="false">IF(OR(T$99="",$A68=""),"",IF(AND(ISNUMBER($G68),$G68&gt;=T$99,$G68&lt;EDATE(T$99,1)),"F",IF(AND(ISNUMBER($H68),$H68&gt;=T$99,$H68&lt;EDATE(T$99,1)),"D","")))</f>
        <v/>
      </c>
      <c r="U102" s="71" t="str">
        <f aca="false">IF(OR(U$99="",$A68=""),"",IF(AND(ISNUMBER($G68),$G68&gt;=U$99,$G68&lt;EDATE(U$99,1)),"F",IF(AND(ISNUMBER($H68),$H68&gt;=U$99,$H68&lt;EDATE(U$99,1)),"D","")))</f>
        <v/>
      </c>
      <c r="V102" s="71" t="str">
        <f aca="false">IF(OR(V$99="",$A68=""),"",IF(AND(ISNUMBER($G68),$G68&gt;=V$99,$G68&lt;EDATE(V$99,1)),"F",IF(AND(ISNUMBER($H68),$H68&gt;=V$99,$H68&lt;EDATE(V$99,1)),"D","")))</f>
        <v/>
      </c>
      <c r="W102" s="71" t="str">
        <f aca="false">IF(OR(W$99="",$A68=""),"",IF(AND(ISNUMBER($G68),$G68&gt;=W$99,$G68&lt;EDATE(W$99,1)),"F",IF(AND(ISNUMBER($H68),$H68&gt;=W$99,$H68&lt;EDATE(W$99,1)),"D","")))</f>
        <v/>
      </c>
      <c r="X102" s="71" t="str">
        <f aca="false">IF(OR(X$99="",$A68=""),"",IF(AND(ISNUMBER($G68),$G68&gt;=X$99,$G68&lt;EDATE(X$99,1)),"F",IF(AND(ISNUMBER($H68),$H68&gt;=X$99,$H68&lt;EDATE(X$99,1)),"D","")))</f>
        <v/>
      </c>
      <c r="Y102" s="71" t="str">
        <f aca="false">IF(OR(Y$99="",$A68=""),"",IF(AND(ISNUMBER($G68),$G68&gt;=Y$99,$G68&lt;EDATE(Y$99,1)),"F",IF(AND(ISNUMBER($H68),$H68&gt;=Y$99,$H68&lt;EDATE(Y$99,1)),"D","")))</f>
        <v/>
      </c>
      <c r="Z102" s="71" t="str">
        <f aca="false">IF(OR(Z$99="",$A68=""),"",IF(AND(ISNUMBER($G68),$G68&gt;=Z$99,$G68&lt;EDATE(Z$99,1)),"F",IF(AND(ISNUMBER($H68),$H68&gt;=Z$99,$H68&lt;EDATE(Z$99,1)),"D","")))</f>
        <v/>
      </c>
      <c r="AA102" s="71" t="str">
        <f aca="false">IF(OR(AA$99="",$A68=""),"",IF(AND(ISNUMBER($G68),$G68&gt;=AA$99,$G68&lt;EDATE(AA$99,1)),"F",IF(AND(ISNUMBER($H68),$H68&gt;=AA$99,$H68&lt;EDATE(AA$99,1)),"D","")))</f>
        <v/>
      </c>
      <c r="AB102" s="71" t="str">
        <f aca="false">IF(OR(AB$99="",$A68=""),"",IF(AND(ISNUMBER($G68),$G68&gt;=AB$99,$G68&lt;EDATE(AB$99,1)),"F",IF(AND(ISNUMBER($H68),$H68&gt;=AB$99,$H68&lt;EDATE(AB$99,1)),"D","")))</f>
        <v/>
      </c>
      <c r="AC102" s="71" t="str">
        <f aca="false">IF(OR(AC$99="",$A68=""),"",IF(AND(ISNUMBER($G68),$G68&gt;=AC$99,$G68&lt;EDATE(AC$99,1)),"F",IF(AND(ISNUMBER($H68),$H68&gt;=AC$99,$H68&lt;EDATE(AC$99,1)),"D","")))</f>
        <v/>
      </c>
      <c r="AD102" s="71" t="str">
        <f aca="false">IF(OR(AD$99="",$A68=""),"",IF(AND(ISNUMBER($G68),$G68&gt;=AD$99,$G68&lt;EDATE(AD$99,1)),"F",IF(AND(ISNUMBER($H68),$H68&gt;=AD$99,$H68&lt;EDATE(AD$99,1)),"D","")))</f>
        <v/>
      </c>
      <c r="AE102" s="71" t="str">
        <f aca="false">IF(OR(AE$99="",$A68=""),"",IF(AND(ISNUMBER($G68),$G68&gt;=AE$99,$G68&lt;EDATE(AE$99,1)),"F",IF(AND(ISNUMBER($H68),$H68&gt;=AE$99,$H68&lt;EDATE(AE$99,1)),"D","")))</f>
        <v/>
      </c>
      <c r="AF102" s="71" t="str">
        <f aca="false">IF(OR(AF$99="",$A68=""),"",IF(AND(ISNUMBER($G68),$G68&gt;=AF$99,$G68&lt;EDATE(AF$99,1)),"F",IF(AND(ISNUMBER($H68),$H68&gt;=AF$99,$H68&lt;EDATE(AF$99,1)),"D","")))</f>
        <v/>
      </c>
      <c r="AG102" s="71" t="str">
        <f aca="false">IF(OR(AG$99="",$A68=""),"",IF(AND(ISNUMBER($G68),$G68&gt;=AG$99,$G68&lt;EDATE(AG$99,1)),"F",IF(AND(ISNUMBER($H68),$H68&gt;=AG$99,$H68&lt;EDATE(AG$99,1)),"D","")))</f>
        <v/>
      </c>
      <c r="AH102" s="71" t="str">
        <f aca="false">IF(OR(AH$99="",$A68=""),"",IF(AND(ISNUMBER($G68),$G68&gt;=AH$99,$G68&lt;EDATE(AH$99,1)),"F",IF(AND(ISNUMBER($H68),$H68&gt;=AH$99,$H68&lt;EDATE(AH$99,1)),"D","")))</f>
        <v/>
      </c>
      <c r="AI102" s="71" t="str">
        <f aca="false">IF(OR(AI$99="",$A68=""),"",IF(AND(ISNUMBER($G68),$G68&gt;=AI$99,$G68&lt;EDATE(AI$99,1)),"F",IF(AND(ISNUMBER($H68),$H68&gt;=AI$99,$H68&lt;EDATE(AI$99,1)),"D","")))</f>
        <v/>
      </c>
      <c r="AJ102" s="71" t="str">
        <f aca="false">IF(OR(AJ$99="",$A68=""),"",IF(AND(ISNUMBER($G68),$G68&gt;=AJ$99,$G68&lt;EDATE(AJ$99,1)),"F",IF(AND(ISNUMBER($H68),$H68&gt;=AJ$99,$H68&lt;EDATE(AJ$99,1)),"D","")))</f>
        <v/>
      </c>
      <c r="AK102" s="71" t="str">
        <f aca="false">IF(OR(AK$99="",$A68=""),"",IF(AND(ISNUMBER($G68),$G68&gt;=AK$99,$G68&lt;EDATE(AK$99,1)),"F",IF(AND(ISNUMBER($H68),$H68&gt;=AK$99,$H68&lt;EDATE(AK$99,1)),"D","")))</f>
        <v/>
      </c>
      <c r="AL102" s="71" t="str">
        <f aca="false">IF(OR(AL$99="",$A68=""),"",IF(AND(ISNUMBER($G68),$G68&gt;=AL$99,$G68&lt;EDATE(AL$99,1)),"F",IF(AND(ISNUMBER($H68),$H68&gt;=AL$99,$H68&lt;EDATE(AL$99,1)),"D","")))</f>
        <v/>
      </c>
      <c r="AM102" s="71" t="str">
        <f aca="false">IF(OR(AM$99="",$A68=""),"",IF(AND(ISNUMBER($G68),$G68&gt;=AM$99,$G68&lt;EDATE(AM$99,1)),"F",IF(AND(ISNUMBER($H68),$H68&gt;=AM$99,$H68&lt;EDATE(AM$99,1)),"D","")))</f>
        <v/>
      </c>
      <c r="AN102" s="71" t="str">
        <f aca="false">IF(OR(AN$99="",$A68=""),"",IF(AND(ISNUMBER($G68),$G68&gt;=AN$99,$G68&lt;EDATE(AN$99,1)),"F",IF(AND(ISNUMBER($H68),$H68&gt;=AN$99,$H68&lt;EDATE(AN$99,1)),"D","")))</f>
        <v/>
      </c>
      <c r="AO102" s="71" t="str">
        <f aca="false">IF(OR(AO$99="",$A68=""),"",IF(AND(ISNUMBER($G68),$G68&gt;=AO$99,$G68&lt;EDATE(AO$99,1)),"F",IF(AND(ISNUMBER($H68),$H68&gt;=AO$99,$H68&lt;EDATE(AO$99,1)),"D","")))</f>
        <v/>
      </c>
      <c r="AP102" s="71" t="str">
        <f aca="false">IF(OR(AP$99="",$A68=""),"",IF(AND(ISNUMBER($G68),$G68&gt;=AP$99,$G68&lt;EDATE(AP$99,1)),"F",IF(AND(ISNUMBER($H68),$H68&gt;=AP$99,$H68&lt;EDATE(AP$99,1)),"D","")))</f>
        <v/>
      </c>
      <c r="AQ102" s="71" t="str">
        <f aca="false">IF(OR(AQ$99="",$A68=""),"",IF(AND(ISNUMBER($G68),$G68&gt;=AQ$99,$G68&lt;EDATE(AQ$99,1)),"F",IF(AND(ISNUMBER($H68),$H68&gt;=AQ$99,$H68&lt;EDATE(AQ$99,1)),"D","")))</f>
        <v/>
      </c>
      <c r="AR102" s="71" t="str">
        <f aca="false">IF(OR(AR$99="",$A68=""),"",IF(AND(ISNUMBER($G68),$G68&gt;=AR$99,$G68&lt;EDATE(AR$99,1)),"F",IF(AND(ISNUMBER($H68),$H68&gt;=AR$99,$H68&lt;EDATE(AR$99,1)),"D","")))</f>
        <v/>
      </c>
      <c r="AS102" s="71" t="str">
        <f aca="false">IF(OR(AS$99="",$A68=""),"",IF(AND(ISNUMBER($G68),$G68&gt;=AS$99,$G68&lt;EDATE(AS$99,1)),"F",IF(AND(ISNUMBER($H68),$H68&gt;=AS$99,$H68&lt;EDATE(AS$99,1)),"D","")))</f>
        <v/>
      </c>
      <c r="AT102" s="71" t="str">
        <f aca="false">IF(OR(AT$99="",$A68=""),"",IF(AND(ISNUMBER($G68),$G68&gt;=AT$99,$G68&lt;EDATE(AT$99,1)),"F",IF(AND(ISNUMBER($H68),$H68&gt;=AT$99,$H68&lt;EDATE(AT$99,1)),"D","")))</f>
        <v/>
      </c>
      <c r="AU102" s="71" t="str">
        <f aca="false">IF(OR(AU$99="",$A68=""),"",IF(AND(ISNUMBER($G68),$G68&gt;=AU$99,$G68&lt;EDATE(AU$99,1)),"F",IF(AND(ISNUMBER($H68),$H68&gt;=AU$99,$H68&lt;EDATE(AU$99,1)),"D","")))</f>
        <v/>
      </c>
      <c r="AV102" s="71" t="str">
        <f aca="false">IF(OR(AV$99="",$A68=""),"",IF(AND(ISNUMBER($G68),$G68&gt;=AV$99,$G68&lt;EDATE(AV$99,1)),"F",IF(AND(ISNUMBER($H68),$H68&gt;=AV$99,$H68&lt;EDATE(AV$99,1)),"D","")))</f>
        <v/>
      </c>
      <c r="AW102" s="71" t="str">
        <f aca="false">IF(OR(AW$99="",$A68=""),"",IF(AND(ISNUMBER($G68),$G68&gt;=AW$99,$G68&lt;EDATE(AW$99,1)),"F",IF(AND(ISNUMBER($H68),$H68&gt;=AW$99,$H68&lt;EDATE(AW$99,1)),"D","")))</f>
        <v/>
      </c>
      <c r="AX102" s="71" t="str">
        <f aca="false">IF(OR(AX$99="",$A68=""),"",IF(AND(ISNUMBER($G68),$G68&gt;=AX$99,$G68&lt;EDATE(AX$99,1)),"F",IF(AND(ISNUMBER($H68),$H68&gt;=AX$99,$H68&lt;EDATE(AX$99,1)),"D","")))</f>
        <v/>
      </c>
      <c r="AY102" s="71" t="str">
        <f aca="false">IF(OR(AY$99="",$A68=""),"",IF(AND(ISNUMBER($G68),$G68&gt;=AY$99,$G68&lt;EDATE(AY$99,1)),"F",IF(AND(ISNUMBER($H68),$H68&gt;=AY$99,$H68&lt;EDATE(AY$99,1)),"D","")))</f>
        <v/>
      </c>
      <c r="AZ102" s="71" t="str">
        <f aca="false">IF(OR(AZ$99="",$A68=""),"",IF(AND(ISNUMBER($G68),$G68&gt;=AZ$99,$G68&lt;EDATE(AZ$99,1)),"F",IF(AND(ISNUMBER($H68),$H68&gt;=AZ$99,$H68&lt;EDATE(AZ$99,1)),"D","")))</f>
        <v/>
      </c>
      <c r="BA102" s="71" t="str">
        <f aca="false">IF(OR(BA$99="",$A68=""),"",IF(AND(ISNUMBER($G68),$G68&gt;=BA$99,$G68&lt;EDATE(BA$99,1)),"F",IF(AND(ISNUMBER($H68),$H68&gt;=BA$99,$H68&lt;EDATE(BA$99,1)),"D","")))</f>
        <v/>
      </c>
      <c r="BB102" s="71" t="str">
        <f aca="false">IF(OR(BB$99="",$A68=""),"",IF(AND(ISNUMBER($G68),$G68&gt;=BB$99,$G68&lt;EDATE(BB$99,1)),"F",IF(AND(ISNUMBER($H68),$H68&gt;=BB$99,$H68&lt;EDATE(BB$99,1)),"D","")))</f>
        <v/>
      </c>
      <c r="BC102" s="71" t="str">
        <f aca="false">IF(OR(BC$99="",$A68=""),"",IF(AND(ISNUMBER($G68),$G68&gt;=BC$99,$G68&lt;EDATE(BC$99,1)),"F",IF(AND(ISNUMBER($H68),$H68&gt;=BC$99,$H68&lt;EDATE(BC$99,1)),"D","")))</f>
        <v/>
      </c>
      <c r="BD102" s="71" t="str">
        <f aca="false">IF(OR(BD$99="",$A68=""),"",IF(AND(ISNUMBER($G68),$G68&gt;=BD$99,$G68&lt;EDATE(BD$99,1)),"F",IF(AND(ISNUMBER($H68),$H68&gt;=BD$99,$H68&lt;EDATE(BD$99,1)),"D","")))</f>
        <v/>
      </c>
      <c r="BE102" s="71" t="str">
        <f aca="false">IF(OR(BE$99="",$A68=""),"",IF(AND(ISNUMBER($G68),$G68&gt;=BE$99,$G68&lt;EDATE(BE$99,1)),"F",IF(AND(ISNUMBER($H68),$H68&gt;=BE$99,$H68&lt;EDATE(BE$99,1)),"D","")))</f>
        <v/>
      </c>
      <c r="BF102" s="71" t="str">
        <f aca="false">IF(OR(BF$99="",$A68=""),"",IF(AND(ISNUMBER($G68),$G68&gt;=BF$99,$G68&lt;EDATE(BF$99,1)),"F",IF(AND(ISNUMBER($H68),$H68&gt;=BF$99,$H68&lt;EDATE(BF$99,1)),"D","")))</f>
        <v/>
      </c>
      <c r="BG102" s="71" t="str">
        <f aca="false">IF(OR(BG$99="",$A68=""),"",IF(AND(ISNUMBER($G68),$G68&gt;=BG$99,$G68&lt;EDATE(BG$99,1)),"F",IF(AND(ISNUMBER($H68),$H68&gt;=BG$99,$H68&lt;EDATE(BG$99,1)),"D","")))</f>
        <v/>
      </c>
      <c r="BH102" s="71" t="str">
        <f aca="false">IF(OR(BH$99="",$A68=""),"",IF(AND(ISNUMBER($G68),$G68&gt;=BH$99,$G68&lt;EDATE(BH$99,1)),"F",IF(AND(ISNUMBER($H68),$H68&gt;=BH$99,$H68&lt;EDATE(BH$99,1)),"D","")))</f>
        <v/>
      </c>
      <c r="BI102" s="71" t="str">
        <f aca="false">IF(OR(BI$99="",$A68=""),"",IF(AND(ISNUMBER($G68),$G68&gt;=BI$99,$G68&lt;EDATE(BI$99,1)),"F",IF(AND(ISNUMBER($H68),$H68&gt;=BI$99,$H68&lt;EDATE(BI$99,1)),"D","")))</f>
        <v/>
      </c>
      <c r="BJ102" s="71" t="str">
        <f aca="false">IF(OR(BJ$99="",$A68=""),"",IF(AND(ISNUMBER($G68),$G68&gt;=BJ$99,$G68&lt;EDATE(BJ$99,1)),"F",IF(AND(ISNUMBER($H68),$H68&gt;=BJ$99,$H68&lt;EDATE(BJ$99,1)),"D","")))</f>
        <v/>
      </c>
      <c r="BK102" s="71" t="str">
        <f aca="false">IF(OR(BK$99="",$A68=""),"",IF(AND(ISNUMBER($G68),$G68&gt;=BK$99,$G68&lt;EDATE(BK$99,1)),"F",IF(AND(ISNUMBER($H68),$H68&gt;=BK$99,$H68&lt;EDATE(BK$99,1)),"D","")))</f>
        <v/>
      </c>
      <c r="BL102" s="71" t="str">
        <f aca="false">IF(OR(BL$99="",$A68=""),"",IF(AND(ISNUMBER($G68),$G68&gt;=BL$99,$G68&lt;EDATE(BL$99,1)),"F",IF(AND(ISNUMBER($H68),$H68&gt;=BL$99,$H68&lt;EDATE(BL$99,1)),"D","")))</f>
        <v/>
      </c>
      <c r="BM102" s="71" t="str">
        <f aca="false">IF(OR(BM$99="",$A68=""),"",IF(AND(ISNUMBER($G68),$G68&gt;=BM$99,$G68&lt;EDATE(BM$99,1)),"F",IF(AND(ISNUMBER($H68),$H68&gt;=BM$99,$H68&lt;EDATE(BM$99,1)),"D","")))</f>
        <v/>
      </c>
      <c r="BN102" s="71" t="str">
        <f aca="false">IF(OR(BN$99="",$A68=""),"",IF(AND(ISNUMBER($G68),$G68&gt;=BN$99,$G68&lt;EDATE(BN$99,1)),"F",IF(AND(ISNUMBER($H68),$H68&gt;=BN$99,$H68&lt;EDATE(BN$99,1)),"D","")))</f>
        <v/>
      </c>
      <c r="BO102" s="71" t="str">
        <f aca="false">IF(OR(BO$99="",$A68=""),"",IF(AND(ISNUMBER($G68),$G68&gt;=BO$99,$G68&lt;EDATE(BO$99,1)),"F",IF(AND(ISNUMBER($H68),$H68&gt;=BO$99,$H68&lt;EDATE(BO$99,1)),"D","")))</f>
        <v/>
      </c>
      <c r="BP102" s="71" t="str">
        <f aca="false">IF(OR(BP$99="",$A68=""),"",IF(AND(ISNUMBER($G68),$G68&gt;=BP$99,$G68&lt;EDATE(BP$99,1)),"F",IF(AND(ISNUMBER($H68),$H68&gt;=BP$99,$H68&lt;EDATE(BP$99,1)),"D","")))</f>
        <v/>
      </c>
      <c r="BQ102" s="71" t="str">
        <f aca="false">IF(OR(BQ$99="",$A68=""),"",IF(AND(ISNUMBER($G68),$G68&gt;=BQ$99,$G68&lt;EDATE(BQ$99,1)),"F",IF(AND(ISNUMBER($H68),$H68&gt;=BQ$99,$H68&lt;EDATE(BQ$99,1)),"D","")))</f>
        <v/>
      </c>
      <c r="BR102" s="71" t="str">
        <f aca="false">IF(OR(BR$99="",$A68=""),"",IF(AND(ISNUMBER($G68),$G68&gt;=BR$99,$G68&lt;EDATE(BR$99,1)),"F",IF(AND(ISNUMBER($H68),$H68&gt;=BR$99,$H68&lt;EDATE(BR$99,1)),"D","")))</f>
        <v/>
      </c>
      <c r="BS102" s="71" t="str">
        <f aca="false">IF(OR(BS$99="",$A68=""),"",IF(AND(ISNUMBER($G68),$G68&gt;=BS$99,$G68&lt;EDATE(BS$99,1)),"F",IF(AND(ISNUMBER($H68),$H68&gt;=BS$99,$H68&lt;EDATE(BS$99,1)),"D","")))</f>
        <v/>
      </c>
      <c r="BT102" s="71" t="str">
        <f aca="false">IF(OR(BT$99="",$A68=""),"",IF(AND(ISNUMBER($G68),$G68&gt;=BT$99,$G68&lt;EDATE(BT$99,1)),"F",IF(AND(ISNUMBER($H68),$H68&gt;=BT$99,$H68&lt;EDATE(BT$99,1)),"D","")))</f>
        <v/>
      </c>
      <c r="BU102" s="71" t="str">
        <f aca="false">IF(OR(BU$99="",$A68=""),"",IF(AND(ISNUMBER($G68),$G68&gt;=BU$99,$G68&lt;EDATE(BU$99,1)),"F",IF(AND(ISNUMBER($H68),$H68&gt;=BU$99,$H68&lt;EDATE(BU$99,1)),"D","")))</f>
        <v/>
      </c>
      <c r="BV102" s="71" t="str">
        <f aca="false">IF(OR(BV$99="",$A68=""),"",IF(AND(ISNUMBER($G68),$G68&gt;=BV$99,$G68&lt;EDATE(BV$99,1)),"F",IF(AND(ISNUMBER($H68),$H68&gt;=BV$99,$H68&lt;EDATE(BV$99,1)),"D","")))</f>
        <v/>
      </c>
      <c r="BW102" s="71" t="str">
        <f aca="false">IF(OR(BW$99="",$A68=""),"",IF(AND(ISNUMBER($G68),$G68&gt;=BW$99,$G68&lt;EDATE(BW$99,1)),"F",IF(AND(ISNUMBER($H68),$H68&gt;=BW$99,$H68&lt;EDATE(BW$99,1)),"D","")))</f>
        <v/>
      </c>
      <c r="BX102" s="71" t="str">
        <f aca="false">IF(OR(BX$99="",$A68=""),"",IF(AND(ISNUMBER($G68),$G68&gt;=BX$99,$G68&lt;EDATE(BX$99,1)),"F",IF(AND(ISNUMBER($H68),$H68&gt;=BX$99,$H68&lt;EDATE(BX$99,1)),"D","")))</f>
        <v/>
      </c>
      <c r="BY102" s="71" t="str">
        <f aca="false">IF(OR(BY$99="",$A68=""),"",IF(AND(ISNUMBER($G68),$G68&gt;=BY$99,$G68&lt;EDATE(BY$99,1)),"F",IF(AND(ISNUMBER($H68),$H68&gt;=BY$99,$H68&lt;EDATE(BY$99,1)),"D","")))</f>
        <v/>
      </c>
      <c r="BZ102" s="71" t="str">
        <f aca="false">IF(OR(BZ$99="",$A68=""),"",IF(AND(ISNUMBER($G68),$G68&gt;=BZ$99,$G68&lt;EDATE(BZ$99,1)),"F",IF(AND(ISNUMBER($H68),$H68&gt;=BZ$99,$H68&lt;EDATE(BZ$99,1)),"D","")))</f>
        <v/>
      </c>
      <c r="CA102" s="71" t="str">
        <f aca="false">IF(OR(CA$99="",$A68=""),"",IF(AND(ISNUMBER($G68),$G68&gt;=CA$99,$G68&lt;EDATE(CA$99,1)),"F",IF(AND(ISNUMBER($H68),$H68&gt;=CA$99,$H68&lt;EDATE(CA$99,1)),"D","")))</f>
        <v/>
      </c>
      <c r="CB102" s="71" t="str">
        <f aca="false">IF(OR(CB$99="",$A68=""),"",IF(AND(ISNUMBER($G68),$G68&gt;=CB$99,$G68&lt;EDATE(CB$99,1)),"F",IF(AND(ISNUMBER($H68),$H68&gt;=CB$99,$H68&lt;EDATE(CB$99,1)),"D","")))</f>
        <v/>
      </c>
      <c r="CC102" s="71" t="str">
        <f aca="false">IF(OR(CC$99="",$A68=""),"",IF(AND(ISNUMBER($G68),$G68&gt;=CC$99,$G68&lt;EDATE(CC$99,1)),"F",IF(AND(ISNUMBER($H68),$H68&gt;=CC$99,$H68&lt;EDATE(CC$99,1)),"D","")))</f>
        <v/>
      </c>
      <c r="CD102" s="71" t="str">
        <f aca="false">IF(OR(CD$99="",$A68=""),"",IF(AND(ISNUMBER($G68),$G68&gt;=CD$99,$G68&lt;EDATE(CD$99,1)),"F",IF(AND(ISNUMBER($H68),$H68&gt;=CD$99,$H68&lt;EDATE(CD$99,1)),"D","")))</f>
        <v/>
      </c>
      <c r="CE102" s="71" t="str">
        <f aca="false">IF(OR(CE$99="",$A68=""),"",IF(AND(ISNUMBER($G68),$G68&gt;=CE$99,$G68&lt;EDATE(CE$99,1)),"F",IF(AND(ISNUMBER($H68),$H68&gt;=CE$99,$H68&lt;EDATE(CE$99,1)),"D","")))</f>
        <v/>
      </c>
      <c r="CF102" s="71" t="str">
        <f aca="false">IF(OR(CF$99="",$A68=""),"",IF(AND(ISNUMBER($G68),$G68&gt;=CF$99,$G68&lt;EDATE(CF$99,1)),"F",IF(AND(ISNUMBER($H68),$H68&gt;=CF$99,$H68&lt;EDATE(CF$99,1)),"D","")))</f>
        <v/>
      </c>
      <c r="CG102" s="71" t="str">
        <f aca="false">IF(OR(CG$99="",$A68=""),"",IF(AND(ISNUMBER($G68),$G68&gt;=CG$99,$G68&lt;EDATE(CG$99,1)),"F",IF(AND(ISNUMBER($H68),$H68&gt;=CG$99,$H68&lt;EDATE(CG$99,1)),"D","")))</f>
        <v/>
      </c>
      <c r="CH102" s="71" t="str">
        <f aca="false">IF(OR(CH$99="",$A68=""),"",IF(AND(ISNUMBER($G68),$G68&gt;=CH$99,$G68&lt;EDATE(CH$99,1)),"F",IF(AND(ISNUMBER($H68),$H68&gt;=CH$99,$H68&lt;EDATE(CH$99,1)),"D","")))</f>
        <v/>
      </c>
      <c r="CI102" s="71" t="str">
        <f aca="false">IF(OR(CI$99="",$A68=""),"",IF(AND(ISNUMBER($G68),$G68&gt;=CI$99,$G68&lt;EDATE(CI$99,1)),"F",IF(AND(ISNUMBER($H68),$H68&gt;=CI$99,$H68&lt;EDATE(CI$99,1)),"D","")))</f>
        <v/>
      </c>
      <c r="CJ102" s="71" t="str">
        <f aca="false">IF(OR(CJ$99="",$A68=""),"",IF(AND(ISNUMBER($G68),$G68&gt;=CJ$99,$G68&lt;EDATE(CJ$99,1)),"F",IF(AND(ISNUMBER($H68),$H68&gt;=CJ$99,$H68&lt;EDATE(CJ$99,1)),"D","")))</f>
        <v/>
      </c>
      <c r="CK102" s="71" t="str">
        <f aca="false">IF(OR(CK$99="",$A68=""),"",IF(AND(ISNUMBER($G68),$G68&gt;=CK$99,$G68&lt;EDATE(CK$99,1)),"F",IF(AND(ISNUMBER($H68),$H68&gt;=CK$99,$H68&lt;EDATE(CK$99,1)),"D","")))</f>
        <v/>
      </c>
    </row>
    <row r="103" customFormat="false" ht="15" hidden="false" customHeight="false" outlineLevel="0" collapsed="false">
      <c r="A103" s="74" t="str">
        <f aca="false">IF($A69="","",$A69)</f>
        <v>A002-PHA</v>
      </c>
      <c r="B103" s="74" t="str">
        <f aca="false">IF($A69="","",$B69)</f>
        <v/>
      </c>
      <c r="R103" s="71" t="str">
        <f aca="false">IF(OR(R$99="",$A69=""),"",IF(AND(ISNUMBER($G69),$G69&gt;=R$99,$G69&lt;EDATE(R$99,1)),"F",IF(AND(ISNUMBER($H69),$H69&gt;=R$99,$H69&lt;EDATE(R$99,1)),"D","")))</f>
        <v/>
      </c>
      <c r="S103" s="71" t="str">
        <f aca="false">IF(OR(S$99="",$A69=""),"",IF(AND(ISNUMBER($G69),$G69&gt;=S$99,$G69&lt;EDATE(S$99,1)),"F",IF(AND(ISNUMBER($H69),$H69&gt;=S$99,$H69&lt;EDATE(S$99,1)),"D","")))</f>
        <v/>
      </c>
      <c r="T103" s="71" t="str">
        <f aca="false">IF(OR(T$99="",$A69=""),"",IF(AND(ISNUMBER($G69),$G69&gt;=T$99,$G69&lt;EDATE(T$99,1)),"F",IF(AND(ISNUMBER($H69),$H69&gt;=T$99,$H69&lt;EDATE(T$99,1)),"D","")))</f>
        <v/>
      </c>
      <c r="U103" s="71" t="str">
        <f aca="false">IF(OR(U$99="",$A69=""),"",IF(AND(ISNUMBER($G69),$G69&gt;=U$99,$G69&lt;EDATE(U$99,1)),"F",IF(AND(ISNUMBER($H69),$H69&gt;=U$99,$H69&lt;EDATE(U$99,1)),"D","")))</f>
        <v/>
      </c>
      <c r="V103" s="71" t="str">
        <f aca="false">IF(OR(V$99="",$A69=""),"",IF(AND(ISNUMBER($G69),$G69&gt;=V$99,$G69&lt;EDATE(V$99,1)),"F",IF(AND(ISNUMBER($H69),$H69&gt;=V$99,$H69&lt;EDATE(V$99,1)),"D","")))</f>
        <v/>
      </c>
      <c r="W103" s="71" t="str">
        <f aca="false">IF(OR(W$99="",$A69=""),"",IF(AND(ISNUMBER($G69),$G69&gt;=W$99,$G69&lt;EDATE(W$99,1)),"F",IF(AND(ISNUMBER($H69),$H69&gt;=W$99,$H69&lt;EDATE(W$99,1)),"D","")))</f>
        <v/>
      </c>
      <c r="X103" s="71" t="str">
        <f aca="false">IF(OR(X$99="",$A69=""),"",IF(AND(ISNUMBER($G69),$G69&gt;=X$99,$G69&lt;EDATE(X$99,1)),"F",IF(AND(ISNUMBER($H69),$H69&gt;=X$99,$H69&lt;EDATE(X$99,1)),"D","")))</f>
        <v/>
      </c>
      <c r="Y103" s="71" t="str">
        <f aca="false">IF(OR(Y$99="",$A69=""),"",IF(AND(ISNUMBER($G69),$G69&gt;=Y$99,$G69&lt;EDATE(Y$99,1)),"F",IF(AND(ISNUMBER($H69),$H69&gt;=Y$99,$H69&lt;EDATE(Y$99,1)),"D","")))</f>
        <v/>
      </c>
      <c r="Z103" s="71" t="str">
        <f aca="false">IF(OR(Z$99="",$A69=""),"",IF(AND(ISNUMBER($G69),$G69&gt;=Z$99,$G69&lt;EDATE(Z$99,1)),"F",IF(AND(ISNUMBER($H69),$H69&gt;=Z$99,$H69&lt;EDATE(Z$99,1)),"D","")))</f>
        <v/>
      </c>
      <c r="AA103" s="71" t="str">
        <f aca="false">IF(OR(AA$99="",$A69=""),"",IF(AND(ISNUMBER($G69),$G69&gt;=AA$99,$G69&lt;EDATE(AA$99,1)),"F",IF(AND(ISNUMBER($H69),$H69&gt;=AA$99,$H69&lt;EDATE(AA$99,1)),"D","")))</f>
        <v/>
      </c>
      <c r="AB103" s="71" t="str">
        <f aca="false">IF(OR(AB$99="",$A69=""),"",IF(AND(ISNUMBER($G69),$G69&gt;=AB$99,$G69&lt;EDATE(AB$99,1)),"F",IF(AND(ISNUMBER($H69),$H69&gt;=AB$99,$H69&lt;EDATE(AB$99,1)),"D","")))</f>
        <v/>
      </c>
      <c r="AC103" s="71" t="str">
        <f aca="false">IF(OR(AC$99="",$A69=""),"",IF(AND(ISNUMBER($G69),$G69&gt;=AC$99,$G69&lt;EDATE(AC$99,1)),"F",IF(AND(ISNUMBER($H69),$H69&gt;=AC$99,$H69&lt;EDATE(AC$99,1)),"D","")))</f>
        <v/>
      </c>
      <c r="AD103" s="71" t="str">
        <f aca="false">IF(OR(AD$99="",$A69=""),"",IF(AND(ISNUMBER($G69),$G69&gt;=AD$99,$G69&lt;EDATE(AD$99,1)),"F",IF(AND(ISNUMBER($H69),$H69&gt;=AD$99,$H69&lt;EDATE(AD$99,1)),"D","")))</f>
        <v/>
      </c>
      <c r="AE103" s="71" t="str">
        <f aca="false">IF(OR(AE$99="",$A69=""),"",IF(AND(ISNUMBER($G69),$G69&gt;=AE$99,$G69&lt;EDATE(AE$99,1)),"F",IF(AND(ISNUMBER($H69),$H69&gt;=AE$99,$H69&lt;EDATE(AE$99,1)),"D","")))</f>
        <v/>
      </c>
      <c r="AF103" s="71" t="str">
        <f aca="false">IF(OR(AF$99="",$A69=""),"",IF(AND(ISNUMBER($G69),$G69&gt;=AF$99,$G69&lt;EDATE(AF$99,1)),"F",IF(AND(ISNUMBER($H69),$H69&gt;=AF$99,$H69&lt;EDATE(AF$99,1)),"D","")))</f>
        <v/>
      </c>
      <c r="AG103" s="71" t="str">
        <f aca="false">IF(OR(AG$99="",$A69=""),"",IF(AND(ISNUMBER($G69),$G69&gt;=AG$99,$G69&lt;EDATE(AG$99,1)),"F",IF(AND(ISNUMBER($H69),$H69&gt;=AG$99,$H69&lt;EDATE(AG$99,1)),"D","")))</f>
        <v/>
      </c>
      <c r="AH103" s="71" t="str">
        <f aca="false">IF(OR(AH$99="",$A69=""),"",IF(AND(ISNUMBER($G69),$G69&gt;=AH$99,$G69&lt;EDATE(AH$99,1)),"F",IF(AND(ISNUMBER($H69),$H69&gt;=AH$99,$H69&lt;EDATE(AH$99,1)),"D","")))</f>
        <v/>
      </c>
      <c r="AI103" s="71" t="str">
        <f aca="false">IF(OR(AI$99="",$A69=""),"",IF(AND(ISNUMBER($G69),$G69&gt;=AI$99,$G69&lt;EDATE(AI$99,1)),"F",IF(AND(ISNUMBER($H69),$H69&gt;=AI$99,$H69&lt;EDATE(AI$99,1)),"D","")))</f>
        <v/>
      </c>
      <c r="AJ103" s="71" t="str">
        <f aca="false">IF(OR(AJ$99="",$A69=""),"",IF(AND(ISNUMBER($G69),$G69&gt;=AJ$99,$G69&lt;EDATE(AJ$99,1)),"F",IF(AND(ISNUMBER($H69),$H69&gt;=AJ$99,$H69&lt;EDATE(AJ$99,1)),"D","")))</f>
        <v/>
      </c>
      <c r="AK103" s="71" t="str">
        <f aca="false">IF(OR(AK$99="",$A69=""),"",IF(AND(ISNUMBER($G69),$G69&gt;=AK$99,$G69&lt;EDATE(AK$99,1)),"F",IF(AND(ISNUMBER($H69),$H69&gt;=AK$99,$H69&lt;EDATE(AK$99,1)),"D","")))</f>
        <v/>
      </c>
      <c r="AL103" s="71" t="str">
        <f aca="false">IF(OR(AL$99="",$A69=""),"",IF(AND(ISNUMBER($G69),$G69&gt;=AL$99,$G69&lt;EDATE(AL$99,1)),"F",IF(AND(ISNUMBER($H69),$H69&gt;=AL$99,$H69&lt;EDATE(AL$99,1)),"D","")))</f>
        <v/>
      </c>
      <c r="AM103" s="71" t="str">
        <f aca="false">IF(OR(AM$99="",$A69=""),"",IF(AND(ISNUMBER($G69),$G69&gt;=AM$99,$G69&lt;EDATE(AM$99,1)),"F",IF(AND(ISNUMBER($H69),$H69&gt;=AM$99,$H69&lt;EDATE(AM$99,1)),"D","")))</f>
        <v/>
      </c>
      <c r="AN103" s="71" t="str">
        <f aca="false">IF(OR(AN$99="",$A69=""),"",IF(AND(ISNUMBER($G69),$G69&gt;=AN$99,$G69&lt;EDATE(AN$99,1)),"F",IF(AND(ISNUMBER($H69),$H69&gt;=AN$99,$H69&lt;EDATE(AN$99,1)),"D","")))</f>
        <v/>
      </c>
      <c r="AO103" s="71" t="str">
        <f aca="false">IF(OR(AO$99="",$A69=""),"",IF(AND(ISNUMBER($G69),$G69&gt;=AO$99,$G69&lt;EDATE(AO$99,1)),"F",IF(AND(ISNUMBER($H69),$H69&gt;=AO$99,$H69&lt;EDATE(AO$99,1)),"D","")))</f>
        <v/>
      </c>
      <c r="AP103" s="71" t="str">
        <f aca="false">IF(OR(AP$99="",$A69=""),"",IF(AND(ISNUMBER($G69),$G69&gt;=AP$99,$G69&lt;EDATE(AP$99,1)),"F",IF(AND(ISNUMBER($H69),$H69&gt;=AP$99,$H69&lt;EDATE(AP$99,1)),"D","")))</f>
        <v/>
      </c>
      <c r="AQ103" s="71" t="str">
        <f aca="false">IF(OR(AQ$99="",$A69=""),"",IF(AND(ISNUMBER($G69),$G69&gt;=AQ$99,$G69&lt;EDATE(AQ$99,1)),"F",IF(AND(ISNUMBER($H69),$H69&gt;=AQ$99,$H69&lt;EDATE(AQ$99,1)),"D","")))</f>
        <v/>
      </c>
      <c r="AR103" s="71" t="str">
        <f aca="false">IF(OR(AR$99="",$A69=""),"",IF(AND(ISNUMBER($G69),$G69&gt;=AR$99,$G69&lt;EDATE(AR$99,1)),"F",IF(AND(ISNUMBER($H69),$H69&gt;=AR$99,$H69&lt;EDATE(AR$99,1)),"D","")))</f>
        <v/>
      </c>
      <c r="AS103" s="71" t="str">
        <f aca="false">IF(OR(AS$99="",$A69=""),"",IF(AND(ISNUMBER($G69),$G69&gt;=AS$99,$G69&lt;EDATE(AS$99,1)),"F",IF(AND(ISNUMBER($H69),$H69&gt;=AS$99,$H69&lt;EDATE(AS$99,1)),"D","")))</f>
        <v/>
      </c>
      <c r="AT103" s="71" t="str">
        <f aca="false">IF(OR(AT$99="",$A69=""),"",IF(AND(ISNUMBER($G69),$G69&gt;=AT$99,$G69&lt;EDATE(AT$99,1)),"F",IF(AND(ISNUMBER($H69),$H69&gt;=AT$99,$H69&lt;EDATE(AT$99,1)),"D","")))</f>
        <v/>
      </c>
      <c r="AU103" s="71" t="str">
        <f aca="false">IF(OR(AU$99="",$A69=""),"",IF(AND(ISNUMBER($G69),$G69&gt;=AU$99,$G69&lt;EDATE(AU$99,1)),"F",IF(AND(ISNUMBER($H69),$H69&gt;=AU$99,$H69&lt;EDATE(AU$99,1)),"D","")))</f>
        <v/>
      </c>
      <c r="AV103" s="71" t="str">
        <f aca="false">IF(OR(AV$99="",$A69=""),"",IF(AND(ISNUMBER($G69),$G69&gt;=AV$99,$G69&lt;EDATE(AV$99,1)),"F",IF(AND(ISNUMBER($H69),$H69&gt;=AV$99,$H69&lt;EDATE(AV$99,1)),"D","")))</f>
        <v/>
      </c>
      <c r="AW103" s="71" t="str">
        <f aca="false">IF(OR(AW$99="",$A69=""),"",IF(AND(ISNUMBER($G69),$G69&gt;=AW$99,$G69&lt;EDATE(AW$99,1)),"F",IF(AND(ISNUMBER($H69),$H69&gt;=AW$99,$H69&lt;EDATE(AW$99,1)),"D","")))</f>
        <v/>
      </c>
      <c r="AX103" s="71" t="str">
        <f aca="false">IF(OR(AX$99="",$A69=""),"",IF(AND(ISNUMBER($G69),$G69&gt;=AX$99,$G69&lt;EDATE(AX$99,1)),"F",IF(AND(ISNUMBER($H69),$H69&gt;=AX$99,$H69&lt;EDATE(AX$99,1)),"D","")))</f>
        <v/>
      </c>
      <c r="AY103" s="71" t="str">
        <f aca="false">IF(OR(AY$99="",$A69=""),"",IF(AND(ISNUMBER($G69),$G69&gt;=AY$99,$G69&lt;EDATE(AY$99,1)),"F",IF(AND(ISNUMBER($H69),$H69&gt;=AY$99,$H69&lt;EDATE(AY$99,1)),"D","")))</f>
        <v/>
      </c>
      <c r="AZ103" s="71" t="str">
        <f aca="false">IF(OR(AZ$99="",$A69=""),"",IF(AND(ISNUMBER($G69),$G69&gt;=AZ$99,$G69&lt;EDATE(AZ$99,1)),"F",IF(AND(ISNUMBER($H69),$H69&gt;=AZ$99,$H69&lt;EDATE(AZ$99,1)),"D","")))</f>
        <v/>
      </c>
      <c r="BA103" s="71" t="str">
        <f aca="false">IF(OR(BA$99="",$A69=""),"",IF(AND(ISNUMBER($G69),$G69&gt;=BA$99,$G69&lt;EDATE(BA$99,1)),"F",IF(AND(ISNUMBER($H69),$H69&gt;=BA$99,$H69&lt;EDATE(BA$99,1)),"D","")))</f>
        <v/>
      </c>
      <c r="BB103" s="71" t="str">
        <f aca="false">IF(OR(BB$99="",$A69=""),"",IF(AND(ISNUMBER($G69),$G69&gt;=BB$99,$G69&lt;EDATE(BB$99,1)),"F",IF(AND(ISNUMBER($H69),$H69&gt;=BB$99,$H69&lt;EDATE(BB$99,1)),"D","")))</f>
        <v/>
      </c>
      <c r="BC103" s="71" t="str">
        <f aca="false">IF(OR(BC$99="",$A69=""),"",IF(AND(ISNUMBER($G69),$G69&gt;=BC$99,$G69&lt;EDATE(BC$99,1)),"F",IF(AND(ISNUMBER($H69),$H69&gt;=BC$99,$H69&lt;EDATE(BC$99,1)),"D","")))</f>
        <v/>
      </c>
      <c r="BD103" s="71" t="str">
        <f aca="false">IF(OR(BD$99="",$A69=""),"",IF(AND(ISNUMBER($G69),$G69&gt;=BD$99,$G69&lt;EDATE(BD$99,1)),"F",IF(AND(ISNUMBER($H69),$H69&gt;=BD$99,$H69&lt;EDATE(BD$99,1)),"D","")))</f>
        <v/>
      </c>
      <c r="BE103" s="71" t="str">
        <f aca="false">IF(OR(BE$99="",$A69=""),"",IF(AND(ISNUMBER($G69),$G69&gt;=BE$99,$G69&lt;EDATE(BE$99,1)),"F",IF(AND(ISNUMBER($H69),$H69&gt;=BE$99,$H69&lt;EDATE(BE$99,1)),"D","")))</f>
        <v/>
      </c>
      <c r="BF103" s="71" t="str">
        <f aca="false">IF(OR(BF$99="",$A69=""),"",IF(AND(ISNUMBER($G69),$G69&gt;=BF$99,$G69&lt;EDATE(BF$99,1)),"F",IF(AND(ISNUMBER($H69),$H69&gt;=BF$99,$H69&lt;EDATE(BF$99,1)),"D","")))</f>
        <v/>
      </c>
      <c r="BG103" s="71" t="str">
        <f aca="false">IF(OR(BG$99="",$A69=""),"",IF(AND(ISNUMBER($G69),$G69&gt;=BG$99,$G69&lt;EDATE(BG$99,1)),"F",IF(AND(ISNUMBER($H69),$H69&gt;=BG$99,$H69&lt;EDATE(BG$99,1)),"D","")))</f>
        <v/>
      </c>
      <c r="BH103" s="71" t="str">
        <f aca="false">IF(OR(BH$99="",$A69=""),"",IF(AND(ISNUMBER($G69),$G69&gt;=BH$99,$G69&lt;EDATE(BH$99,1)),"F",IF(AND(ISNUMBER($H69),$H69&gt;=BH$99,$H69&lt;EDATE(BH$99,1)),"D","")))</f>
        <v/>
      </c>
      <c r="BI103" s="71" t="str">
        <f aca="false">IF(OR(BI$99="",$A69=""),"",IF(AND(ISNUMBER($G69),$G69&gt;=BI$99,$G69&lt;EDATE(BI$99,1)),"F",IF(AND(ISNUMBER($H69),$H69&gt;=BI$99,$H69&lt;EDATE(BI$99,1)),"D","")))</f>
        <v/>
      </c>
      <c r="BJ103" s="71" t="str">
        <f aca="false">IF(OR(BJ$99="",$A69=""),"",IF(AND(ISNUMBER($G69),$G69&gt;=BJ$99,$G69&lt;EDATE(BJ$99,1)),"F",IF(AND(ISNUMBER($H69),$H69&gt;=BJ$99,$H69&lt;EDATE(BJ$99,1)),"D","")))</f>
        <v/>
      </c>
      <c r="BK103" s="71" t="str">
        <f aca="false">IF(OR(BK$99="",$A69=""),"",IF(AND(ISNUMBER($G69),$G69&gt;=BK$99,$G69&lt;EDATE(BK$99,1)),"F",IF(AND(ISNUMBER($H69),$H69&gt;=BK$99,$H69&lt;EDATE(BK$99,1)),"D","")))</f>
        <v/>
      </c>
      <c r="BL103" s="71" t="str">
        <f aca="false">IF(OR(BL$99="",$A69=""),"",IF(AND(ISNUMBER($G69),$G69&gt;=BL$99,$G69&lt;EDATE(BL$99,1)),"F",IF(AND(ISNUMBER($H69),$H69&gt;=BL$99,$H69&lt;EDATE(BL$99,1)),"D","")))</f>
        <v/>
      </c>
      <c r="BM103" s="71" t="str">
        <f aca="false">IF(OR(BM$99="",$A69=""),"",IF(AND(ISNUMBER($G69),$G69&gt;=BM$99,$G69&lt;EDATE(BM$99,1)),"F",IF(AND(ISNUMBER($H69),$H69&gt;=BM$99,$H69&lt;EDATE(BM$99,1)),"D","")))</f>
        <v/>
      </c>
      <c r="BN103" s="71" t="str">
        <f aca="false">IF(OR(BN$99="",$A69=""),"",IF(AND(ISNUMBER($G69),$G69&gt;=BN$99,$G69&lt;EDATE(BN$99,1)),"F",IF(AND(ISNUMBER($H69),$H69&gt;=BN$99,$H69&lt;EDATE(BN$99,1)),"D","")))</f>
        <v/>
      </c>
      <c r="BO103" s="71" t="str">
        <f aca="false">IF(OR(BO$99="",$A69=""),"",IF(AND(ISNUMBER($G69),$G69&gt;=BO$99,$G69&lt;EDATE(BO$99,1)),"F",IF(AND(ISNUMBER($H69),$H69&gt;=BO$99,$H69&lt;EDATE(BO$99,1)),"D","")))</f>
        <v/>
      </c>
      <c r="BP103" s="71" t="str">
        <f aca="false">IF(OR(BP$99="",$A69=""),"",IF(AND(ISNUMBER($G69),$G69&gt;=BP$99,$G69&lt;EDATE(BP$99,1)),"F",IF(AND(ISNUMBER($H69),$H69&gt;=BP$99,$H69&lt;EDATE(BP$99,1)),"D","")))</f>
        <v/>
      </c>
      <c r="BQ103" s="71" t="str">
        <f aca="false">IF(OR(BQ$99="",$A69=""),"",IF(AND(ISNUMBER($G69),$G69&gt;=BQ$99,$G69&lt;EDATE(BQ$99,1)),"F",IF(AND(ISNUMBER($H69),$H69&gt;=BQ$99,$H69&lt;EDATE(BQ$99,1)),"D","")))</f>
        <v/>
      </c>
      <c r="BR103" s="71" t="str">
        <f aca="false">IF(OR(BR$99="",$A69=""),"",IF(AND(ISNUMBER($G69),$G69&gt;=BR$99,$G69&lt;EDATE(BR$99,1)),"F",IF(AND(ISNUMBER($H69),$H69&gt;=BR$99,$H69&lt;EDATE(BR$99,1)),"D","")))</f>
        <v/>
      </c>
      <c r="BS103" s="71" t="str">
        <f aca="false">IF(OR(BS$99="",$A69=""),"",IF(AND(ISNUMBER($G69),$G69&gt;=BS$99,$G69&lt;EDATE(BS$99,1)),"F",IF(AND(ISNUMBER($H69),$H69&gt;=BS$99,$H69&lt;EDATE(BS$99,1)),"D","")))</f>
        <v/>
      </c>
      <c r="BT103" s="71" t="str">
        <f aca="false">IF(OR(BT$99="",$A69=""),"",IF(AND(ISNUMBER($G69),$G69&gt;=BT$99,$G69&lt;EDATE(BT$99,1)),"F",IF(AND(ISNUMBER($H69),$H69&gt;=BT$99,$H69&lt;EDATE(BT$99,1)),"D","")))</f>
        <v/>
      </c>
      <c r="BU103" s="71" t="str">
        <f aca="false">IF(OR(BU$99="",$A69=""),"",IF(AND(ISNUMBER($G69),$G69&gt;=BU$99,$G69&lt;EDATE(BU$99,1)),"F",IF(AND(ISNUMBER($H69),$H69&gt;=BU$99,$H69&lt;EDATE(BU$99,1)),"D","")))</f>
        <v/>
      </c>
      <c r="BV103" s="71" t="str">
        <f aca="false">IF(OR(BV$99="",$A69=""),"",IF(AND(ISNUMBER($G69),$G69&gt;=BV$99,$G69&lt;EDATE(BV$99,1)),"F",IF(AND(ISNUMBER($H69),$H69&gt;=BV$99,$H69&lt;EDATE(BV$99,1)),"D","")))</f>
        <v/>
      </c>
      <c r="BW103" s="71" t="str">
        <f aca="false">IF(OR(BW$99="",$A69=""),"",IF(AND(ISNUMBER($G69),$G69&gt;=BW$99,$G69&lt;EDATE(BW$99,1)),"F",IF(AND(ISNUMBER($H69),$H69&gt;=BW$99,$H69&lt;EDATE(BW$99,1)),"D","")))</f>
        <v/>
      </c>
      <c r="BX103" s="71" t="str">
        <f aca="false">IF(OR(BX$99="",$A69=""),"",IF(AND(ISNUMBER($G69),$G69&gt;=BX$99,$G69&lt;EDATE(BX$99,1)),"F",IF(AND(ISNUMBER($H69),$H69&gt;=BX$99,$H69&lt;EDATE(BX$99,1)),"D","")))</f>
        <v/>
      </c>
      <c r="BY103" s="71" t="str">
        <f aca="false">IF(OR(BY$99="",$A69=""),"",IF(AND(ISNUMBER($G69),$G69&gt;=BY$99,$G69&lt;EDATE(BY$99,1)),"F",IF(AND(ISNUMBER($H69),$H69&gt;=BY$99,$H69&lt;EDATE(BY$99,1)),"D","")))</f>
        <v/>
      </c>
      <c r="BZ103" s="71" t="str">
        <f aca="false">IF(OR(BZ$99="",$A69=""),"",IF(AND(ISNUMBER($G69),$G69&gt;=BZ$99,$G69&lt;EDATE(BZ$99,1)),"F",IF(AND(ISNUMBER($H69),$H69&gt;=BZ$99,$H69&lt;EDATE(BZ$99,1)),"D","")))</f>
        <v/>
      </c>
      <c r="CA103" s="71" t="str">
        <f aca="false">IF(OR(CA$99="",$A69=""),"",IF(AND(ISNUMBER($G69),$G69&gt;=CA$99,$G69&lt;EDATE(CA$99,1)),"F",IF(AND(ISNUMBER($H69),$H69&gt;=CA$99,$H69&lt;EDATE(CA$99,1)),"D","")))</f>
        <v/>
      </c>
      <c r="CB103" s="71" t="str">
        <f aca="false">IF(OR(CB$99="",$A69=""),"",IF(AND(ISNUMBER($G69),$G69&gt;=CB$99,$G69&lt;EDATE(CB$99,1)),"F",IF(AND(ISNUMBER($H69),$H69&gt;=CB$99,$H69&lt;EDATE(CB$99,1)),"D","")))</f>
        <v/>
      </c>
      <c r="CC103" s="71" t="str">
        <f aca="false">IF(OR(CC$99="",$A69=""),"",IF(AND(ISNUMBER($G69),$G69&gt;=CC$99,$G69&lt;EDATE(CC$99,1)),"F",IF(AND(ISNUMBER($H69),$H69&gt;=CC$99,$H69&lt;EDATE(CC$99,1)),"D","")))</f>
        <v/>
      </c>
      <c r="CD103" s="71" t="str">
        <f aca="false">IF(OR(CD$99="",$A69=""),"",IF(AND(ISNUMBER($G69),$G69&gt;=CD$99,$G69&lt;EDATE(CD$99,1)),"F",IF(AND(ISNUMBER($H69),$H69&gt;=CD$99,$H69&lt;EDATE(CD$99,1)),"D","")))</f>
        <v/>
      </c>
      <c r="CE103" s="71" t="str">
        <f aca="false">IF(OR(CE$99="",$A69=""),"",IF(AND(ISNUMBER($G69),$G69&gt;=CE$99,$G69&lt;EDATE(CE$99,1)),"F",IF(AND(ISNUMBER($H69),$H69&gt;=CE$99,$H69&lt;EDATE(CE$99,1)),"D","")))</f>
        <v/>
      </c>
      <c r="CF103" s="71" t="str">
        <f aca="false">IF(OR(CF$99="",$A69=""),"",IF(AND(ISNUMBER($G69),$G69&gt;=CF$99,$G69&lt;EDATE(CF$99,1)),"F",IF(AND(ISNUMBER($H69),$H69&gt;=CF$99,$H69&lt;EDATE(CF$99,1)),"D","")))</f>
        <v/>
      </c>
      <c r="CG103" s="71" t="str">
        <f aca="false">IF(OR(CG$99="",$A69=""),"",IF(AND(ISNUMBER($G69),$G69&gt;=CG$99,$G69&lt;EDATE(CG$99,1)),"F",IF(AND(ISNUMBER($H69),$H69&gt;=CG$99,$H69&lt;EDATE(CG$99,1)),"D","")))</f>
        <v/>
      </c>
      <c r="CH103" s="71" t="str">
        <f aca="false">IF(OR(CH$99="",$A69=""),"",IF(AND(ISNUMBER($G69),$G69&gt;=CH$99,$G69&lt;EDATE(CH$99,1)),"F",IF(AND(ISNUMBER($H69),$H69&gt;=CH$99,$H69&lt;EDATE(CH$99,1)),"D","")))</f>
        <v/>
      </c>
      <c r="CI103" s="71" t="str">
        <f aca="false">IF(OR(CI$99="",$A69=""),"",IF(AND(ISNUMBER($G69),$G69&gt;=CI$99,$G69&lt;EDATE(CI$99,1)),"F",IF(AND(ISNUMBER($H69),$H69&gt;=CI$99,$H69&lt;EDATE(CI$99,1)),"D","")))</f>
        <v/>
      </c>
      <c r="CJ103" s="71" t="str">
        <f aca="false">IF(OR(CJ$99="",$A69=""),"",IF(AND(ISNUMBER($G69),$G69&gt;=CJ$99,$G69&lt;EDATE(CJ$99,1)),"F",IF(AND(ISNUMBER($H69),$H69&gt;=CJ$99,$H69&lt;EDATE(CJ$99,1)),"D","")))</f>
        <v/>
      </c>
      <c r="CK103" s="71" t="str">
        <f aca="false">IF(OR(CK$99="",$A69=""),"",IF(AND(ISNUMBER($G69),$G69&gt;=CK$99,$G69&lt;EDATE(CK$99,1)),"F",IF(AND(ISNUMBER($H69),$H69&gt;=CK$99,$H69&lt;EDATE(CK$99,1)),"D","")))</f>
        <v/>
      </c>
    </row>
    <row r="104" customFormat="false" ht="15" hidden="false" customHeight="false" outlineLevel="0" collapsed="false">
      <c r="A104" s="74" t="str">
        <f aca="false">IF($A70="","",$A70)</f>
        <v>A002-SRHA</v>
      </c>
      <c r="B104" s="74" t="str">
        <f aca="false">IF($A70="","",$B70)</f>
        <v/>
      </c>
      <c r="R104" s="71" t="str">
        <f aca="false">IF(OR(R$99="",$A70=""),"",IF(AND(ISNUMBER($G70),$G70&gt;=R$99,$G70&lt;EDATE(R$99,1)),"F",IF(AND(ISNUMBER($H70),$H70&gt;=R$99,$H70&lt;EDATE(R$99,1)),"D","")))</f>
        <v/>
      </c>
      <c r="S104" s="71" t="str">
        <f aca="false">IF(OR(S$99="",$A70=""),"",IF(AND(ISNUMBER($G70),$G70&gt;=S$99,$G70&lt;EDATE(S$99,1)),"F",IF(AND(ISNUMBER($H70),$H70&gt;=S$99,$H70&lt;EDATE(S$99,1)),"D","")))</f>
        <v/>
      </c>
      <c r="T104" s="71" t="str">
        <f aca="false">IF(OR(T$99="",$A70=""),"",IF(AND(ISNUMBER($G70),$G70&gt;=T$99,$G70&lt;EDATE(T$99,1)),"F",IF(AND(ISNUMBER($H70),$H70&gt;=T$99,$H70&lt;EDATE(T$99,1)),"D","")))</f>
        <v/>
      </c>
      <c r="U104" s="71" t="str">
        <f aca="false">IF(OR(U$99="",$A70=""),"",IF(AND(ISNUMBER($G70),$G70&gt;=U$99,$G70&lt;EDATE(U$99,1)),"F",IF(AND(ISNUMBER($H70),$H70&gt;=U$99,$H70&lt;EDATE(U$99,1)),"D","")))</f>
        <v/>
      </c>
      <c r="V104" s="71" t="str">
        <f aca="false">IF(OR(V$99="",$A70=""),"",IF(AND(ISNUMBER($G70),$G70&gt;=V$99,$G70&lt;EDATE(V$99,1)),"F",IF(AND(ISNUMBER($H70),$H70&gt;=V$99,$H70&lt;EDATE(V$99,1)),"D","")))</f>
        <v/>
      </c>
      <c r="W104" s="71" t="str">
        <f aca="false">IF(OR(W$99="",$A70=""),"",IF(AND(ISNUMBER($G70),$G70&gt;=W$99,$G70&lt;EDATE(W$99,1)),"F",IF(AND(ISNUMBER($H70),$H70&gt;=W$99,$H70&lt;EDATE(W$99,1)),"D","")))</f>
        <v/>
      </c>
      <c r="X104" s="71" t="str">
        <f aca="false">IF(OR(X$99="",$A70=""),"",IF(AND(ISNUMBER($G70),$G70&gt;=X$99,$G70&lt;EDATE(X$99,1)),"F",IF(AND(ISNUMBER($H70),$H70&gt;=X$99,$H70&lt;EDATE(X$99,1)),"D","")))</f>
        <v/>
      </c>
      <c r="Y104" s="71" t="str">
        <f aca="false">IF(OR(Y$99="",$A70=""),"",IF(AND(ISNUMBER($G70),$G70&gt;=Y$99,$G70&lt;EDATE(Y$99,1)),"F",IF(AND(ISNUMBER($H70),$H70&gt;=Y$99,$H70&lt;EDATE(Y$99,1)),"D","")))</f>
        <v/>
      </c>
      <c r="Z104" s="71" t="str">
        <f aca="false">IF(OR(Z$99="",$A70=""),"",IF(AND(ISNUMBER($G70),$G70&gt;=Z$99,$G70&lt;EDATE(Z$99,1)),"F",IF(AND(ISNUMBER($H70),$H70&gt;=Z$99,$H70&lt;EDATE(Z$99,1)),"D","")))</f>
        <v/>
      </c>
      <c r="AA104" s="71" t="str">
        <f aca="false">IF(OR(AA$99="",$A70=""),"",IF(AND(ISNUMBER($G70),$G70&gt;=AA$99,$G70&lt;EDATE(AA$99,1)),"F",IF(AND(ISNUMBER($H70),$H70&gt;=AA$99,$H70&lt;EDATE(AA$99,1)),"D","")))</f>
        <v/>
      </c>
      <c r="AB104" s="71" t="str">
        <f aca="false">IF(OR(AB$99="",$A70=""),"",IF(AND(ISNUMBER($G70),$G70&gt;=AB$99,$G70&lt;EDATE(AB$99,1)),"F",IF(AND(ISNUMBER($H70),$H70&gt;=AB$99,$H70&lt;EDATE(AB$99,1)),"D","")))</f>
        <v/>
      </c>
      <c r="AC104" s="71" t="str">
        <f aca="false">IF(OR(AC$99="",$A70=""),"",IF(AND(ISNUMBER($G70),$G70&gt;=AC$99,$G70&lt;EDATE(AC$99,1)),"F",IF(AND(ISNUMBER($H70),$H70&gt;=AC$99,$H70&lt;EDATE(AC$99,1)),"D","")))</f>
        <v/>
      </c>
      <c r="AD104" s="71" t="str">
        <f aca="false">IF(OR(AD$99="",$A70=""),"",IF(AND(ISNUMBER($G70),$G70&gt;=AD$99,$G70&lt;EDATE(AD$99,1)),"F",IF(AND(ISNUMBER($H70),$H70&gt;=AD$99,$H70&lt;EDATE(AD$99,1)),"D","")))</f>
        <v/>
      </c>
      <c r="AE104" s="71" t="str">
        <f aca="false">IF(OR(AE$99="",$A70=""),"",IF(AND(ISNUMBER($G70),$G70&gt;=AE$99,$G70&lt;EDATE(AE$99,1)),"F",IF(AND(ISNUMBER($H70),$H70&gt;=AE$99,$H70&lt;EDATE(AE$99,1)),"D","")))</f>
        <v/>
      </c>
      <c r="AF104" s="71" t="str">
        <f aca="false">IF(OR(AF$99="",$A70=""),"",IF(AND(ISNUMBER($G70),$G70&gt;=AF$99,$G70&lt;EDATE(AF$99,1)),"F",IF(AND(ISNUMBER($H70),$H70&gt;=AF$99,$H70&lt;EDATE(AF$99,1)),"D","")))</f>
        <v/>
      </c>
      <c r="AG104" s="71" t="str">
        <f aca="false">IF(OR(AG$99="",$A70=""),"",IF(AND(ISNUMBER($G70),$G70&gt;=AG$99,$G70&lt;EDATE(AG$99,1)),"F",IF(AND(ISNUMBER($H70),$H70&gt;=AG$99,$H70&lt;EDATE(AG$99,1)),"D","")))</f>
        <v/>
      </c>
      <c r="AH104" s="71" t="str">
        <f aca="false">IF(OR(AH$99="",$A70=""),"",IF(AND(ISNUMBER($G70),$G70&gt;=AH$99,$G70&lt;EDATE(AH$99,1)),"F",IF(AND(ISNUMBER($H70),$H70&gt;=AH$99,$H70&lt;EDATE(AH$99,1)),"D","")))</f>
        <v/>
      </c>
      <c r="AI104" s="71" t="str">
        <f aca="false">IF(OR(AI$99="",$A70=""),"",IF(AND(ISNUMBER($G70),$G70&gt;=AI$99,$G70&lt;EDATE(AI$99,1)),"F",IF(AND(ISNUMBER($H70),$H70&gt;=AI$99,$H70&lt;EDATE(AI$99,1)),"D","")))</f>
        <v/>
      </c>
      <c r="AJ104" s="71" t="str">
        <f aca="false">IF(OR(AJ$99="",$A70=""),"",IF(AND(ISNUMBER($G70),$G70&gt;=AJ$99,$G70&lt;EDATE(AJ$99,1)),"F",IF(AND(ISNUMBER($H70),$H70&gt;=AJ$99,$H70&lt;EDATE(AJ$99,1)),"D","")))</f>
        <v/>
      </c>
      <c r="AK104" s="71" t="str">
        <f aca="false">IF(OR(AK$99="",$A70=""),"",IF(AND(ISNUMBER($G70),$G70&gt;=AK$99,$G70&lt;EDATE(AK$99,1)),"F",IF(AND(ISNUMBER($H70),$H70&gt;=AK$99,$H70&lt;EDATE(AK$99,1)),"D","")))</f>
        <v/>
      </c>
      <c r="AL104" s="71" t="str">
        <f aca="false">IF(OR(AL$99="",$A70=""),"",IF(AND(ISNUMBER($G70),$G70&gt;=AL$99,$G70&lt;EDATE(AL$99,1)),"F",IF(AND(ISNUMBER($H70),$H70&gt;=AL$99,$H70&lt;EDATE(AL$99,1)),"D","")))</f>
        <v/>
      </c>
      <c r="AM104" s="71" t="str">
        <f aca="false">IF(OR(AM$99="",$A70=""),"",IF(AND(ISNUMBER($G70),$G70&gt;=AM$99,$G70&lt;EDATE(AM$99,1)),"F",IF(AND(ISNUMBER($H70),$H70&gt;=AM$99,$H70&lt;EDATE(AM$99,1)),"D","")))</f>
        <v/>
      </c>
      <c r="AN104" s="71" t="str">
        <f aca="false">IF(OR(AN$99="",$A70=""),"",IF(AND(ISNUMBER($G70),$G70&gt;=AN$99,$G70&lt;EDATE(AN$99,1)),"F",IF(AND(ISNUMBER($H70),$H70&gt;=AN$99,$H70&lt;EDATE(AN$99,1)),"D","")))</f>
        <v/>
      </c>
      <c r="AO104" s="71" t="str">
        <f aca="false">IF(OR(AO$99="",$A70=""),"",IF(AND(ISNUMBER($G70),$G70&gt;=AO$99,$G70&lt;EDATE(AO$99,1)),"F",IF(AND(ISNUMBER($H70),$H70&gt;=AO$99,$H70&lt;EDATE(AO$99,1)),"D","")))</f>
        <v/>
      </c>
      <c r="AP104" s="71" t="str">
        <f aca="false">IF(OR(AP$99="",$A70=""),"",IF(AND(ISNUMBER($G70),$G70&gt;=AP$99,$G70&lt;EDATE(AP$99,1)),"F",IF(AND(ISNUMBER($H70),$H70&gt;=AP$99,$H70&lt;EDATE(AP$99,1)),"D","")))</f>
        <v/>
      </c>
      <c r="AQ104" s="71" t="str">
        <f aca="false">IF(OR(AQ$99="",$A70=""),"",IF(AND(ISNUMBER($G70),$G70&gt;=AQ$99,$G70&lt;EDATE(AQ$99,1)),"F",IF(AND(ISNUMBER($H70),$H70&gt;=AQ$99,$H70&lt;EDATE(AQ$99,1)),"D","")))</f>
        <v/>
      </c>
      <c r="AR104" s="71" t="str">
        <f aca="false">IF(OR(AR$99="",$A70=""),"",IF(AND(ISNUMBER($G70),$G70&gt;=AR$99,$G70&lt;EDATE(AR$99,1)),"F",IF(AND(ISNUMBER($H70),$H70&gt;=AR$99,$H70&lt;EDATE(AR$99,1)),"D","")))</f>
        <v/>
      </c>
      <c r="AS104" s="71" t="str">
        <f aca="false">IF(OR(AS$99="",$A70=""),"",IF(AND(ISNUMBER($G70),$G70&gt;=AS$99,$G70&lt;EDATE(AS$99,1)),"F",IF(AND(ISNUMBER($H70),$H70&gt;=AS$99,$H70&lt;EDATE(AS$99,1)),"D","")))</f>
        <v/>
      </c>
      <c r="AT104" s="71" t="str">
        <f aca="false">IF(OR(AT$99="",$A70=""),"",IF(AND(ISNUMBER($G70),$G70&gt;=AT$99,$G70&lt;EDATE(AT$99,1)),"F",IF(AND(ISNUMBER($H70),$H70&gt;=AT$99,$H70&lt;EDATE(AT$99,1)),"D","")))</f>
        <v/>
      </c>
      <c r="AU104" s="71" t="str">
        <f aca="false">IF(OR(AU$99="",$A70=""),"",IF(AND(ISNUMBER($G70),$G70&gt;=AU$99,$G70&lt;EDATE(AU$99,1)),"F",IF(AND(ISNUMBER($H70),$H70&gt;=AU$99,$H70&lt;EDATE(AU$99,1)),"D","")))</f>
        <v/>
      </c>
      <c r="AV104" s="71" t="str">
        <f aca="false">IF(OR(AV$99="",$A70=""),"",IF(AND(ISNUMBER($G70),$G70&gt;=AV$99,$G70&lt;EDATE(AV$99,1)),"F",IF(AND(ISNUMBER($H70),$H70&gt;=AV$99,$H70&lt;EDATE(AV$99,1)),"D","")))</f>
        <v/>
      </c>
      <c r="AW104" s="71" t="str">
        <f aca="false">IF(OR(AW$99="",$A70=""),"",IF(AND(ISNUMBER($G70),$G70&gt;=AW$99,$G70&lt;EDATE(AW$99,1)),"F",IF(AND(ISNUMBER($H70),$H70&gt;=AW$99,$H70&lt;EDATE(AW$99,1)),"D","")))</f>
        <v/>
      </c>
      <c r="AX104" s="71" t="str">
        <f aca="false">IF(OR(AX$99="",$A70=""),"",IF(AND(ISNUMBER($G70),$G70&gt;=AX$99,$G70&lt;EDATE(AX$99,1)),"F",IF(AND(ISNUMBER($H70),$H70&gt;=AX$99,$H70&lt;EDATE(AX$99,1)),"D","")))</f>
        <v/>
      </c>
      <c r="AY104" s="71" t="str">
        <f aca="false">IF(OR(AY$99="",$A70=""),"",IF(AND(ISNUMBER($G70),$G70&gt;=AY$99,$G70&lt;EDATE(AY$99,1)),"F",IF(AND(ISNUMBER($H70),$H70&gt;=AY$99,$H70&lt;EDATE(AY$99,1)),"D","")))</f>
        <v/>
      </c>
      <c r="AZ104" s="71" t="str">
        <f aca="false">IF(OR(AZ$99="",$A70=""),"",IF(AND(ISNUMBER($G70),$G70&gt;=AZ$99,$G70&lt;EDATE(AZ$99,1)),"F",IF(AND(ISNUMBER($H70),$H70&gt;=AZ$99,$H70&lt;EDATE(AZ$99,1)),"D","")))</f>
        <v/>
      </c>
      <c r="BA104" s="71" t="str">
        <f aca="false">IF(OR(BA$99="",$A70=""),"",IF(AND(ISNUMBER($G70),$G70&gt;=BA$99,$G70&lt;EDATE(BA$99,1)),"F",IF(AND(ISNUMBER($H70),$H70&gt;=BA$99,$H70&lt;EDATE(BA$99,1)),"D","")))</f>
        <v/>
      </c>
      <c r="BB104" s="71" t="str">
        <f aca="false">IF(OR(BB$99="",$A70=""),"",IF(AND(ISNUMBER($G70),$G70&gt;=BB$99,$G70&lt;EDATE(BB$99,1)),"F",IF(AND(ISNUMBER($H70),$H70&gt;=BB$99,$H70&lt;EDATE(BB$99,1)),"D","")))</f>
        <v/>
      </c>
      <c r="BC104" s="71" t="str">
        <f aca="false">IF(OR(BC$99="",$A70=""),"",IF(AND(ISNUMBER($G70),$G70&gt;=BC$99,$G70&lt;EDATE(BC$99,1)),"F",IF(AND(ISNUMBER($H70),$H70&gt;=BC$99,$H70&lt;EDATE(BC$99,1)),"D","")))</f>
        <v/>
      </c>
      <c r="BD104" s="71" t="str">
        <f aca="false">IF(OR(BD$99="",$A70=""),"",IF(AND(ISNUMBER($G70),$G70&gt;=BD$99,$G70&lt;EDATE(BD$99,1)),"F",IF(AND(ISNUMBER($H70),$H70&gt;=BD$99,$H70&lt;EDATE(BD$99,1)),"D","")))</f>
        <v/>
      </c>
      <c r="BE104" s="71" t="str">
        <f aca="false">IF(OR(BE$99="",$A70=""),"",IF(AND(ISNUMBER($G70),$G70&gt;=BE$99,$G70&lt;EDATE(BE$99,1)),"F",IF(AND(ISNUMBER($H70),$H70&gt;=BE$99,$H70&lt;EDATE(BE$99,1)),"D","")))</f>
        <v/>
      </c>
      <c r="BF104" s="71" t="str">
        <f aca="false">IF(OR(BF$99="",$A70=""),"",IF(AND(ISNUMBER($G70),$G70&gt;=BF$99,$G70&lt;EDATE(BF$99,1)),"F",IF(AND(ISNUMBER($H70),$H70&gt;=BF$99,$H70&lt;EDATE(BF$99,1)),"D","")))</f>
        <v/>
      </c>
      <c r="BG104" s="71" t="str">
        <f aca="false">IF(OR(BG$99="",$A70=""),"",IF(AND(ISNUMBER($G70),$G70&gt;=BG$99,$G70&lt;EDATE(BG$99,1)),"F",IF(AND(ISNUMBER($H70),$H70&gt;=BG$99,$H70&lt;EDATE(BG$99,1)),"D","")))</f>
        <v/>
      </c>
      <c r="BH104" s="71" t="str">
        <f aca="false">IF(OR(BH$99="",$A70=""),"",IF(AND(ISNUMBER($G70),$G70&gt;=BH$99,$G70&lt;EDATE(BH$99,1)),"F",IF(AND(ISNUMBER($H70),$H70&gt;=BH$99,$H70&lt;EDATE(BH$99,1)),"D","")))</f>
        <v/>
      </c>
      <c r="BI104" s="71" t="str">
        <f aca="false">IF(OR(BI$99="",$A70=""),"",IF(AND(ISNUMBER($G70),$G70&gt;=BI$99,$G70&lt;EDATE(BI$99,1)),"F",IF(AND(ISNUMBER($H70),$H70&gt;=BI$99,$H70&lt;EDATE(BI$99,1)),"D","")))</f>
        <v/>
      </c>
      <c r="BJ104" s="71" t="str">
        <f aca="false">IF(OR(BJ$99="",$A70=""),"",IF(AND(ISNUMBER($G70),$G70&gt;=BJ$99,$G70&lt;EDATE(BJ$99,1)),"F",IF(AND(ISNUMBER($H70),$H70&gt;=BJ$99,$H70&lt;EDATE(BJ$99,1)),"D","")))</f>
        <v/>
      </c>
      <c r="BK104" s="71" t="str">
        <f aca="false">IF(OR(BK$99="",$A70=""),"",IF(AND(ISNUMBER($G70),$G70&gt;=BK$99,$G70&lt;EDATE(BK$99,1)),"F",IF(AND(ISNUMBER($H70),$H70&gt;=BK$99,$H70&lt;EDATE(BK$99,1)),"D","")))</f>
        <v/>
      </c>
      <c r="BL104" s="71" t="str">
        <f aca="false">IF(OR(BL$99="",$A70=""),"",IF(AND(ISNUMBER($G70),$G70&gt;=BL$99,$G70&lt;EDATE(BL$99,1)),"F",IF(AND(ISNUMBER($H70),$H70&gt;=BL$99,$H70&lt;EDATE(BL$99,1)),"D","")))</f>
        <v/>
      </c>
      <c r="BM104" s="71" t="str">
        <f aca="false">IF(OR(BM$99="",$A70=""),"",IF(AND(ISNUMBER($G70),$G70&gt;=BM$99,$G70&lt;EDATE(BM$99,1)),"F",IF(AND(ISNUMBER($H70),$H70&gt;=BM$99,$H70&lt;EDATE(BM$99,1)),"D","")))</f>
        <v/>
      </c>
      <c r="BN104" s="71" t="str">
        <f aca="false">IF(OR(BN$99="",$A70=""),"",IF(AND(ISNUMBER($G70),$G70&gt;=BN$99,$G70&lt;EDATE(BN$99,1)),"F",IF(AND(ISNUMBER($H70),$H70&gt;=BN$99,$H70&lt;EDATE(BN$99,1)),"D","")))</f>
        <v/>
      </c>
      <c r="BO104" s="71" t="str">
        <f aca="false">IF(OR(BO$99="",$A70=""),"",IF(AND(ISNUMBER($G70),$G70&gt;=BO$99,$G70&lt;EDATE(BO$99,1)),"F",IF(AND(ISNUMBER($H70),$H70&gt;=BO$99,$H70&lt;EDATE(BO$99,1)),"D","")))</f>
        <v/>
      </c>
      <c r="BP104" s="71" t="str">
        <f aca="false">IF(OR(BP$99="",$A70=""),"",IF(AND(ISNUMBER($G70),$G70&gt;=BP$99,$G70&lt;EDATE(BP$99,1)),"F",IF(AND(ISNUMBER($H70),$H70&gt;=BP$99,$H70&lt;EDATE(BP$99,1)),"D","")))</f>
        <v/>
      </c>
      <c r="BQ104" s="71" t="str">
        <f aca="false">IF(OR(BQ$99="",$A70=""),"",IF(AND(ISNUMBER($G70),$G70&gt;=BQ$99,$G70&lt;EDATE(BQ$99,1)),"F",IF(AND(ISNUMBER($H70),$H70&gt;=BQ$99,$H70&lt;EDATE(BQ$99,1)),"D","")))</f>
        <v/>
      </c>
      <c r="BR104" s="71" t="str">
        <f aca="false">IF(OR(BR$99="",$A70=""),"",IF(AND(ISNUMBER($G70),$G70&gt;=BR$99,$G70&lt;EDATE(BR$99,1)),"F",IF(AND(ISNUMBER($H70),$H70&gt;=BR$99,$H70&lt;EDATE(BR$99,1)),"D","")))</f>
        <v/>
      </c>
      <c r="BS104" s="71" t="str">
        <f aca="false">IF(OR(BS$99="",$A70=""),"",IF(AND(ISNUMBER($G70),$G70&gt;=BS$99,$G70&lt;EDATE(BS$99,1)),"F",IF(AND(ISNUMBER($H70),$H70&gt;=BS$99,$H70&lt;EDATE(BS$99,1)),"D","")))</f>
        <v/>
      </c>
      <c r="BT104" s="71" t="str">
        <f aca="false">IF(OR(BT$99="",$A70=""),"",IF(AND(ISNUMBER($G70),$G70&gt;=BT$99,$G70&lt;EDATE(BT$99,1)),"F",IF(AND(ISNUMBER($H70),$H70&gt;=BT$99,$H70&lt;EDATE(BT$99,1)),"D","")))</f>
        <v/>
      </c>
      <c r="BU104" s="71" t="str">
        <f aca="false">IF(OR(BU$99="",$A70=""),"",IF(AND(ISNUMBER($G70),$G70&gt;=BU$99,$G70&lt;EDATE(BU$99,1)),"F",IF(AND(ISNUMBER($H70),$H70&gt;=BU$99,$H70&lt;EDATE(BU$99,1)),"D","")))</f>
        <v/>
      </c>
      <c r="BV104" s="71" t="str">
        <f aca="false">IF(OR(BV$99="",$A70=""),"",IF(AND(ISNUMBER($G70),$G70&gt;=BV$99,$G70&lt;EDATE(BV$99,1)),"F",IF(AND(ISNUMBER($H70),$H70&gt;=BV$99,$H70&lt;EDATE(BV$99,1)),"D","")))</f>
        <v/>
      </c>
      <c r="BW104" s="71" t="str">
        <f aca="false">IF(OR(BW$99="",$A70=""),"",IF(AND(ISNUMBER($G70),$G70&gt;=BW$99,$G70&lt;EDATE(BW$99,1)),"F",IF(AND(ISNUMBER($H70),$H70&gt;=BW$99,$H70&lt;EDATE(BW$99,1)),"D","")))</f>
        <v/>
      </c>
      <c r="BX104" s="71" t="str">
        <f aca="false">IF(OR(BX$99="",$A70=""),"",IF(AND(ISNUMBER($G70),$G70&gt;=BX$99,$G70&lt;EDATE(BX$99,1)),"F",IF(AND(ISNUMBER($H70),$H70&gt;=BX$99,$H70&lt;EDATE(BX$99,1)),"D","")))</f>
        <v/>
      </c>
      <c r="BY104" s="71" t="str">
        <f aca="false">IF(OR(BY$99="",$A70=""),"",IF(AND(ISNUMBER($G70),$G70&gt;=BY$99,$G70&lt;EDATE(BY$99,1)),"F",IF(AND(ISNUMBER($H70),$H70&gt;=BY$99,$H70&lt;EDATE(BY$99,1)),"D","")))</f>
        <v/>
      </c>
      <c r="BZ104" s="71" t="str">
        <f aca="false">IF(OR(BZ$99="",$A70=""),"",IF(AND(ISNUMBER($G70),$G70&gt;=BZ$99,$G70&lt;EDATE(BZ$99,1)),"F",IF(AND(ISNUMBER($H70),$H70&gt;=BZ$99,$H70&lt;EDATE(BZ$99,1)),"D","")))</f>
        <v/>
      </c>
      <c r="CA104" s="71" t="str">
        <f aca="false">IF(OR(CA$99="",$A70=""),"",IF(AND(ISNUMBER($G70),$G70&gt;=CA$99,$G70&lt;EDATE(CA$99,1)),"F",IF(AND(ISNUMBER($H70),$H70&gt;=CA$99,$H70&lt;EDATE(CA$99,1)),"D","")))</f>
        <v/>
      </c>
      <c r="CB104" s="71" t="str">
        <f aca="false">IF(OR(CB$99="",$A70=""),"",IF(AND(ISNUMBER($G70),$G70&gt;=CB$99,$G70&lt;EDATE(CB$99,1)),"F",IF(AND(ISNUMBER($H70),$H70&gt;=CB$99,$H70&lt;EDATE(CB$99,1)),"D","")))</f>
        <v/>
      </c>
      <c r="CC104" s="71" t="str">
        <f aca="false">IF(OR(CC$99="",$A70=""),"",IF(AND(ISNUMBER($G70),$G70&gt;=CC$99,$G70&lt;EDATE(CC$99,1)),"F",IF(AND(ISNUMBER($H70),$H70&gt;=CC$99,$H70&lt;EDATE(CC$99,1)),"D","")))</f>
        <v/>
      </c>
      <c r="CD104" s="71" t="str">
        <f aca="false">IF(OR(CD$99="",$A70=""),"",IF(AND(ISNUMBER($G70),$G70&gt;=CD$99,$G70&lt;EDATE(CD$99,1)),"F",IF(AND(ISNUMBER($H70),$H70&gt;=CD$99,$H70&lt;EDATE(CD$99,1)),"D","")))</f>
        <v/>
      </c>
      <c r="CE104" s="71" t="str">
        <f aca="false">IF(OR(CE$99="",$A70=""),"",IF(AND(ISNUMBER($G70),$G70&gt;=CE$99,$G70&lt;EDATE(CE$99,1)),"F",IF(AND(ISNUMBER($H70),$H70&gt;=CE$99,$H70&lt;EDATE(CE$99,1)),"D","")))</f>
        <v/>
      </c>
      <c r="CF104" s="71" t="str">
        <f aca="false">IF(OR(CF$99="",$A70=""),"",IF(AND(ISNUMBER($G70),$G70&gt;=CF$99,$G70&lt;EDATE(CF$99,1)),"F",IF(AND(ISNUMBER($H70),$H70&gt;=CF$99,$H70&lt;EDATE(CF$99,1)),"D","")))</f>
        <v/>
      </c>
      <c r="CG104" s="71" t="str">
        <f aca="false">IF(OR(CG$99="",$A70=""),"",IF(AND(ISNUMBER($G70),$G70&gt;=CG$99,$G70&lt;EDATE(CG$99,1)),"F",IF(AND(ISNUMBER($H70),$H70&gt;=CG$99,$H70&lt;EDATE(CG$99,1)),"D","")))</f>
        <v/>
      </c>
      <c r="CH104" s="71" t="str">
        <f aca="false">IF(OR(CH$99="",$A70=""),"",IF(AND(ISNUMBER($G70),$G70&gt;=CH$99,$G70&lt;EDATE(CH$99,1)),"F",IF(AND(ISNUMBER($H70),$H70&gt;=CH$99,$H70&lt;EDATE(CH$99,1)),"D","")))</f>
        <v/>
      </c>
      <c r="CI104" s="71" t="str">
        <f aca="false">IF(OR(CI$99="",$A70=""),"",IF(AND(ISNUMBER($G70),$G70&gt;=CI$99,$G70&lt;EDATE(CI$99,1)),"F",IF(AND(ISNUMBER($H70),$H70&gt;=CI$99,$H70&lt;EDATE(CI$99,1)),"D","")))</f>
        <v/>
      </c>
      <c r="CJ104" s="71" t="str">
        <f aca="false">IF(OR(CJ$99="",$A70=""),"",IF(AND(ISNUMBER($G70),$G70&gt;=CJ$99,$G70&lt;EDATE(CJ$99,1)),"F",IF(AND(ISNUMBER($H70),$H70&gt;=CJ$99,$H70&lt;EDATE(CJ$99,1)),"D","")))</f>
        <v/>
      </c>
      <c r="CK104" s="71" t="str">
        <f aca="false">IF(OR(CK$99="",$A70=""),"",IF(AND(ISNUMBER($G70),$G70&gt;=CK$99,$G70&lt;EDATE(CK$99,1)),"F",IF(AND(ISNUMBER($H70),$H70&gt;=CK$99,$H70&lt;EDATE(CK$99,1)),"D","")))</f>
        <v/>
      </c>
    </row>
    <row r="105" customFormat="false" ht="15" hidden="false" customHeight="false" outlineLevel="0" collapsed="false">
      <c r="A105" s="74" t="str">
        <f aca="false">IF($A71="","",$A71)</f>
        <v>A002-SSHA</v>
      </c>
      <c r="B105" s="74" t="str">
        <f aca="false">IF($A71="","",$B71)</f>
        <v/>
      </c>
      <c r="R105" s="71" t="str">
        <f aca="false">IF(OR(R$99="",$A71=""),"",IF(AND(ISNUMBER($G71),$G71&gt;=R$99,$G71&lt;EDATE(R$99,1)),"F",IF(AND(ISNUMBER($H71),$H71&gt;=R$99,$H71&lt;EDATE(R$99,1)),"D","")))</f>
        <v/>
      </c>
      <c r="S105" s="71" t="str">
        <f aca="false">IF(OR(S$99="",$A71=""),"",IF(AND(ISNUMBER($G71),$G71&gt;=S$99,$G71&lt;EDATE(S$99,1)),"F",IF(AND(ISNUMBER($H71),$H71&gt;=S$99,$H71&lt;EDATE(S$99,1)),"D","")))</f>
        <v/>
      </c>
      <c r="T105" s="71" t="str">
        <f aca="false">IF(OR(T$99="",$A71=""),"",IF(AND(ISNUMBER($G71),$G71&gt;=T$99,$G71&lt;EDATE(T$99,1)),"F",IF(AND(ISNUMBER($H71),$H71&gt;=T$99,$H71&lt;EDATE(T$99,1)),"D","")))</f>
        <v/>
      </c>
      <c r="U105" s="71" t="str">
        <f aca="false">IF(OR(U$99="",$A71=""),"",IF(AND(ISNUMBER($G71),$G71&gt;=U$99,$G71&lt;EDATE(U$99,1)),"F",IF(AND(ISNUMBER($H71),$H71&gt;=U$99,$H71&lt;EDATE(U$99,1)),"D","")))</f>
        <v/>
      </c>
      <c r="V105" s="71" t="str">
        <f aca="false">IF(OR(V$99="",$A71=""),"",IF(AND(ISNUMBER($G71),$G71&gt;=V$99,$G71&lt;EDATE(V$99,1)),"F",IF(AND(ISNUMBER($H71),$H71&gt;=V$99,$H71&lt;EDATE(V$99,1)),"D","")))</f>
        <v/>
      </c>
      <c r="W105" s="71" t="str">
        <f aca="false">IF(OR(W$99="",$A71=""),"",IF(AND(ISNUMBER($G71),$G71&gt;=W$99,$G71&lt;EDATE(W$99,1)),"F",IF(AND(ISNUMBER($H71),$H71&gt;=W$99,$H71&lt;EDATE(W$99,1)),"D","")))</f>
        <v/>
      </c>
      <c r="X105" s="71" t="str">
        <f aca="false">IF(OR(X$99="",$A71=""),"",IF(AND(ISNUMBER($G71),$G71&gt;=X$99,$G71&lt;EDATE(X$99,1)),"F",IF(AND(ISNUMBER($H71),$H71&gt;=X$99,$H71&lt;EDATE(X$99,1)),"D","")))</f>
        <v/>
      </c>
      <c r="Y105" s="71" t="str">
        <f aca="false">IF(OR(Y$99="",$A71=""),"",IF(AND(ISNUMBER($G71),$G71&gt;=Y$99,$G71&lt;EDATE(Y$99,1)),"F",IF(AND(ISNUMBER($H71),$H71&gt;=Y$99,$H71&lt;EDATE(Y$99,1)),"D","")))</f>
        <v/>
      </c>
      <c r="Z105" s="71" t="str">
        <f aca="false">IF(OR(Z$99="",$A71=""),"",IF(AND(ISNUMBER($G71),$G71&gt;=Z$99,$G71&lt;EDATE(Z$99,1)),"F",IF(AND(ISNUMBER($H71),$H71&gt;=Z$99,$H71&lt;EDATE(Z$99,1)),"D","")))</f>
        <v/>
      </c>
      <c r="AA105" s="71" t="str">
        <f aca="false">IF(OR(AA$99="",$A71=""),"",IF(AND(ISNUMBER($G71),$G71&gt;=AA$99,$G71&lt;EDATE(AA$99,1)),"F",IF(AND(ISNUMBER($H71),$H71&gt;=AA$99,$H71&lt;EDATE(AA$99,1)),"D","")))</f>
        <v/>
      </c>
      <c r="AB105" s="71" t="str">
        <f aca="false">IF(OR(AB$99="",$A71=""),"",IF(AND(ISNUMBER($G71),$G71&gt;=AB$99,$G71&lt;EDATE(AB$99,1)),"F",IF(AND(ISNUMBER($H71),$H71&gt;=AB$99,$H71&lt;EDATE(AB$99,1)),"D","")))</f>
        <v/>
      </c>
      <c r="AC105" s="71" t="str">
        <f aca="false">IF(OR(AC$99="",$A71=""),"",IF(AND(ISNUMBER($G71),$G71&gt;=AC$99,$G71&lt;EDATE(AC$99,1)),"F",IF(AND(ISNUMBER($H71),$H71&gt;=AC$99,$H71&lt;EDATE(AC$99,1)),"D","")))</f>
        <v/>
      </c>
      <c r="AD105" s="71" t="str">
        <f aca="false">IF(OR(AD$99="",$A71=""),"",IF(AND(ISNUMBER($G71),$G71&gt;=AD$99,$G71&lt;EDATE(AD$99,1)),"F",IF(AND(ISNUMBER($H71),$H71&gt;=AD$99,$H71&lt;EDATE(AD$99,1)),"D","")))</f>
        <v/>
      </c>
      <c r="AE105" s="71" t="str">
        <f aca="false">IF(OR(AE$99="",$A71=""),"",IF(AND(ISNUMBER($G71),$G71&gt;=AE$99,$G71&lt;EDATE(AE$99,1)),"F",IF(AND(ISNUMBER($H71),$H71&gt;=AE$99,$H71&lt;EDATE(AE$99,1)),"D","")))</f>
        <v/>
      </c>
      <c r="AF105" s="71" t="str">
        <f aca="false">IF(OR(AF$99="",$A71=""),"",IF(AND(ISNUMBER($G71),$G71&gt;=AF$99,$G71&lt;EDATE(AF$99,1)),"F",IF(AND(ISNUMBER($H71),$H71&gt;=AF$99,$H71&lt;EDATE(AF$99,1)),"D","")))</f>
        <v/>
      </c>
      <c r="AG105" s="71" t="str">
        <f aca="false">IF(OR(AG$99="",$A71=""),"",IF(AND(ISNUMBER($G71),$G71&gt;=AG$99,$G71&lt;EDATE(AG$99,1)),"F",IF(AND(ISNUMBER($H71),$H71&gt;=AG$99,$H71&lt;EDATE(AG$99,1)),"D","")))</f>
        <v/>
      </c>
      <c r="AH105" s="71" t="str">
        <f aca="false">IF(OR(AH$99="",$A71=""),"",IF(AND(ISNUMBER($G71),$G71&gt;=AH$99,$G71&lt;EDATE(AH$99,1)),"F",IF(AND(ISNUMBER($H71),$H71&gt;=AH$99,$H71&lt;EDATE(AH$99,1)),"D","")))</f>
        <v/>
      </c>
      <c r="AI105" s="71" t="str">
        <f aca="false">IF(OR(AI$99="",$A71=""),"",IF(AND(ISNUMBER($G71),$G71&gt;=AI$99,$G71&lt;EDATE(AI$99,1)),"F",IF(AND(ISNUMBER($H71),$H71&gt;=AI$99,$H71&lt;EDATE(AI$99,1)),"D","")))</f>
        <v/>
      </c>
      <c r="AJ105" s="71" t="str">
        <f aca="false">IF(OR(AJ$99="",$A71=""),"",IF(AND(ISNUMBER($G71),$G71&gt;=AJ$99,$G71&lt;EDATE(AJ$99,1)),"F",IF(AND(ISNUMBER($H71),$H71&gt;=AJ$99,$H71&lt;EDATE(AJ$99,1)),"D","")))</f>
        <v/>
      </c>
      <c r="AK105" s="71" t="str">
        <f aca="false">IF(OR(AK$99="",$A71=""),"",IF(AND(ISNUMBER($G71),$G71&gt;=AK$99,$G71&lt;EDATE(AK$99,1)),"F",IF(AND(ISNUMBER($H71),$H71&gt;=AK$99,$H71&lt;EDATE(AK$99,1)),"D","")))</f>
        <v/>
      </c>
      <c r="AL105" s="71" t="str">
        <f aca="false">IF(OR(AL$99="",$A71=""),"",IF(AND(ISNUMBER($G71),$G71&gt;=AL$99,$G71&lt;EDATE(AL$99,1)),"F",IF(AND(ISNUMBER($H71),$H71&gt;=AL$99,$H71&lt;EDATE(AL$99,1)),"D","")))</f>
        <v/>
      </c>
      <c r="AM105" s="71" t="str">
        <f aca="false">IF(OR(AM$99="",$A71=""),"",IF(AND(ISNUMBER($G71),$G71&gt;=AM$99,$G71&lt;EDATE(AM$99,1)),"F",IF(AND(ISNUMBER($H71),$H71&gt;=AM$99,$H71&lt;EDATE(AM$99,1)),"D","")))</f>
        <v/>
      </c>
      <c r="AN105" s="71" t="str">
        <f aca="false">IF(OR(AN$99="",$A71=""),"",IF(AND(ISNUMBER($G71),$G71&gt;=AN$99,$G71&lt;EDATE(AN$99,1)),"F",IF(AND(ISNUMBER($H71),$H71&gt;=AN$99,$H71&lt;EDATE(AN$99,1)),"D","")))</f>
        <v/>
      </c>
      <c r="AO105" s="71" t="str">
        <f aca="false">IF(OR(AO$99="",$A71=""),"",IF(AND(ISNUMBER($G71),$G71&gt;=AO$99,$G71&lt;EDATE(AO$99,1)),"F",IF(AND(ISNUMBER($H71),$H71&gt;=AO$99,$H71&lt;EDATE(AO$99,1)),"D","")))</f>
        <v/>
      </c>
      <c r="AP105" s="71" t="str">
        <f aca="false">IF(OR(AP$99="",$A71=""),"",IF(AND(ISNUMBER($G71),$G71&gt;=AP$99,$G71&lt;EDATE(AP$99,1)),"F",IF(AND(ISNUMBER($H71),$H71&gt;=AP$99,$H71&lt;EDATE(AP$99,1)),"D","")))</f>
        <v/>
      </c>
      <c r="AQ105" s="71" t="str">
        <f aca="false">IF(OR(AQ$99="",$A71=""),"",IF(AND(ISNUMBER($G71),$G71&gt;=AQ$99,$G71&lt;EDATE(AQ$99,1)),"F",IF(AND(ISNUMBER($H71),$H71&gt;=AQ$99,$H71&lt;EDATE(AQ$99,1)),"D","")))</f>
        <v/>
      </c>
      <c r="AR105" s="71" t="str">
        <f aca="false">IF(OR(AR$99="",$A71=""),"",IF(AND(ISNUMBER($G71),$G71&gt;=AR$99,$G71&lt;EDATE(AR$99,1)),"F",IF(AND(ISNUMBER($H71),$H71&gt;=AR$99,$H71&lt;EDATE(AR$99,1)),"D","")))</f>
        <v/>
      </c>
      <c r="AS105" s="71" t="str">
        <f aca="false">IF(OR(AS$99="",$A71=""),"",IF(AND(ISNUMBER($G71),$G71&gt;=AS$99,$G71&lt;EDATE(AS$99,1)),"F",IF(AND(ISNUMBER($H71),$H71&gt;=AS$99,$H71&lt;EDATE(AS$99,1)),"D","")))</f>
        <v/>
      </c>
      <c r="AT105" s="71" t="str">
        <f aca="false">IF(OR(AT$99="",$A71=""),"",IF(AND(ISNUMBER($G71),$G71&gt;=AT$99,$G71&lt;EDATE(AT$99,1)),"F",IF(AND(ISNUMBER($H71),$H71&gt;=AT$99,$H71&lt;EDATE(AT$99,1)),"D","")))</f>
        <v/>
      </c>
      <c r="AU105" s="71" t="str">
        <f aca="false">IF(OR(AU$99="",$A71=""),"",IF(AND(ISNUMBER($G71),$G71&gt;=AU$99,$G71&lt;EDATE(AU$99,1)),"F",IF(AND(ISNUMBER($H71),$H71&gt;=AU$99,$H71&lt;EDATE(AU$99,1)),"D","")))</f>
        <v/>
      </c>
      <c r="AV105" s="71" t="str">
        <f aca="false">IF(OR(AV$99="",$A71=""),"",IF(AND(ISNUMBER($G71),$G71&gt;=AV$99,$G71&lt;EDATE(AV$99,1)),"F",IF(AND(ISNUMBER($H71),$H71&gt;=AV$99,$H71&lt;EDATE(AV$99,1)),"D","")))</f>
        <v/>
      </c>
      <c r="AW105" s="71" t="str">
        <f aca="false">IF(OR(AW$99="",$A71=""),"",IF(AND(ISNUMBER($G71),$G71&gt;=AW$99,$G71&lt;EDATE(AW$99,1)),"F",IF(AND(ISNUMBER($H71),$H71&gt;=AW$99,$H71&lt;EDATE(AW$99,1)),"D","")))</f>
        <v/>
      </c>
      <c r="AX105" s="71" t="str">
        <f aca="false">IF(OR(AX$99="",$A71=""),"",IF(AND(ISNUMBER($G71),$G71&gt;=AX$99,$G71&lt;EDATE(AX$99,1)),"F",IF(AND(ISNUMBER($H71),$H71&gt;=AX$99,$H71&lt;EDATE(AX$99,1)),"D","")))</f>
        <v/>
      </c>
      <c r="AY105" s="71" t="str">
        <f aca="false">IF(OR(AY$99="",$A71=""),"",IF(AND(ISNUMBER($G71),$G71&gt;=AY$99,$G71&lt;EDATE(AY$99,1)),"F",IF(AND(ISNUMBER($H71),$H71&gt;=AY$99,$H71&lt;EDATE(AY$99,1)),"D","")))</f>
        <v/>
      </c>
      <c r="AZ105" s="71" t="str">
        <f aca="false">IF(OR(AZ$99="",$A71=""),"",IF(AND(ISNUMBER($G71),$G71&gt;=AZ$99,$G71&lt;EDATE(AZ$99,1)),"F",IF(AND(ISNUMBER($H71),$H71&gt;=AZ$99,$H71&lt;EDATE(AZ$99,1)),"D","")))</f>
        <v/>
      </c>
      <c r="BA105" s="71" t="str">
        <f aca="false">IF(OR(BA$99="",$A71=""),"",IF(AND(ISNUMBER($G71),$G71&gt;=BA$99,$G71&lt;EDATE(BA$99,1)),"F",IF(AND(ISNUMBER($H71),$H71&gt;=BA$99,$H71&lt;EDATE(BA$99,1)),"D","")))</f>
        <v/>
      </c>
      <c r="BB105" s="71" t="str">
        <f aca="false">IF(OR(BB$99="",$A71=""),"",IF(AND(ISNUMBER($G71),$G71&gt;=BB$99,$G71&lt;EDATE(BB$99,1)),"F",IF(AND(ISNUMBER($H71),$H71&gt;=BB$99,$H71&lt;EDATE(BB$99,1)),"D","")))</f>
        <v/>
      </c>
      <c r="BC105" s="71" t="str">
        <f aca="false">IF(OR(BC$99="",$A71=""),"",IF(AND(ISNUMBER($G71),$G71&gt;=BC$99,$G71&lt;EDATE(BC$99,1)),"F",IF(AND(ISNUMBER($H71),$H71&gt;=BC$99,$H71&lt;EDATE(BC$99,1)),"D","")))</f>
        <v/>
      </c>
      <c r="BD105" s="71" t="str">
        <f aca="false">IF(OR(BD$99="",$A71=""),"",IF(AND(ISNUMBER($G71),$G71&gt;=BD$99,$G71&lt;EDATE(BD$99,1)),"F",IF(AND(ISNUMBER($H71),$H71&gt;=BD$99,$H71&lt;EDATE(BD$99,1)),"D","")))</f>
        <v/>
      </c>
      <c r="BE105" s="71" t="str">
        <f aca="false">IF(OR(BE$99="",$A71=""),"",IF(AND(ISNUMBER($G71),$G71&gt;=BE$99,$G71&lt;EDATE(BE$99,1)),"F",IF(AND(ISNUMBER($H71),$H71&gt;=BE$99,$H71&lt;EDATE(BE$99,1)),"D","")))</f>
        <v/>
      </c>
      <c r="BF105" s="71" t="str">
        <f aca="false">IF(OR(BF$99="",$A71=""),"",IF(AND(ISNUMBER($G71),$G71&gt;=BF$99,$G71&lt;EDATE(BF$99,1)),"F",IF(AND(ISNUMBER($H71),$H71&gt;=BF$99,$H71&lt;EDATE(BF$99,1)),"D","")))</f>
        <v/>
      </c>
      <c r="BG105" s="71" t="str">
        <f aca="false">IF(OR(BG$99="",$A71=""),"",IF(AND(ISNUMBER($G71),$G71&gt;=BG$99,$G71&lt;EDATE(BG$99,1)),"F",IF(AND(ISNUMBER($H71),$H71&gt;=BG$99,$H71&lt;EDATE(BG$99,1)),"D","")))</f>
        <v/>
      </c>
      <c r="BH105" s="71" t="str">
        <f aca="false">IF(OR(BH$99="",$A71=""),"",IF(AND(ISNUMBER($G71),$G71&gt;=BH$99,$G71&lt;EDATE(BH$99,1)),"F",IF(AND(ISNUMBER($H71),$H71&gt;=BH$99,$H71&lt;EDATE(BH$99,1)),"D","")))</f>
        <v/>
      </c>
      <c r="BI105" s="71" t="str">
        <f aca="false">IF(OR(BI$99="",$A71=""),"",IF(AND(ISNUMBER($G71),$G71&gt;=BI$99,$G71&lt;EDATE(BI$99,1)),"F",IF(AND(ISNUMBER($H71),$H71&gt;=BI$99,$H71&lt;EDATE(BI$99,1)),"D","")))</f>
        <v/>
      </c>
      <c r="BJ105" s="71" t="str">
        <f aca="false">IF(OR(BJ$99="",$A71=""),"",IF(AND(ISNUMBER($G71),$G71&gt;=BJ$99,$G71&lt;EDATE(BJ$99,1)),"F",IF(AND(ISNUMBER($H71),$H71&gt;=BJ$99,$H71&lt;EDATE(BJ$99,1)),"D","")))</f>
        <v/>
      </c>
      <c r="BK105" s="71" t="str">
        <f aca="false">IF(OR(BK$99="",$A71=""),"",IF(AND(ISNUMBER($G71),$G71&gt;=BK$99,$G71&lt;EDATE(BK$99,1)),"F",IF(AND(ISNUMBER($H71),$H71&gt;=BK$99,$H71&lt;EDATE(BK$99,1)),"D","")))</f>
        <v/>
      </c>
      <c r="BL105" s="71" t="str">
        <f aca="false">IF(OR(BL$99="",$A71=""),"",IF(AND(ISNUMBER($G71),$G71&gt;=BL$99,$G71&lt;EDATE(BL$99,1)),"F",IF(AND(ISNUMBER($H71),$H71&gt;=BL$99,$H71&lt;EDATE(BL$99,1)),"D","")))</f>
        <v/>
      </c>
      <c r="BM105" s="71" t="str">
        <f aca="false">IF(OR(BM$99="",$A71=""),"",IF(AND(ISNUMBER($G71),$G71&gt;=BM$99,$G71&lt;EDATE(BM$99,1)),"F",IF(AND(ISNUMBER($H71),$H71&gt;=BM$99,$H71&lt;EDATE(BM$99,1)),"D","")))</f>
        <v/>
      </c>
      <c r="BN105" s="71" t="str">
        <f aca="false">IF(OR(BN$99="",$A71=""),"",IF(AND(ISNUMBER($G71),$G71&gt;=BN$99,$G71&lt;EDATE(BN$99,1)),"F",IF(AND(ISNUMBER($H71),$H71&gt;=BN$99,$H71&lt;EDATE(BN$99,1)),"D","")))</f>
        <v/>
      </c>
      <c r="BO105" s="71" t="str">
        <f aca="false">IF(OR(BO$99="",$A71=""),"",IF(AND(ISNUMBER($G71),$G71&gt;=BO$99,$G71&lt;EDATE(BO$99,1)),"F",IF(AND(ISNUMBER($H71),$H71&gt;=BO$99,$H71&lt;EDATE(BO$99,1)),"D","")))</f>
        <v/>
      </c>
      <c r="BP105" s="71" t="str">
        <f aca="false">IF(OR(BP$99="",$A71=""),"",IF(AND(ISNUMBER($G71),$G71&gt;=BP$99,$G71&lt;EDATE(BP$99,1)),"F",IF(AND(ISNUMBER($H71),$H71&gt;=BP$99,$H71&lt;EDATE(BP$99,1)),"D","")))</f>
        <v/>
      </c>
      <c r="BQ105" s="71" t="str">
        <f aca="false">IF(OR(BQ$99="",$A71=""),"",IF(AND(ISNUMBER($G71),$G71&gt;=BQ$99,$G71&lt;EDATE(BQ$99,1)),"F",IF(AND(ISNUMBER($H71),$H71&gt;=BQ$99,$H71&lt;EDATE(BQ$99,1)),"D","")))</f>
        <v/>
      </c>
      <c r="BR105" s="71" t="str">
        <f aca="false">IF(OR(BR$99="",$A71=""),"",IF(AND(ISNUMBER($G71),$G71&gt;=BR$99,$G71&lt;EDATE(BR$99,1)),"F",IF(AND(ISNUMBER($H71),$H71&gt;=BR$99,$H71&lt;EDATE(BR$99,1)),"D","")))</f>
        <v/>
      </c>
      <c r="BS105" s="71" t="str">
        <f aca="false">IF(OR(BS$99="",$A71=""),"",IF(AND(ISNUMBER($G71),$G71&gt;=BS$99,$G71&lt;EDATE(BS$99,1)),"F",IF(AND(ISNUMBER($H71),$H71&gt;=BS$99,$H71&lt;EDATE(BS$99,1)),"D","")))</f>
        <v/>
      </c>
      <c r="BT105" s="71" t="str">
        <f aca="false">IF(OR(BT$99="",$A71=""),"",IF(AND(ISNUMBER($G71),$G71&gt;=BT$99,$G71&lt;EDATE(BT$99,1)),"F",IF(AND(ISNUMBER($H71),$H71&gt;=BT$99,$H71&lt;EDATE(BT$99,1)),"D","")))</f>
        <v/>
      </c>
      <c r="BU105" s="71" t="str">
        <f aca="false">IF(OR(BU$99="",$A71=""),"",IF(AND(ISNUMBER($G71),$G71&gt;=BU$99,$G71&lt;EDATE(BU$99,1)),"F",IF(AND(ISNUMBER($H71),$H71&gt;=BU$99,$H71&lt;EDATE(BU$99,1)),"D","")))</f>
        <v/>
      </c>
      <c r="BV105" s="71" t="str">
        <f aca="false">IF(OR(BV$99="",$A71=""),"",IF(AND(ISNUMBER($G71),$G71&gt;=BV$99,$G71&lt;EDATE(BV$99,1)),"F",IF(AND(ISNUMBER($H71),$H71&gt;=BV$99,$H71&lt;EDATE(BV$99,1)),"D","")))</f>
        <v/>
      </c>
      <c r="BW105" s="71" t="str">
        <f aca="false">IF(OR(BW$99="",$A71=""),"",IF(AND(ISNUMBER($G71),$G71&gt;=BW$99,$G71&lt;EDATE(BW$99,1)),"F",IF(AND(ISNUMBER($H71),$H71&gt;=BW$99,$H71&lt;EDATE(BW$99,1)),"D","")))</f>
        <v/>
      </c>
      <c r="BX105" s="71" t="str">
        <f aca="false">IF(OR(BX$99="",$A71=""),"",IF(AND(ISNUMBER($G71),$G71&gt;=BX$99,$G71&lt;EDATE(BX$99,1)),"F",IF(AND(ISNUMBER($H71),$H71&gt;=BX$99,$H71&lt;EDATE(BX$99,1)),"D","")))</f>
        <v/>
      </c>
      <c r="BY105" s="71" t="str">
        <f aca="false">IF(OR(BY$99="",$A71=""),"",IF(AND(ISNUMBER($G71),$G71&gt;=BY$99,$G71&lt;EDATE(BY$99,1)),"F",IF(AND(ISNUMBER($H71),$H71&gt;=BY$99,$H71&lt;EDATE(BY$99,1)),"D","")))</f>
        <v/>
      </c>
      <c r="BZ105" s="71" t="str">
        <f aca="false">IF(OR(BZ$99="",$A71=""),"",IF(AND(ISNUMBER($G71),$G71&gt;=BZ$99,$G71&lt;EDATE(BZ$99,1)),"F",IF(AND(ISNUMBER($H71),$H71&gt;=BZ$99,$H71&lt;EDATE(BZ$99,1)),"D","")))</f>
        <v/>
      </c>
      <c r="CA105" s="71" t="str">
        <f aca="false">IF(OR(CA$99="",$A71=""),"",IF(AND(ISNUMBER($G71),$G71&gt;=CA$99,$G71&lt;EDATE(CA$99,1)),"F",IF(AND(ISNUMBER($H71),$H71&gt;=CA$99,$H71&lt;EDATE(CA$99,1)),"D","")))</f>
        <v/>
      </c>
      <c r="CB105" s="71" t="str">
        <f aca="false">IF(OR(CB$99="",$A71=""),"",IF(AND(ISNUMBER($G71),$G71&gt;=CB$99,$G71&lt;EDATE(CB$99,1)),"F",IF(AND(ISNUMBER($H71),$H71&gt;=CB$99,$H71&lt;EDATE(CB$99,1)),"D","")))</f>
        <v/>
      </c>
      <c r="CC105" s="71" t="str">
        <f aca="false">IF(OR(CC$99="",$A71=""),"",IF(AND(ISNUMBER($G71),$G71&gt;=CC$99,$G71&lt;EDATE(CC$99,1)),"F",IF(AND(ISNUMBER($H71),$H71&gt;=CC$99,$H71&lt;EDATE(CC$99,1)),"D","")))</f>
        <v/>
      </c>
      <c r="CD105" s="71" t="str">
        <f aca="false">IF(OR(CD$99="",$A71=""),"",IF(AND(ISNUMBER($G71),$G71&gt;=CD$99,$G71&lt;EDATE(CD$99,1)),"F",IF(AND(ISNUMBER($H71),$H71&gt;=CD$99,$H71&lt;EDATE(CD$99,1)),"D","")))</f>
        <v/>
      </c>
      <c r="CE105" s="71" t="str">
        <f aca="false">IF(OR(CE$99="",$A71=""),"",IF(AND(ISNUMBER($G71),$G71&gt;=CE$99,$G71&lt;EDATE(CE$99,1)),"F",IF(AND(ISNUMBER($H71),$H71&gt;=CE$99,$H71&lt;EDATE(CE$99,1)),"D","")))</f>
        <v/>
      </c>
      <c r="CF105" s="71" t="str">
        <f aca="false">IF(OR(CF$99="",$A71=""),"",IF(AND(ISNUMBER($G71),$G71&gt;=CF$99,$G71&lt;EDATE(CF$99,1)),"F",IF(AND(ISNUMBER($H71),$H71&gt;=CF$99,$H71&lt;EDATE(CF$99,1)),"D","")))</f>
        <v/>
      </c>
      <c r="CG105" s="71" t="str">
        <f aca="false">IF(OR(CG$99="",$A71=""),"",IF(AND(ISNUMBER($G71),$G71&gt;=CG$99,$G71&lt;EDATE(CG$99,1)),"F",IF(AND(ISNUMBER($H71),$H71&gt;=CG$99,$H71&lt;EDATE(CG$99,1)),"D","")))</f>
        <v/>
      </c>
      <c r="CH105" s="71" t="str">
        <f aca="false">IF(OR(CH$99="",$A71=""),"",IF(AND(ISNUMBER($G71),$G71&gt;=CH$99,$G71&lt;EDATE(CH$99,1)),"F",IF(AND(ISNUMBER($H71),$H71&gt;=CH$99,$H71&lt;EDATE(CH$99,1)),"D","")))</f>
        <v/>
      </c>
      <c r="CI105" s="71" t="str">
        <f aca="false">IF(OR(CI$99="",$A71=""),"",IF(AND(ISNUMBER($G71),$G71&gt;=CI$99,$G71&lt;EDATE(CI$99,1)),"F",IF(AND(ISNUMBER($H71),$H71&gt;=CI$99,$H71&lt;EDATE(CI$99,1)),"D","")))</f>
        <v/>
      </c>
      <c r="CJ105" s="71" t="str">
        <f aca="false">IF(OR(CJ$99="",$A71=""),"",IF(AND(ISNUMBER($G71),$G71&gt;=CJ$99,$G71&lt;EDATE(CJ$99,1)),"F",IF(AND(ISNUMBER($H71),$H71&gt;=CJ$99,$H71&lt;EDATE(CJ$99,1)),"D","")))</f>
        <v/>
      </c>
      <c r="CK105" s="71" t="str">
        <f aca="false">IF(OR(CK$99="",$A71=""),"",IF(AND(ISNUMBER($G71),$G71&gt;=CK$99,$G71&lt;EDATE(CK$99,1)),"F",IF(AND(ISNUMBER($H71),$H71&gt;=CK$99,$H71&lt;EDATE(CK$99,1)),"D","")))</f>
        <v/>
      </c>
    </row>
    <row r="106" customFormat="false" ht="15" hidden="false" customHeight="false" outlineLevel="0" collapsed="false">
      <c r="A106" s="74" t="str">
        <f aca="false">IF($A72="","",$A72)</f>
        <v>A002-SHA</v>
      </c>
      <c r="B106" s="74" t="str">
        <f aca="false">IF($A72="","",$B72)</f>
        <v/>
      </c>
      <c r="R106" s="71" t="str">
        <f aca="false">IF(OR(R$99="",$A72=""),"",IF(AND(ISNUMBER($G72),$G72&gt;=R$99,$G72&lt;EDATE(R$99,1)),"F",IF(AND(ISNUMBER($H72),$H72&gt;=R$99,$H72&lt;EDATE(R$99,1)),"D","")))</f>
        <v/>
      </c>
      <c r="S106" s="71" t="str">
        <f aca="false">IF(OR(S$99="",$A72=""),"",IF(AND(ISNUMBER($G72),$G72&gt;=S$99,$G72&lt;EDATE(S$99,1)),"F",IF(AND(ISNUMBER($H72),$H72&gt;=S$99,$H72&lt;EDATE(S$99,1)),"D","")))</f>
        <v/>
      </c>
      <c r="T106" s="71" t="str">
        <f aca="false">IF(OR(T$99="",$A72=""),"",IF(AND(ISNUMBER($G72),$G72&gt;=T$99,$G72&lt;EDATE(T$99,1)),"F",IF(AND(ISNUMBER($H72),$H72&gt;=T$99,$H72&lt;EDATE(T$99,1)),"D","")))</f>
        <v/>
      </c>
      <c r="U106" s="71" t="str">
        <f aca="false">IF(OR(U$99="",$A72=""),"",IF(AND(ISNUMBER($G72),$G72&gt;=U$99,$G72&lt;EDATE(U$99,1)),"F",IF(AND(ISNUMBER($H72),$H72&gt;=U$99,$H72&lt;EDATE(U$99,1)),"D","")))</f>
        <v/>
      </c>
      <c r="V106" s="71" t="str">
        <f aca="false">IF(OR(V$99="",$A72=""),"",IF(AND(ISNUMBER($G72),$G72&gt;=V$99,$G72&lt;EDATE(V$99,1)),"F",IF(AND(ISNUMBER($H72),$H72&gt;=V$99,$H72&lt;EDATE(V$99,1)),"D","")))</f>
        <v/>
      </c>
      <c r="W106" s="71" t="str">
        <f aca="false">IF(OR(W$99="",$A72=""),"",IF(AND(ISNUMBER($G72),$G72&gt;=W$99,$G72&lt;EDATE(W$99,1)),"F",IF(AND(ISNUMBER($H72),$H72&gt;=W$99,$H72&lt;EDATE(W$99,1)),"D","")))</f>
        <v/>
      </c>
      <c r="X106" s="71" t="str">
        <f aca="false">IF(OR(X$99="",$A72=""),"",IF(AND(ISNUMBER($G72),$G72&gt;=X$99,$G72&lt;EDATE(X$99,1)),"F",IF(AND(ISNUMBER($H72),$H72&gt;=X$99,$H72&lt;EDATE(X$99,1)),"D","")))</f>
        <v/>
      </c>
      <c r="Y106" s="71" t="str">
        <f aca="false">IF(OR(Y$99="",$A72=""),"",IF(AND(ISNUMBER($G72),$G72&gt;=Y$99,$G72&lt;EDATE(Y$99,1)),"F",IF(AND(ISNUMBER($H72),$H72&gt;=Y$99,$H72&lt;EDATE(Y$99,1)),"D","")))</f>
        <v/>
      </c>
      <c r="Z106" s="71" t="str">
        <f aca="false">IF(OR(Z$99="",$A72=""),"",IF(AND(ISNUMBER($G72),$G72&gt;=Z$99,$G72&lt;EDATE(Z$99,1)),"F",IF(AND(ISNUMBER($H72),$H72&gt;=Z$99,$H72&lt;EDATE(Z$99,1)),"D","")))</f>
        <v/>
      </c>
      <c r="AA106" s="71" t="str">
        <f aca="false">IF(OR(AA$99="",$A72=""),"",IF(AND(ISNUMBER($G72),$G72&gt;=AA$99,$G72&lt;EDATE(AA$99,1)),"F",IF(AND(ISNUMBER($H72),$H72&gt;=AA$99,$H72&lt;EDATE(AA$99,1)),"D","")))</f>
        <v/>
      </c>
      <c r="AB106" s="71" t="str">
        <f aca="false">IF(OR(AB$99="",$A72=""),"",IF(AND(ISNUMBER($G72),$G72&gt;=AB$99,$G72&lt;EDATE(AB$99,1)),"F",IF(AND(ISNUMBER($H72),$H72&gt;=AB$99,$H72&lt;EDATE(AB$99,1)),"D","")))</f>
        <v/>
      </c>
      <c r="AC106" s="71" t="str">
        <f aca="false">IF(OR(AC$99="",$A72=""),"",IF(AND(ISNUMBER($G72),$G72&gt;=AC$99,$G72&lt;EDATE(AC$99,1)),"F",IF(AND(ISNUMBER($H72),$H72&gt;=AC$99,$H72&lt;EDATE(AC$99,1)),"D","")))</f>
        <v/>
      </c>
      <c r="AD106" s="71" t="str">
        <f aca="false">IF(OR(AD$99="",$A72=""),"",IF(AND(ISNUMBER($G72),$G72&gt;=AD$99,$G72&lt;EDATE(AD$99,1)),"F",IF(AND(ISNUMBER($H72),$H72&gt;=AD$99,$H72&lt;EDATE(AD$99,1)),"D","")))</f>
        <v/>
      </c>
      <c r="AE106" s="71" t="str">
        <f aca="false">IF(OR(AE$99="",$A72=""),"",IF(AND(ISNUMBER($G72),$G72&gt;=AE$99,$G72&lt;EDATE(AE$99,1)),"F",IF(AND(ISNUMBER($H72),$H72&gt;=AE$99,$H72&lt;EDATE(AE$99,1)),"D","")))</f>
        <v/>
      </c>
      <c r="AF106" s="71" t="str">
        <f aca="false">IF(OR(AF$99="",$A72=""),"",IF(AND(ISNUMBER($G72),$G72&gt;=AF$99,$G72&lt;EDATE(AF$99,1)),"F",IF(AND(ISNUMBER($H72),$H72&gt;=AF$99,$H72&lt;EDATE(AF$99,1)),"D","")))</f>
        <v/>
      </c>
      <c r="AG106" s="71" t="str">
        <f aca="false">IF(OR(AG$99="",$A72=""),"",IF(AND(ISNUMBER($G72),$G72&gt;=AG$99,$G72&lt;EDATE(AG$99,1)),"F",IF(AND(ISNUMBER($H72),$H72&gt;=AG$99,$H72&lt;EDATE(AG$99,1)),"D","")))</f>
        <v/>
      </c>
      <c r="AH106" s="71" t="str">
        <f aca="false">IF(OR(AH$99="",$A72=""),"",IF(AND(ISNUMBER($G72),$G72&gt;=AH$99,$G72&lt;EDATE(AH$99,1)),"F",IF(AND(ISNUMBER($H72),$H72&gt;=AH$99,$H72&lt;EDATE(AH$99,1)),"D","")))</f>
        <v/>
      </c>
      <c r="AI106" s="71" t="str">
        <f aca="false">IF(OR(AI$99="",$A72=""),"",IF(AND(ISNUMBER($G72),$G72&gt;=AI$99,$G72&lt;EDATE(AI$99,1)),"F",IF(AND(ISNUMBER($H72),$H72&gt;=AI$99,$H72&lt;EDATE(AI$99,1)),"D","")))</f>
        <v/>
      </c>
      <c r="AJ106" s="71" t="str">
        <f aca="false">IF(OR(AJ$99="",$A72=""),"",IF(AND(ISNUMBER($G72),$G72&gt;=AJ$99,$G72&lt;EDATE(AJ$99,1)),"F",IF(AND(ISNUMBER($H72),$H72&gt;=AJ$99,$H72&lt;EDATE(AJ$99,1)),"D","")))</f>
        <v/>
      </c>
      <c r="AK106" s="71" t="str">
        <f aca="false">IF(OR(AK$99="",$A72=""),"",IF(AND(ISNUMBER($G72),$G72&gt;=AK$99,$G72&lt;EDATE(AK$99,1)),"F",IF(AND(ISNUMBER($H72),$H72&gt;=AK$99,$H72&lt;EDATE(AK$99,1)),"D","")))</f>
        <v/>
      </c>
      <c r="AL106" s="71" t="str">
        <f aca="false">IF(OR(AL$99="",$A72=""),"",IF(AND(ISNUMBER($G72),$G72&gt;=AL$99,$G72&lt;EDATE(AL$99,1)),"F",IF(AND(ISNUMBER($H72),$H72&gt;=AL$99,$H72&lt;EDATE(AL$99,1)),"D","")))</f>
        <v/>
      </c>
      <c r="AM106" s="71" t="str">
        <f aca="false">IF(OR(AM$99="",$A72=""),"",IF(AND(ISNUMBER($G72),$G72&gt;=AM$99,$G72&lt;EDATE(AM$99,1)),"F",IF(AND(ISNUMBER($H72),$H72&gt;=AM$99,$H72&lt;EDATE(AM$99,1)),"D","")))</f>
        <v/>
      </c>
      <c r="AN106" s="71" t="str">
        <f aca="false">IF(OR(AN$99="",$A72=""),"",IF(AND(ISNUMBER($G72),$G72&gt;=AN$99,$G72&lt;EDATE(AN$99,1)),"F",IF(AND(ISNUMBER($H72),$H72&gt;=AN$99,$H72&lt;EDATE(AN$99,1)),"D","")))</f>
        <v/>
      </c>
      <c r="AO106" s="71" t="str">
        <f aca="false">IF(OR(AO$99="",$A72=""),"",IF(AND(ISNUMBER($G72),$G72&gt;=AO$99,$G72&lt;EDATE(AO$99,1)),"F",IF(AND(ISNUMBER($H72),$H72&gt;=AO$99,$H72&lt;EDATE(AO$99,1)),"D","")))</f>
        <v/>
      </c>
      <c r="AP106" s="71" t="str">
        <f aca="false">IF(OR(AP$99="",$A72=""),"",IF(AND(ISNUMBER($G72),$G72&gt;=AP$99,$G72&lt;EDATE(AP$99,1)),"F",IF(AND(ISNUMBER($H72),$H72&gt;=AP$99,$H72&lt;EDATE(AP$99,1)),"D","")))</f>
        <v/>
      </c>
      <c r="AQ106" s="71" t="str">
        <f aca="false">IF(OR(AQ$99="",$A72=""),"",IF(AND(ISNUMBER($G72),$G72&gt;=AQ$99,$G72&lt;EDATE(AQ$99,1)),"F",IF(AND(ISNUMBER($H72),$H72&gt;=AQ$99,$H72&lt;EDATE(AQ$99,1)),"D","")))</f>
        <v/>
      </c>
      <c r="AR106" s="71" t="str">
        <f aca="false">IF(OR(AR$99="",$A72=""),"",IF(AND(ISNUMBER($G72),$G72&gt;=AR$99,$G72&lt;EDATE(AR$99,1)),"F",IF(AND(ISNUMBER($H72),$H72&gt;=AR$99,$H72&lt;EDATE(AR$99,1)),"D","")))</f>
        <v/>
      </c>
      <c r="AS106" s="71" t="str">
        <f aca="false">IF(OR(AS$99="",$A72=""),"",IF(AND(ISNUMBER($G72),$G72&gt;=AS$99,$G72&lt;EDATE(AS$99,1)),"F",IF(AND(ISNUMBER($H72),$H72&gt;=AS$99,$H72&lt;EDATE(AS$99,1)),"D","")))</f>
        <v/>
      </c>
      <c r="AT106" s="71" t="str">
        <f aca="false">IF(OR(AT$99="",$A72=""),"",IF(AND(ISNUMBER($G72),$G72&gt;=AT$99,$G72&lt;EDATE(AT$99,1)),"F",IF(AND(ISNUMBER($H72),$H72&gt;=AT$99,$H72&lt;EDATE(AT$99,1)),"D","")))</f>
        <v/>
      </c>
      <c r="AU106" s="71" t="str">
        <f aca="false">IF(OR(AU$99="",$A72=""),"",IF(AND(ISNUMBER($G72),$G72&gt;=AU$99,$G72&lt;EDATE(AU$99,1)),"F",IF(AND(ISNUMBER($H72),$H72&gt;=AU$99,$H72&lt;EDATE(AU$99,1)),"D","")))</f>
        <v/>
      </c>
      <c r="AV106" s="71" t="str">
        <f aca="false">IF(OR(AV$99="",$A72=""),"",IF(AND(ISNUMBER($G72),$G72&gt;=AV$99,$G72&lt;EDATE(AV$99,1)),"F",IF(AND(ISNUMBER($H72),$H72&gt;=AV$99,$H72&lt;EDATE(AV$99,1)),"D","")))</f>
        <v/>
      </c>
      <c r="AW106" s="71" t="str">
        <f aca="false">IF(OR(AW$99="",$A72=""),"",IF(AND(ISNUMBER($G72),$G72&gt;=AW$99,$G72&lt;EDATE(AW$99,1)),"F",IF(AND(ISNUMBER($H72),$H72&gt;=AW$99,$H72&lt;EDATE(AW$99,1)),"D","")))</f>
        <v/>
      </c>
      <c r="AX106" s="71" t="str">
        <f aca="false">IF(OR(AX$99="",$A72=""),"",IF(AND(ISNUMBER($G72),$G72&gt;=AX$99,$G72&lt;EDATE(AX$99,1)),"F",IF(AND(ISNUMBER($H72),$H72&gt;=AX$99,$H72&lt;EDATE(AX$99,1)),"D","")))</f>
        <v/>
      </c>
      <c r="AY106" s="71" t="str">
        <f aca="false">IF(OR(AY$99="",$A72=""),"",IF(AND(ISNUMBER($G72),$G72&gt;=AY$99,$G72&lt;EDATE(AY$99,1)),"F",IF(AND(ISNUMBER($H72),$H72&gt;=AY$99,$H72&lt;EDATE(AY$99,1)),"D","")))</f>
        <v/>
      </c>
      <c r="AZ106" s="71" t="str">
        <f aca="false">IF(OR(AZ$99="",$A72=""),"",IF(AND(ISNUMBER($G72),$G72&gt;=AZ$99,$G72&lt;EDATE(AZ$99,1)),"F",IF(AND(ISNUMBER($H72),$H72&gt;=AZ$99,$H72&lt;EDATE(AZ$99,1)),"D","")))</f>
        <v/>
      </c>
      <c r="BA106" s="71" t="str">
        <f aca="false">IF(OR(BA$99="",$A72=""),"",IF(AND(ISNUMBER($G72),$G72&gt;=BA$99,$G72&lt;EDATE(BA$99,1)),"F",IF(AND(ISNUMBER($H72),$H72&gt;=BA$99,$H72&lt;EDATE(BA$99,1)),"D","")))</f>
        <v/>
      </c>
      <c r="BB106" s="71" t="str">
        <f aca="false">IF(OR(BB$99="",$A72=""),"",IF(AND(ISNUMBER($G72),$G72&gt;=BB$99,$G72&lt;EDATE(BB$99,1)),"F",IF(AND(ISNUMBER($H72),$H72&gt;=BB$99,$H72&lt;EDATE(BB$99,1)),"D","")))</f>
        <v/>
      </c>
      <c r="BC106" s="71" t="str">
        <f aca="false">IF(OR(BC$99="",$A72=""),"",IF(AND(ISNUMBER($G72),$G72&gt;=BC$99,$G72&lt;EDATE(BC$99,1)),"F",IF(AND(ISNUMBER($H72),$H72&gt;=BC$99,$H72&lt;EDATE(BC$99,1)),"D","")))</f>
        <v/>
      </c>
      <c r="BD106" s="71" t="str">
        <f aca="false">IF(OR(BD$99="",$A72=""),"",IF(AND(ISNUMBER($G72),$G72&gt;=BD$99,$G72&lt;EDATE(BD$99,1)),"F",IF(AND(ISNUMBER($H72),$H72&gt;=BD$99,$H72&lt;EDATE(BD$99,1)),"D","")))</f>
        <v/>
      </c>
      <c r="BE106" s="71" t="str">
        <f aca="false">IF(OR(BE$99="",$A72=""),"",IF(AND(ISNUMBER($G72),$G72&gt;=BE$99,$G72&lt;EDATE(BE$99,1)),"F",IF(AND(ISNUMBER($H72),$H72&gt;=BE$99,$H72&lt;EDATE(BE$99,1)),"D","")))</f>
        <v/>
      </c>
      <c r="BF106" s="71" t="str">
        <f aca="false">IF(OR(BF$99="",$A72=""),"",IF(AND(ISNUMBER($G72),$G72&gt;=BF$99,$G72&lt;EDATE(BF$99,1)),"F",IF(AND(ISNUMBER($H72),$H72&gt;=BF$99,$H72&lt;EDATE(BF$99,1)),"D","")))</f>
        <v/>
      </c>
      <c r="BG106" s="71" t="str">
        <f aca="false">IF(OR(BG$99="",$A72=""),"",IF(AND(ISNUMBER($G72),$G72&gt;=BG$99,$G72&lt;EDATE(BG$99,1)),"F",IF(AND(ISNUMBER($H72),$H72&gt;=BG$99,$H72&lt;EDATE(BG$99,1)),"D","")))</f>
        <v/>
      </c>
      <c r="BH106" s="71" t="str">
        <f aca="false">IF(OR(BH$99="",$A72=""),"",IF(AND(ISNUMBER($G72),$G72&gt;=BH$99,$G72&lt;EDATE(BH$99,1)),"F",IF(AND(ISNUMBER($H72),$H72&gt;=BH$99,$H72&lt;EDATE(BH$99,1)),"D","")))</f>
        <v/>
      </c>
      <c r="BI106" s="71" t="str">
        <f aca="false">IF(OR(BI$99="",$A72=""),"",IF(AND(ISNUMBER($G72),$G72&gt;=BI$99,$G72&lt;EDATE(BI$99,1)),"F",IF(AND(ISNUMBER($H72),$H72&gt;=BI$99,$H72&lt;EDATE(BI$99,1)),"D","")))</f>
        <v/>
      </c>
      <c r="BJ106" s="71" t="str">
        <f aca="false">IF(OR(BJ$99="",$A72=""),"",IF(AND(ISNUMBER($G72),$G72&gt;=BJ$99,$G72&lt;EDATE(BJ$99,1)),"F",IF(AND(ISNUMBER($H72),$H72&gt;=BJ$99,$H72&lt;EDATE(BJ$99,1)),"D","")))</f>
        <v/>
      </c>
      <c r="BK106" s="71" t="str">
        <f aca="false">IF(OR(BK$99="",$A72=""),"",IF(AND(ISNUMBER($G72),$G72&gt;=BK$99,$G72&lt;EDATE(BK$99,1)),"F",IF(AND(ISNUMBER($H72),$H72&gt;=BK$99,$H72&lt;EDATE(BK$99,1)),"D","")))</f>
        <v/>
      </c>
      <c r="BL106" s="71" t="str">
        <f aca="false">IF(OR(BL$99="",$A72=""),"",IF(AND(ISNUMBER($G72),$G72&gt;=BL$99,$G72&lt;EDATE(BL$99,1)),"F",IF(AND(ISNUMBER($H72),$H72&gt;=BL$99,$H72&lt;EDATE(BL$99,1)),"D","")))</f>
        <v/>
      </c>
      <c r="BM106" s="71" t="str">
        <f aca="false">IF(OR(BM$99="",$A72=""),"",IF(AND(ISNUMBER($G72),$G72&gt;=BM$99,$G72&lt;EDATE(BM$99,1)),"F",IF(AND(ISNUMBER($H72),$H72&gt;=BM$99,$H72&lt;EDATE(BM$99,1)),"D","")))</f>
        <v/>
      </c>
      <c r="BN106" s="71" t="str">
        <f aca="false">IF(OR(BN$99="",$A72=""),"",IF(AND(ISNUMBER($G72),$G72&gt;=BN$99,$G72&lt;EDATE(BN$99,1)),"F",IF(AND(ISNUMBER($H72),$H72&gt;=BN$99,$H72&lt;EDATE(BN$99,1)),"D","")))</f>
        <v/>
      </c>
      <c r="BO106" s="71" t="str">
        <f aca="false">IF(OR(BO$99="",$A72=""),"",IF(AND(ISNUMBER($G72),$G72&gt;=BO$99,$G72&lt;EDATE(BO$99,1)),"F",IF(AND(ISNUMBER($H72),$H72&gt;=BO$99,$H72&lt;EDATE(BO$99,1)),"D","")))</f>
        <v/>
      </c>
      <c r="BP106" s="71" t="str">
        <f aca="false">IF(OR(BP$99="",$A72=""),"",IF(AND(ISNUMBER($G72),$G72&gt;=BP$99,$G72&lt;EDATE(BP$99,1)),"F",IF(AND(ISNUMBER($H72),$H72&gt;=BP$99,$H72&lt;EDATE(BP$99,1)),"D","")))</f>
        <v/>
      </c>
      <c r="BQ106" s="71" t="str">
        <f aca="false">IF(OR(BQ$99="",$A72=""),"",IF(AND(ISNUMBER($G72),$G72&gt;=BQ$99,$G72&lt;EDATE(BQ$99,1)),"F",IF(AND(ISNUMBER($H72),$H72&gt;=BQ$99,$H72&lt;EDATE(BQ$99,1)),"D","")))</f>
        <v/>
      </c>
      <c r="BR106" s="71" t="str">
        <f aca="false">IF(OR(BR$99="",$A72=""),"",IF(AND(ISNUMBER($G72),$G72&gt;=BR$99,$G72&lt;EDATE(BR$99,1)),"F",IF(AND(ISNUMBER($H72),$H72&gt;=BR$99,$H72&lt;EDATE(BR$99,1)),"D","")))</f>
        <v/>
      </c>
      <c r="BS106" s="71" t="str">
        <f aca="false">IF(OR(BS$99="",$A72=""),"",IF(AND(ISNUMBER($G72),$G72&gt;=BS$99,$G72&lt;EDATE(BS$99,1)),"F",IF(AND(ISNUMBER($H72),$H72&gt;=BS$99,$H72&lt;EDATE(BS$99,1)),"D","")))</f>
        <v/>
      </c>
      <c r="BT106" s="71" t="str">
        <f aca="false">IF(OR(BT$99="",$A72=""),"",IF(AND(ISNUMBER($G72),$G72&gt;=BT$99,$G72&lt;EDATE(BT$99,1)),"F",IF(AND(ISNUMBER($H72),$H72&gt;=BT$99,$H72&lt;EDATE(BT$99,1)),"D","")))</f>
        <v/>
      </c>
      <c r="BU106" s="71" t="str">
        <f aca="false">IF(OR(BU$99="",$A72=""),"",IF(AND(ISNUMBER($G72),$G72&gt;=BU$99,$G72&lt;EDATE(BU$99,1)),"F",IF(AND(ISNUMBER($H72),$H72&gt;=BU$99,$H72&lt;EDATE(BU$99,1)),"D","")))</f>
        <v/>
      </c>
      <c r="BV106" s="71" t="str">
        <f aca="false">IF(OR(BV$99="",$A72=""),"",IF(AND(ISNUMBER($G72),$G72&gt;=BV$99,$G72&lt;EDATE(BV$99,1)),"F",IF(AND(ISNUMBER($H72),$H72&gt;=BV$99,$H72&lt;EDATE(BV$99,1)),"D","")))</f>
        <v/>
      </c>
      <c r="BW106" s="71" t="str">
        <f aca="false">IF(OR(BW$99="",$A72=""),"",IF(AND(ISNUMBER($G72),$G72&gt;=BW$99,$G72&lt;EDATE(BW$99,1)),"F",IF(AND(ISNUMBER($H72),$H72&gt;=BW$99,$H72&lt;EDATE(BW$99,1)),"D","")))</f>
        <v/>
      </c>
      <c r="BX106" s="71" t="str">
        <f aca="false">IF(OR(BX$99="",$A72=""),"",IF(AND(ISNUMBER($G72),$G72&gt;=BX$99,$G72&lt;EDATE(BX$99,1)),"F",IF(AND(ISNUMBER($H72),$H72&gt;=BX$99,$H72&lt;EDATE(BX$99,1)),"D","")))</f>
        <v/>
      </c>
      <c r="BY106" s="71" t="str">
        <f aca="false">IF(OR(BY$99="",$A72=""),"",IF(AND(ISNUMBER($G72),$G72&gt;=BY$99,$G72&lt;EDATE(BY$99,1)),"F",IF(AND(ISNUMBER($H72),$H72&gt;=BY$99,$H72&lt;EDATE(BY$99,1)),"D","")))</f>
        <v/>
      </c>
      <c r="BZ106" s="71" t="str">
        <f aca="false">IF(OR(BZ$99="",$A72=""),"",IF(AND(ISNUMBER($G72),$G72&gt;=BZ$99,$G72&lt;EDATE(BZ$99,1)),"F",IF(AND(ISNUMBER($H72),$H72&gt;=BZ$99,$H72&lt;EDATE(BZ$99,1)),"D","")))</f>
        <v/>
      </c>
      <c r="CA106" s="71" t="str">
        <f aca="false">IF(OR(CA$99="",$A72=""),"",IF(AND(ISNUMBER($G72),$G72&gt;=CA$99,$G72&lt;EDATE(CA$99,1)),"F",IF(AND(ISNUMBER($H72),$H72&gt;=CA$99,$H72&lt;EDATE(CA$99,1)),"D","")))</f>
        <v/>
      </c>
      <c r="CB106" s="71" t="str">
        <f aca="false">IF(OR(CB$99="",$A72=""),"",IF(AND(ISNUMBER($G72),$G72&gt;=CB$99,$G72&lt;EDATE(CB$99,1)),"F",IF(AND(ISNUMBER($H72),$H72&gt;=CB$99,$H72&lt;EDATE(CB$99,1)),"D","")))</f>
        <v/>
      </c>
      <c r="CC106" s="71" t="str">
        <f aca="false">IF(OR(CC$99="",$A72=""),"",IF(AND(ISNUMBER($G72),$G72&gt;=CC$99,$G72&lt;EDATE(CC$99,1)),"F",IF(AND(ISNUMBER($H72),$H72&gt;=CC$99,$H72&lt;EDATE(CC$99,1)),"D","")))</f>
        <v/>
      </c>
      <c r="CD106" s="71" t="str">
        <f aca="false">IF(OR(CD$99="",$A72=""),"",IF(AND(ISNUMBER($G72),$G72&gt;=CD$99,$G72&lt;EDATE(CD$99,1)),"F",IF(AND(ISNUMBER($H72),$H72&gt;=CD$99,$H72&lt;EDATE(CD$99,1)),"D","")))</f>
        <v/>
      </c>
      <c r="CE106" s="71" t="str">
        <f aca="false">IF(OR(CE$99="",$A72=""),"",IF(AND(ISNUMBER($G72),$G72&gt;=CE$99,$G72&lt;EDATE(CE$99,1)),"F",IF(AND(ISNUMBER($H72),$H72&gt;=CE$99,$H72&lt;EDATE(CE$99,1)),"D","")))</f>
        <v/>
      </c>
      <c r="CF106" s="71" t="str">
        <f aca="false">IF(OR(CF$99="",$A72=""),"",IF(AND(ISNUMBER($G72),$G72&gt;=CF$99,$G72&lt;EDATE(CF$99,1)),"F",IF(AND(ISNUMBER($H72),$H72&gt;=CF$99,$H72&lt;EDATE(CF$99,1)),"D","")))</f>
        <v/>
      </c>
      <c r="CG106" s="71" t="str">
        <f aca="false">IF(OR(CG$99="",$A72=""),"",IF(AND(ISNUMBER($G72),$G72&gt;=CG$99,$G72&lt;EDATE(CG$99,1)),"F",IF(AND(ISNUMBER($H72),$H72&gt;=CG$99,$H72&lt;EDATE(CG$99,1)),"D","")))</f>
        <v/>
      </c>
      <c r="CH106" s="71" t="str">
        <f aca="false">IF(OR(CH$99="",$A72=""),"",IF(AND(ISNUMBER($G72),$G72&gt;=CH$99,$G72&lt;EDATE(CH$99,1)),"F",IF(AND(ISNUMBER($H72),$H72&gt;=CH$99,$H72&lt;EDATE(CH$99,1)),"D","")))</f>
        <v/>
      </c>
      <c r="CI106" s="71" t="str">
        <f aca="false">IF(OR(CI$99="",$A72=""),"",IF(AND(ISNUMBER($G72),$G72&gt;=CI$99,$G72&lt;EDATE(CI$99,1)),"F",IF(AND(ISNUMBER($H72),$H72&gt;=CI$99,$H72&lt;EDATE(CI$99,1)),"D","")))</f>
        <v/>
      </c>
      <c r="CJ106" s="71" t="str">
        <f aca="false">IF(OR(CJ$99="",$A72=""),"",IF(AND(ISNUMBER($G72),$G72&gt;=CJ$99,$G72&lt;EDATE(CJ$99,1)),"F",IF(AND(ISNUMBER($H72),$H72&gt;=CJ$99,$H72&lt;EDATE(CJ$99,1)),"D","")))</f>
        <v/>
      </c>
      <c r="CK106" s="71" t="str">
        <f aca="false">IF(OR(CK$99="",$A72=""),"",IF(AND(ISNUMBER($G72),$G72&gt;=CK$99,$G72&lt;EDATE(CK$99,1)),"F",IF(AND(ISNUMBER($H72),$H72&gt;=CK$99,$H72&lt;EDATE(CK$99,1)),"D","")))</f>
        <v/>
      </c>
    </row>
    <row r="107" customFormat="false" ht="15" hidden="false" customHeight="false" outlineLevel="0" collapsed="false">
      <c r="A107" s="74" t="str">
        <f aca="false">IF($A73="","",$A73)</f>
        <v>A002-OSHA</v>
      </c>
      <c r="B107" s="74" t="str">
        <f aca="false">IF($A73="","",$B73)</f>
        <v/>
      </c>
      <c r="R107" s="71" t="str">
        <f aca="false">IF(OR(R$99="",$A73=""),"",IF(AND(ISNUMBER($G73),$G73&gt;=R$99,$G73&lt;EDATE(R$99,1)),"F",IF(AND(ISNUMBER($H73),$H73&gt;=R$99,$H73&lt;EDATE(R$99,1)),"D","")))</f>
        <v/>
      </c>
      <c r="S107" s="71" t="str">
        <f aca="false">IF(OR(S$99="",$A73=""),"",IF(AND(ISNUMBER($G73),$G73&gt;=S$99,$G73&lt;EDATE(S$99,1)),"F",IF(AND(ISNUMBER($H73),$H73&gt;=S$99,$H73&lt;EDATE(S$99,1)),"D","")))</f>
        <v/>
      </c>
      <c r="T107" s="71" t="str">
        <f aca="false">IF(OR(T$99="",$A73=""),"",IF(AND(ISNUMBER($G73),$G73&gt;=T$99,$G73&lt;EDATE(T$99,1)),"F",IF(AND(ISNUMBER($H73),$H73&gt;=T$99,$H73&lt;EDATE(T$99,1)),"D","")))</f>
        <v/>
      </c>
      <c r="U107" s="71" t="str">
        <f aca="false">IF(OR(U$99="",$A73=""),"",IF(AND(ISNUMBER($G73),$G73&gt;=U$99,$G73&lt;EDATE(U$99,1)),"F",IF(AND(ISNUMBER($H73),$H73&gt;=U$99,$H73&lt;EDATE(U$99,1)),"D","")))</f>
        <v/>
      </c>
      <c r="V107" s="71" t="str">
        <f aca="false">IF(OR(V$99="",$A73=""),"",IF(AND(ISNUMBER($G73),$G73&gt;=V$99,$G73&lt;EDATE(V$99,1)),"F",IF(AND(ISNUMBER($H73),$H73&gt;=V$99,$H73&lt;EDATE(V$99,1)),"D","")))</f>
        <v/>
      </c>
      <c r="W107" s="71" t="str">
        <f aca="false">IF(OR(W$99="",$A73=""),"",IF(AND(ISNUMBER($G73),$G73&gt;=W$99,$G73&lt;EDATE(W$99,1)),"F",IF(AND(ISNUMBER($H73),$H73&gt;=W$99,$H73&lt;EDATE(W$99,1)),"D","")))</f>
        <v/>
      </c>
      <c r="X107" s="71" t="str">
        <f aca="false">IF(OR(X$99="",$A73=""),"",IF(AND(ISNUMBER($G73),$G73&gt;=X$99,$G73&lt;EDATE(X$99,1)),"F",IF(AND(ISNUMBER($H73),$H73&gt;=X$99,$H73&lt;EDATE(X$99,1)),"D","")))</f>
        <v/>
      </c>
      <c r="Y107" s="71" t="str">
        <f aca="false">IF(OR(Y$99="",$A73=""),"",IF(AND(ISNUMBER($G73),$G73&gt;=Y$99,$G73&lt;EDATE(Y$99,1)),"F",IF(AND(ISNUMBER($H73),$H73&gt;=Y$99,$H73&lt;EDATE(Y$99,1)),"D","")))</f>
        <v/>
      </c>
      <c r="Z107" s="71" t="str">
        <f aca="false">IF(OR(Z$99="",$A73=""),"",IF(AND(ISNUMBER($G73),$G73&gt;=Z$99,$G73&lt;EDATE(Z$99,1)),"F",IF(AND(ISNUMBER($H73),$H73&gt;=Z$99,$H73&lt;EDATE(Z$99,1)),"D","")))</f>
        <v/>
      </c>
      <c r="AA107" s="71" t="str">
        <f aca="false">IF(OR(AA$99="",$A73=""),"",IF(AND(ISNUMBER($G73),$G73&gt;=AA$99,$G73&lt;EDATE(AA$99,1)),"F",IF(AND(ISNUMBER($H73),$H73&gt;=AA$99,$H73&lt;EDATE(AA$99,1)),"D","")))</f>
        <v/>
      </c>
      <c r="AB107" s="71" t="str">
        <f aca="false">IF(OR(AB$99="",$A73=""),"",IF(AND(ISNUMBER($G73),$G73&gt;=AB$99,$G73&lt;EDATE(AB$99,1)),"F",IF(AND(ISNUMBER($H73),$H73&gt;=AB$99,$H73&lt;EDATE(AB$99,1)),"D","")))</f>
        <v/>
      </c>
      <c r="AC107" s="71" t="str">
        <f aca="false">IF(OR(AC$99="",$A73=""),"",IF(AND(ISNUMBER($G73),$G73&gt;=AC$99,$G73&lt;EDATE(AC$99,1)),"F",IF(AND(ISNUMBER($H73),$H73&gt;=AC$99,$H73&lt;EDATE(AC$99,1)),"D","")))</f>
        <v/>
      </c>
      <c r="AD107" s="71" t="str">
        <f aca="false">IF(OR(AD$99="",$A73=""),"",IF(AND(ISNUMBER($G73),$G73&gt;=AD$99,$G73&lt;EDATE(AD$99,1)),"F",IF(AND(ISNUMBER($H73),$H73&gt;=AD$99,$H73&lt;EDATE(AD$99,1)),"D","")))</f>
        <v/>
      </c>
      <c r="AE107" s="71" t="str">
        <f aca="false">IF(OR(AE$99="",$A73=""),"",IF(AND(ISNUMBER($G73),$G73&gt;=AE$99,$G73&lt;EDATE(AE$99,1)),"F",IF(AND(ISNUMBER($H73),$H73&gt;=AE$99,$H73&lt;EDATE(AE$99,1)),"D","")))</f>
        <v/>
      </c>
      <c r="AF107" s="71" t="str">
        <f aca="false">IF(OR(AF$99="",$A73=""),"",IF(AND(ISNUMBER($G73),$G73&gt;=AF$99,$G73&lt;EDATE(AF$99,1)),"F",IF(AND(ISNUMBER($H73),$H73&gt;=AF$99,$H73&lt;EDATE(AF$99,1)),"D","")))</f>
        <v/>
      </c>
      <c r="AG107" s="71" t="str">
        <f aca="false">IF(OR(AG$99="",$A73=""),"",IF(AND(ISNUMBER($G73),$G73&gt;=AG$99,$G73&lt;EDATE(AG$99,1)),"F",IF(AND(ISNUMBER($H73),$H73&gt;=AG$99,$H73&lt;EDATE(AG$99,1)),"D","")))</f>
        <v/>
      </c>
      <c r="AH107" s="71" t="str">
        <f aca="false">IF(OR(AH$99="",$A73=""),"",IF(AND(ISNUMBER($G73),$G73&gt;=AH$99,$G73&lt;EDATE(AH$99,1)),"F",IF(AND(ISNUMBER($H73),$H73&gt;=AH$99,$H73&lt;EDATE(AH$99,1)),"D","")))</f>
        <v/>
      </c>
      <c r="AI107" s="71" t="str">
        <f aca="false">IF(OR(AI$99="",$A73=""),"",IF(AND(ISNUMBER($G73),$G73&gt;=AI$99,$G73&lt;EDATE(AI$99,1)),"F",IF(AND(ISNUMBER($H73),$H73&gt;=AI$99,$H73&lt;EDATE(AI$99,1)),"D","")))</f>
        <v/>
      </c>
      <c r="AJ107" s="71" t="str">
        <f aca="false">IF(OR(AJ$99="",$A73=""),"",IF(AND(ISNUMBER($G73),$G73&gt;=AJ$99,$G73&lt;EDATE(AJ$99,1)),"F",IF(AND(ISNUMBER($H73),$H73&gt;=AJ$99,$H73&lt;EDATE(AJ$99,1)),"D","")))</f>
        <v/>
      </c>
      <c r="AK107" s="71" t="str">
        <f aca="false">IF(OR(AK$99="",$A73=""),"",IF(AND(ISNUMBER($G73),$G73&gt;=AK$99,$G73&lt;EDATE(AK$99,1)),"F",IF(AND(ISNUMBER($H73),$H73&gt;=AK$99,$H73&lt;EDATE(AK$99,1)),"D","")))</f>
        <v/>
      </c>
      <c r="AL107" s="71" t="str">
        <f aca="false">IF(OR(AL$99="",$A73=""),"",IF(AND(ISNUMBER($G73),$G73&gt;=AL$99,$G73&lt;EDATE(AL$99,1)),"F",IF(AND(ISNUMBER($H73),$H73&gt;=AL$99,$H73&lt;EDATE(AL$99,1)),"D","")))</f>
        <v/>
      </c>
      <c r="AM107" s="71" t="str">
        <f aca="false">IF(OR(AM$99="",$A73=""),"",IF(AND(ISNUMBER($G73),$G73&gt;=AM$99,$G73&lt;EDATE(AM$99,1)),"F",IF(AND(ISNUMBER($H73),$H73&gt;=AM$99,$H73&lt;EDATE(AM$99,1)),"D","")))</f>
        <v/>
      </c>
      <c r="AN107" s="71" t="str">
        <f aca="false">IF(OR(AN$99="",$A73=""),"",IF(AND(ISNUMBER($G73),$G73&gt;=AN$99,$G73&lt;EDATE(AN$99,1)),"F",IF(AND(ISNUMBER($H73),$H73&gt;=AN$99,$H73&lt;EDATE(AN$99,1)),"D","")))</f>
        <v/>
      </c>
      <c r="AO107" s="71" t="str">
        <f aca="false">IF(OR(AO$99="",$A73=""),"",IF(AND(ISNUMBER($G73),$G73&gt;=AO$99,$G73&lt;EDATE(AO$99,1)),"F",IF(AND(ISNUMBER($H73),$H73&gt;=AO$99,$H73&lt;EDATE(AO$99,1)),"D","")))</f>
        <v/>
      </c>
      <c r="AP107" s="71" t="str">
        <f aca="false">IF(OR(AP$99="",$A73=""),"",IF(AND(ISNUMBER($G73),$G73&gt;=AP$99,$G73&lt;EDATE(AP$99,1)),"F",IF(AND(ISNUMBER($H73),$H73&gt;=AP$99,$H73&lt;EDATE(AP$99,1)),"D","")))</f>
        <v/>
      </c>
      <c r="AQ107" s="71" t="str">
        <f aca="false">IF(OR(AQ$99="",$A73=""),"",IF(AND(ISNUMBER($G73),$G73&gt;=AQ$99,$G73&lt;EDATE(AQ$99,1)),"F",IF(AND(ISNUMBER($H73),$H73&gt;=AQ$99,$H73&lt;EDATE(AQ$99,1)),"D","")))</f>
        <v/>
      </c>
      <c r="AR107" s="71" t="str">
        <f aca="false">IF(OR(AR$99="",$A73=""),"",IF(AND(ISNUMBER($G73),$G73&gt;=AR$99,$G73&lt;EDATE(AR$99,1)),"F",IF(AND(ISNUMBER($H73),$H73&gt;=AR$99,$H73&lt;EDATE(AR$99,1)),"D","")))</f>
        <v/>
      </c>
      <c r="AS107" s="71" t="str">
        <f aca="false">IF(OR(AS$99="",$A73=""),"",IF(AND(ISNUMBER($G73),$G73&gt;=AS$99,$G73&lt;EDATE(AS$99,1)),"F",IF(AND(ISNUMBER($H73),$H73&gt;=AS$99,$H73&lt;EDATE(AS$99,1)),"D","")))</f>
        <v/>
      </c>
      <c r="AT107" s="71" t="str">
        <f aca="false">IF(OR(AT$99="",$A73=""),"",IF(AND(ISNUMBER($G73),$G73&gt;=AT$99,$G73&lt;EDATE(AT$99,1)),"F",IF(AND(ISNUMBER($H73),$H73&gt;=AT$99,$H73&lt;EDATE(AT$99,1)),"D","")))</f>
        <v/>
      </c>
      <c r="AU107" s="71" t="str">
        <f aca="false">IF(OR(AU$99="",$A73=""),"",IF(AND(ISNUMBER($G73),$G73&gt;=AU$99,$G73&lt;EDATE(AU$99,1)),"F",IF(AND(ISNUMBER($H73),$H73&gt;=AU$99,$H73&lt;EDATE(AU$99,1)),"D","")))</f>
        <v/>
      </c>
      <c r="AV107" s="71" t="str">
        <f aca="false">IF(OR(AV$99="",$A73=""),"",IF(AND(ISNUMBER($G73),$G73&gt;=AV$99,$G73&lt;EDATE(AV$99,1)),"F",IF(AND(ISNUMBER($H73),$H73&gt;=AV$99,$H73&lt;EDATE(AV$99,1)),"D","")))</f>
        <v/>
      </c>
      <c r="AW107" s="71" t="str">
        <f aca="false">IF(OR(AW$99="",$A73=""),"",IF(AND(ISNUMBER($G73),$G73&gt;=AW$99,$G73&lt;EDATE(AW$99,1)),"F",IF(AND(ISNUMBER($H73),$H73&gt;=AW$99,$H73&lt;EDATE(AW$99,1)),"D","")))</f>
        <v/>
      </c>
      <c r="AX107" s="71" t="str">
        <f aca="false">IF(OR(AX$99="",$A73=""),"",IF(AND(ISNUMBER($G73),$G73&gt;=AX$99,$G73&lt;EDATE(AX$99,1)),"F",IF(AND(ISNUMBER($H73),$H73&gt;=AX$99,$H73&lt;EDATE(AX$99,1)),"D","")))</f>
        <v/>
      </c>
      <c r="AY107" s="71" t="str">
        <f aca="false">IF(OR(AY$99="",$A73=""),"",IF(AND(ISNUMBER($G73),$G73&gt;=AY$99,$G73&lt;EDATE(AY$99,1)),"F",IF(AND(ISNUMBER($H73),$H73&gt;=AY$99,$H73&lt;EDATE(AY$99,1)),"D","")))</f>
        <v/>
      </c>
      <c r="AZ107" s="71" t="str">
        <f aca="false">IF(OR(AZ$99="",$A73=""),"",IF(AND(ISNUMBER($G73),$G73&gt;=AZ$99,$G73&lt;EDATE(AZ$99,1)),"F",IF(AND(ISNUMBER($H73),$H73&gt;=AZ$99,$H73&lt;EDATE(AZ$99,1)),"D","")))</f>
        <v/>
      </c>
      <c r="BA107" s="71" t="str">
        <f aca="false">IF(OR(BA$99="",$A73=""),"",IF(AND(ISNUMBER($G73),$G73&gt;=BA$99,$G73&lt;EDATE(BA$99,1)),"F",IF(AND(ISNUMBER($H73),$H73&gt;=BA$99,$H73&lt;EDATE(BA$99,1)),"D","")))</f>
        <v/>
      </c>
      <c r="BB107" s="71" t="str">
        <f aca="false">IF(OR(BB$99="",$A73=""),"",IF(AND(ISNUMBER($G73),$G73&gt;=BB$99,$G73&lt;EDATE(BB$99,1)),"F",IF(AND(ISNUMBER($H73),$H73&gt;=BB$99,$H73&lt;EDATE(BB$99,1)),"D","")))</f>
        <v/>
      </c>
      <c r="BC107" s="71" t="str">
        <f aca="false">IF(OR(BC$99="",$A73=""),"",IF(AND(ISNUMBER($G73),$G73&gt;=BC$99,$G73&lt;EDATE(BC$99,1)),"F",IF(AND(ISNUMBER($H73),$H73&gt;=BC$99,$H73&lt;EDATE(BC$99,1)),"D","")))</f>
        <v/>
      </c>
      <c r="BD107" s="71" t="str">
        <f aca="false">IF(OR(BD$99="",$A73=""),"",IF(AND(ISNUMBER($G73),$G73&gt;=BD$99,$G73&lt;EDATE(BD$99,1)),"F",IF(AND(ISNUMBER($H73),$H73&gt;=BD$99,$H73&lt;EDATE(BD$99,1)),"D","")))</f>
        <v/>
      </c>
      <c r="BE107" s="71" t="str">
        <f aca="false">IF(OR(BE$99="",$A73=""),"",IF(AND(ISNUMBER($G73),$G73&gt;=BE$99,$G73&lt;EDATE(BE$99,1)),"F",IF(AND(ISNUMBER($H73),$H73&gt;=BE$99,$H73&lt;EDATE(BE$99,1)),"D","")))</f>
        <v/>
      </c>
      <c r="BF107" s="71" t="str">
        <f aca="false">IF(OR(BF$99="",$A73=""),"",IF(AND(ISNUMBER($G73),$G73&gt;=BF$99,$G73&lt;EDATE(BF$99,1)),"F",IF(AND(ISNUMBER($H73),$H73&gt;=BF$99,$H73&lt;EDATE(BF$99,1)),"D","")))</f>
        <v/>
      </c>
      <c r="BG107" s="71" t="str">
        <f aca="false">IF(OR(BG$99="",$A73=""),"",IF(AND(ISNUMBER($G73),$G73&gt;=BG$99,$G73&lt;EDATE(BG$99,1)),"F",IF(AND(ISNUMBER($H73),$H73&gt;=BG$99,$H73&lt;EDATE(BG$99,1)),"D","")))</f>
        <v/>
      </c>
      <c r="BH107" s="71" t="str">
        <f aca="false">IF(OR(BH$99="",$A73=""),"",IF(AND(ISNUMBER($G73),$G73&gt;=BH$99,$G73&lt;EDATE(BH$99,1)),"F",IF(AND(ISNUMBER($H73),$H73&gt;=BH$99,$H73&lt;EDATE(BH$99,1)),"D","")))</f>
        <v/>
      </c>
      <c r="BI107" s="71" t="str">
        <f aca="false">IF(OR(BI$99="",$A73=""),"",IF(AND(ISNUMBER($G73),$G73&gt;=BI$99,$G73&lt;EDATE(BI$99,1)),"F",IF(AND(ISNUMBER($H73),$H73&gt;=BI$99,$H73&lt;EDATE(BI$99,1)),"D","")))</f>
        <v/>
      </c>
      <c r="BJ107" s="71" t="str">
        <f aca="false">IF(OR(BJ$99="",$A73=""),"",IF(AND(ISNUMBER($G73),$G73&gt;=BJ$99,$G73&lt;EDATE(BJ$99,1)),"F",IF(AND(ISNUMBER($H73),$H73&gt;=BJ$99,$H73&lt;EDATE(BJ$99,1)),"D","")))</f>
        <v/>
      </c>
      <c r="BK107" s="71" t="str">
        <f aca="false">IF(OR(BK$99="",$A73=""),"",IF(AND(ISNUMBER($G73),$G73&gt;=BK$99,$G73&lt;EDATE(BK$99,1)),"F",IF(AND(ISNUMBER($H73),$H73&gt;=BK$99,$H73&lt;EDATE(BK$99,1)),"D","")))</f>
        <v/>
      </c>
      <c r="BL107" s="71" t="str">
        <f aca="false">IF(OR(BL$99="",$A73=""),"",IF(AND(ISNUMBER($G73),$G73&gt;=BL$99,$G73&lt;EDATE(BL$99,1)),"F",IF(AND(ISNUMBER($H73),$H73&gt;=BL$99,$H73&lt;EDATE(BL$99,1)),"D","")))</f>
        <v/>
      </c>
      <c r="BM107" s="71" t="str">
        <f aca="false">IF(OR(BM$99="",$A73=""),"",IF(AND(ISNUMBER($G73),$G73&gt;=BM$99,$G73&lt;EDATE(BM$99,1)),"F",IF(AND(ISNUMBER($H73),$H73&gt;=BM$99,$H73&lt;EDATE(BM$99,1)),"D","")))</f>
        <v/>
      </c>
      <c r="BN107" s="71" t="str">
        <f aca="false">IF(OR(BN$99="",$A73=""),"",IF(AND(ISNUMBER($G73),$G73&gt;=BN$99,$G73&lt;EDATE(BN$99,1)),"F",IF(AND(ISNUMBER($H73),$H73&gt;=BN$99,$H73&lt;EDATE(BN$99,1)),"D","")))</f>
        <v/>
      </c>
      <c r="BO107" s="71" t="str">
        <f aca="false">IF(OR(BO$99="",$A73=""),"",IF(AND(ISNUMBER($G73),$G73&gt;=BO$99,$G73&lt;EDATE(BO$99,1)),"F",IF(AND(ISNUMBER($H73),$H73&gt;=BO$99,$H73&lt;EDATE(BO$99,1)),"D","")))</f>
        <v/>
      </c>
      <c r="BP107" s="71" t="str">
        <f aca="false">IF(OR(BP$99="",$A73=""),"",IF(AND(ISNUMBER($G73),$G73&gt;=BP$99,$G73&lt;EDATE(BP$99,1)),"F",IF(AND(ISNUMBER($H73),$H73&gt;=BP$99,$H73&lt;EDATE(BP$99,1)),"D","")))</f>
        <v/>
      </c>
      <c r="BQ107" s="71" t="str">
        <f aca="false">IF(OR(BQ$99="",$A73=""),"",IF(AND(ISNUMBER($G73),$G73&gt;=BQ$99,$G73&lt;EDATE(BQ$99,1)),"F",IF(AND(ISNUMBER($H73),$H73&gt;=BQ$99,$H73&lt;EDATE(BQ$99,1)),"D","")))</f>
        <v/>
      </c>
      <c r="BR107" s="71" t="str">
        <f aca="false">IF(OR(BR$99="",$A73=""),"",IF(AND(ISNUMBER($G73),$G73&gt;=BR$99,$G73&lt;EDATE(BR$99,1)),"F",IF(AND(ISNUMBER($H73),$H73&gt;=BR$99,$H73&lt;EDATE(BR$99,1)),"D","")))</f>
        <v/>
      </c>
      <c r="BS107" s="71" t="str">
        <f aca="false">IF(OR(BS$99="",$A73=""),"",IF(AND(ISNUMBER($G73),$G73&gt;=BS$99,$G73&lt;EDATE(BS$99,1)),"F",IF(AND(ISNUMBER($H73),$H73&gt;=BS$99,$H73&lt;EDATE(BS$99,1)),"D","")))</f>
        <v/>
      </c>
      <c r="BT107" s="71" t="str">
        <f aca="false">IF(OR(BT$99="",$A73=""),"",IF(AND(ISNUMBER($G73),$G73&gt;=BT$99,$G73&lt;EDATE(BT$99,1)),"F",IF(AND(ISNUMBER($H73),$H73&gt;=BT$99,$H73&lt;EDATE(BT$99,1)),"D","")))</f>
        <v/>
      </c>
      <c r="BU107" s="71" t="str">
        <f aca="false">IF(OR(BU$99="",$A73=""),"",IF(AND(ISNUMBER($G73),$G73&gt;=BU$99,$G73&lt;EDATE(BU$99,1)),"F",IF(AND(ISNUMBER($H73),$H73&gt;=BU$99,$H73&lt;EDATE(BU$99,1)),"D","")))</f>
        <v/>
      </c>
      <c r="BV107" s="71" t="str">
        <f aca="false">IF(OR(BV$99="",$A73=""),"",IF(AND(ISNUMBER($G73),$G73&gt;=BV$99,$G73&lt;EDATE(BV$99,1)),"F",IF(AND(ISNUMBER($H73),$H73&gt;=BV$99,$H73&lt;EDATE(BV$99,1)),"D","")))</f>
        <v/>
      </c>
      <c r="BW107" s="71" t="str">
        <f aca="false">IF(OR(BW$99="",$A73=""),"",IF(AND(ISNUMBER($G73),$G73&gt;=BW$99,$G73&lt;EDATE(BW$99,1)),"F",IF(AND(ISNUMBER($H73),$H73&gt;=BW$99,$H73&lt;EDATE(BW$99,1)),"D","")))</f>
        <v/>
      </c>
      <c r="BX107" s="71" t="str">
        <f aca="false">IF(OR(BX$99="",$A73=""),"",IF(AND(ISNUMBER($G73),$G73&gt;=BX$99,$G73&lt;EDATE(BX$99,1)),"F",IF(AND(ISNUMBER($H73),$H73&gt;=BX$99,$H73&lt;EDATE(BX$99,1)),"D","")))</f>
        <v/>
      </c>
      <c r="BY107" s="71" t="str">
        <f aca="false">IF(OR(BY$99="",$A73=""),"",IF(AND(ISNUMBER($G73),$G73&gt;=BY$99,$G73&lt;EDATE(BY$99,1)),"F",IF(AND(ISNUMBER($H73),$H73&gt;=BY$99,$H73&lt;EDATE(BY$99,1)),"D","")))</f>
        <v/>
      </c>
      <c r="BZ107" s="71" t="str">
        <f aca="false">IF(OR(BZ$99="",$A73=""),"",IF(AND(ISNUMBER($G73),$G73&gt;=BZ$99,$G73&lt;EDATE(BZ$99,1)),"F",IF(AND(ISNUMBER($H73),$H73&gt;=BZ$99,$H73&lt;EDATE(BZ$99,1)),"D","")))</f>
        <v/>
      </c>
      <c r="CA107" s="71" t="str">
        <f aca="false">IF(OR(CA$99="",$A73=""),"",IF(AND(ISNUMBER($G73),$G73&gt;=CA$99,$G73&lt;EDATE(CA$99,1)),"F",IF(AND(ISNUMBER($H73),$H73&gt;=CA$99,$H73&lt;EDATE(CA$99,1)),"D","")))</f>
        <v/>
      </c>
      <c r="CB107" s="71" t="str">
        <f aca="false">IF(OR(CB$99="",$A73=""),"",IF(AND(ISNUMBER($G73),$G73&gt;=CB$99,$G73&lt;EDATE(CB$99,1)),"F",IF(AND(ISNUMBER($H73),$H73&gt;=CB$99,$H73&lt;EDATE(CB$99,1)),"D","")))</f>
        <v/>
      </c>
      <c r="CC107" s="71" t="str">
        <f aca="false">IF(OR(CC$99="",$A73=""),"",IF(AND(ISNUMBER($G73),$G73&gt;=CC$99,$G73&lt;EDATE(CC$99,1)),"F",IF(AND(ISNUMBER($H73),$H73&gt;=CC$99,$H73&lt;EDATE(CC$99,1)),"D","")))</f>
        <v/>
      </c>
      <c r="CD107" s="71" t="str">
        <f aca="false">IF(OR(CD$99="",$A73=""),"",IF(AND(ISNUMBER($G73),$G73&gt;=CD$99,$G73&lt;EDATE(CD$99,1)),"F",IF(AND(ISNUMBER($H73),$H73&gt;=CD$99,$H73&lt;EDATE(CD$99,1)),"D","")))</f>
        <v/>
      </c>
      <c r="CE107" s="71" t="str">
        <f aca="false">IF(OR(CE$99="",$A73=""),"",IF(AND(ISNUMBER($G73),$G73&gt;=CE$99,$G73&lt;EDATE(CE$99,1)),"F",IF(AND(ISNUMBER($H73),$H73&gt;=CE$99,$H73&lt;EDATE(CE$99,1)),"D","")))</f>
        <v/>
      </c>
      <c r="CF107" s="71" t="str">
        <f aca="false">IF(OR(CF$99="",$A73=""),"",IF(AND(ISNUMBER($G73),$G73&gt;=CF$99,$G73&lt;EDATE(CF$99,1)),"F",IF(AND(ISNUMBER($H73),$H73&gt;=CF$99,$H73&lt;EDATE(CF$99,1)),"D","")))</f>
        <v/>
      </c>
      <c r="CG107" s="71" t="str">
        <f aca="false">IF(OR(CG$99="",$A73=""),"",IF(AND(ISNUMBER($G73),$G73&gt;=CG$99,$G73&lt;EDATE(CG$99,1)),"F",IF(AND(ISNUMBER($H73),$H73&gt;=CG$99,$H73&lt;EDATE(CG$99,1)),"D","")))</f>
        <v/>
      </c>
      <c r="CH107" s="71" t="str">
        <f aca="false">IF(OR(CH$99="",$A73=""),"",IF(AND(ISNUMBER($G73),$G73&gt;=CH$99,$G73&lt;EDATE(CH$99,1)),"F",IF(AND(ISNUMBER($H73),$H73&gt;=CH$99,$H73&lt;EDATE(CH$99,1)),"D","")))</f>
        <v/>
      </c>
      <c r="CI107" s="71" t="str">
        <f aca="false">IF(OR(CI$99="",$A73=""),"",IF(AND(ISNUMBER($G73),$G73&gt;=CI$99,$G73&lt;EDATE(CI$99,1)),"F",IF(AND(ISNUMBER($H73),$H73&gt;=CI$99,$H73&lt;EDATE(CI$99,1)),"D","")))</f>
        <v/>
      </c>
      <c r="CJ107" s="71" t="str">
        <f aca="false">IF(OR(CJ$99="",$A73=""),"",IF(AND(ISNUMBER($G73),$G73&gt;=CJ$99,$G73&lt;EDATE(CJ$99,1)),"F",IF(AND(ISNUMBER($H73),$H73&gt;=CJ$99,$H73&lt;EDATE(CJ$99,1)),"D","")))</f>
        <v/>
      </c>
      <c r="CK107" s="71" t="str">
        <f aca="false">IF(OR(CK$99="",$A73=""),"",IF(AND(ISNUMBER($G73),$G73&gt;=CK$99,$G73&lt;EDATE(CK$99,1)),"F",IF(AND(ISNUMBER($H73),$H73&gt;=CK$99,$H73&lt;EDATE(CK$99,1)),"D","")))</f>
        <v/>
      </c>
    </row>
    <row r="108" customFormat="false" ht="15" hidden="false" customHeight="false" outlineLevel="0" collapsed="false">
      <c r="A108" s="74" t="str">
        <f aca="false">IF($A74="","",$A74)</f>
        <v>A002-FHA</v>
      </c>
      <c r="B108" s="74" t="str">
        <f aca="false">IF($A74="","",$B74)</f>
        <v/>
      </c>
      <c r="R108" s="71" t="str">
        <f aca="false">IF(OR(R$99="",$A74=""),"",IF(AND(ISNUMBER($G74),$G74&gt;=R$99,$G74&lt;EDATE(R$99,1)),"F",IF(AND(ISNUMBER($H74),$H74&gt;=R$99,$H74&lt;EDATE(R$99,1)),"D","")))</f>
        <v/>
      </c>
      <c r="S108" s="71" t="str">
        <f aca="false">IF(OR(S$99="",$A74=""),"",IF(AND(ISNUMBER($G74),$G74&gt;=S$99,$G74&lt;EDATE(S$99,1)),"F",IF(AND(ISNUMBER($H74),$H74&gt;=S$99,$H74&lt;EDATE(S$99,1)),"D","")))</f>
        <v/>
      </c>
      <c r="T108" s="71" t="str">
        <f aca="false">IF(OR(T$99="",$A74=""),"",IF(AND(ISNUMBER($G74),$G74&gt;=T$99,$G74&lt;EDATE(T$99,1)),"F",IF(AND(ISNUMBER($H74),$H74&gt;=T$99,$H74&lt;EDATE(T$99,1)),"D","")))</f>
        <v/>
      </c>
      <c r="U108" s="71" t="str">
        <f aca="false">IF(OR(U$99="",$A74=""),"",IF(AND(ISNUMBER($G74),$G74&gt;=U$99,$G74&lt;EDATE(U$99,1)),"F",IF(AND(ISNUMBER($H74),$H74&gt;=U$99,$H74&lt;EDATE(U$99,1)),"D","")))</f>
        <v/>
      </c>
      <c r="V108" s="71" t="str">
        <f aca="false">IF(OR(V$99="",$A74=""),"",IF(AND(ISNUMBER($G74),$G74&gt;=V$99,$G74&lt;EDATE(V$99,1)),"F",IF(AND(ISNUMBER($H74),$H74&gt;=V$99,$H74&lt;EDATE(V$99,1)),"D","")))</f>
        <v/>
      </c>
      <c r="W108" s="71" t="str">
        <f aca="false">IF(OR(W$99="",$A74=""),"",IF(AND(ISNUMBER($G74),$G74&gt;=W$99,$G74&lt;EDATE(W$99,1)),"F",IF(AND(ISNUMBER($H74),$H74&gt;=W$99,$H74&lt;EDATE(W$99,1)),"D","")))</f>
        <v/>
      </c>
      <c r="X108" s="71" t="str">
        <f aca="false">IF(OR(X$99="",$A74=""),"",IF(AND(ISNUMBER($G74),$G74&gt;=X$99,$G74&lt;EDATE(X$99,1)),"F",IF(AND(ISNUMBER($H74),$H74&gt;=X$99,$H74&lt;EDATE(X$99,1)),"D","")))</f>
        <v/>
      </c>
      <c r="Y108" s="71" t="str">
        <f aca="false">IF(OR(Y$99="",$A74=""),"",IF(AND(ISNUMBER($G74),$G74&gt;=Y$99,$G74&lt;EDATE(Y$99,1)),"F",IF(AND(ISNUMBER($H74),$H74&gt;=Y$99,$H74&lt;EDATE(Y$99,1)),"D","")))</f>
        <v/>
      </c>
      <c r="Z108" s="71" t="str">
        <f aca="false">IF(OR(Z$99="",$A74=""),"",IF(AND(ISNUMBER($G74),$G74&gt;=Z$99,$G74&lt;EDATE(Z$99,1)),"F",IF(AND(ISNUMBER($H74),$H74&gt;=Z$99,$H74&lt;EDATE(Z$99,1)),"D","")))</f>
        <v/>
      </c>
      <c r="AA108" s="71" t="str">
        <f aca="false">IF(OR(AA$99="",$A74=""),"",IF(AND(ISNUMBER($G74),$G74&gt;=AA$99,$G74&lt;EDATE(AA$99,1)),"F",IF(AND(ISNUMBER($H74),$H74&gt;=AA$99,$H74&lt;EDATE(AA$99,1)),"D","")))</f>
        <v/>
      </c>
      <c r="AB108" s="71" t="str">
        <f aca="false">IF(OR(AB$99="",$A74=""),"",IF(AND(ISNUMBER($G74),$G74&gt;=AB$99,$G74&lt;EDATE(AB$99,1)),"F",IF(AND(ISNUMBER($H74),$H74&gt;=AB$99,$H74&lt;EDATE(AB$99,1)),"D","")))</f>
        <v/>
      </c>
      <c r="AC108" s="71" t="str">
        <f aca="false">IF(OR(AC$99="",$A74=""),"",IF(AND(ISNUMBER($G74),$G74&gt;=AC$99,$G74&lt;EDATE(AC$99,1)),"F",IF(AND(ISNUMBER($H74),$H74&gt;=AC$99,$H74&lt;EDATE(AC$99,1)),"D","")))</f>
        <v/>
      </c>
      <c r="AD108" s="71" t="str">
        <f aca="false">IF(OR(AD$99="",$A74=""),"",IF(AND(ISNUMBER($G74),$G74&gt;=AD$99,$G74&lt;EDATE(AD$99,1)),"F",IF(AND(ISNUMBER($H74),$H74&gt;=AD$99,$H74&lt;EDATE(AD$99,1)),"D","")))</f>
        <v/>
      </c>
      <c r="AE108" s="71" t="str">
        <f aca="false">IF(OR(AE$99="",$A74=""),"",IF(AND(ISNUMBER($G74),$G74&gt;=AE$99,$G74&lt;EDATE(AE$99,1)),"F",IF(AND(ISNUMBER($H74),$H74&gt;=AE$99,$H74&lt;EDATE(AE$99,1)),"D","")))</f>
        <v/>
      </c>
      <c r="AF108" s="71" t="str">
        <f aca="false">IF(OR(AF$99="",$A74=""),"",IF(AND(ISNUMBER($G74),$G74&gt;=AF$99,$G74&lt;EDATE(AF$99,1)),"F",IF(AND(ISNUMBER($H74),$H74&gt;=AF$99,$H74&lt;EDATE(AF$99,1)),"D","")))</f>
        <v/>
      </c>
      <c r="AG108" s="71" t="str">
        <f aca="false">IF(OR(AG$99="",$A74=""),"",IF(AND(ISNUMBER($G74),$G74&gt;=AG$99,$G74&lt;EDATE(AG$99,1)),"F",IF(AND(ISNUMBER($H74),$H74&gt;=AG$99,$H74&lt;EDATE(AG$99,1)),"D","")))</f>
        <v/>
      </c>
      <c r="AH108" s="71" t="str">
        <f aca="false">IF(OR(AH$99="",$A74=""),"",IF(AND(ISNUMBER($G74),$G74&gt;=AH$99,$G74&lt;EDATE(AH$99,1)),"F",IF(AND(ISNUMBER($H74),$H74&gt;=AH$99,$H74&lt;EDATE(AH$99,1)),"D","")))</f>
        <v/>
      </c>
      <c r="AI108" s="71" t="str">
        <f aca="false">IF(OR(AI$99="",$A74=""),"",IF(AND(ISNUMBER($G74),$G74&gt;=AI$99,$G74&lt;EDATE(AI$99,1)),"F",IF(AND(ISNUMBER($H74),$H74&gt;=AI$99,$H74&lt;EDATE(AI$99,1)),"D","")))</f>
        <v/>
      </c>
      <c r="AJ108" s="71" t="str">
        <f aca="false">IF(OR(AJ$99="",$A74=""),"",IF(AND(ISNUMBER($G74),$G74&gt;=AJ$99,$G74&lt;EDATE(AJ$99,1)),"F",IF(AND(ISNUMBER($H74),$H74&gt;=AJ$99,$H74&lt;EDATE(AJ$99,1)),"D","")))</f>
        <v/>
      </c>
      <c r="AK108" s="71" t="str">
        <f aca="false">IF(OR(AK$99="",$A74=""),"",IF(AND(ISNUMBER($G74),$G74&gt;=AK$99,$G74&lt;EDATE(AK$99,1)),"F",IF(AND(ISNUMBER($H74),$H74&gt;=AK$99,$H74&lt;EDATE(AK$99,1)),"D","")))</f>
        <v/>
      </c>
      <c r="AL108" s="71" t="str">
        <f aca="false">IF(OR(AL$99="",$A74=""),"",IF(AND(ISNUMBER($G74),$G74&gt;=AL$99,$G74&lt;EDATE(AL$99,1)),"F",IF(AND(ISNUMBER($H74),$H74&gt;=AL$99,$H74&lt;EDATE(AL$99,1)),"D","")))</f>
        <v/>
      </c>
      <c r="AM108" s="71" t="str">
        <f aca="false">IF(OR(AM$99="",$A74=""),"",IF(AND(ISNUMBER($G74),$G74&gt;=AM$99,$G74&lt;EDATE(AM$99,1)),"F",IF(AND(ISNUMBER($H74),$H74&gt;=AM$99,$H74&lt;EDATE(AM$99,1)),"D","")))</f>
        <v/>
      </c>
      <c r="AN108" s="71" t="str">
        <f aca="false">IF(OR(AN$99="",$A74=""),"",IF(AND(ISNUMBER($G74),$G74&gt;=AN$99,$G74&lt;EDATE(AN$99,1)),"F",IF(AND(ISNUMBER($H74),$H74&gt;=AN$99,$H74&lt;EDATE(AN$99,1)),"D","")))</f>
        <v/>
      </c>
      <c r="AO108" s="71" t="str">
        <f aca="false">IF(OR(AO$99="",$A74=""),"",IF(AND(ISNUMBER($G74),$G74&gt;=AO$99,$G74&lt;EDATE(AO$99,1)),"F",IF(AND(ISNUMBER($H74),$H74&gt;=AO$99,$H74&lt;EDATE(AO$99,1)),"D","")))</f>
        <v/>
      </c>
      <c r="AP108" s="71" t="str">
        <f aca="false">IF(OR(AP$99="",$A74=""),"",IF(AND(ISNUMBER($G74),$G74&gt;=AP$99,$G74&lt;EDATE(AP$99,1)),"F",IF(AND(ISNUMBER($H74),$H74&gt;=AP$99,$H74&lt;EDATE(AP$99,1)),"D","")))</f>
        <v/>
      </c>
      <c r="AQ108" s="71" t="str">
        <f aca="false">IF(OR(AQ$99="",$A74=""),"",IF(AND(ISNUMBER($G74),$G74&gt;=AQ$99,$G74&lt;EDATE(AQ$99,1)),"F",IF(AND(ISNUMBER($H74),$H74&gt;=AQ$99,$H74&lt;EDATE(AQ$99,1)),"D","")))</f>
        <v/>
      </c>
      <c r="AR108" s="71" t="str">
        <f aca="false">IF(OR(AR$99="",$A74=""),"",IF(AND(ISNUMBER($G74),$G74&gt;=AR$99,$G74&lt;EDATE(AR$99,1)),"F",IF(AND(ISNUMBER($H74),$H74&gt;=AR$99,$H74&lt;EDATE(AR$99,1)),"D","")))</f>
        <v/>
      </c>
      <c r="AS108" s="71" t="str">
        <f aca="false">IF(OR(AS$99="",$A74=""),"",IF(AND(ISNUMBER($G74),$G74&gt;=AS$99,$G74&lt;EDATE(AS$99,1)),"F",IF(AND(ISNUMBER($H74),$H74&gt;=AS$99,$H74&lt;EDATE(AS$99,1)),"D","")))</f>
        <v/>
      </c>
      <c r="AT108" s="71" t="str">
        <f aca="false">IF(OR(AT$99="",$A74=""),"",IF(AND(ISNUMBER($G74),$G74&gt;=AT$99,$G74&lt;EDATE(AT$99,1)),"F",IF(AND(ISNUMBER($H74),$H74&gt;=AT$99,$H74&lt;EDATE(AT$99,1)),"D","")))</f>
        <v/>
      </c>
      <c r="AU108" s="71" t="str">
        <f aca="false">IF(OR(AU$99="",$A74=""),"",IF(AND(ISNUMBER($G74),$G74&gt;=AU$99,$G74&lt;EDATE(AU$99,1)),"F",IF(AND(ISNUMBER($H74),$H74&gt;=AU$99,$H74&lt;EDATE(AU$99,1)),"D","")))</f>
        <v/>
      </c>
      <c r="AV108" s="71" t="str">
        <f aca="false">IF(OR(AV$99="",$A74=""),"",IF(AND(ISNUMBER($G74),$G74&gt;=AV$99,$G74&lt;EDATE(AV$99,1)),"F",IF(AND(ISNUMBER($H74),$H74&gt;=AV$99,$H74&lt;EDATE(AV$99,1)),"D","")))</f>
        <v/>
      </c>
      <c r="AW108" s="71" t="str">
        <f aca="false">IF(OR(AW$99="",$A74=""),"",IF(AND(ISNUMBER($G74),$G74&gt;=AW$99,$G74&lt;EDATE(AW$99,1)),"F",IF(AND(ISNUMBER($H74),$H74&gt;=AW$99,$H74&lt;EDATE(AW$99,1)),"D","")))</f>
        <v/>
      </c>
      <c r="AX108" s="71" t="str">
        <f aca="false">IF(OR(AX$99="",$A74=""),"",IF(AND(ISNUMBER($G74),$G74&gt;=AX$99,$G74&lt;EDATE(AX$99,1)),"F",IF(AND(ISNUMBER($H74),$H74&gt;=AX$99,$H74&lt;EDATE(AX$99,1)),"D","")))</f>
        <v/>
      </c>
      <c r="AY108" s="71" t="str">
        <f aca="false">IF(OR(AY$99="",$A74=""),"",IF(AND(ISNUMBER($G74),$G74&gt;=AY$99,$G74&lt;EDATE(AY$99,1)),"F",IF(AND(ISNUMBER($H74),$H74&gt;=AY$99,$H74&lt;EDATE(AY$99,1)),"D","")))</f>
        <v/>
      </c>
      <c r="AZ108" s="71" t="str">
        <f aca="false">IF(OR(AZ$99="",$A74=""),"",IF(AND(ISNUMBER($G74),$G74&gt;=AZ$99,$G74&lt;EDATE(AZ$99,1)),"F",IF(AND(ISNUMBER($H74),$H74&gt;=AZ$99,$H74&lt;EDATE(AZ$99,1)),"D","")))</f>
        <v/>
      </c>
      <c r="BA108" s="71" t="str">
        <f aca="false">IF(OR(BA$99="",$A74=""),"",IF(AND(ISNUMBER($G74),$G74&gt;=BA$99,$G74&lt;EDATE(BA$99,1)),"F",IF(AND(ISNUMBER($H74),$H74&gt;=BA$99,$H74&lt;EDATE(BA$99,1)),"D","")))</f>
        <v/>
      </c>
      <c r="BB108" s="71" t="str">
        <f aca="false">IF(OR(BB$99="",$A74=""),"",IF(AND(ISNUMBER($G74),$G74&gt;=BB$99,$G74&lt;EDATE(BB$99,1)),"F",IF(AND(ISNUMBER($H74),$H74&gt;=BB$99,$H74&lt;EDATE(BB$99,1)),"D","")))</f>
        <v/>
      </c>
      <c r="BC108" s="71" t="str">
        <f aca="false">IF(OR(BC$99="",$A74=""),"",IF(AND(ISNUMBER($G74),$G74&gt;=BC$99,$G74&lt;EDATE(BC$99,1)),"F",IF(AND(ISNUMBER($H74),$H74&gt;=BC$99,$H74&lt;EDATE(BC$99,1)),"D","")))</f>
        <v/>
      </c>
      <c r="BD108" s="71" t="str">
        <f aca="false">IF(OR(BD$99="",$A74=""),"",IF(AND(ISNUMBER($G74),$G74&gt;=BD$99,$G74&lt;EDATE(BD$99,1)),"F",IF(AND(ISNUMBER($H74),$H74&gt;=BD$99,$H74&lt;EDATE(BD$99,1)),"D","")))</f>
        <v/>
      </c>
      <c r="BE108" s="71" t="str">
        <f aca="false">IF(OR(BE$99="",$A74=""),"",IF(AND(ISNUMBER($G74),$G74&gt;=BE$99,$G74&lt;EDATE(BE$99,1)),"F",IF(AND(ISNUMBER($H74),$H74&gt;=BE$99,$H74&lt;EDATE(BE$99,1)),"D","")))</f>
        <v/>
      </c>
      <c r="BF108" s="71" t="str">
        <f aca="false">IF(OR(BF$99="",$A74=""),"",IF(AND(ISNUMBER($G74),$G74&gt;=BF$99,$G74&lt;EDATE(BF$99,1)),"F",IF(AND(ISNUMBER($H74),$H74&gt;=BF$99,$H74&lt;EDATE(BF$99,1)),"D","")))</f>
        <v/>
      </c>
      <c r="BG108" s="71" t="str">
        <f aca="false">IF(OR(BG$99="",$A74=""),"",IF(AND(ISNUMBER($G74),$G74&gt;=BG$99,$G74&lt;EDATE(BG$99,1)),"F",IF(AND(ISNUMBER($H74),$H74&gt;=BG$99,$H74&lt;EDATE(BG$99,1)),"D","")))</f>
        <v/>
      </c>
      <c r="BH108" s="71" t="str">
        <f aca="false">IF(OR(BH$99="",$A74=""),"",IF(AND(ISNUMBER($G74),$G74&gt;=BH$99,$G74&lt;EDATE(BH$99,1)),"F",IF(AND(ISNUMBER($H74),$H74&gt;=BH$99,$H74&lt;EDATE(BH$99,1)),"D","")))</f>
        <v/>
      </c>
      <c r="BI108" s="71" t="str">
        <f aca="false">IF(OR(BI$99="",$A74=""),"",IF(AND(ISNUMBER($G74),$G74&gt;=BI$99,$G74&lt;EDATE(BI$99,1)),"F",IF(AND(ISNUMBER($H74),$H74&gt;=BI$99,$H74&lt;EDATE(BI$99,1)),"D","")))</f>
        <v/>
      </c>
      <c r="BJ108" s="71" t="str">
        <f aca="false">IF(OR(BJ$99="",$A74=""),"",IF(AND(ISNUMBER($G74),$G74&gt;=BJ$99,$G74&lt;EDATE(BJ$99,1)),"F",IF(AND(ISNUMBER($H74),$H74&gt;=BJ$99,$H74&lt;EDATE(BJ$99,1)),"D","")))</f>
        <v/>
      </c>
      <c r="BK108" s="71" t="str">
        <f aca="false">IF(OR(BK$99="",$A74=""),"",IF(AND(ISNUMBER($G74),$G74&gt;=BK$99,$G74&lt;EDATE(BK$99,1)),"F",IF(AND(ISNUMBER($H74),$H74&gt;=BK$99,$H74&lt;EDATE(BK$99,1)),"D","")))</f>
        <v/>
      </c>
      <c r="BL108" s="71" t="str">
        <f aca="false">IF(OR(BL$99="",$A74=""),"",IF(AND(ISNUMBER($G74),$G74&gt;=BL$99,$G74&lt;EDATE(BL$99,1)),"F",IF(AND(ISNUMBER($H74),$H74&gt;=BL$99,$H74&lt;EDATE(BL$99,1)),"D","")))</f>
        <v/>
      </c>
      <c r="BM108" s="71" t="str">
        <f aca="false">IF(OR(BM$99="",$A74=""),"",IF(AND(ISNUMBER($G74),$G74&gt;=BM$99,$G74&lt;EDATE(BM$99,1)),"F",IF(AND(ISNUMBER($H74),$H74&gt;=BM$99,$H74&lt;EDATE(BM$99,1)),"D","")))</f>
        <v/>
      </c>
      <c r="BN108" s="71" t="str">
        <f aca="false">IF(OR(BN$99="",$A74=""),"",IF(AND(ISNUMBER($G74),$G74&gt;=BN$99,$G74&lt;EDATE(BN$99,1)),"F",IF(AND(ISNUMBER($H74),$H74&gt;=BN$99,$H74&lt;EDATE(BN$99,1)),"D","")))</f>
        <v/>
      </c>
      <c r="BO108" s="71" t="str">
        <f aca="false">IF(OR(BO$99="",$A74=""),"",IF(AND(ISNUMBER($G74),$G74&gt;=BO$99,$G74&lt;EDATE(BO$99,1)),"F",IF(AND(ISNUMBER($H74),$H74&gt;=BO$99,$H74&lt;EDATE(BO$99,1)),"D","")))</f>
        <v/>
      </c>
      <c r="BP108" s="71" t="str">
        <f aca="false">IF(OR(BP$99="",$A74=""),"",IF(AND(ISNUMBER($G74),$G74&gt;=BP$99,$G74&lt;EDATE(BP$99,1)),"F",IF(AND(ISNUMBER($H74),$H74&gt;=BP$99,$H74&lt;EDATE(BP$99,1)),"D","")))</f>
        <v/>
      </c>
      <c r="BQ108" s="71" t="str">
        <f aca="false">IF(OR(BQ$99="",$A74=""),"",IF(AND(ISNUMBER($G74),$G74&gt;=BQ$99,$G74&lt;EDATE(BQ$99,1)),"F",IF(AND(ISNUMBER($H74),$H74&gt;=BQ$99,$H74&lt;EDATE(BQ$99,1)),"D","")))</f>
        <v/>
      </c>
      <c r="BR108" s="71" t="str">
        <f aca="false">IF(OR(BR$99="",$A74=""),"",IF(AND(ISNUMBER($G74),$G74&gt;=BR$99,$G74&lt;EDATE(BR$99,1)),"F",IF(AND(ISNUMBER($H74),$H74&gt;=BR$99,$H74&lt;EDATE(BR$99,1)),"D","")))</f>
        <v/>
      </c>
      <c r="BS108" s="71" t="str">
        <f aca="false">IF(OR(BS$99="",$A74=""),"",IF(AND(ISNUMBER($G74),$G74&gt;=BS$99,$G74&lt;EDATE(BS$99,1)),"F",IF(AND(ISNUMBER($H74),$H74&gt;=BS$99,$H74&lt;EDATE(BS$99,1)),"D","")))</f>
        <v/>
      </c>
      <c r="BT108" s="71" t="str">
        <f aca="false">IF(OR(BT$99="",$A74=""),"",IF(AND(ISNUMBER($G74),$G74&gt;=BT$99,$G74&lt;EDATE(BT$99,1)),"F",IF(AND(ISNUMBER($H74),$H74&gt;=BT$99,$H74&lt;EDATE(BT$99,1)),"D","")))</f>
        <v/>
      </c>
      <c r="BU108" s="71" t="str">
        <f aca="false">IF(OR(BU$99="",$A74=""),"",IF(AND(ISNUMBER($G74),$G74&gt;=BU$99,$G74&lt;EDATE(BU$99,1)),"F",IF(AND(ISNUMBER($H74),$H74&gt;=BU$99,$H74&lt;EDATE(BU$99,1)),"D","")))</f>
        <v/>
      </c>
      <c r="BV108" s="71" t="str">
        <f aca="false">IF(OR(BV$99="",$A74=""),"",IF(AND(ISNUMBER($G74),$G74&gt;=BV$99,$G74&lt;EDATE(BV$99,1)),"F",IF(AND(ISNUMBER($H74),$H74&gt;=BV$99,$H74&lt;EDATE(BV$99,1)),"D","")))</f>
        <v/>
      </c>
      <c r="BW108" s="71" t="str">
        <f aca="false">IF(OR(BW$99="",$A74=""),"",IF(AND(ISNUMBER($G74),$G74&gt;=BW$99,$G74&lt;EDATE(BW$99,1)),"F",IF(AND(ISNUMBER($H74),$H74&gt;=BW$99,$H74&lt;EDATE(BW$99,1)),"D","")))</f>
        <v/>
      </c>
      <c r="BX108" s="71" t="str">
        <f aca="false">IF(OR(BX$99="",$A74=""),"",IF(AND(ISNUMBER($G74),$G74&gt;=BX$99,$G74&lt;EDATE(BX$99,1)),"F",IF(AND(ISNUMBER($H74),$H74&gt;=BX$99,$H74&lt;EDATE(BX$99,1)),"D","")))</f>
        <v/>
      </c>
      <c r="BY108" s="71" t="str">
        <f aca="false">IF(OR(BY$99="",$A74=""),"",IF(AND(ISNUMBER($G74),$G74&gt;=BY$99,$G74&lt;EDATE(BY$99,1)),"F",IF(AND(ISNUMBER($H74),$H74&gt;=BY$99,$H74&lt;EDATE(BY$99,1)),"D","")))</f>
        <v/>
      </c>
      <c r="BZ108" s="71" t="str">
        <f aca="false">IF(OR(BZ$99="",$A74=""),"",IF(AND(ISNUMBER($G74),$G74&gt;=BZ$99,$G74&lt;EDATE(BZ$99,1)),"F",IF(AND(ISNUMBER($H74),$H74&gt;=BZ$99,$H74&lt;EDATE(BZ$99,1)),"D","")))</f>
        <v/>
      </c>
      <c r="CA108" s="71" t="str">
        <f aca="false">IF(OR(CA$99="",$A74=""),"",IF(AND(ISNUMBER($G74),$G74&gt;=CA$99,$G74&lt;EDATE(CA$99,1)),"F",IF(AND(ISNUMBER($H74),$H74&gt;=CA$99,$H74&lt;EDATE(CA$99,1)),"D","")))</f>
        <v/>
      </c>
      <c r="CB108" s="71" t="str">
        <f aca="false">IF(OR(CB$99="",$A74=""),"",IF(AND(ISNUMBER($G74),$G74&gt;=CB$99,$G74&lt;EDATE(CB$99,1)),"F",IF(AND(ISNUMBER($H74),$H74&gt;=CB$99,$H74&lt;EDATE(CB$99,1)),"D","")))</f>
        <v/>
      </c>
      <c r="CC108" s="71" t="str">
        <f aca="false">IF(OR(CC$99="",$A74=""),"",IF(AND(ISNUMBER($G74),$G74&gt;=CC$99,$G74&lt;EDATE(CC$99,1)),"F",IF(AND(ISNUMBER($H74),$H74&gt;=CC$99,$H74&lt;EDATE(CC$99,1)),"D","")))</f>
        <v/>
      </c>
      <c r="CD108" s="71" t="str">
        <f aca="false">IF(OR(CD$99="",$A74=""),"",IF(AND(ISNUMBER($G74),$G74&gt;=CD$99,$G74&lt;EDATE(CD$99,1)),"F",IF(AND(ISNUMBER($H74),$H74&gt;=CD$99,$H74&lt;EDATE(CD$99,1)),"D","")))</f>
        <v/>
      </c>
      <c r="CE108" s="71" t="str">
        <f aca="false">IF(OR(CE$99="",$A74=""),"",IF(AND(ISNUMBER($G74),$G74&gt;=CE$99,$G74&lt;EDATE(CE$99,1)),"F",IF(AND(ISNUMBER($H74),$H74&gt;=CE$99,$H74&lt;EDATE(CE$99,1)),"D","")))</f>
        <v/>
      </c>
      <c r="CF108" s="71" t="str">
        <f aca="false">IF(OR(CF$99="",$A74=""),"",IF(AND(ISNUMBER($G74),$G74&gt;=CF$99,$G74&lt;EDATE(CF$99,1)),"F",IF(AND(ISNUMBER($H74),$H74&gt;=CF$99,$H74&lt;EDATE(CF$99,1)),"D","")))</f>
        <v/>
      </c>
      <c r="CG108" s="71" t="str">
        <f aca="false">IF(OR(CG$99="",$A74=""),"",IF(AND(ISNUMBER($G74),$G74&gt;=CG$99,$G74&lt;EDATE(CG$99,1)),"F",IF(AND(ISNUMBER($H74),$H74&gt;=CG$99,$H74&lt;EDATE(CG$99,1)),"D","")))</f>
        <v/>
      </c>
      <c r="CH108" s="71" t="str">
        <f aca="false">IF(OR(CH$99="",$A74=""),"",IF(AND(ISNUMBER($G74),$G74&gt;=CH$99,$G74&lt;EDATE(CH$99,1)),"F",IF(AND(ISNUMBER($H74),$H74&gt;=CH$99,$H74&lt;EDATE(CH$99,1)),"D","")))</f>
        <v/>
      </c>
      <c r="CI108" s="71" t="str">
        <f aca="false">IF(OR(CI$99="",$A74=""),"",IF(AND(ISNUMBER($G74),$G74&gt;=CI$99,$G74&lt;EDATE(CI$99,1)),"F",IF(AND(ISNUMBER($H74),$H74&gt;=CI$99,$H74&lt;EDATE(CI$99,1)),"D","")))</f>
        <v/>
      </c>
      <c r="CJ108" s="71" t="str">
        <f aca="false">IF(OR(CJ$99="",$A74=""),"",IF(AND(ISNUMBER($G74),$G74&gt;=CJ$99,$G74&lt;EDATE(CJ$99,1)),"F",IF(AND(ISNUMBER($H74),$H74&gt;=CJ$99,$H74&lt;EDATE(CJ$99,1)),"D","")))</f>
        <v/>
      </c>
      <c r="CK108" s="71" t="str">
        <f aca="false">IF(OR(CK$99="",$A74=""),"",IF(AND(ISNUMBER($G74),$G74&gt;=CK$99,$G74&lt;EDATE(CK$99,1)),"F",IF(AND(ISNUMBER($H74),$H74&gt;=CK$99,$H74&lt;EDATE(CK$99,1)),"D","")))</f>
        <v/>
      </c>
    </row>
    <row r="109" customFormat="false" ht="15" hidden="false" customHeight="false" outlineLevel="0" collapsed="false">
      <c r="A109" s="74" t="str">
        <f aca="false">IF($A75="","",$A75)</f>
        <v>A002-SoS</v>
      </c>
      <c r="B109" s="74" t="str">
        <f aca="false">IF($A75="","",$B75)</f>
        <v/>
      </c>
      <c r="R109" s="71" t="str">
        <f aca="false">IF(OR(R$99="",$A75=""),"",IF(AND(ISNUMBER($G75),$G75&gt;=R$99,$G75&lt;EDATE(R$99,1)),"F",IF(AND(ISNUMBER($H75),$H75&gt;=R$99,$H75&lt;EDATE(R$99,1)),"D","")))</f>
        <v/>
      </c>
      <c r="S109" s="71" t="str">
        <f aca="false">IF(OR(S$99="",$A75=""),"",IF(AND(ISNUMBER($G75),$G75&gt;=S$99,$G75&lt;EDATE(S$99,1)),"F",IF(AND(ISNUMBER($H75),$H75&gt;=S$99,$H75&lt;EDATE(S$99,1)),"D","")))</f>
        <v/>
      </c>
      <c r="T109" s="71" t="str">
        <f aca="false">IF(OR(T$99="",$A75=""),"",IF(AND(ISNUMBER($G75),$G75&gt;=T$99,$G75&lt;EDATE(T$99,1)),"F",IF(AND(ISNUMBER($H75),$H75&gt;=T$99,$H75&lt;EDATE(T$99,1)),"D","")))</f>
        <v/>
      </c>
      <c r="U109" s="71" t="str">
        <f aca="false">IF(OR(U$99="",$A75=""),"",IF(AND(ISNUMBER($G75),$G75&gt;=U$99,$G75&lt;EDATE(U$99,1)),"F",IF(AND(ISNUMBER($H75),$H75&gt;=U$99,$H75&lt;EDATE(U$99,1)),"D","")))</f>
        <v/>
      </c>
      <c r="V109" s="71" t="str">
        <f aca="false">IF(OR(V$99="",$A75=""),"",IF(AND(ISNUMBER($G75),$G75&gt;=V$99,$G75&lt;EDATE(V$99,1)),"F",IF(AND(ISNUMBER($H75),$H75&gt;=V$99,$H75&lt;EDATE(V$99,1)),"D","")))</f>
        <v/>
      </c>
      <c r="W109" s="71" t="str">
        <f aca="false">IF(OR(W$99="",$A75=""),"",IF(AND(ISNUMBER($G75),$G75&gt;=W$99,$G75&lt;EDATE(W$99,1)),"F",IF(AND(ISNUMBER($H75),$H75&gt;=W$99,$H75&lt;EDATE(W$99,1)),"D","")))</f>
        <v/>
      </c>
      <c r="X109" s="71" t="str">
        <f aca="false">IF(OR(X$99="",$A75=""),"",IF(AND(ISNUMBER($G75),$G75&gt;=X$99,$G75&lt;EDATE(X$99,1)),"F",IF(AND(ISNUMBER($H75),$H75&gt;=X$99,$H75&lt;EDATE(X$99,1)),"D","")))</f>
        <v/>
      </c>
      <c r="Y109" s="71" t="str">
        <f aca="false">IF(OR(Y$99="",$A75=""),"",IF(AND(ISNUMBER($G75),$G75&gt;=Y$99,$G75&lt;EDATE(Y$99,1)),"F",IF(AND(ISNUMBER($H75),$H75&gt;=Y$99,$H75&lt;EDATE(Y$99,1)),"D","")))</f>
        <v/>
      </c>
      <c r="Z109" s="71" t="str">
        <f aca="false">IF(OR(Z$99="",$A75=""),"",IF(AND(ISNUMBER($G75),$G75&gt;=Z$99,$G75&lt;EDATE(Z$99,1)),"F",IF(AND(ISNUMBER($H75),$H75&gt;=Z$99,$H75&lt;EDATE(Z$99,1)),"D","")))</f>
        <v/>
      </c>
      <c r="AA109" s="71" t="str">
        <f aca="false">IF(OR(AA$99="",$A75=""),"",IF(AND(ISNUMBER($G75),$G75&gt;=AA$99,$G75&lt;EDATE(AA$99,1)),"F",IF(AND(ISNUMBER($H75),$H75&gt;=AA$99,$H75&lt;EDATE(AA$99,1)),"D","")))</f>
        <v/>
      </c>
      <c r="AB109" s="71" t="str">
        <f aca="false">IF(OR(AB$99="",$A75=""),"",IF(AND(ISNUMBER($G75),$G75&gt;=AB$99,$G75&lt;EDATE(AB$99,1)),"F",IF(AND(ISNUMBER($H75),$H75&gt;=AB$99,$H75&lt;EDATE(AB$99,1)),"D","")))</f>
        <v/>
      </c>
      <c r="AC109" s="71" t="str">
        <f aca="false">IF(OR(AC$99="",$A75=""),"",IF(AND(ISNUMBER($G75),$G75&gt;=AC$99,$G75&lt;EDATE(AC$99,1)),"F",IF(AND(ISNUMBER($H75),$H75&gt;=AC$99,$H75&lt;EDATE(AC$99,1)),"D","")))</f>
        <v/>
      </c>
      <c r="AD109" s="71" t="str">
        <f aca="false">IF(OR(AD$99="",$A75=""),"",IF(AND(ISNUMBER($G75),$G75&gt;=AD$99,$G75&lt;EDATE(AD$99,1)),"F",IF(AND(ISNUMBER($H75),$H75&gt;=AD$99,$H75&lt;EDATE(AD$99,1)),"D","")))</f>
        <v/>
      </c>
      <c r="AE109" s="71" t="str">
        <f aca="false">IF(OR(AE$99="",$A75=""),"",IF(AND(ISNUMBER($G75),$G75&gt;=AE$99,$G75&lt;EDATE(AE$99,1)),"F",IF(AND(ISNUMBER($H75),$H75&gt;=AE$99,$H75&lt;EDATE(AE$99,1)),"D","")))</f>
        <v/>
      </c>
      <c r="AF109" s="71" t="str">
        <f aca="false">IF(OR(AF$99="",$A75=""),"",IF(AND(ISNUMBER($G75),$G75&gt;=AF$99,$G75&lt;EDATE(AF$99,1)),"F",IF(AND(ISNUMBER($H75),$H75&gt;=AF$99,$H75&lt;EDATE(AF$99,1)),"D","")))</f>
        <v/>
      </c>
      <c r="AG109" s="71" t="str">
        <f aca="false">IF(OR(AG$99="",$A75=""),"",IF(AND(ISNUMBER($G75),$G75&gt;=AG$99,$G75&lt;EDATE(AG$99,1)),"F",IF(AND(ISNUMBER($H75),$H75&gt;=AG$99,$H75&lt;EDATE(AG$99,1)),"D","")))</f>
        <v/>
      </c>
      <c r="AH109" s="71" t="str">
        <f aca="false">IF(OR(AH$99="",$A75=""),"",IF(AND(ISNUMBER($G75),$G75&gt;=AH$99,$G75&lt;EDATE(AH$99,1)),"F",IF(AND(ISNUMBER($H75),$H75&gt;=AH$99,$H75&lt;EDATE(AH$99,1)),"D","")))</f>
        <v/>
      </c>
      <c r="AI109" s="71" t="str">
        <f aca="false">IF(OR(AI$99="",$A75=""),"",IF(AND(ISNUMBER($G75),$G75&gt;=AI$99,$G75&lt;EDATE(AI$99,1)),"F",IF(AND(ISNUMBER($H75),$H75&gt;=AI$99,$H75&lt;EDATE(AI$99,1)),"D","")))</f>
        <v/>
      </c>
      <c r="AJ109" s="71" t="str">
        <f aca="false">IF(OR(AJ$99="",$A75=""),"",IF(AND(ISNUMBER($G75),$G75&gt;=AJ$99,$G75&lt;EDATE(AJ$99,1)),"F",IF(AND(ISNUMBER($H75),$H75&gt;=AJ$99,$H75&lt;EDATE(AJ$99,1)),"D","")))</f>
        <v/>
      </c>
      <c r="AK109" s="71" t="str">
        <f aca="false">IF(OR(AK$99="",$A75=""),"",IF(AND(ISNUMBER($G75),$G75&gt;=AK$99,$G75&lt;EDATE(AK$99,1)),"F",IF(AND(ISNUMBER($H75),$H75&gt;=AK$99,$H75&lt;EDATE(AK$99,1)),"D","")))</f>
        <v/>
      </c>
      <c r="AL109" s="71" t="str">
        <f aca="false">IF(OR(AL$99="",$A75=""),"",IF(AND(ISNUMBER($G75),$G75&gt;=AL$99,$G75&lt;EDATE(AL$99,1)),"F",IF(AND(ISNUMBER($H75),$H75&gt;=AL$99,$H75&lt;EDATE(AL$99,1)),"D","")))</f>
        <v/>
      </c>
      <c r="AM109" s="71" t="str">
        <f aca="false">IF(OR(AM$99="",$A75=""),"",IF(AND(ISNUMBER($G75),$G75&gt;=AM$99,$G75&lt;EDATE(AM$99,1)),"F",IF(AND(ISNUMBER($H75),$H75&gt;=AM$99,$H75&lt;EDATE(AM$99,1)),"D","")))</f>
        <v/>
      </c>
      <c r="AN109" s="71" t="str">
        <f aca="false">IF(OR(AN$99="",$A75=""),"",IF(AND(ISNUMBER($G75),$G75&gt;=AN$99,$G75&lt;EDATE(AN$99,1)),"F",IF(AND(ISNUMBER($H75),$H75&gt;=AN$99,$H75&lt;EDATE(AN$99,1)),"D","")))</f>
        <v/>
      </c>
      <c r="AO109" s="71" t="str">
        <f aca="false">IF(OR(AO$99="",$A75=""),"",IF(AND(ISNUMBER($G75),$G75&gt;=AO$99,$G75&lt;EDATE(AO$99,1)),"F",IF(AND(ISNUMBER($H75),$H75&gt;=AO$99,$H75&lt;EDATE(AO$99,1)),"D","")))</f>
        <v/>
      </c>
      <c r="AP109" s="71" t="str">
        <f aca="false">IF(OR(AP$99="",$A75=""),"",IF(AND(ISNUMBER($G75),$G75&gt;=AP$99,$G75&lt;EDATE(AP$99,1)),"F",IF(AND(ISNUMBER($H75),$H75&gt;=AP$99,$H75&lt;EDATE(AP$99,1)),"D","")))</f>
        <v/>
      </c>
      <c r="AQ109" s="71" t="str">
        <f aca="false">IF(OR(AQ$99="",$A75=""),"",IF(AND(ISNUMBER($G75),$G75&gt;=AQ$99,$G75&lt;EDATE(AQ$99,1)),"F",IF(AND(ISNUMBER($H75),$H75&gt;=AQ$99,$H75&lt;EDATE(AQ$99,1)),"D","")))</f>
        <v/>
      </c>
      <c r="AR109" s="71" t="str">
        <f aca="false">IF(OR(AR$99="",$A75=""),"",IF(AND(ISNUMBER($G75),$G75&gt;=AR$99,$G75&lt;EDATE(AR$99,1)),"F",IF(AND(ISNUMBER($H75),$H75&gt;=AR$99,$H75&lt;EDATE(AR$99,1)),"D","")))</f>
        <v/>
      </c>
      <c r="AS109" s="71" t="str">
        <f aca="false">IF(OR(AS$99="",$A75=""),"",IF(AND(ISNUMBER($G75),$G75&gt;=AS$99,$G75&lt;EDATE(AS$99,1)),"F",IF(AND(ISNUMBER($H75),$H75&gt;=AS$99,$H75&lt;EDATE(AS$99,1)),"D","")))</f>
        <v/>
      </c>
      <c r="AT109" s="71" t="str">
        <f aca="false">IF(OR(AT$99="",$A75=""),"",IF(AND(ISNUMBER($G75),$G75&gt;=AT$99,$G75&lt;EDATE(AT$99,1)),"F",IF(AND(ISNUMBER($H75),$H75&gt;=AT$99,$H75&lt;EDATE(AT$99,1)),"D","")))</f>
        <v/>
      </c>
      <c r="AU109" s="71" t="str">
        <f aca="false">IF(OR(AU$99="",$A75=""),"",IF(AND(ISNUMBER($G75),$G75&gt;=AU$99,$G75&lt;EDATE(AU$99,1)),"F",IF(AND(ISNUMBER($H75),$H75&gt;=AU$99,$H75&lt;EDATE(AU$99,1)),"D","")))</f>
        <v/>
      </c>
      <c r="AV109" s="71" t="str">
        <f aca="false">IF(OR(AV$99="",$A75=""),"",IF(AND(ISNUMBER($G75),$G75&gt;=AV$99,$G75&lt;EDATE(AV$99,1)),"F",IF(AND(ISNUMBER($H75),$H75&gt;=AV$99,$H75&lt;EDATE(AV$99,1)),"D","")))</f>
        <v/>
      </c>
      <c r="AW109" s="71" t="str">
        <f aca="false">IF(OR(AW$99="",$A75=""),"",IF(AND(ISNUMBER($G75),$G75&gt;=AW$99,$G75&lt;EDATE(AW$99,1)),"F",IF(AND(ISNUMBER($H75),$H75&gt;=AW$99,$H75&lt;EDATE(AW$99,1)),"D","")))</f>
        <v/>
      </c>
      <c r="AX109" s="71" t="str">
        <f aca="false">IF(OR(AX$99="",$A75=""),"",IF(AND(ISNUMBER($G75),$G75&gt;=AX$99,$G75&lt;EDATE(AX$99,1)),"F",IF(AND(ISNUMBER($H75),$H75&gt;=AX$99,$H75&lt;EDATE(AX$99,1)),"D","")))</f>
        <v/>
      </c>
      <c r="AY109" s="71" t="str">
        <f aca="false">IF(OR(AY$99="",$A75=""),"",IF(AND(ISNUMBER($G75),$G75&gt;=AY$99,$G75&lt;EDATE(AY$99,1)),"F",IF(AND(ISNUMBER($H75),$H75&gt;=AY$99,$H75&lt;EDATE(AY$99,1)),"D","")))</f>
        <v/>
      </c>
      <c r="AZ109" s="71" t="str">
        <f aca="false">IF(OR(AZ$99="",$A75=""),"",IF(AND(ISNUMBER($G75),$G75&gt;=AZ$99,$G75&lt;EDATE(AZ$99,1)),"F",IF(AND(ISNUMBER($H75),$H75&gt;=AZ$99,$H75&lt;EDATE(AZ$99,1)),"D","")))</f>
        <v/>
      </c>
      <c r="BA109" s="71" t="str">
        <f aca="false">IF(OR(BA$99="",$A75=""),"",IF(AND(ISNUMBER($G75),$G75&gt;=BA$99,$G75&lt;EDATE(BA$99,1)),"F",IF(AND(ISNUMBER($H75),$H75&gt;=BA$99,$H75&lt;EDATE(BA$99,1)),"D","")))</f>
        <v/>
      </c>
      <c r="BB109" s="71" t="str">
        <f aca="false">IF(OR(BB$99="",$A75=""),"",IF(AND(ISNUMBER($G75),$G75&gt;=BB$99,$G75&lt;EDATE(BB$99,1)),"F",IF(AND(ISNUMBER($H75),$H75&gt;=BB$99,$H75&lt;EDATE(BB$99,1)),"D","")))</f>
        <v/>
      </c>
      <c r="BC109" s="71" t="str">
        <f aca="false">IF(OR(BC$99="",$A75=""),"",IF(AND(ISNUMBER($G75),$G75&gt;=BC$99,$G75&lt;EDATE(BC$99,1)),"F",IF(AND(ISNUMBER($H75),$H75&gt;=BC$99,$H75&lt;EDATE(BC$99,1)),"D","")))</f>
        <v/>
      </c>
      <c r="BD109" s="71" t="str">
        <f aca="false">IF(OR(BD$99="",$A75=""),"",IF(AND(ISNUMBER($G75),$G75&gt;=BD$99,$G75&lt;EDATE(BD$99,1)),"F",IF(AND(ISNUMBER($H75),$H75&gt;=BD$99,$H75&lt;EDATE(BD$99,1)),"D","")))</f>
        <v/>
      </c>
      <c r="BE109" s="71" t="str">
        <f aca="false">IF(OR(BE$99="",$A75=""),"",IF(AND(ISNUMBER($G75),$G75&gt;=BE$99,$G75&lt;EDATE(BE$99,1)),"F",IF(AND(ISNUMBER($H75),$H75&gt;=BE$99,$H75&lt;EDATE(BE$99,1)),"D","")))</f>
        <v/>
      </c>
      <c r="BF109" s="71" t="str">
        <f aca="false">IF(OR(BF$99="",$A75=""),"",IF(AND(ISNUMBER($G75),$G75&gt;=BF$99,$G75&lt;EDATE(BF$99,1)),"F",IF(AND(ISNUMBER($H75),$H75&gt;=BF$99,$H75&lt;EDATE(BF$99,1)),"D","")))</f>
        <v/>
      </c>
      <c r="BG109" s="71" t="str">
        <f aca="false">IF(OR(BG$99="",$A75=""),"",IF(AND(ISNUMBER($G75),$G75&gt;=BG$99,$G75&lt;EDATE(BG$99,1)),"F",IF(AND(ISNUMBER($H75),$H75&gt;=BG$99,$H75&lt;EDATE(BG$99,1)),"D","")))</f>
        <v/>
      </c>
      <c r="BH109" s="71" t="str">
        <f aca="false">IF(OR(BH$99="",$A75=""),"",IF(AND(ISNUMBER($G75),$G75&gt;=BH$99,$G75&lt;EDATE(BH$99,1)),"F",IF(AND(ISNUMBER($H75),$H75&gt;=BH$99,$H75&lt;EDATE(BH$99,1)),"D","")))</f>
        <v/>
      </c>
      <c r="BI109" s="71" t="str">
        <f aca="false">IF(OR(BI$99="",$A75=""),"",IF(AND(ISNUMBER($G75),$G75&gt;=BI$99,$G75&lt;EDATE(BI$99,1)),"F",IF(AND(ISNUMBER($H75),$H75&gt;=BI$99,$H75&lt;EDATE(BI$99,1)),"D","")))</f>
        <v/>
      </c>
      <c r="BJ109" s="71" t="str">
        <f aca="false">IF(OR(BJ$99="",$A75=""),"",IF(AND(ISNUMBER($G75),$G75&gt;=BJ$99,$G75&lt;EDATE(BJ$99,1)),"F",IF(AND(ISNUMBER($H75),$H75&gt;=BJ$99,$H75&lt;EDATE(BJ$99,1)),"D","")))</f>
        <v/>
      </c>
      <c r="BK109" s="71" t="str">
        <f aca="false">IF(OR(BK$99="",$A75=""),"",IF(AND(ISNUMBER($G75),$G75&gt;=BK$99,$G75&lt;EDATE(BK$99,1)),"F",IF(AND(ISNUMBER($H75),$H75&gt;=BK$99,$H75&lt;EDATE(BK$99,1)),"D","")))</f>
        <v/>
      </c>
      <c r="BL109" s="71" t="str">
        <f aca="false">IF(OR(BL$99="",$A75=""),"",IF(AND(ISNUMBER($G75),$G75&gt;=BL$99,$G75&lt;EDATE(BL$99,1)),"F",IF(AND(ISNUMBER($H75),$H75&gt;=BL$99,$H75&lt;EDATE(BL$99,1)),"D","")))</f>
        <v/>
      </c>
      <c r="BM109" s="71" t="str">
        <f aca="false">IF(OR(BM$99="",$A75=""),"",IF(AND(ISNUMBER($G75),$G75&gt;=BM$99,$G75&lt;EDATE(BM$99,1)),"F",IF(AND(ISNUMBER($H75),$H75&gt;=BM$99,$H75&lt;EDATE(BM$99,1)),"D","")))</f>
        <v/>
      </c>
      <c r="BN109" s="71" t="str">
        <f aca="false">IF(OR(BN$99="",$A75=""),"",IF(AND(ISNUMBER($G75),$G75&gt;=BN$99,$G75&lt;EDATE(BN$99,1)),"F",IF(AND(ISNUMBER($H75),$H75&gt;=BN$99,$H75&lt;EDATE(BN$99,1)),"D","")))</f>
        <v/>
      </c>
      <c r="BO109" s="71" t="str">
        <f aca="false">IF(OR(BO$99="",$A75=""),"",IF(AND(ISNUMBER($G75),$G75&gt;=BO$99,$G75&lt;EDATE(BO$99,1)),"F",IF(AND(ISNUMBER($H75),$H75&gt;=BO$99,$H75&lt;EDATE(BO$99,1)),"D","")))</f>
        <v/>
      </c>
      <c r="BP109" s="71" t="str">
        <f aca="false">IF(OR(BP$99="",$A75=""),"",IF(AND(ISNUMBER($G75),$G75&gt;=BP$99,$G75&lt;EDATE(BP$99,1)),"F",IF(AND(ISNUMBER($H75),$H75&gt;=BP$99,$H75&lt;EDATE(BP$99,1)),"D","")))</f>
        <v/>
      </c>
      <c r="BQ109" s="71" t="str">
        <f aca="false">IF(OR(BQ$99="",$A75=""),"",IF(AND(ISNUMBER($G75),$G75&gt;=BQ$99,$G75&lt;EDATE(BQ$99,1)),"F",IF(AND(ISNUMBER($H75),$H75&gt;=BQ$99,$H75&lt;EDATE(BQ$99,1)),"D","")))</f>
        <v/>
      </c>
      <c r="BR109" s="71" t="str">
        <f aca="false">IF(OR(BR$99="",$A75=""),"",IF(AND(ISNUMBER($G75),$G75&gt;=BR$99,$G75&lt;EDATE(BR$99,1)),"F",IF(AND(ISNUMBER($H75),$H75&gt;=BR$99,$H75&lt;EDATE(BR$99,1)),"D","")))</f>
        <v/>
      </c>
      <c r="BS109" s="71" t="str">
        <f aca="false">IF(OR(BS$99="",$A75=""),"",IF(AND(ISNUMBER($G75),$G75&gt;=BS$99,$G75&lt;EDATE(BS$99,1)),"F",IF(AND(ISNUMBER($H75),$H75&gt;=BS$99,$H75&lt;EDATE(BS$99,1)),"D","")))</f>
        <v/>
      </c>
      <c r="BT109" s="71" t="str">
        <f aca="false">IF(OR(BT$99="",$A75=""),"",IF(AND(ISNUMBER($G75),$G75&gt;=BT$99,$G75&lt;EDATE(BT$99,1)),"F",IF(AND(ISNUMBER($H75),$H75&gt;=BT$99,$H75&lt;EDATE(BT$99,1)),"D","")))</f>
        <v/>
      </c>
      <c r="BU109" s="71" t="str">
        <f aca="false">IF(OR(BU$99="",$A75=""),"",IF(AND(ISNUMBER($G75),$G75&gt;=BU$99,$G75&lt;EDATE(BU$99,1)),"F",IF(AND(ISNUMBER($H75),$H75&gt;=BU$99,$H75&lt;EDATE(BU$99,1)),"D","")))</f>
        <v/>
      </c>
      <c r="BV109" s="71" t="str">
        <f aca="false">IF(OR(BV$99="",$A75=""),"",IF(AND(ISNUMBER($G75),$G75&gt;=BV$99,$G75&lt;EDATE(BV$99,1)),"F",IF(AND(ISNUMBER($H75),$H75&gt;=BV$99,$H75&lt;EDATE(BV$99,1)),"D","")))</f>
        <v/>
      </c>
      <c r="BW109" s="71" t="str">
        <f aca="false">IF(OR(BW$99="",$A75=""),"",IF(AND(ISNUMBER($G75),$G75&gt;=BW$99,$G75&lt;EDATE(BW$99,1)),"F",IF(AND(ISNUMBER($H75),$H75&gt;=BW$99,$H75&lt;EDATE(BW$99,1)),"D","")))</f>
        <v/>
      </c>
      <c r="BX109" s="71" t="str">
        <f aca="false">IF(OR(BX$99="",$A75=""),"",IF(AND(ISNUMBER($G75),$G75&gt;=BX$99,$G75&lt;EDATE(BX$99,1)),"F",IF(AND(ISNUMBER($H75),$H75&gt;=BX$99,$H75&lt;EDATE(BX$99,1)),"D","")))</f>
        <v/>
      </c>
      <c r="BY109" s="71" t="str">
        <f aca="false">IF(OR(BY$99="",$A75=""),"",IF(AND(ISNUMBER($G75),$G75&gt;=BY$99,$G75&lt;EDATE(BY$99,1)),"F",IF(AND(ISNUMBER($H75),$H75&gt;=BY$99,$H75&lt;EDATE(BY$99,1)),"D","")))</f>
        <v/>
      </c>
      <c r="BZ109" s="71" t="str">
        <f aca="false">IF(OR(BZ$99="",$A75=""),"",IF(AND(ISNUMBER($G75),$G75&gt;=BZ$99,$G75&lt;EDATE(BZ$99,1)),"F",IF(AND(ISNUMBER($H75),$H75&gt;=BZ$99,$H75&lt;EDATE(BZ$99,1)),"D","")))</f>
        <v/>
      </c>
      <c r="CA109" s="71" t="str">
        <f aca="false">IF(OR(CA$99="",$A75=""),"",IF(AND(ISNUMBER($G75),$G75&gt;=CA$99,$G75&lt;EDATE(CA$99,1)),"F",IF(AND(ISNUMBER($H75),$H75&gt;=CA$99,$H75&lt;EDATE(CA$99,1)),"D","")))</f>
        <v/>
      </c>
      <c r="CB109" s="71" t="str">
        <f aca="false">IF(OR(CB$99="",$A75=""),"",IF(AND(ISNUMBER($G75),$G75&gt;=CB$99,$G75&lt;EDATE(CB$99,1)),"F",IF(AND(ISNUMBER($H75),$H75&gt;=CB$99,$H75&lt;EDATE(CB$99,1)),"D","")))</f>
        <v/>
      </c>
      <c r="CC109" s="71" t="str">
        <f aca="false">IF(OR(CC$99="",$A75=""),"",IF(AND(ISNUMBER($G75),$G75&gt;=CC$99,$G75&lt;EDATE(CC$99,1)),"F",IF(AND(ISNUMBER($H75),$H75&gt;=CC$99,$H75&lt;EDATE(CC$99,1)),"D","")))</f>
        <v/>
      </c>
      <c r="CD109" s="71" t="str">
        <f aca="false">IF(OR(CD$99="",$A75=""),"",IF(AND(ISNUMBER($G75),$G75&gt;=CD$99,$G75&lt;EDATE(CD$99,1)),"F",IF(AND(ISNUMBER($H75),$H75&gt;=CD$99,$H75&lt;EDATE(CD$99,1)),"D","")))</f>
        <v/>
      </c>
      <c r="CE109" s="71" t="str">
        <f aca="false">IF(OR(CE$99="",$A75=""),"",IF(AND(ISNUMBER($G75),$G75&gt;=CE$99,$G75&lt;EDATE(CE$99,1)),"F",IF(AND(ISNUMBER($H75),$H75&gt;=CE$99,$H75&lt;EDATE(CE$99,1)),"D","")))</f>
        <v/>
      </c>
      <c r="CF109" s="71" t="str">
        <f aca="false">IF(OR(CF$99="",$A75=""),"",IF(AND(ISNUMBER($G75),$G75&gt;=CF$99,$G75&lt;EDATE(CF$99,1)),"F",IF(AND(ISNUMBER($H75),$H75&gt;=CF$99,$H75&lt;EDATE(CF$99,1)),"D","")))</f>
        <v/>
      </c>
      <c r="CG109" s="71" t="str">
        <f aca="false">IF(OR(CG$99="",$A75=""),"",IF(AND(ISNUMBER($G75),$G75&gt;=CG$99,$G75&lt;EDATE(CG$99,1)),"F",IF(AND(ISNUMBER($H75),$H75&gt;=CG$99,$H75&lt;EDATE(CG$99,1)),"D","")))</f>
        <v/>
      </c>
      <c r="CH109" s="71" t="str">
        <f aca="false">IF(OR(CH$99="",$A75=""),"",IF(AND(ISNUMBER($G75),$G75&gt;=CH$99,$G75&lt;EDATE(CH$99,1)),"F",IF(AND(ISNUMBER($H75),$H75&gt;=CH$99,$H75&lt;EDATE(CH$99,1)),"D","")))</f>
        <v/>
      </c>
      <c r="CI109" s="71" t="str">
        <f aca="false">IF(OR(CI$99="",$A75=""),"",IF(AND(ISNUMBER($G75),$G75&gt;=CI$99,$G75&lt;EDATE(CI$99,1)),"F",IF(AND(ISNUMBER($H75),$H75&gt;=CI$99,$H75&lt;EDATE(CI$99,1)),"D","")))</f>
        <v/>
      </c>
      <c r="CJ109" s="71" t="str">
        <f aca="false">IF(OR(CJ$99="",$A75=""),"",IF(AND(ISNUMBER($G75),$G75&gt;=CJ$99,$G75&lt;EDATE(CJ$99,1)),"F",IF(AND(ISNUMBER($H75),$H75&gt;=CJ$99,$H75&lt;EDATE(CJ$99,1)),"D","")))</f>
        <v/>
      </c>
      <c r="CK109" s="71" t="str">
        <f aca="false">IF(OR(CK$99="",$A75=""),"",IF(AND(ISNUMBER($G75),$G75&gt;=CK$99,$G75&lt;EDATE(CK$99,1)),"F",IF(AND(ISNUMBER($H75),$H75&gt;=CK$99,$H75&lt;EDATE(CK$99,1)),"D","")))</f>
        <v/>
      </c>
    </row>
    <row r="110" customFormat="false" ht="15" hidden="false" customHeight="false" outlineLevel="0" collapsed="false">
      <c r="A110" s="74" t="str">
        <f aca="false">IF($A76="","",$A76)</f>
        <v>A002-EHA</v>
      </c>
      <c r="B110" s="74" t="str">
        <f aca="false">IF($A76="","",$B76)</f>
        <v/>
      </c>
      <c r="R110" s="71" t="str">
        <f aca="false">IF(OR(R$99="",$A76=""),"",IF(AND(ISNUMBER($G76),$G76&gt;=R$99,$G76&lt;EDATE(R$99,1)),"F",IF(AND(ISNUMBER($H76),$H76&gt;=R$99,$H76&lt;EDATE(R$99,1)),"D","")))</f>
        <v/>
      </c>
      <c r="S110" s="71" t="str">
        <f aca="false">IF(OR(S$99="",$A76=""),"",IF(AND(ISNUMBER($G76),$G76&gt;=S$99,$G76&lt;EDATE(S$99,1)),"F",IF(AND(ISNUMBER($H76),$H76&gt;=S$99,$H76&lt;EDATE(S$99,1)),"D","")))</f>
        <v/>
      </c>
      <c r="T110" s="71" t="str">
        <f aca="false">IF(OR(T$99="",$A76=""),"",IF(AND(ISNUMBER($G76),$G76&gt;=T$99,$G76&lt;EDATE(T$99,1)),"F",IF(AND(ISNUMBER($H76),$H76&gt;=T$99,$H76&lt;EDATE(T$99,1)),"D","")))</f>
        <v/>
      </c>
      <c r="U110" s="71" t="str">
        <f aca="false">IF(OR(U$99="",$A76=""),"",IF(AND(ISNUMBER($G76),$G76&gt;=U$99,$G76&lt;EDATE(U$99,1)),"F",IF(AND(ISNUMBER($H76),$H76&gt;=U$99,$H76&lt;EDATE(U$99,1)),"D","")))</f>
        <v/>
      </c>
      <c r="V110" s="71" t="str">
        <f aca="false">IF(OR(V$99="",$A76=""),"",IF(AND(ISNUMBER($G76),$G76&gt;=V$99,$G76&lt;EDATE(V$99,1)),"F",IF(AND(ISNUMBER($H76),$H76&gt;=V$99,$H76&lt;EDATE(V$99,1)),"D","")))</f>
        <v/>
      </c>
      <c r="W110" s="71" t="str">
        <f aca="false">IF(OR(W$99="",$A76=""),"",IF(AND(ISNUMBER($G76),$G76&gt;=W$99,$G76&lt;EDATE(W$99,1)),"F",IF(AND(ISNUMBER($H76),$H76&gt;=W$99,$H76&lt;EDATE(W$99,1)),"D","")))</f>
        <v/>
      </c>
      <c r="X110" s="71" t="str">
        <f aca="false">IF(OR(X$99="",$A76=""),"",IF(AND(ISNUMBER($G76),$G76&gt;=X$99,$G76&lt;EDATE(X$99,1)),"F",IF(AND(ISNUMBER($H76),$H76&gt;=X$99,$H76&lt;EDATE(X$99,1)),"D","")))</f>
        <v/>
      </c>
      <c r="Y110" s="71" t="str">
        <f aca="false">IF(OR(Y$99="",$A76=""),"",IF(AND(ISNUMBER($G76),$G76&gt;=Y$99,$G76&lt;EDATE(Y$99,1)),"F",IF(AND(ISNUMBER($H76),$H76&gt;=Y$99,$H76&lt;EDATE(Y$99,1)),"D","")))</f>
        <v/>
      </c>
      <c r="Z110" s="71" t="str">
        <f aca="false">IF(OR(Z$99="",$A76=""),"",IF(AND(ISNUMBER($G76),$G76&gt;=Z$99,$G76&lt;EDATE(Z$99,1)),"F",IF(AND(ISNUMBER($H76),$H76&gt;=Z$99,$H76&lt;EDATE(Z$99,1)),"D","")))</f>
        <v/>
      </c>
      <c r="AA110" s="71" t="str">
        <f aca="false">IF(OR(AA$99="",$A76=""),"",IF(AND(ISNUMBER($G76),$G76&gt;=AA$99,$G76&lt;EDATE(AA$99,1)),"F",IF(AND(ISNUMBER($H76),$H76&gt;=AA$99,$H76&lt;EDATE(AA$99,1)),"D","")))</f>
        <v/>
      </c>
      <c r="AB110" s="71" t="str">
        <f aca="false">IF(OR(AB$99="",$A76=""),"",IF(AND(ISNUMBER($G76),$G76&gt;=AB$99,$G76&lt;EDATE(AB$99,1)),"F",IF(AND(ISNUMBER($H76),$H76&gt;=AB$99,$H76&lt;EDATE(AB$99,1)),"D","")))</f>
        <v/>
      </c>
      <c r="AC110" s="71" t="str">
        <f aca="false">IF(OR(AC$99="",$A76=""),"",IF(AND(ISNUMBER($G76),$G76&gt;=AC$99,$G76&lt;EDATE(AC$99,1)),"F",IF(AND(ISNUMBER($H76),$H76&gt;=AC$99,$H76&lt;EDATE(AC$99,1)),"D","")))</f>
        <v/>
      </c>
      <c r="AD110" s="71" t="str">
        <f aca="false">IF(OR(AD$99="",$A76=""),"",IF(AND(ISNUMBER($G76),$G76&gt;=AD$99,$G76&lt;EDATE(AD$99,1)),"F",IF(AND(ISNUMBER($H76),$H76&gt;=AD$99,$H76&lt;EDATE(AD$99,1)),"D","")))</f>
        <v/>
      </c>
      <c r="AE110" s="71" t="str">
        <f aca="false">IF(OR(AE$99="",$A76=""),"",IF(AND(ISNUMBER($G76),$G76&gt;=AE$99,$G76&lt;EDATE(AE$99,1)),"F",IF(AND(ISNUMBER($H76),$H76&gt;=AE$99,$H76&lt;EDATE(AE$99,1)),"D","")))</f>
        <v/>
      </c>
      <c r="AF110" s="71" t="str">
        <f aca="false">IF(OR(AF$99="",$A76=""),"",IF(AND(ISNUMBER($G76),$G76&gt;=AF$99,$G76&lt;EDATE(AF$99,1)),"F",IF(AND(ISNUMBER($H76),$H76&gt;=AF$99,$H76&lt;EDATE(AF$99,1)),"D","")))</f>
        <v/>
      </c>
      <c r="AG110" s="71" t="str">
        <f aca="false">IF(OR(AG$99="",$A76=""),"",IF(AND(ISNUMBER($G76),$G76&gt;=AG$99,$G76&lt;EDATE(AG$99,1)),"F",IF(AND(ISNUMBER($H76),$H76&gt;=AG$99,$H76&lt;EDATE(AG$99,1)),"D","")))</f>
        <v/>
      </c>
      <c r="AH110" s="71" t="str">
        <f aca="false">IF(OR(AH$99="",$A76=""),"",IF(AND(ISNUMBER($G76),$G76&gt;=AH$99,$G76&lt;EDATE(AH$99,1)),"F",IF(AND(ISNUMBER($H76),$H76&gt;=AH$99,$H76&lt;EDATE(AH$99,1)),"D","")))</f>
        <v/>
      </c>
      <c r="AI110" s="71" t="str">
        <f aca="false">IF(OR(AI$99="",$A76=""),"",IF(AND(ISNUMBER($G76),$G76&gt;=AI$99,$G76&lt;EDATE(AI$99,1)),"F",IF(AND(ISNUMBER($H76),$H76&gt;=AI$99,$H76&lt;EDATE(AI$99,1)),"D","")))</f>
        <v/>
      </c>
      <c r="AJ110" s="71" t="str">
        <f aca="false">IF(OR(AJ$99="",$A76=""),"",IF(AND(ISNUMBER($G76),$G76&gt;=AJ$99,$G76&lt;EDATE(AJ$99,1)),"F",IF(AND(ISNUMBER($H76),$H76&gt;=AJ$99,$H76&lt;EDATE(AJ$99,1)),"D","")))</f>
        <v/>
      </c>
      <c r="AK110" s="71" t="str">
        <f aca="false">IF(OR(AK$99="",$A76=""),"",IF(AND(ISNUMBER($G76),$G76&gt;=AK$99,$G76&lt;EDATE(AK$99,1)),"F",IF(AND(ISNUMBER($H76),$H76&gt;=AK$99,$H76&lt;EDATE(AK$99,1)),"D","")))</f>
        <v/>
      </c>
      <c r="AL110" s="71" t="str">
        <f aca="false">IF(OR(AL$99="",$A76=""),"",IF(AND(ISNUMBER($G76),$G76&gt;=AL$99,$G76&lt;EDATE(AL$99,1)),"F",IF(AND(ISNUMBER($H76),$H76&gt;=AL$99,$H76&lt;EDATE(AL$99,1)),"D","")))</f>
        <v/>
      </c>
      <c r="AM110" s="71" t="str">
        <f aca="false">IF(OR(AM$99="",$A76=""),"",IF(AND(ISNUMBER($G76),$G76&gt;=AM$99,$G76&lt;EDATE(AM$99,1)),"F",IF(AND(ISNUMBER($H76),$H76&gt;=AM$99,$H76&lt;EDATE(AM$99,1)),"D","")))</f>
        <v/>
      </c>
      <c r="AN110" s="71" t="str">
        <f aca="false">IF(OR(AN$99="",$A76=""),"",IF(AND(ISNUMBER($G76),$G76&gt;=AN$99,$G76&lt;EDATE(AN$99,1)),"F",IF(AND(ISNUMBER($H76),$H76&gt;=AN$99,$H76&lt;EDATE(AN$99,1)),"D","")))</f>
        <v/>
      </c>
      <c r="AO110" s="71" t="str">
        <f aca="false">IF(OR(AO$99="",$A76=""),"",IF(AND(ISNUMBER($G76),$G76&gt;=AO$99,$G76&lt;EDATE(AO$99,1)),"F",IF(AND(ISNUMBER($H76),$H76&gt;=AO$99,$H76&lt;EDATE(AO$99,1)),"D","")))</f>
        <v/>
      </c>
      <c r="AP110" s="71" t="str">
        <f aca="false">IF(OR(AP$99="",$A76=""),"",IF(AND(ISNUMBER($G76),$G76&gt;=AP$99,$G76&lt;EDATE(AP$99,1)),"F",IF(AND(ISNUMBER($H76),$H76&gt;=AP$99,$H76&lt;EDATE(AP$99,1)),"D","")))</f>
        <v/>
      </c>
      <c r="AQ110" s="71" t="str">
        <f aca="false">IF(OR(AQ$99="",$A76=""),"",IF(AND(ISNUMBER($G76),$G76&gt;=AQ$99,$G76&lt;EDATE(AQ$99,1)),"F",IF(AND(ISNUMBER($H76),$H76&gt;=AQ$99,$H76&lt;EDATE(AQ$99,1)),"D","")))</f>
        <v/>
      </c>
      <c r="AR110" s="71" t="str">
        <f aca="false">IF(OR(AR$99="",$A76=""),"",IF(AND(ISNUMBER($G76),$G76&gt;=AR$99,$G76&lt;EDATE(AR$99,1)),"F",IF(AND(ISNUMBER($H76),$H76&gt;=AR$99,$H76&lt;EDATE(AR$99,1)),"D","")))</f>
        <v/>
      </c>
      <c r="AS110" s="71" t="str">
        <f aca="false">IF(OR(AS$99="",$A76=""),"",IF(AND(ISNUMBER($G76),$G76&gt;=AS$99,$G76&lt;EDATE(AS$99,1)),"F",IF(AND(ISNUMBER($H76),$H76&gt;=AS$99,$H76&lt;EDATE(AS$99,1)),"D","")))</f>
        <v/>
      </c>
      <c r="AT110" s="71" t="str">
        <f aca="false">IF(OR(AT$99="",$A76=""),"",IF(AND(ISNUMBER($G76),$G76&gt;=AT$99,$G76&lt;EDATE(AT$99,1)),"F",IF(AND(ISNUMBER($H76),$H76&gt;=AT$99,$H76&lt;EDATE(AT$99,1)),"D","")))</f>
        <v/>
      </c>
      <c r="AU110" s="71" t="str">
        <f aca="false">IF(OR(AU$99="",$A76=""),"",IF(AND(ISNUMBER($G76),$G76&gt;=AU$99,$G76&lt;EDATE(AU$99,1)),"F",IF(AND(ISNUMBER($H76),$H76&gt;=AU$99,$H76&lt;EDATE(AU$99,1)),"D","")))</f>
        <v/>
      </c>
      <c r="AV110" s="71" t="str">
        <f aca="false">IF(OR(AV$99="",$A76=""),"",IF(AND(ISNUMBER($G76),$G76&gt;=AV$99,$G76&lt;EDATE(AV$99,1)),"F",IF(AND(ISNUMBER($H76),$H76&gt;=AV$99,$H76&lt;EDATE(AV$99,1)),"D","")))</f>
        <v/>
      </c>
      <c r="AW110" s="71" t="str">
        <f aca="false">IF(OR(AW$99="",$A76=""),"",IF(AND(ISNUMBER($G76),$G76&gt;=AW$99,$G76&lt;EDATE(AW$99,1)),"F",IF(AND(ISNUMBER($H76),$H76&gt;=AW$99,$H76&lt;EDATE(AW$99,1)),"D","")))</f>
        <v/>
      </c>
      <c r="AX110" s="71" t="str">
        <f aca="false">IF(OR(AX$99="",$A76=""),"",IF(AND(ISNUMBER($G76),$G76&gt;=AX$99,$G76&lt;EDATE(AX$99,1)),"F",IF(AND(ISNUMBER($H76),$H76&gt;=AX$99,$H76&lt;EDATE(AX$99,1)),"D","")))</f>
        <v/>
      </c>
      <c r="AY110" s="71" t="str">
        <f aca="false">IF(OR(AY$99="",$A76=""),"",IF(AND(ISNUMBER($G76),$G76&gt;=AY$99,$G76&lt;EDATE(AY$99,1)),"F",IF(AND(ISNUMBER($H76),$H76&gt;=AY$99,$H76&lt;EDATE(AY$99,1)),"D","")))</f>
        <v/>
      </c>
      <c r="AZ110" s="71" t="str">
        <f aca="false">IF(OR(AZ$99="",$A76=""),"",IF(AND(ISNUMBER($G76),$G76&gt;=AZ$99,$G76&lt;EDATE(AZ$99,1)),"F",IF(AND(ISNUMBER($H76),$H76&gt;=AZ$99,$H76&lt;EDATE(AZ$99,1)),"D","")))</f>
        <v/>
      </c>
      <c r="BA110" s="71" t="str">
        <f aca="false">IF(OR(BA$99="",$A76=""),"",IF(AND(ISNUMBER($G76),$G76&gt;=BA$99,$G76&lt;EDATE(BA$99,1)),"F",IF(AND(ISNUMBER($H76),$H76&gt;=BA$99,$H76&lt;EDATE(BA$99,1)),"D","")))</f>
        <v/>
      </c>
      <c r="BB110" s="71" t="str">
        <f aca="false">IF(OR(BB$99="",$A76=""),"",IF(AND(ISNUMBER($G76),$G76&gt;=BB$99,$G76&lt;EDATE(BB$99,1)),"F",IF(AND(ISNUMBER($H76),$H76&gt;=BB$99,$H76&lt;EDATE(BB$99,1)),"D","")))</f>
        <v/>
      </c>
      <c r="BC110" s="71" t="str">
        <f aca="false">IF(OR(BC$99="",$A76=""),"",IF(AND(ISNUMBER($G76),$G76&gt;=BC$99,$G76&lt;EDATE(BC$99,1)),"F",IF(AND(ISNUMBER($H76),$H76&gt;=BC$99,$H76&lt;EDATE(BC$99,1)),"D","")))</f>
        <v/>
      </c>
      <c r="BD110" s="71" t="str">
        <f aca="false">IF(OR(BD$99="",$A76=""),"",IF(AND(ISNUMBER($G76),$G76&gt;=BD$99,$G76&lt;EDATE(BD$99,1)),"F",IF(AND(ISNUMBER($H76),$H76&gt;=BD$99,$H76&lt;EDATE(BD$99,1)),"D","")))</f>
        <v/>
      </c>
      <c r="BE110" s="71" t="str">
        <f aca="false">IF(OR(BE$99="",$A76=""),"",IF(AND(ISNUMBER($G76),$G76&gt;=BE$99,$G76&lt;EDATE(BE$99,1)),"F",IF(AND(ISNUMBER($H76),$H76&gt;=BE$99,$H76&lt;EDATE(BE$99,1)),"D","")))</f>
        <v/>
      </c>
      <c r="BF110" s="71" t="str">
        <f aca="false">IF(OR(BF$99="",$A76=""),"",IF(AND(ISNUMBER($G76),$G76&gt;=BF$99,$G76&lt;EDATE(BF$99,1)),"F",IF(AND(ISNUMBER($H76),$H76&gt;=BF$99,$H76&lt;EDATE(BF$99,1)),"D","")))</f>
        <v/>
      </c>
      <c r="BG110" s="71" t="str">
        <f aca="false">IF(OR(BG$99="",$A76=""),"",IF(AND(ISNUMBER($G76),$G76&gt;=BG$99,$G76&lt;EDATE(BG$99,1)),"F",IF(AND(ISNUMBER($H76),$H76&gt;=BG$99,$H76&lt;EDATE(BG$99,1)),"D","")))</f>
        <v/>
      </c>
      <c r="BH110" s="71" t="str">
        <f aca="false">IF(OR(BH$99="",$A76=""),"",IF(AND(ISNUMBER($G76),$G76&gt;=BH$99,$G76&lt;EDATE(BH$99,1)),"F",IF(AND(ISNUMBER($H76),$H76&gt;=BH$99,$H76&lt;EDATE(BH$99,1)),"D","")))</f>
        <v/>
      </c>
      <c r="BI110" s="71" t="str">
        <f aca="false">IF(OR(BI$99="",$A76=""),"",IF(AND(ISNUMBER($G76),$G76&gt;=BI$99,$G76&lt;EDATE(BI$99,1)),"F",IF(AND(ISNUMBER($H76),$H76&gt;=BI$99,$H76&lt;EDATE(BI$99,1)),"D","")))</f>
        <v/>
      </c>
      <c r="BJ110" s="71" t="str">
        <f aca="false">IF(OR(BJ$99="",$A76=""),"",IF(AND(ISNUMBER($G76),$G76&gt;=BJ$99,$G76&lt;EDATE(BJ$99,1)),"F",IF(AND(ISNUMBER($H76),$H76&gt;=BJ$99,$H76&lt;EDATE(BJ$99,1)),"D","")))</f>
        <v/>
      </c>
      <c r="BK110" s="71" t="str">
        <f aca="false">IF(OR(BK$99="",$A76=""),"",IF(AND(ISNUMBER($G76),$G76&gt;=BK$99,$G76&lt;EDATE(BK$99,1)),"F",IF(AND(ISNUMBER($H76),$H76&gt;=BK$99,$H76&lt;EDATE(BK$99,1)),"D","")))</f>
        <v/>
      </c>
      <c r="BL110" s="71" t="str">
        <f aca="false">IF(OR(BL$99="",$A76=""),"",IF(AND(ISNUMBER($G76),$G76&gt;=BL$99,$G76&lt;EDATE(BL$99,1)),"F",IF(AND(ISNUMBER($H76),$H76&gt;=BL$99,$H76&lt;EDATE(BL$99,1)),"D","")))</f>
        <v/>
      </c>
      <c r="BM110" s="71" t="str">
        <f aca="false">IF(OR(BM$99="",$A76=""),"",IF(AND(ISNUMBER($G76),$G76&gt;=BM$99,$G76&lt;EDATE(BM$99,1)),"F",IF(AND(ISNUMBER($H76),$H76&gt;=BM$99,$H76&lt;EDATE(BM$99,1)),"D","")))</f>
        <v/>
      </c>
      <c r="BN110" s="71" t="str">
        <f aca="false">IF(OR(BN$99="",$A76=""),"",IF(AND(ISNUMBER($G76),$G76&gt;=BN$99,$G76&lt;EDATE(BN$99,1)),"F",IF(AND(ISNUMBER($H76),$H76&gt;=BN$99,$H76&lt;EDATE(BN$99,1)),"D","")))</f>
        <v/>
      </c>
      <c r="BO110" s="71" t="str">
        <f aca="false">IF(OR(BO$99="",$A76=""),"",IF(AND(ISNUMBER($G76),$G76&gt;=BO$99,$G76&lt;EDATE(BO$99,1)),"F",IF(AND(ISNUMBER($H76),$H76&gt;=BO$99,$H76&lt;EDATE(BO$99,1)),"D","")))</f>
        <v/>
      </c>
      <c r="BP110" s="71" t="str">
        <f aca="false">IF(OR(BP$99="",$A76=""),"",IF(AND(ISNUMBER($G76),$G76&gt;=BP$99,$G76&lt;EDATE(BP$99,1)),"F",IF(AND(ISNUMBER($H76),$H76&gt;=BP$99,$H76&lt;EDATE(BP$99,1)),"D","")))</f>
        <v/>
      </c>
      <c r="BQ110" s="71" t="str">
        <f aca="false">IF(OR(BQ$99="",$A76=""),"",IF(AND(ISNUMBER($G76),$G76&gt;=BQ$99,$G76&lt;EDATE(BQ$99,1)),"F",IF(AND(ISNUMBER($H76),$H76&gt;=BQ$99,$H76&lt;EDATE(BQ$99,1)),"D","")))</f>
        <v/>
      </c>
      <c r="BR110" s="71" t="str">
        <f aca="false">IF(OR(BR$99="",$A76=""),"",IF(AND(ISNUMBER($G76),$G76&gt;=BR$99,$G76&lt;EDATE(BR$99,1)),"F",IF(AND(ISNUMBER($H76),$H76&gt;=BR$99,$H76&lt;EDATE(BR$99,1)),"D","")))</f>
        <v/>
      </c>
      <c r="BS110" s="71" t="str">
        <f aca="false">IF(OR(BS$99="",$A76=""),"",IF(AND(ISNUMBER($G76),$G76&gt;=BS$99,$G76&lt;EDATE(BS$99,1)),"F",IF(AND(ISNUMBER($H76),$H76&gt;=BS$99,$H76&lt;EDATE(BS$99,1)),"D","")))</f>
        <v/>
      </c>
      <c r="BT110" s="71" t="str">
        <f aca="false">IF(OR(BT$99="",$A76=""),"",IF(AND(ISNUMBER($G76),$G76&gt;=BT$99,$G76&lt;EDATE(BT$99,1)),"F",IF(AND(ISNUMBER($H76),$H76&gt;=BT$99,$H76&lt;EDATE(BT$99,1)),"D","")))</f>
        <v/>
      </c>
      <c r="BU110" s="71" t="str">
        <f aca="false">IF(OR(BU$99="",$A76=""),"",IF(AND(ISNUMBER($G76),$G76&gt;=BU$99,$G76&lt;EDATE(BU$99,1)),"F",IF(AND(ISNUMBER($H76),$H76&gt;=BU$99,$H76&lt;EDATE(BU$99,1)),"D","")))</f>
        <v/>
      </c>
      <c r="BV110" s="71" t="str">
        <f aca="false">IF(OR(BV$99="",$A76=""),"",IF(AND(ISNUMBER($G76),$G76&gt;=BV$99,$G76&lt;EDATE(BV$99,1)),"F",IF(AND(ISNUMBER($H76),$H76&gt;=BV$99,$H76&lt;EDATE(BV$99,1)),"D","")))</f>
        <v/>
      </c>
      <c r="BW110" s="71" t="str">
        <f aca="false">IF(OR(BW$99="",$A76=""),"",IF(AND(ISNUMBER($G76),$G76&gt;=BW$99,$G76&lt;EDATE(BW$99,1)),"F",IF(AND(ISNUMBER($H76),$H76&gt;=BW$99,$H76&lt;EDATE(BW$99,1)),"D","")))</f>
        <v/>
      </c>
      <c r="BX110" s="71" t="str">
        <f aca="false">IF(OR(BX$99="",$A76=""),"",IF(AND(ISNUMBER($G76),$G76&gt;=BX$99,$G76&lt;EDATE(BX$99,1)),"F",IF(AND(ISNUMBER($H76),$H76&gt;=BX$99,$H76&lt;EDATE(BX$99,1)),"D","")))</f>
        <v/>
      </c>
      <c r="BY110" s="71" t="str">
        <f aca="false">IF(OR(BY$99="",$A76=""),"",IF(AND(ISNUMBER($G76),$G76&gt;=BY$99,$G76&lt;EDATE(BY$99,1)),"F",IF(AND(ISNUMBER($H76),$H76&gt;=BY$99,$H76&lt;EDATE(BY$99,1)),"D","")))</f>
        <v/>
      </c>
      <c r="BZ110" s="71" t="str">
        <f aca="false">IF(OR(BZ$99="",$A76=""),"",IF(AND(ISNUMBER($G76),$G76&gt;=BZ$99,$G76&lt;EDATE(BZ$99,1)),"F",IF(AND(ISNUMBER($H76),$H76&gt;=BZ$99,$H76&lt;EDATE(BZ$99,1)),"D","")))</f>
        <v/>
      </c>
      <c r="CA110" s="71" t="str">
        <f aca="false">IF(OR(CA$99="",$A76=""),"",IF(AND(ISNUMBER($G76),$G76&gt;=CA$99,$G76&lt;EDATE(CA$99,1)),"F",IF(AND(ISNUMBER($H76),$H76&gt;=CA$99,$H76&lt;EDATE(CA$99,1)),"D","")))</f>
        <v/>
      </c>
      <c r="CB110" s="71" t="str">
        <f aca="false">IF(OR(CB$99="",$A76=""),"",IF(AND(ISNUMBER($G76),$G76&gt;=CB$99,$G76&lt;EDATE(CB$99,1)),"F",IF(AND(ISNUMBER($H76),$H76&gt;=CB$99,$H76&lt;EDATE(CB$99,1)),"D","")))</f>
        <v/>
      </c>
      <c r="CC110" s="71" t="str">
        <f aca="false">IF(OR(CC$99="",$A76=""),"",IF(AND(ISNUMBER($G76),$G76&gt;=CC$99,$G76&lt;EDATE(CC$99,1)),"F",IF(AND(ISNUMBER($H76),$H76&gt;=CC$99,$H76&lt;EDATE(CC$99,1)),"D","")))</f>
        <v/>
      </c>
      <c r="CD110" s="71" t="str">
        <f aca="false">IF(OR(CD$99="",$A76=""),"",IF(AND(ISNUMBER($G76),$G76&gt;=CD$99,$G76&lt;EDATE(CD$99,1)),"F",IF(AND(ISNUMBER($H76),$H76&gt;=CD$99,$H76&lt;EDATE(CD$99,1)),"D","")))</f>
        <v/>
      </c>
      <c r="CE110" s="71" t="str">
        <f aca="false">IF(OR(CE$99="",$A76=""),"",IF(AND(ISNUMBER($G76),$G76&gt;=CE$99,$G76&lt;EDATE(CE$99,1)),"F",IF(AND(ISNUMBER($H76),$H76&gt;=CE$99,$H76&lt;EDATE(CE$99,1)),"D","")))</f>
        <v/>
      </c>
      <c r="CF110" s="71" t="str">
        <f aca="false">IF(OR(CF$99="",$A76=""),"",IF(AND(ISNUMBER($G76),$G76&gt;=CF$99,$G76&lt;EDATE(CF$99,1)),"F",IF(AND(ISNUMBER($H76),$H76&gt;=CF$99,$H76&lt;EDATE(CF$99,1)),"D","")))</f>
        <v/>
      </c>
      <c r="CG110" s="71" t="str">
        <f aca="false">IF(OR(CG$99="",$A76=""),"",IF(AND(ISNUMBER($G76),$G76&gt;=CG$99,$G76&lt;EDATE(CG$99,1)),"F",IF(AND(ISNUMBER($H76),$H76&gt;=CG$99,$H76&lt;EDATE(CG$99,1)),"D","")))</f>
        <v/>
      </c>
      <c r="CH110" s="71" t="str">
        <f aca="false">IF(OR(CH$99="",$A76=""),"",IF(AND(ISNUMBER($G76),$G76&gt;=CH$99,$G76&lt;EDATE(CH$99,1)),"F",IF(AND(ISNUMBER($H76),$H76&gt;=CH$99,$H76&lt;EDATE(CH$99,1)),"D","")))</f>
        <v/>
      </c>
      <c r="CI110" s="71" t="str">
        <f aca="false">IF(OR(CI$99="",$A76=""),"",IF(AND(ISNUMBER($G76),$G76&gt;=CI$99,$G76&lt;EDATE(CI$99,1)),"F",IF(AND(ISNUMBER($H76),$H76&gt;=CI$99,$H76&lt;EDATE(CI$99,1)),"D","")))</f>
        <v/>
      </c>
      <c r="CJ110" s="71" t="str">
        <f aca="false">IF(OR(CJ$99="",$A76=""),"",IF(AND(ISNUMBER($G76),$G76&gt;=CJ$99,$G76&lt;EDATE(CJ$99,1)),"F",IF(AND(ISNUMBER($H76),$H76&gt;=CJ$99,$H76&lt;EDATE(CJ$99,1)),"D","")))</f>
        <v/>
      </c>
      <c r="CK110" s="71" t="str">
        <f aca="false">IF(OR(CK$99="",$A76=""),"",IF(AND(ISNUMBER($G76),$G76&gt;=CK$99,$G76&lt;EDATE(CK$99,1)),"F",IF(AND(ISNUMBER($H76),$H76&gt;=CK$99,$H76&lt;EDATE(CK$99,1)),"D","")))</f>
        <v/>
      </c>
    </row>
    <row r="111" customFormat="false" ht="15" hidden="false" customHeight="false" outlineLevel="0" collapsed="false">
      <c r="A111" s="74" t="str">
        <f aca="false">IF($A77="","",$A77)</f>
        <v>A002-LOR</v>
      </c>
      <c r="B111" s="74" t="str">
        <f aca="false">IF($A77="","",$B77)</f>
        <v/>
      </c>
      <c r="R111" s="71" t="str">
        <f aca="false">IF(OR(R$99="",$A77=""),"",IF(AND(ISNUMBER($G77),$G77&gt;=R$99,$G77&lt;EDATE(R$99,1)),"F",IF(AND(ISNUMBER($H77),$H77&gt;=R$99,$H77&lt;EDATE(R$99,1)),"D","")))</f>
        <v/>
      </c>
      <c r="S111" s="71" t="str">
        <f aca="false">IF(OR(S$99="",$A77=""),"",IF(AND(ISNUMBER($G77),$G77&gt;=S$99,$G77&lt;EDATE(S$99,1)),"F",IF(AND(ISNUMBER($H77),$H77&gt;=S$99,$H77&lt;EDATE(S$99,1)),"D","")))</f>
        <v/>
      </c>
      <c r="T111" s="71" t="str">
        <f aca="false">IF(OR(T$99="",$A77=""),"",IF(AND(ISNUMBER($G77),$G77&gt;=T$99,$G77&lt;EDATE(T$99,1)),"F",IF(AND(ISNUMBER($H77),$H77&gt;=T$99,$H77&lt;EDATE(T$99,1)),"D","")))</f>
        <v/>
      </c>
      <c r="U111" s="71" t="str">
        <f aca="false">IF(OR(U$99="",$A77=""),"",IF(AND(ISNUMBER($G77),$G77&gt;=U$99,$G77&lt;EDATE(U$99,1)),"F",IF(AND(ISNUMBER($H77),$H77&gt;=U$99,$H77&lt;EDATE(U$99,1)),"D","")))</f>
        <v/>
      </c>
      <c r="V111" s="71" t="str">
        <f aca="false">IF(OR(V$99="",$A77=""),"",IF(AND(ISNUMBER($G77),$G77&gt;=V$99,$G77&lt;EDATE(V$99,1)),"F",IF(AND(ISNUMBER($H77),$H77&gt;=V$99,$H77&lt;EDATE(V$99,1)),"D","")))</f>
        <v/>
      </c>
      <c r="W111" s="71" t="str">
        <f aca="false">IF(OR(W$99="",$A77=""),"",IF(AND(ISNUMBER($G77),$G77&gt;=W$99,$G77&lt;EDATE(W$99,1)),"F",IF(AND(ISNUMBER($H77),$H77&gt;=W$99,$H77&lt;EDATE(W$99,1)),"D","")))</f>
        <v/>
      </c>
      <c r="X111" s="71" t="str">
        <f aca="false">IF(OR(X$99="",$A77=""),"",IF(AND(ISNUMBER($G77),$G77&gt;=X$99,$G77&lt;EDATE(X$99,1)),"F",IF(AND(ISNUMBER($H77),$H77&gt;=X$99,$H77&lt;EDATE(X$99,1)),"D","")))</f>
        <v/>
      </c>
      <c r="Y111" s="71" t="str">
        <f aca="false">IF(OR(Y$99="",$A77=""),"",IF(AND(ISNUMBER($G77),$G77&gt;=Y$99,$G77&lt;EDATE(Y$99,1)),"F",IF(AND(ISNUMBER($H77),$H77&gt;=Y$99,$H77&lt;EDATE(Y$99,1)),"D","")))</f>
        <v/>
      </c>
      <c r="Z111" s="71" t="str">
        <f aca="false">IF(OR(Z$99="",$A77=""),"",IF(AND(ISNUMBER($G77),$G77&gt;=Z$99,$G77&lt;EDATE(Z$99,1)),"F",IF(AND(ISNUMBER($H77),$H77&gt;=Z$99,$H77&lt;EDATE(Z$99,1)),"D","")))</f>
        <v/>
      </c>
      <c r="AA111" s="71" t="str">
        <f aca="false">IF(OR(AA$99="",$A77=""),"",IF(AND(ISNUMBER($G77),$G77&gt;=AA$99,$G77&lt;EDATE(AA$99,1)),"F",IF(AND(ISNUMBER($H77),$H77&gt;=AA$99,$H77&lt;EDATE(AA$99,1)),"D","")))</f>
        <v/>
      </c>
      <c r="AB111" s="71" t="str">
        <f aca="false">IF(OR(AB$99="",$A77=""),"",IF(AND(ISNUMBER($G77),$G77&gt;=AB$99,$G77&lt;EDATE(AB$99,1)),"F",IF(AND(ISNUMBER($H77),$H77&gt;=AB$99,$H77&lt;EDATE(AB$99,1)),"D","")))</f>
        <v/>
      </c>
      <c r="AC111" s="71" t="str">
        <f aca="false">IF(OR(AC$99="",$A77=""),"",IF(AND(ISNUMBER($G77),$G77&gt;=AC$99,$G77&lt;EDATE(AC$99,1)),"F",IF(AND(ISNUMBER($H77),$H77&gt;=AC$99,$H77&lt;EDATE(AC$99,1)),"D","")))</f>
        <v/>
      </c>
      <c r="AD111" s="71" t="str">
        <f aca="false">IF(OR(AD$99="",$A77=""),"",IF(AND(ISNUMBER($G77),$G77&gt;=AD$99,$G77&lt;EDATE(AD$99,1)),"F",IF(AND(ISNUMBER($H77),$H77&gt;=AD$99,$H77&lt;EDATE(AD$99,1)),"D","")))</f>
        <v/>
      </c>
      <c r="AE111" s="71" t="str">
        <f aca="false">IF(OR(AE$99="",$A77=""),"",IF(AND(ISNUMBER($G77),$G77&gt;=AE$99,$G77&lt;EDATE(AE$99,1)),"F",IF(AND(ISNUMBER($H77),$H77&gt;=AE$99,$H77&lt;EDATE(AE$99,1)),"D","")))</f>
        <v/>
      </c>
      <c r="AF111" s="71" t="str">
        <f aca="false">IF(OR(AF$99="",$A77=""),"",IF(AND(ISNUMBER($G77),$G77&gt;=AF$99,$G77&lt;EDATE(AF$99,1)),"F",IF(AND(ISNUMBER($H77),$H77&gt;=AF$99,$H77&lt;EDATE(AF$99,1)),"D","")))</f>
        <v/>
      </c>
      <c r="AG111" s="71" t="str">
        <f aca="false">IF(OR(AG$99="",$A77=""),"",IF(AND(ISNUMBER($G77),$G77&gt;=AG$99,$G77&lt;EDATE(AG$99,1)),"F",IF(AND(ISNUMBER($H77),$H77&gt;=AG$99,$H77&lt;EDATE(AG$99,1)),"D","")))</f>
        <v/>
      </c>
      <c r="AH111" s="71" t="str">
        <f aca="false">IF(OR(AH$99="",$A77=""),"",IF(AND(ISNUMBER($G77),$G77&gt;=AH$99,$G77&lt;EDATE(AH$99,1)),"F",IF(AND(ISNUMBER($H77),$H77&gt;=AH$99,$H77&lt;EDATE(AH$99,1)),"D","")))</f>
        <v/>
      </c>
      <c r="AI111" s="71" t="str">
        <f aca="false">IF(OR(AI$99="",$A77=""),"",IF(AND(ISNUMBER($G77),$G77&gt;=AI$99,$G77&lt;EDATE(AI$99,1)),"F",IF(AND(ISNUMBER($H77),$H77&gt;=AI$99,$H77&lt;EDATE(AI$99,1)),"D","")))</f>
        <v/>
      </c>
      <c r="AJ111" s="71" t="str">
        <f aca="false">IF(OR(AJ$99="",$A77=""),"",IF(AND(ISNUMBER($G77),$G77&gt;=AJ$99,$G77&lt;EDATE(AJ$99,1)),"F",IF(AND(ISNUMBER($H77),$H77&gt;=AJ$99,$H77&lt;EDATE(AJ$99,1)),"D","")))</f>
        <v/>
      </c>
      <c r="AK111" s="71" t="str">
        <f aca="false">IF(OR(AK$99="",$A77=""),"",IF(AND(ISNUMBER($G77),$G77&gt;=AK$99,$G77&lt;EDATE(AK$99,1)),"F",IF(AND(ISNUMBER($H77),$H77&gt;=AK$99,$H77&lt;EDATE(AK$99,1)),"D","")))</f>
        <v/>
      </c>
      <c r="AL111" s="71" t="str">
        <f aca="false">IF(OR(AL$99="",$A77=""),"",IF(AND(ISNUMBER($G77),$G77&gt;=AL$99,$G77&lt;EDATE(AL$99,1)),"F",IF(AND(ISNUMBER($H77),$H77&gt;=AL$99,$H77&lt;EDATE(AL$99,1)),"D","")))</f>
        <v/>
      </c>
      <c r="AM111" s="71" t="str">
        <f aca="false">IF(OR(AM$99="",$A77=""),"",IF(AND(ISNUMBER($G77),$G77&gt;=AM$99,$G77&lt;EDATE(AM$99,1)),"F",IF(AND(ISNUMBER($H77),$H77&gt;=AM$99,$H77&lt;EDATE(AM$99,1)),"D","")))</f>
        <v/>
      </c>
      <c r="AN111" s="71" t="str">
        <f aca="false">IF(OR(AN$99="",$A77=""),"",IF(AND(ISNUMBER($G77),$G77&gt;=AN$99,$G77&lt;EDATE(AN$99,1)),"F",IF(AND(ISNUMBER($H77),$H77&gt;=AN$99,$H77&lt;EDATE(AN$99,1)),"D","")))</f>
        <v/>
      </c>
      <c r="AO111" s="71" t="str">
        <f aca="false">IF(OR(AO$99="",$A77=""),"",IF(AND(ISNUMBER($G77),$G77&gt;=AO$99,$G77&lt;EDATE(AO$99,1)),"F",IF(AND(ISNUMBER($H77),$H77&gt;=AO$99,$H77&lt;EDATE(AO$99,1)),"D","")))</f>
        <v/>
      </c>
      <c r="AP111" s="71" t="str">
        <f aca="false">IF(OR(AP$99="",$A77=""),"",IF(AND(ISNUMBER($G77),$G77&gt;=AP$99,$G77&lt;EDATE(AP$99,1)),"F",IF(AND(ISNUMBER($H77),$H77&gt;=AP$99,$H77&lt;EDATE(AP$99,1)),"D","")))</f>
        <v/>
      </c>
      <c r="AQ111" s="71" t="str">
        <f aca="false">IF(OR(AQ$99="",$A77=""),"",IF(AND(ISNUMBER($G77),$G77&gt;=AQ$99,$G77&lt;EDATE(AQ$99,1)),"F",IF(AND(ISNUMBER($H77),$H77&gt;=AQ$99,$H77&lt;EDATE(AQ$99,1)),"D","")))</f>
        <v/>
      </c>
      <c r="AR111" s="71" t="str">
        <f aca="false">IF(OR(AR$99="",$A77=""),"",IF(AND(ISNUMBER($G77),$G77&gt;=AR$99,$G77&lt;EDATE(AR$99,1)),"F",IF(AND(ISNUMBER($H77),$H77&gt;=AR$99,$H77&lt;EDATE(AR$99,1)),"D","")))</f>
        <v/>
      </c>
      <c r="AS111" s="71" t="str">
        <f aca="false">IF(OR(AS$99="",$A77=""),"",IF(AND(ISNUMBER($G77),$G77&gt;=AS$99,$G77&lt;EDATE(AS$99,1)),"F",IF(AND(ISNUMBER($H77),$H77&gt;=AS$99,$H77&lt;EDATE(AS$99,1)),"D","")))</f>
        <v/>
      </c>
      <c r="AT111" s="71" t="str">
        <f aca="false">IF(OR(AT$99="",$A77=""),"",IF(AND(ISNUMBER($G77),$G77&gt;=AT$99,$G77&lt;EDATE(AT$99,1)),"F",IF(AND(ISNUMBER($H77),$H77&gt;=AT$99,$H77&lt;EDATE(AT$99,1)),"D","")))</f>
        <v/>
      </c>
      <c r="AU111" s="71" t="str">
        <f aca="false">IF(OR(AU$99="",$A77=""),"",IF(AND(ISNUMBER($G77),$G77&gt;=AU$99,$G77&lt;EDATE(AU$99,1)),"F",IF(AND(ISNUMBER($H77),$H77&gt;=AU$99,$H77&lt;EDATE(AU$99,1)),"D","")))</f>
        <v/>
      </c>
      <c r="AV111" s="71" t="str">
        <f aca="false">IF(OR(AV$99="",$A77=""),"",IF(AND(ISNUMBER($G77),$G77&gt;=AV$99,$G77&lt;EDATE(AV$99,1)),"F",IF(AND(ISNUMBER($H77),$H77&gt;=AV$99,$H77&lt;EDATE(AV$99,1)),"D","")))</f>
        <v/>
      </c>
      <c r="AW111" s="71" t="str">
        <f aca="false">IF(OR(AW$99="",$A77=""),"",IF(AND(ISNUMBER($G77),$G77&gt;=AW$99,$G77&lt;EDATE(AW$99,1)),"F",IF(AND(ISNUMBER($H77),$H77&gt;=AW$99,$H77&lt;EDATE(AW$99,1)),"D","")))</f>
        <v/>
      </c>
      <c r="AX111" s="71" t="str">
        <f aca="false">IF(OR(AX$99="",$A77=""),"",IF(AND(ISNUMBER($G77),$G77&gt;=AX$99,$G77&lt;EDATE(AX$99,1)),"F",IF(AND(ISNUMBER($H77),$H77&gt;=AX$99,$H77&lt;EDATE(AX$99,1)),"D","")))</f>
        <v/>
      </c>
      <c r="AY111" s="71" t="str">
        <f aca="false">IF(OR(AY$99="",$A77=""),"",IF(AND(ISNUMBER($G77),$G77&gt;=AY$99,$G77&lt;EDATE(AY$99,1)),"F",IF(AND(ISNUMBER($H77),$H77&gt;=AY$99,$H77&lt;EDATE(AY$99,1)),"D","")))</f>
        <v/>
      </c>
      <c r="AZ111" s="71" t="str">
        <f aca="false">IF(OR(AZ$99="",$A77=""),"",IF(AND(ISNUMBER($G77),$G77&gt;=AZ$99,$G77&lt;EDATE(AZ$99,1)),"F",IF(AND(ISNUMBER($H77),$H77&gt;=AZ$99,$H77&lt;EDATE(AZ$99,1)),"D","")))</f>
        <v/>
      </c>
      <c r="BA111" s="71" t="str">
        <f aca="false">IF(OR(BA$99="",$A77=""),"",IF(AND(ISNUMBER($G77),$G77&gt;=BA$99,$G77&lt;EDATE(BA$99,1)),"F",IF(AND(ISNUMBER($H77),$H77&gt;=BA$99,$H77&lt;EDATE(BA$99,1)),"D","")))</f>
        <v/>
      </c>
      <c r="BB111" s="71" t="str">
        <f aca="false">IF(OR(BB$99="",$A77=""),"",IF(AND(ISNUMBER($G77),$G77&gt;=BB$99,$G77&lt;EDATE(BB$99,1)),"F",IF(AND(ISNUMBER($H77),$H77&gt;=BB$99,$H77&lt;EDATE(BB$99,1)),"D","")))</f>
        <v/>
      </c>
      <c r="BC111" s="71" t="str">
        <f aca="false">IF(OR(BC$99="",$A77=""),"",IF(AND(ISNUMBER($G77),$G77&gt;=BC$99,$G77&lt;EDATE(BC$99,1)),"F",IF(AND(ISNUMBER($H77),$H77&gt;=BC$99,$H77&lt;EDATE(BC$99,1)),"D","")))</f>
        <v/>
      </c>
      <c r="BD111" s="71" t="str">
        <f aca="false">IF(OR(BD$99="",$A77=""),"",IF(AND(ISNUMBER($G77),$G77&gt;=BD$99,$G77&lt;EDATE(BD$99,1)),"F",IF(AND(ISNUMBER($H77),$H77&gt;=BD$99,$H77&lt;EDATE(BD$99,1)),"D","")))</f>
        <v/>
      </c>
      <c r="BE111" s="71" t="str">
        <f aca="false">IF(OR(BE$99="",$A77=""),"",IF(AND(ISNUMBER($G77),$G77&gt;=BE$99,$G77&lt;EDATE(BE$99,1)),"F",IF(AND(ISNUMBER($H77),$H77&gt;=BE$99,$H77&lt;EDATE(BE$99,1)),"D","")))</f>
        <v/>
      </c>
      <c r="BF111" s="71" t="str">
        <f aca="false">IF(OR(BF$99="",$A77=""),"",IF(AND(ISNUMBER($G77),$G77&gt;=BF$99,$G77&lt;EDATE(BF$99,1)),"F",IF(AND(ISNUMBER($H77),$H77&gt;=BF$99,$H77&lt;EDATE(BF$99,1)),"D","")))</f>
        <v/>
      </c>
      <c r="BG111" s="71" t="str">
        <f aca="false">IF(OR(BG$99="",$A77=""),"",IF(AND(ISNUMBER($G77),$G77&gt;=BG$99,$G77&lt;EDATE(BG$99,1)),"F",IF(AND(ISNUMBER($H77),$H77&gt;=BG$99,$H77&lt;EDATE(BG$99,1)),"D","")))</f>
        <v/>
      </c>
      <c r="BH111" s="71" t="str">
        <f aca="false">IF(OR(BH$99="",$A77=""),"",IF(AND(ISNUMBER($G77),$G77&gt;=BH$99,$G77&lt;EDATE(BH$99,1)),"F",IF(AND(ISNUMBER($H77),$H77&gt;=BH$99,$H77&lt;EDATE(BH$99,1)),"D","")))</f>
        <v/>
      </c>
      <c r="BI111" s="71" t="str">
        <f aca="false">IF(OR(BI$99="",$A77=""),"",IF(AND(ISNUMBER($G77),$G77&gt;=BI$99,$G77&lt;EDATE(BI$99,1)),"F",IF(AND(ISNUMBER($H77),$H77&gt;=BI$99,$H77&lt;EDATE(BI$99,1)),"D","")))</f>
        <v/>
      </c>
      <c r="BJ111" s="71" t="str">
        <f aca="false">IF(OR(BJ$99="",$A77=""),"",IF(AND(ISNUMBER($G77),$G77&gt;=BJ$99,$G77&lt;EDATE(BJ$99,1)),"F",IF(AND(ISNUMBER($H77),$H77&gt;=BJ$99,$H77&lt;EDATE(BJ$99,1)),"D","")))</f>
        <v/>
      </c>
      <c r="BK111" s="71" t="str">
        <f aca="false">IF(OR(BK$99="",$A77=""),"",IF(AND(ISNUMBER($G77),$G77&gt;=BK$99,$G77&lt;EDATE(BK$99,1)),"F",IF(AND(ISNUMBER($H77),$H77&gt;=BK$99,$H77&lt;EDATE(BK$99,1)),"D","")))</f>
        <v/>
      </c>
      <c r="BL111" s="71" t="str">
        <f aca="false">IF(OR(BL$99="",$A77=""),"",IF(AND(ISNUMBER($G77),$G77&gt;=BL$99,$G77&lt;EDATE(BL$99,1)),"F",IF(AND(ISNUMBER($H77),$H77&gt;=BL$99,$H77&lt;EDATE(BL$99,1)),"D","")))</f>
        <v/>
      </c>
      <c r="BM111" s="71" t="str">
        <f aca="false">IF(OR(BM$99="",$A77=""),"",IF(AND(ISNUMBER($G77),$G77&gt;=BM$99,$G77&lt;EDATE(BM$99,1)),"F",IF(AND(ISNUMBER($H77),$H77&gt;=BM$99,$H77&lt;EDATE(BM$99,1)),"D","")))</f>
        <v/>
      </c>
      <c r="BN111" s="71" t="str">
        <f aca="false">IF(OR(BN$99="",$A77=""),"",IF(AND(ISNUMBER($G77),$G77&gt;=BN$99,$G77&lt;EDATE(BN$99,1)),"F",IF(AND(ISNUMBER($H77),$H77&gt;=BN$99,$H77&lt;EDATE(BN$99,1)),"D","")))</f>
        <v/>
      </c>
      <c r="BO111" s="71" t="str">
        <f aca="false">IF(OR(BO$99="",$A77=""),"",IF(AND(ISNUMBER($G77),$G77&gt;=BO$99,$G77&lt;EDATE(BO$99,1)),"F",IF(AND(ISNUMBER($H77),$H77&gt;=BO$99,$H77&lt;EDATE(BO$99,1)),"D","")))</f>
        <v/>
      </c>
      <c r="BP111" s="71" t="str">
        <f aca="false">IF(OR(BP$99="",$A77=""),"",IF(AND(ISNUMBER($G77),$G77&gt;=BP$99,$G77&lt;EDATE(BP$99,1)),"F",IF(AND(ISNUMBER($H77),$H77&gt;=BP$99,$H77&lt;EDATE(BP$99,1)),"D","")))</f>
        <v/>
      </c>
      <c r="BQ111" s="71" t="str">
        <f aca="false">IF(OR(BQ$99="",$A77=""),"",IF(AND(ISNUMBER($G77),$G77&gt;=BQ$99,$G77&lt;EDATE(BQ$99,1)),"F",IF(AND(ISNUMBER($H77),$H77&gt;=BQ$99,$H77&lt;EDATE(BQ$99,1)),"D","")))</f>
        <v/>
      </c>
      <c r="BR111" s="71" t="str">
        <f aca="false">IF(OR(BR$99="",$A77=""),"",IF(AND(ISNUMBER($G77),$G77&gt;=BR$99,$G77&lt;EDATE(BR$99,1)),"F",IF(AND(ISNUMBER($H77),$H77&gt;=BR$99,$H77&lt;EDATE(BR$99,1)),"D","")))</f>
        <v/>
      </c>
      <c r="BS111" s="71" t="str">
        <f aca="false">IF(OR(BS$99="",$A77=""),"",IF(AND(ISNUMBER($G77),$G77&gt;=BS$99,$G77&lt;EDATE(BS$99,1)),"F",IF(AND(ISNUMBER($H77),$H77&gt;=BS$99,$H77&lt;EDATE(BS$99,1)),"D","")))</f>
        <v/>
      </c>
      <c r="BT111" s="71" t="str">
        <f aca="false">IF(OR(BT$99="",$A77=""),"",IF(AND(ISNUMBER($G77),$G77&gt;=BT$99,$G77&lt;EDATE(BT$99,1)),"F",IF(AND(ISNUMBER($H77),$H77&gt;=BT$99,$H77&lt;EDATE(BT$99,1)),"D","")))</f>
        <v/>
      </c>
      <c r="BU111" s="71" t="str">
        <f aca="false">IF(OR(BU$99="",$A77=""),"",IF(AND(ISNUMBER($G77),$G77&gt;=BU$99,$G77&lt;EDATE(BU$99,1)),"F",IF(AND(ISNUMBER($H77),$H77&gt;=BU$99,$H77&lt;EDATE(BU$99,1)),"D","")))</f>
        <v/>
      </c>
      <c r="BV111" s="71" t="str">
        <f aca="false">IF(OR(BV$99="",$A77=""),"",IF(AND(ISNUMBER($G77),$G77&gt;=BV$99,$G77&lt;EDATE(BV$99,1)),"F",IF(AND(ISNUMBER($H77),$H77&gt;=BV$99,$H77&lt;EDATE(BV$99,1)),"D","")))</f>
        <v/>
      </c>
      <c r="BW111" s="71" t="str">
        <f aca="false">IF(OR(BW$99="",$A77=""),"",IF(AND(ISNUMBER($G77),$G77&gt;=BW$99,$G77&lt;EDATE(BW$99,1)),"F",IF(AND(ISNUMBER($H77),$H77&gt;=BW$99,$H77&lt;EDATE(BW$99,1)),"D","")))</f>
        <v/>
      </c>
      <c r="BX111" s="71" t="str">
        <f aca="false">IF(OR(BX$99="",$A77=""),"",IF(AND(ISNUMBER($G77),$G77&gt;=BX$99,$G77&lt;EDATE(BX$99,1)),"F",IF(AND(ISNUMBER($H77),$H77&gt;=BX$99,$H77&lt;EDATE(BX$99,1)),"D","")))</f>
        <v/>
      </c>
      <c r="BY111" s="71" t="str">
        <f aca="false">IF(OR(BY$99="",$A77=""),"",IF(AND(ISNUMBER($G77),$G77&gt;=BY$99,$G77&lt;EDATE(BY$99,1)),"F",IF(AND(ISNUMBER($H77),$H77&gt;=BY$99,$H77&lt;EDATE(BY$99,1)),"D","")))</f>
        <v/>
      </c>
      <c r="BZ111" s="71" t="str">
        <f aca="false">IF(OR(BZ$99="",$A77=""),"",IF(AND(ISNUMBER($G77),$G77&gt;=BZ$99,$G77&lt;EDATE(BZ$99,1)),"F",IF(AND(ISNUMBER($H77),$H77&gt;=BZ$99,$H77&lt;EDATE(BZ$99,1)),"D","")))</f>
        <v/>
      </c>
      <c r="CA111" s="71" t="str">
        <f aca="false">IF(OR(CA$99="",$A77=""),"",IF(AND(ISNUMBER($G77),$G77&gt;=CA$99,$G77&lt;EDATE(CA$99,1)),"F",IF(AND(ISNUMBER($H77),$H77&gt;=CA$99,$H77&lt;EDATE(CA$99,1)),"D","")))</f>
        <v/>
      </c>
      <c r="CB111" s="71" t="str">
        <f aca="false">IF(OR(CB$99="",$A77=""),"",IF(AND(ISNUMBER($G77),$G77&gt;=CB$99,$G77&lt;EDATE(CB$99,1)),"F",IF(AND(ISNUMBER($H77),$H77&gt;=CB$99,$H77&lt;EDATE(CB$99,1)),"D","")))</f>
        <v/>
      </c>
      <c r="CC111" s="71" t="str">
        <f aca="false">IF(OR(CC$99="",$A77=""),"",IF(AND(ISNUMBER($G77),$G77&gt;=CC$99,$G77&lt;EDATE(CC$99,1)),"F",IF(AND(ISNUMBER($H77),$H77&gt;=CC$99,$H77&lt;EDATE(CC$99,1)),"D","")))</f>
        <v/>
      </c>
      <c r="CD111" s="71" t="str">
        <f aca="false">IF(OR(CD$99="",$A77=""),"",IF(AND(ISNUMBER($G77),$G77&gt;=CD$99,$G77&lt;EDATE(CD$99,1)),"F",IF(AND(ISNUMBER($H77),$H77&gt;=CD$99,$H77&lt;EDATE(CD$99,1)),"D","")))</f>
        <v/>
      </c>
      <c r="CE111" s="71" t="str">
        <f aca="false">IF(OR(CE$99="",$A77=""),"",IF(AND(ISNUMBER($G77),$G77&gt;=CE$99,$G77&lt;EDATE(CE$99,1)),"F",IF(AND(ISNUMBER($H77),$H77&gt;=CE$99,$H77&lt;EDATE(CE$99,1)),"D","")))</f>
        <v/>
      </c>
      <c r="CF111" s="71" t="str">
        <f aca="false">IF(OR(CF$99="",$A77=""),"",IF(AND(ISNUMBER($G77),$G77&gt;=CF$99,$G77&lt;EDATE(CF$99,1)),"F",IF(AND(ISNUMBER($H77),$H77&gt;=CF$99,$H77&lt;EDATE(CF$99,1)),"D","")))</f>
        <v/>
      </c>
      <c r="CG111" s="71" t="str">
        <f aca="false">IF(OR(CG$99="",$A77=""),"",IF(AND(ISNUMBER($G77),$G77&gt;=CG$99,$G77&lt;EDATE(CG$99,1)),"F",IF(AND(ISNUMBER($H77),$H77&gt;=CG$99,$H77&lt;EDATE(CG$99,1)),"D","")))</f>
        <v/>
      </c>
      <c r="CH111" s="71" t="str">
        <f aca="false">IF(OR(CH$99="",$A77=""),"",IF(AND(ISNUMBER($G77),$G77&gt;=CH$99,$G77&lt;EDATE(CH$99,1)),"F",IF(AND(ISNUMBER($H77),$H77&gt;=CH$99,$H77&lt;EDATE(CH$99,1)),"D","")))</f>
        <v/>
      </c>
      <c r="CI111" s="71" t="str">
        <f aca="false">IF(OR(CI$99="",$A77=""),"",IF(AND(ISNUMBER($G77),$G77&gt;=CI$99,$G77&lt;EDATE(CI$99,1)),"F",IF(AND(ISNUMBER($H77),$H77&gt;=CI$99,$H77&lt;EDATE(CI$99,1)),"D","")))</f>
        <v/>
      </c>
      <c r="CJ111" s="71" t="str">
        <f aca="false">IF(OR(CJ$99="",$A77=""),"",IF(AND(ISNUMBER($G77),$G77&gt;=CJ$99,$G77&lt;EDATE(CJ$99,1)),"F",IF(AND(ISNUMBER($H77),$H77&gt;=CJ$99,$H77&lt;EDATE(CJ$99,1)),"D","")))</f>
        <v/>
      </c>
      <c r="CK111" s="71" t="str">
        <f aca="false">IF(OR(CK$99="",$A77=""),"",IF(AND(ISNUMBER($G77),$G77&gt;=CK$99,$G77&lt;EDATE(CK$99,1)),"F",IF(AND(ISNUMBER($H77),$H77&gt;=CK$99,$H77&lt;EDATE(CK$99,1)),"D","")))</f>
        <v/>
      </c>
    </row>
    <row r="112" customFormat="false" ht="15" hidden="false" customHeight="false" outlineLevel="0" collapsed="false">
      <c r="A112" s="74" t="str">
        <f aca="false">IF($A78="","",$A78)</f>
        <v>A003</v>
      </c>
      <c r="B112" s="74" t="str">
        <f aca="false">IF($A78="","",$B78)</f>
        <v>DI-SAFT-80106 Health Hazard Assessment Report</v>
      </c>
      <c r="R112" s="71" t="str">
        <f aca="false">IF(OR(R$99="",$A78=""),"",IF(AND(ISNUMBER($G78),$G78&gt;=R$99,$G78&lt;EDATE(R$99,1)),"F",IF(AND(ISNUMBER($H78),$H78&gt;=R$99,$H78&lt;EDATE(R$99,1)),"D","")))</f>
        <v/>
      </c>
      <c r="S112" s="71" t="str">
        <f aca="false">IF(OR(S$99="",$A78=""),"",IF(AND(ISNUMBER($G78),$G78&gt;=S$99,$G78&lt;EDATE(S$99,1)),"F",IF(AND(ISNUMBER($H78),$H78&gt;=S$99,$H78&lt;EDATE(S$99,1)),"D","")))</f>
        <v/>
      </c>
      <c r="T112" s="71" t="str">
        <f aca="false">IF(OR(T$99="",$A78=""),"",IF(AND(ISNUMBER($G78),$G78&gt;=T$99,$G78&lt;EDATE(T$99,1)),"F",IF(AND(ISNUMBER($H78),$H78&gt;=T$99,$H78&lt;EDATE(T$99,1)),"D","")))</f>
        <v/>
      </c>
      <c r="U112" s="71" t="str">
        <f aca="false">IF(OR(U$99="",$A78=""),"",IF(AND(ISNUMBER($G78),$G78&gt;=U$99,$G78&lt;EDATE(U$99,1)),"F",IF(AND(ISNUMBER($H78),$H78&gt;=U$99,$H78&lt;EDATE(U$99,1)),"D","")))</f>
        <v/>
      </c>
      <c r="V112" s="71" t="str">
        <f aca="false">IF(OR(V$99="",$A78=""),"",IF(AND(ISNUMBER($G78),$G78&gt;=V$99,$G78&lt;EDATE(V$99,1)),"F",IF(AND(ISNUMBER($H78),$H78&gt;=V$99,$H78&lt;EDATE(V$99,1)),"D","")))</f>
        <v/>
      </c>
      <c r="W112" s="71" t="str">
        <f aca="false">IF(OR(W$99="",$A78=""),"",IF(AND(ISNUMBER($G78),$G78&gt;=W$99,$G78&lt;EDATE(W$99,1)),"F",IF(AND(ISNUMBER($H78),$H78&gt;=W$99,$H78&lt;EDATE(W$99,1)),"D","")))</f>
        <v/>
      </c>
      <c r="X112" s="71" t="str">
        <f aca="false">IF(OR(X$99="",$A78=""),"",IF(AND(ISNUMBER($G78),$G78&gt;=X$99,$G78&lt;EDATE(X$99,1)),"F",IF(AND(ISNUMBER($H78),$H78&gt;=X$99,$H78&lt;EDATE(X$99,1)),"D","")))</f>
        <v/>
      </c>
      <c r="Y112" s="71" t="str">
        <f aca="false">IF(OR(Y$99="",$A78=""),"",IF(AND(ISNUMBER($G78),$G78&gt;=Y$99,$G78&lt;EDATE(Y$99,1)),"F",IF(AND(ISNUMBER($H78),$H78&gt;=Y$99,$H78&lt;EDATE(Y$99,1)),"D","")))</f>
        <v/>
      </c>
      <c r="Z112" s="71" t="str">
        <f aca="false">IF(OR(Z$99="",$A78=""),"",IF(AND(ISNUMBER($G78),$G78&gt;=Z$99,$G78&lt;EDATE(Z$99,1)),"F",IF(AND(ISNUMBER($H78),$H78&gt;=Z$99,$H78&lt;EDATE(Z$99,1)),"D","")))</f>
        <v/>
      </c>
      <c r="AA112" s="71" t="str">
        <f aca="false">IF(OR(AA$99="",$A78=""),"",IF(AND(ISNUMBER($G78),$G78&gt;=AA$99,$G78&lt;EDATE(AA$99,1)),"F",IF(AND(ISNUMBER($H78),$H78&gt;=AA$99,$H78&lt;EDATE(AA$99,1)),"D","")))</f>
        <v/>
      </c>
      <c r="AB112" s="71" t="str">
        <f aca="false">IF(OR(AB$99="",$A78=""),"",IF(AND(ISNUMBER($G78),$G78&gt;=AB$99,$G78&lt;EDATE(AB$99,1)),"F",IF(AND(ISNUMBER($H78),$H78&gt;=AB$99,$H78&lt;EDATE(AB$99,1)),"D","")))</f>
        <v/>
      </c>
      <c r="AC112" s="71" t="str">
        <f aca="false">IF(OR(AC$99="",$A78=""),"",IF(AND(ISNUMBER($G78),$G78&gt;=AC$99,$G78&lt;EDATE(AC$99,1)),"F",IF(AND(ISNUMBER($H78),$H78&gt;=AC$99,$H78&lt;EDATE(AC$99,1)),"D","")))</f>
        <v/>
      </c>
      <c r="AD112" s="71" t="str">
        <f aca="false">IF(OR(AD$99="",$A78=""),"",IF(AND(ISNUMBER($G78),$G78&gt;=AD$99,$G78&lt;EDATE(AD$99,1)),"F",IF(AND(ISNUMBER($H78),$H78&gt;=AD$99,$H78&lt;EDATE(AD$99,1)),"D","")))</f>
        <v/>
      </c>
      <c r="AE112" s="71" t="str">
        <f aca="false">IF(OR(AE$99="",$A78=""),"",IF(AND(ISNUMBER($G78),$G78&gt;=AE$99,$G78&lt;EDATE(AE$99,1)),"F",IF(AND(ISNUMBER($H78),$H78&gt;=AE$99,$H78&lt;EDATE(AE$99,1)),"D","")))</f>
        <v/>
      </c>
      <c r="AF112" s="71" t="str">
        <f aca="false">IF(OR(AF$99="",$A78=""),"",IF(AND(ISNUMBER($G78),$G78&gt;=AF$99,$G78&lt;EDATE(AF$99,1)),"F",IF(AND(ISNUMBER($H78),$H78&gt;=AF$99,$H78&lt;EDATE(AF$99,1)),"D","")))</f>
        <v/>
      </c>
      <c r="AG112" s="71" t="str">
        <f aca="false">IF(OR(AG$99="",$A78=""),"",IF(AND(ISNUMBER($G78),$G78&gt;=AG$99,$G78&lt;EDATE(AG$99,1)),"F",IF(AND(ISNUMBER($H78),$H78&gt;=AG$99,$H78&lt;EDATE(AG$99,1)),"D","")))</f>
        <v>D</v>
      </c>
      <c r="AH112" s="71" t="str">
        <f aca="false">IF(OR(AH$99="",$A78=""),"",IF(AND(ISNUMBER($G78),$G78&gt;=AH$99,$G78&lt;EDATE(AH$99,1)),"F",IF(AND(ISNUMBER($H78),$H78&gt;=AH$99,$H78&lt;EDATE(AH$99,1)),"D","")))</f>
        <v>F</v>
      </c>
      <c r="AI112" s="71" t="str">
        <f aca="false">IF(OR(AI$99="",$A78=""),"",IF(AND(ISNUMBER($G78),$G78&gt;=AI$99,$G78&lt;EDATE(AI$99,1)),"F",IF(AND(ISNUMBER($H78),$H78&gt;=AI$99,$H78&lt;EDATE(AI$99,1)),"D","")))</f>
        <v/>
      </c>
      <c r="AJ112" s="71" t="str">
        <f aca="false">IF(OR(AJ$99="",$A78=""),"",IF(AND(ISNUMBER($G78),$G78&gt;=AJ$99,$G78&lt;EDATE(AJ$99,1)),"F",IF(AND(ISNUMBER($H78),$H78&gt;=AJ$99,$H78&lt;EDATE(AJ$99,1)),"D","")))</f>
        <v/>
      </c>
      <c r="AK112" s="71" t="str">
        <f aca="false">IF(OR(AK$99="",$A78=""),"",IF(AND(ISNUMBER($G78),$G78&gt;=AK$99,$G78&lt;EDATE(AK$99,1)),"F",IF(AND(ISNUMBER($H78),$H78&gt;=AK$99,$H78&lt;EDATE(AK$99,1)),"D","")))</f>
        <v/>
      </c>
      <c r="AL112" s="71" t="str">
        <f aca="false">IF(OR(AL$99="",$A78=""),"",IF(AND(ISNUMBER($G78),$G78&gt;=AL$99,$G78&lt;EDATE(AL$99,1)),"F",IF(AND(ISNUMBER($H78),$H78&gt;=AL$99,$H78&lt;EDATE(AL$99,1)),"D","")))</f>
        <v/>
      </c>
      <c r="AM112" s="71" t="str">
        <f aca="false">IF(OR(AM$99="",$A78=""),"",IF(AND(ISNUMBER($G78),$G78&gt;=AM$99,$G78&lt;EDATE(AM$99,1)),"F",IF(AND(ISNUMBER($H78),$H78&gt;=AM$99,$H78&lt;EDATE(AM$99,1)),"D","")))</f>
        <v/>
      </c>
      <c r="AN112" s="71" t="str">
        <f aca="false">IF(OR(AN$99="",$A78=""),"",IF(AND(ISNUMBER($G78),$G78&gt;=AN$99,$G78&lt;EDATE(AN$99,1)),"F",IF(AND(ISNUMBER($H78),$H78&gt;=AN$99,$H78&lt;EDATE(AN$99,1)),"D","")))</f>
        <v/>
      </c>
      <c r="AO112" s="71" t="str">
        <f aca="false">IF(OR(AO$99="",$A78=""),"",IF(AND(ISNUMBER($G78),$G78&gt;=AO$99,$G78&lt;EDATE(AO$99,1)),"F",IF(AND(ISNUMBER($H78),$H78&gt;=AO$99,$H78&lt;EDATE(AO$99,1)),"D","")))</f>
        <v/>
      </c>
      <c r="AP112" s="71" t="str">
        <f aca="false">IF(OR(AP$99="",$A78=""),"",IF(AND(ISNUMBER($G78),$G78&gt;=AP$99,$G78&lt;EDATE(AP$99,1)),"F",IF(AND(ISNUMBER($H78),$H78&gt;=AP$99,$H78&lt;EDATE(AP$99,1)),"D","")))</f>
        <v/>
      </c>
      <c r="AQ112" s="71" t="str">
        <f aca="false">IF(OR(AQ$99="",$A78=""),"",IF(AND(ISNUMBER($G78),$G78&gt;=AQ$99,$G78&lt;EDATE(AQ$99,1)),"F",IF(AND(ISNUMBER($H78),$H78&gt;=AQ$99,$H78&lt;EDATE(AQ$99,1)),"D","")))</f>
        <v/>
      </c>
      <c r="AR112" s="71" t="str">
        <f aca="false">IF(OR(AR$99="",$A78=""),"",IF(AND(ISNUMBER($G78),$G78&gt;=AR$99,$G78&lt;EDATE(AR$99,1)),"F",IF(AND(ISNUMBER($H78),$H78&gt;=AR$99,$H78&lt;EDATE(AR$99,1)),"D","")))</f>
        <v/>
      </c>
      <c r="AS112" s="71" t="str">
        <f aca="false">IF(OR(AS$99="",$A78=""),"",IF(AND(ISNUMBER($G78),$G78&gt;=AS$99,$G78&lt;EDATE(AS$99,1)),"F",IF(AND(ISNUMBER($H78),$H78&gt;=AS$99,$H78&lt;EDATE(AS$99,1)),"D","")))</f>
        <v/>
      </c>
      <c r="AT112" s="71" t="str">
        <f aca="false">IF(OR(AT$99="",$A78=""),"",IF(AND(ISNUMBER($G78),$G78&gt;=AT$99,$G78&lt;EDATE(AT$99,1)),"F",IF(AND(ISNUMBER($H78),$H78&gt;=AT$99,$H78&lt;EDATE(AT$99,1)),"D","")))</f>
        <v/>
      </c>
      <c r="AU112" s="71" t="str">
        <f aca="false">IF(OR(AU$99="",$A78=""),"",IF(AND(ISNUMBER($G78),$G78&gt;=AU$99,$G78&lt;EDATE(AU$99,1)),"F",IF(AND(ISNUMBER($H78),$H78&gt;=AU$99,$H78&lt;EDATE(AU$99,1)),"D","")))</f>
        <v/>
      </c>
      <c r="AV112" s="71" t="str">
        <f aca="false">IF(OR(AV$99="",$A78=""),"",IF(AND(ISNUMBER($G78),$G78&gt;=AV$99,$G78&lt;EDATE(AV$99,1)),"F",IF(AND(ISNUMBER($H78),$H78&gt;=AV$99,$H78&lt;EDATE(AV$99,1)),"D","")))</f>
        <v/>
      </c>
      <c r="AW112" s="71" t="str">
        <f aca="false">IF(OR(AW$99="",$A78=""),"",IF(AND(ISNUMBER($G78),$G78&gt;=AW$99,$G78&lt;EDATE(AW$99,1)),"F",IF(AND(ISNUMBER($H78),$H78&gt;=AW$99,$H78&lt;EDATE(AW$99,1)),"D","")))</f>
        <v/>
      </c>
      <c r="AX112" s="71" t="str">
        <f aca="false">IF(OR(AX$99="",$A78=""),"",IF(AND(ISNUMBER($G78),$G78&gt;=AX$99,$G78&lt;EDATE(AX$99,1)),"F",IF(AND(ISNUMBER($H78),$H78&gt;=AX$99,$H78&lt;EDATE(AX$99,1)),"D","")))</f>
        <v/>
      </c>
      <c r="AY112" s="71" t="str">
        <f aca="false">IF(OR(AY$99="",$A78=""),"",IF(AND(ISNUMBER($G78),$G78&gt;=AY$99,$G78&lt;EDATE(AY$99,1)),"F",IF(AND(ISNUMBER($H78),$H78&gt;=AY$99,$H78&lt;EDATE(AY$99,1)),"D","")))</f>
        <v/>
      </c>
      <c r="AZ112" s="71" t="str">
        <f aca="false">IF(OR(AZ$99="",$A78=""),"",IF(AND(ISNUMBER($G78),$G78&gt;=AZ$99,$G78&lt;EDATE(AZ$99,1)),"F",IF(AND(ISNUMBER($H78),$H78&gt;=AZ$99,$H78&lt;EDATE(AZ$99,1)),"D","")))</f>
        <v/>
      </c>
      <c r="BA112" s="71" t="str">
        <f aca="false">IF(OR(BA$99="",$A78=""),"",IF(AND(ISNUMBER($G78),$G78&gt;=BA$99,$G78&lt;EDATE(BA$99,1)),"F",IF(AND(ISNUMBER($H78),$H78&gt;=BA$99,$H78&lt;EDATE(BA$99,1)),"D","")))</f>
        <v/>
      </c>
      <c r="BB112" s="71" t="str">
        <f aca="false">IF(OR(BB$99="",$A78=""),"",IF(AND(ISNUMBER($G78),$G78&gt;=BB$99,$G78&lt;EDATE(BB$99,1)),"F",IF(AND(ISNUMBER($H78),$H78&gt;=BB$99,$H78&lt;EDATE(BB$99,1)),"D","")))</f>
        <v/>
      </c>
      <c r="BC112" s="71" t="str">
        <f aca="false">IF(OR(BC$99="",$A78=""),"",IF(AND(ISNUMBER($G78),$G78&gt;=BC$99,$G78&lt;EDATE(BC$99,1)),"F",IF(AND(ISNUMBER($H78),$H78&gt;=BC$99,$H78&lt;EDATE(BC$99,1)),"D","")))</f>
        <v/>
      </c>
      <c r="BD112" s="71" t="str">
        <f aca="false">IF(OR(BD$99="",$A78=""),"",IF(AND(ISNUMBER($G78),$G78&gt;=BD$99,$G78&lt;EDATE(BD$99,1)),"F",IF(AND(ISNUMBER($H78),$H78&gt;=BD$99,$H78&lt;EDATE(BD$99,1)),"D","")))</f>
        <v/>
      </c>
      <c r="BE112" s="71" t="str">
        <f aca="false">IF(OR(BE$99="",$A78=""),"",IF(AND(ISNUMBER($G78),$G78&gt;=BE$99,$G78&lt;EDATE(BE$99,1)),"F",IF(AND(ISNUMBER($H78),$H78&gt;=BE$99,$H78&lt;EDATE(BE$99,1)),"D","")))</f>
        <v/>
      </c>
      <c r="BF112" s="71" t="str">
        <f aca="false">IF(OR(BF$99="",$A78=""),"",IF(AND(ISNUMBER($G78),$G78&gt;=BF$99,$G78&lt;EDATE(BF$99,1)),"F",IF(AND(ISNUMBER($H78),$H78&gt;=BF$99,$H78&lt;EDATE(BF$99,1)),"D","")))</f>
        <v/>
      </c>
      <c r="BG112" s="71" t="str">
        <f aca="false">IF(OR(BG$99="",$A78=""),"",IF(AND(ISNUMBER($G78),$G78&gt;=BG$99,$G78&lt;EDATE(BG$99,1)),"F",IF(AND(ISNUMBER($H78),$H78&gt;=BG$99,$H78&lt;EDATE(BG$99,1)),"D","")))</f>
        <v/>
      </c>
      <c r="BH112" s="71" t="str">
        <f aca="false">IF(OR(BH$99="",$A78=""),"",IF(AND(ISNUMBER($G78),$G78&gt;=BH$99,$G78&lt;EDATE(BH$99,1)),"F",IF(AND(ISNUMBER($H78),$H78&gt;=BH$99,$H78&lt;EDATE(BH$99,1)),"D","")))</f>
        <v/>
      </c>
      <c r="BI112" s="71" t="str">
        <f aca="false">IF(OR(BI$99="",$A78=""),"",IF(AND(ISNUMBER($G78),$G78&gt;=BI$99,$G78&lt;EDATE(BI$99,1)),"F",IF(AND(ISNUMBER($H78),$H78&gt;=BI$99,$H78&lt;EDATE(BI$99,1)),"D","")))</f>
        <v/>
      </c>
      <c r="BJ112" s="71" t="str">
        <f aca="false">IF(OR(BJ$99="",$A78=""),"",IF(AND(ISNUMBER($G78),$G78&gt;=BJ$99,$G78&lt;EDATE(BJ$99,1)),"F",IF(AND(ISNUMBER($H78),$H78&gt;=BJ$99,$H78&lt;EDATE(BJ$99,1)),"D","")))</f>
        <v/>
      </c>
      <c r="BK112" s="71" t="str">
        <f aca="false">IF(OR(BK$99="",$A78=""),"",IF(AND(ISNUMBER($G78),$G78&gt;=BK$99,$G78&lt;EDATE(BK$99,1)),"F",IF(AND(ISNUMBER($H78),$H78&gt;=BK$99,$H78&lt;EDATE(BK$99,1)),"D","")))</f>
        <v/>
      </c>
      <c r="BL112" s="71" t="str">
        <f aca="false">IF(OR(BL$99="",$A78=""),"",IF(AND(ISNUMBER($G78),$G78&gt;=BL$99,$G78&lt;EDATE(BL$99,1)),"F",IF(AND(ISNUMBER($H78),$H78&gt;=BL$99,$H78&lt;EDATE(BL$99,1)),"D","")))</f>
        <v/>
      </c>
      <c r="BM112" s="71" t="str">
        <f aca="false">IF(OR(BM$99="",$A78=""),"",IF(AND(ISNUMBER($G78),$G78&gt;=BM$99,$G78&lt;EDATE(BM$99,1)),"F",IF(AND(ISNUMBER($H78),$H78&gt;=BM$99,$H78&lt;EDATE(BM$99,1)),"D","")))</f>
        <v/>
      </c>
      <c r="BN112" s="71" t="str">
        <f aca="false">IF(OR(BN$99="",$A78=""),"",IF(AND(ISNUMBER($G78),$G78&gt;=BN$99,$G78&lt;EDATE(BN$99,1)),"F",IF(AND(ISNUMBER($H78),$H78&gt;=BN$99,$H78&lt;EDATE(BN$99,1)),"D","")))</f>
        <v/>
      </c>
      <c r="BO112" s="71" t="str">
        <f aca="false">IF(OR(BO$99="",$A78=""),"",IF(AND(ISNUMBER($G78),$G78&gt;=BO$99,$G78&lt;EDATE(BO$99,1)),"F",IF(AND(ISNUMBER($H78),$H78&gt;=BO$99,$H78&lt;EDATE(BO$99,1)),"D","")))</f>
        <v/>
      </c>
      <c r="BP112" s="71" t="str">
        <f aca="false">IF(OR(BP$99="",$A78=""),"",IF(AND(ISNUMBER($G78),$G78&gt;=BP$99,$G78&lt;EDATE(BP$99,1)),"F",IF(AND(ISNUMBER($H78),$H78&gt;=BP$99,$H78&lt;EDATE(BP$99,1)),"D","")))</f>
        <v/>
      </c>
      <c r="BQ112" s="71" t="str">
        <f aca="false">IF(OR(BQ$99="",$A78=""),"",IF(AND(ISNUMBER($G78),$G78&gt;=BQ$99,$G78&lt;EDATE(BQ$99,1)),"F",IF(AND(ISNUMBER($H78),$H78&gt;=BQ$99,$H78&lt;EDATE(BQ$99,1)),"D","")))</f>
        <v/>
      </c>
      <c r="BR112" s="71" t="str">
        <f aca="false">IF(OR(BR$99="",$A78=""),"",IF(AND(ISNUMBER($G78),$G78&gt;=BR$99,$G78&lt;EDATE(BR$99,1)),"F",IF(AND(ISNUMBER($H78),$H78&gt;=BR$99,$H78&lt;EDATE(BR$99,1)),"D","")))</f>
        <v/>
      </c>
      <c r="BS112" s="71" t="str">
        <f aca="false">IF(OR(BS$99="",$A78=""),"",IF(AND(ISNUMBER($G78),$G78&gt;=BS$99,$G78&lt;EDATE(BS$99,1)),"F",IF(AND(ISNUMBER($H78),$H78&gt;=BS$99,$H78&lt;EDATE(BS$99,1)),"D","")))</f>
        <v/>
      </c>
      <c r="BT112" s="71" t="str">
        <f aca="false">IF(OR(BT$99="",$A78=""),"",IF(AND(ISNUMBER($G78),$G78&gt;=BT$99,$G78&lt;EDATE(BT$99,1)),"F",IF(AND(ISNUMBER($H78),$H78&gt;=BT$99,$H78&lt;EDATE(BT$99,1)),"D","")))</f>
        <v/>
      </c>
      <c r="BU112" s="71" t="str">
        <f aca="false">IF(OR(BU$99="",$A78=""),"",IF(AND(ISNUMBER($G78),$G78&gt;=BU$99,$G78&lt;EDATE(BU$99,1)),"F",IF(AND(ISNUMBER($H78),$H78&gt;=BU$99,$H78&lt;EDATE(BU$99,1)),"D","")))</f>
        <v/>
      </c>
      <c r="BV112" s="71" t="str">
        <f aca="false">IF(OR(BV$99="",$A78=""),"",IF(AND(ISNUMBER($G78),$G78&gt;=BV$99,$G78&lt;EDATE(BV$99,1)),"F",IF(AND(ISNUMBER($H78),$H78&gt;=BV$99,$H78&lt;EDATE(BV$99,1)),"D","")))</f>
        <v/>
      </c>
      <c r="BW112" s="71" t="str">
        <f aca="false">IF(OR(BW$99="",$A78=""),"",IF(AND(ISNUMBER($G78),$G78&gt;=BW$99,$G78&lt;EDATE(BW$99,1)),"F",IF(AND(ISNUMBER($H78),$H78&gt;=BW$99,$H78&lt;EDATE(BW$99,1)),"D","")))</f>
        <v/>
      </c>
      <c r="BX112" s="71" t="str">
        <f aca="false">IF(OR(BX$99="",$A78=""),"",IF(AND(ISNUMBER($G78),$G78&gt;=BX$99,$G78&lt;EDATE(BX$99,1)),"F",IF(AND(ISNUMBER($H78),$H78&gt;=BX$99,$H78&lt;EDATE(BX$99,1)),"D","")))</f>
        <v/>
      </c>
      <c r="BY112" s="71" t="str">
        <f aca="false">IF(OR(BY$99="",$A78=""),"",IF(AND(ISNUMBER($G78),$G78&gt;=BY$99,$G78&lt;EDATE(BY$99,1)),"F",IF(AND(ISNUMBER($H78),$H78&gt;=BY$99,$H78&lt;EDATE(BY$99,1)),"D","")))</f>
        <v/>
      </c>
      <c r="BZ112" s="71" t="str">
        <f aca="false">IF(OR(BZ$99="",$A78=""),"",IF(AND(ISNUMBER($G78),$G78&gt;=BZ$99,$G78&lt;EDATE(BZ$99,1)),"F",IF(AND(ISNUMBER($H78),$H78&gt;=BZ$99,$H78&lt;EDATE(BZ$99,1)),"D","")))</f>
        <v/>
      </c>
      <c r="CA112" s="71" t="str">
        <f aca="false">IF(OR(CA$99="",$A78=""),"",IF(AND(ISNUMBER($G78),$G78&gt;=CA$99,$G78&lt;EDATE(CA$99,1)),"F",IF(AND(ISNUMBER($H78),$H78&gt;=CA$99,$H78&lt;EDATE(CA$99,1)),"D","")))</f>
        <v/>
      </c>
      <c r="CB112" s="71" t="str">
        <f aca="false">IF(OR(CB$99="",$A78=""),"",IF(AND(ISNUMBER($G78),$G78&gt;=CB$99,$G78&lt;EDATE(CB$99,1)),"F",IF(AND(ISNUMBER($H78),$H78&gt;=CB$99,$H78&lt;EDATE(CB$99,1)),"D","")))</f>
        <v/>
      </c>
      <c r="CC112" s="71" t="str">
        <f aca="false">IF(OR(CC$99="",$A78=""),"",IF(AND(ISNUMBER($G78),$G78&gt;=CC$99,$G78&lt;EDATE(CC$99,1)),"F",IF(AND(ISNUMBER($H78),$H78&gt;=CC$99,$H78&lt;EDATE(CC$99,1)),"D","")))</f>
        <v/>
      </c>
      <c r="CD112" s="71" t="str">
        <f aca="false">IF(OR(CD$99="",$A78=""),"",IF(AND(ISNUMBER($G78),$G78&gt;=CD$99,$G78&lt;EDATE(CD$99,1)),"F",IF(AND(ISNUMBER($H78),$H78&gt;=CD$99,$H78&lt;EDATE(CD$99,1)),"D","")))</f>
        <v/>
      </c>
      <c r="CE112" s="71" t="str">
        <f aca="false">IF(OR(CE$99="",$A78=""),"",IF(AND(ISNUMBER($G78),$G78&gt;=CE$99,$G78&lt;EDATE(CE$99,1)),"F",IF(AND(ISNUMBER($H78),$H78&gt;=CE$99,$H78&lt;EDATE(CE$99,1)),"D","")))</f>
        <v/>
      </c>
      <c r="CF112" s="71" t="str">
        <f aca="false">IF(OR(CF$99="",$A78=""),"",IF(AND(ISNUMBER($G78),$G78&gt;=CF$99,$G78&lt;EDATE(CF$99,1)),"F",IF(AND(ISNUMBER($H78),$H78&gt;=CF$99,$H78&lt;EDATE(CF$99,1)),"D","")))</f>
        <v/>
      </c>
      <c r="CG112" s="71" t="str">
        <f aca="false">IF(OR(CG$99="",$A78=""),"",IF(AND(ISNUMBER($G78),$G78&gt;=CG$99,$G78&lt;EDATE(CG$99,1)),"F",IF(AND(ISNUMBER($H78),$H78&gt;=CG$99,$H78&lt;EDATE(CG$99,1)),"D","")))</f>
        <v/>
      </c>
      <c r="CH112" s="71" t="str">
        <f aca="false">IF(OR(CH$99="",$A78=""),"",IF(AND(ISNUMBER($G78),$G78&gt;=CH$99,$G78&lt;EDATE(CH$99,1)),"F",IF(AND(ISNUMBER($H78),$H78&gt;=CH$99,$H78&lt;EDATE(CH$99,1)),"D","")))</f>
        <v/>
      </c>
      <c r="CI112" s="71" t="str">
        <f aca="false">IF(OR(CI$99="",$A78=""),"",IF(AND(ISNUMBER($G78),$G78&gt;=CI$99,$G78&lt;EDATE(CI$99,1)),"F",IF(AND(ISNUMBER($H78),$H78&gt;=CI$99,$H78&lt;EDATE(CI$99,1)),"D","")))</f>
        <v/>
      </c>
      <c r="CJ112" s="71" t="str">
        <f aca="false">IF(OR(CJ$99="",$A78=""),"",IF(AND(ISNUMBER($G78),$G78&gt;=CJ$99,$G78&lt;EDATE(CJ$99,1)),"F",IF(AND(ISNUMBER($H78),$H78&gt;=CJ$99,$H78&lt;EDATE(CJ$99,1)),"D","")))</f>
        <v/>
      </c>
      <c r="CK112" s="71" t="str">
        <f aca="false">IF(OR(CK$99="",$A78=""),"",IF(AND(ISNUMBER($G78),$G78&gt;=CK$99,$G78&lt;EDATE(CK$99,1)),"F",IF(AND(ISNUMBER($H78),$H78&gt;=CK$99,$H78&lt;EDATE(CK$99,1)),"D","")))</f>
        <v/>
      </c>
    </row>
    <row r="113" customFormat="false" ht="15" hidden="false" customHeight="false" outlineLevel="0" collapsed="false">
      <c r="A113" s="74" t="str">
        <f aca="false">IF($A79="","",$A79)</f>
        <v>A004</v>
      </c>
      <c r="B113" s="74" t="str">
        <f aca="false">IF($A79="","",$B79)</f>
        <v>DI-SAFT-80105 System Safety Program Progress Report</v>
      </c>
      <c r="R113" s="71" t="str">
        <f aca="false">IF(OR(R$99="",$A79=""),"",IF(AND(ISNUMBER($G79),$G79&gt;=R$99,$G79&lt;EDATE(R$99,1)),"F",IF(AND(ISNUMBER($H79),$H79&gt;=R$99,$H79&lt;EDATE(R$99,1)),"D","")))</f>
        <v/>
      </c>
      <c r="S113" s="71" t="str">
        <f aca="false">IF(OR(S$99="",$A79=""),"",IF(AND(ISNUMBER($G79),$G79&gt;=S$99,$G79&lt;EDATE(S$99,1)),"F",IF(AND(ISNUMBER($H79),$H79&gt;=S$99,$H79&lt;EDATE(S$99,1)),"D","")))</f>
        <v/>
      </c>
      <c r="T113" s="71" t="str">
        <f aca="false">IF(OR(T$99="",$A79=""),"",IF(AND(ISNUMBER($G79),$G79&gt;=T$99,$G79&lt;EDATE(T$99,1)),"F",IF(AND(ISNUMBER($H79),$H79&gt;=T$99,$H79&lt;EDATE(T$99,1)),"D","")))</f>
        <v/>
      </c>
      <c r="U113" s="71" t="str">
        <f aca="false">IF(OR(U$99="",$A79=""),"",IF(AND(ISNUMBER($G79),$G79&gt;=U$99,$G79&lt;EDATE(U$99,1)),"F",IF(AND(ISNUMBER($H79),$H79&gt;=U$99,$H79&lt;EDATE(U$99,1)),"D","")))</f>
        <v/>
      </c>
      <c r="V113" s="71" t="str">
        <f aca="false">IF(OR(V$99="",$A79=""),"",IF(AND(ISNUMBER($G79),$G79&gt;=V$99,$G79&lt;EDATE(V$99,1)),"F",IF(AND(ISNUMBER($H79),$H79&gt;=V$99,$H79&lt;EDATE(V$99,1)),"D","")))</f>
        <v/>
      </c>
      <c r="W113" s="71" t="str">
        <f aca="false">IF(OR(W$99="",$A79=""),"",IF(AND(ISNUMBER($G79),$G79&gt;=W$99,$G79&lt;EDATE(W$99,1)),"F",IF(AND(ISNUMBER($H79),$H79&gt;=W$99,$H79&lt;EDATE(W$99,1)),"D","")))</f>
        <v/>
      </c>
      <c r="X113" s="71" t="str">
        <f aca="false">IF(OR(X$99="",$A79=""),"",IF(AND(ISNUMBER($G79),$G79&gt;=X$99,$G79&lt;EDATE(X$99,1)),"F",IF(AND(ISNUMBER($H79),$H79&gt;=X$99,$H79&lt;EDATE(X$99,1)),"D","")))</f>
        <v/>
      </c>
      <c r="Y113" s="71" t="str">
        <f aca="false">IF(OR(Y$99="",$A79=""),"",IF(AND(ISNUMBER($G79),$G79&gt;=Y$99,$G79&lt;EDATE(Y$99,1)),"F",IF(AND(ISNUMBER($H79),$H79&gt;=Y$99,$H79&lt;EDATE(Y$99,1)),"D","")))</f>
        <v/>
      </c>
      <c r="Z113" s="71" t="str">
        <f aca="false">IF(OR(Z$99="",$A79=""),"",IF(AND(ISNUMBER($G79),$G79&gt;=Z$99,$G79&lt;EDATE(Z$99,1)),"F",IF(AND(ISNUMBER($H79),$H79&gt;=Z$99,$H79&lt;EDATE(Z$99,1)),"D","")))</f>
        <v/>
      </c>
      <c r="AA113" s="71" t="str">
        <f aca="false">IF(OR(AA$99="",$A79=""),"",IF(AND(ISNUMBER($G79),$G79&gt;=AA$99,$G79&lt;EDATE(AA$99,1)),"F",IF(AND(ISNUMBER($H79),$H79&gt;=AA$99,$H79&lt;EDATE(AA$99,1)),"D","")))</f>
        <v/>
      </c>
      <c r="AB113" s="71" t="str">
        <f aca="false">IF(OR(AB$99="",$A79=""),"",IF(AND(ISNUMBER($G79),$G79&gt;=AB$99,$G79&lt;EDATE(AB$99,1)),"F",IF(AND(ISNUMBER($H79),$H79&gt;=AB$99,$H79&lt;EDATE(AB$99,1)),"D","")))</f>
        <v/>
      </c>
      <c r="AC113" s="71" t="str">
        <f aca="false">IF(OR(AC$99="",$A79=""),"",IF(AND(ISNUMBER($G79),$G79&gt;=AC$99,$G79&lt;EDATE(AC$99,1)),"F",IF(AND(ISNUMBER($H79),$H79&gt;=AC$99,$H79&lt;EDATE(AC$99,1)),"D","")))</f>
        <v/>
      </c>
      <c r="AD113" s="71" t="str">
        <f aca="false">IF(OR(AD$99="",$A79=""),"",IF(AND(ISNUMBER($G79),$G79&gt;=AD$99,$G79&lt;EDATE(AD$99,1)),"F",IF(AND(ISNUMBER($H79),$H79&gt;=AD$99,$H79&lt;EDATE(AD$99,1)),"D","")))</f>
        <v/>
      </c>
      <c r="AE113" s="71" t="str">
        <f aca="false">IF(OR(AE$99="",$A79=""),"",IF(AND(ISNUMBER($G79),$G79&gt;=AE$99,$G79&lt;EDATE(AE$99,1)),"F",IF(AND(ISNUMBER($H79),$H79&gt;=AE$99,$H79&lt;EDATE(AE$99,1)),"D","")))</f>
        <v/>
      </c>
      <c r="AF113" s="71" t="str">
        <f aca="false">IF(OR(AF$99="",$A79=""),"",IF(AND(ISNUMBER($G79),$G79&gt;=AF$99,$G79&lt;EDATE(AF$99,1)),"F",IF(AND(ISNUMBER($H79),$H79&gt;=AF$99,$H79&lt;EDATE(AF$99,1)),"D","")))</f>
        <v/>
      </c>
      <c r="AG113" s="71" t="str">
        <f aca="false">IF(OR(AG$99="",$A79=""),"",IF(AND(ISNUMBER($G79),$G79&gt;=AG$99,$G79&lt;EDATE(AG$99,1)),"F",IF(AND(ISNUMBER($H79),$H79&gt;=AG$99,$H79&lt;EDATE(AG$99,1)),"D","")))</f>
        <v/>
      </c>
      <c r="AH113" s="71" t="str">
        <f aca="false">IF(OR(AH$99="",$A79=""),"",IF(AND(ISNUMBER($G79),$G79&gt;=AH$99,$G79&lt;EDATE(AH$99,1)),"F",IF(AND(ISNUMBER($H79),$H79&gt;=AH$99,$H79&lt;EDATE(AH$99,1)),"D","")))</f>
        <v/>
      </c>
      <c r="AI113" s="71" t="str">
        <f aca="false">IF(OR(AI$99="",$A79=""),"",IF(AND(ISNUMBER($G79),$G79&gt;=AI$99,$G79&lt;EDATE(AI$99,1)),"F",IF(AND(ISNUMBER($H79),$H79&gt;=AI$99,$H79&lt;EDATE(AI$99,1)),"D","")))</f>
        <v/>
      </c>
      <c r="AJ113" s="71" t="str">
        <f aca="false">IF(OR(AJ$99="",$A79=""),"",IF(AND(ISNUMBER($G79),$G79&gt;=AJ$99,$G79&lt;EDATE(AJ$99,1)),"F",IF(AND(ISNUMBER($H79),$H79&gt;=AJ$99,$H79&lt;EDATE(AJ$99,1)),"D","")))</f>
        <v/>
      </c>
      <c r="AK113" s="71" t="str">
        <f aca="false">IF(OR(AK$99="",$A79=""),"",IF(AND(ISNUMBER($G79),$G79&gt;=AK$99,$G79&lt;EDATE(AK$99,1)),"F",IF(AND(ISNUMBER($H79),$H79&gt;=AK$99,$H79&lt;EDATE(AK$99,1)),"D","")))</f>
        <v/>
      </c>
      <c r="AL113" s="71" t="str">
        <f aca="false">IF(OR(AL$99="",$A79=""),"",IF(AND(ISNUMBER($G79),$G79&gt;=AL$99,$G79&lt;EDATE(AL$99,1)),"F",IF(AND(ISNUMBER($H79),$H79&gt;=AL$99,$H79&lt;EDATE(AL$99,1)),"D","")))</f>
        <v/>
      </c>
      <c r="AM113" s="71" t="str">
        <f aca="false">IF(OR(AM$99="",$A79=""),"",IF(AND(ISNUMBER($G79),$G79&gt;=AM$99,$G79&lt;EDATE(AM$99,1)),"F",IF(AND(ISNUMBER($H79),$H79&gt;=AM$99,$H79&lt;EDATE(AM$99,1)),"D","")))</f>
        <v/>
      </c>
      <c r="AN113" s="71" t="str">
        <f aca="false">IF(OR(AN$99="",$A79=""),"",IF(AND(ISNUMBER($G79),$G79&gt;=AN$99,$G79&lt;EDATE(AN$99,1)),"F",IF(AND(ISNUMBER($H79),$H79&gt;=AN$99,$H79&lt;EDATE(AN$99,1)),"D","")))</f>
        <v/>
      </c>
      <c r="AO113" s="71" t="str">
        <f aca="false">IF(OR(AO$99="",$A79=""),"",IF(AND(ISNUMBER($G79),$G79&gt;=AO$99,$G79&lt;EDATE(AO$99,1)),"F",IF(AND(ISNUMBER($H79),$H79&gt;=AO$99,$H79&lt;EDATE(AO$99,1)),"D","")))</f>
        <v/>
      </c>
      <c r="AP113" s="71" t="str">
        <f aca="false">IF(OR(AP$99="",$A79=""),"",IF(AND(ISNUMBER($G79),$G79&gt;=AP$99,$G79&lt;EDATE(AP$99,1)),"F",IF(AND(ISNUMBER($H79),$H79&gt;=AP$99,$H79&lt;EDATE(AP$99,1)),"D","")))</f>
        <v/>
      </c>
      <c r="AQ113" s="71" t="str">
        <f aca="false">IF(OR(AQ$99="",$A79=""),"",IF(AND(ISNUMBER($G79),$G79&gt;=AQ$99,$G79&lt;EDATE(AQ$99,1)),"F",IF(AND(ISNUMBER($H79),$H79&gt;=AQ$99,$H79&lt;EDATE(AQ$99,1)),"D","")))</f>
        <v/>
      </c>
      <c r="AR113" s="71" t="str">
        <f aca="false">IF(OR(AR$99="",$A79=""),"",IF(AND(ISNUMBER($G79),$G79&gt;=AR$99,$G79&lt;EDATE(AR$99,1)),"F",IF(AND(ISNUMBER($H79),$H79&gt;=AR$99,$H79&lt;EDATE(AR$99,1)),"D","")))</f>
        <v/>
      </c>
      <c r="AS113" s="71" t="str">
        <f aca="false">IF(OR(AS$99="",$A79=""),"",IF(AND(ISNUMBER($G79),$G79&gt;=AS$99,$G79&lt;EDATE(AS$99,1)),"F",IF(AND(ISNUMBER($H79),$H79&gt;=AS$99,$H79&lt;EDATE(AS$99,1)),"D","")))</f>
        <v/>
      </c>
      <c r="AT113" s="71" t="str">
        <f aca="false">IF(OR(AT$99="",$A79=""),"",IF(AND(ISNUMBER($G79),$G79&gt;=AT$99,$G79&lt;EDATE(AT$99,1)),"F",IF(AND(ISNUMBER($H79),$H79&gt;=AT$99,$H79&lt;EDATE(AT$99,1)),"D","")))</f>
        <v/>
      </c>
      <c r="AU113" s="71" t="str">
        <f aca="false">IF(OR(AU$99="",$A79=""),"",IF(AND(ISNUMBER($G79),$G79&gt;=AU$99,$G79&lt;EDATE(AU$99,1)),"F",IF(AND(ISNUMBER($H79),$H79&gt;=AU$99,$H79&lt;EDATE(AU$99,1)),"D","")))</f>
        <v/>
      </c>
      <c r="AV113" s="71" t="str">
        <f aca="false">IF(OR(AV$99="",$A79=""),"",IF(AND(ISNUMBER($G79),$G79&gt;=AV$99,$G79&lt;EDATE(AV$99,1)),"F",IF(AND(ISNUMBER($H79),$H79&gt;=AV$99,$H79&lt;EDATE(AV$99,1)),"D","")))</f>
        <v/>
      </c>
      <c r="AW113" s="71" t="str">
        <f aca="false">IF(OR(AW$99="",$A79=""),"",IF(AND(ISNUMBER($G79),$G79&gt;=AW$99,$G79&lt;EDATE(AW$99,1)),"F",IF(AND(ISNUMBER($H79),$H79&gt;=AW$99,$H79&lt;EDATE(AW$99,1)),"D","")))</f>
        <v/>
      </c>
      <c r="AX113" s="71" t="str">
        <f aca="false">IF(OR(AX$99="",$A79=""),"",IF(AND(ISNUMBER($G79),$G79&gt;=AX$99,$G79&lt;EDATE(AX$99,1)),"F",IF(AND(ISNUMBER($H79),$H79&gt;=AX$99,$H79&lt;EDATE(AX$99,1)),"D","")))</f>
        <v/>
      </c>
      <c r="AY113" s="71" t="str">
        <f aca="false">IF(OR(AY$99="",$A79=""),"",IF(AND(ISNUMBER($G79),$G79&gt;=AY$99,$G79&lt;EDATE(AY$99,1)),"F",IF(AND(ISNUMBER($H79),$H79&gt;=AY$99,$H79&lt;EDATE(AY$99,1)),"D","")))</f>
        <v/>
      </c>
      <c r="AZ113" s="71" t="str">
        <f aca="false">IF(OR(AZ$99="",$A79=""),"",IF(AND(ISNUMBER($G79),$G79&gt;=AZ$99,$G79&lt;EDATE(AZ$99,1)),"F",IF(AND(ISNUMBER($H79),$H79&gt;=AZ$99,$H79&lt;EDATE(AZ$99,1)),"D","")))</f>
        <v/>
      </c>
      <c r="BA113" s="71" t="str">
        <f aca="false">IF(OR(BA$99="",$A79=""),"",IF(AND(ISNUMBER($G79),$G79&gt;=BA$99,$G79&lt;EDATE(BA$99,1)),"F",IF(AND(ISNUMBER($H79),$H79&gt;=BA$99,$H79&lt;EDATE(BA$99,1)),"D","")))</f>
        <v>F</v>
      </c>
      <c r="BB113" s="71" t="str">
        <f aca="false">IF(OR(BB$99="",$A79=""),"",IF(AND(ISNUMBER($G79),$G79&gt;=BB$99,$G79&lt;EDATE(BB$99,1)),"F",IF(AND(ISNUMBER($H79),$H79&gt;=BB$99,$H79&lt;EDATE(BB$99,1)),"D","")))</f>
        <v/>
      </c>
      <c r="BC113" s="71" t="str">
        <f aca="false">IF(OR(BC$99="",$A79=""),"",IF(AND(ISNUMBER($G79),$G79&gt;=BC$99,$G79&lt;EDATE(BC$99,1)),"F",IF(AND(ISNUMBER($H79),$H79&gt;=BC$99,$H79&lt;EDATE(BC$99,1)),"D","")))</f>
        <v/>
      </c>
      <c r="BD113" s="71" t="str">
        <f aca="false">IF(OR(BD$99="",$A79=""),"",IF(AND(ISNUMBER($G79),$G79&gt;=BD$99,$G79&lt;EDATE(BD$99,1)),"F",IF(AND(ISNUMBER($H79),$H79&gt;=BD$99,$H79&lt;EDATE(BD$99,1)),"D","")))</f>
        <v/>
      </c>
      <c r="BE113" s="71" t="str">
        <f aca="false">IF(OR(BE$99="",$A79=""),"",IF(AND(ISNUMBER($G79),$G79&gt;=BE$99,$G79&lt;EDATE(BE$99,1)),"F",IF(AND(ISNUMBER($H79),$H79&gt;=BE$99,$H79&lt;EDATE(BE$99,1)),"D","")))</f>
        <v/>
      </c>
      <c r="BF113" s="71" t="str">
        <f aca="false">IF(OR(BF$99="",$A79=""),"",IF(AND(ISNUMBER($G79),$G79&gt;=BF$99,$G79&lt;EDATE(BF$99,1)),"F",IF(AND(ISNUMBER($H79),$H79&gt;=BF$99,$H79&lt;EDATE(BF$99,1)),"D","")))</f>
        <v/>
      </c>
      <c r="BG113" s="71" t="str">
        <f aca="false">IF(OR(BG$99="",$A79=""),"",IF(AND(ISNUMBER($G79),$G79&gt;=BG$99,$G79&lt;EDATE(BG$99,1)),"F",IF(AND(ISNUMBER($H79),$H79&gt;=BG$99,$H79&lt;EDATE(BG$99,1)),"D","")))</f>
        <v/>
      </c>
      <c r="BH113" s="71" t="str">
        <f aca="false">IF(OR(BH$99="",$A79=""),"",IF(AND(ISNUMBER($G79),$G79&gt;=BH$99,$G79&lt;EDATE(BH$99,1)),"F",IF(AND(ISNUMBER($H79),$H79&gt;=BH$99,$H79&lt;EDATE(BH$99,1)),"D","")))</f>
        <v/>
      </c>
      <c r="BI113" s="71" t="str">
        <f aca="false">IF(OR(BI$99="",$A79=""),"",IF(AND(ISNUMBER($G79),$G79&gt;=BI$99,$G79&lt;EDATE(BI$99,1)),"F",IF(AND(ISNUMBER($H79),$H79&gt;=BI$99,$H79&lt;EDATE(BI$99,1)),"D","")))</f>
        <v/>
      </c>
      <c r="BJ113" s="71" t="str">
        <f aca="false">IF(OR(BJ$99="",$A79=""),"",IF(AND(ISNUMBER($G79),$G79&gt;=BJ$99,$G79&lt;EDATE(BJ$99,1)),"F",IF(AND(ISNUMBER($H79),$H79&gt;=BJ$99,$H79&lt;EDATE(BJ$99,1)),"D","")))</f>
        <v/>
      </c>
      <c r="BK113" s="71" t="str">
        <f aca="false">IF(OR(BK$99="",$A79=""),"",IF(AND(ISNUMBER($G79),$G79&gt;=BK$99,$G79&lt;EDATE(BK$99,1)),"F",IF(AND(ISNUMBER($H79),$H79&gt;=BK$99,$H79&lt;EDATE(BK$99,1)),"D","")))</f>
        <v/>
      </c>
      <c r="BL113" s="71" t="str">
        <f aca="false">IF(OR(BL$99="",$A79=""),"",IF(AND(ISNUMBER($G79),$G79&gt;=BL$99,$G79&lt;EDATE(BL$99,1)),"F",IF(AND(ISNUMBER($H79),$H79&gt;=BL$99,$H79&lt;EDATE(BL$99,1)),"D","")))</f>
        <v/>
      </c>
      <c r="BM113" s="71" t="str">
        <f aca="false">IF(OR(BM$99="",$A79=""),"",IF(AND(ISNUMBER($G79),$G79&gt;=BM$99,$G79&lt;EDATE(BM$99,1)),"F",IF(AND(ISNUMBER($H79),$H79&gt;=BM$99,$H79&lt;EDATE(BM$99,1)),"D","")))</f>
        <v/>
      </c>
      <c r="BN113" s="71" t="str">
        <f aca="false">IF(OR(BN$99="",$A79=""),"",IF(AND(ISNUMBER($G79),$G79&gt;=BN$99,$G79&lt;EDATE(BN$99,1)),"F",IF(AND(ISNUMBER($H79),$H79&gt;=BN$99,$H79&lt;EDATE(BN$99,1)),"D","")))</f>
        <v/>
      </c>
      <c r="BO113" s="71" t="str">
        <f aca="false">IF(OR(BO$99="",$A79=""),"",IF(AND(ISNUMBER($G79),$G79&gt;=BO$99,$G79&lt;EDATE(BO$99,1)),"F",IF(AND(ISNUMBER($H79),$H79&gt;=BO$99,$H79&lt;EDATE(BO$99,1)),"D","")))</f>
        <v/>
      </c>
      <c r="BP113" s="71" t="str">
        <f aca="false">IF(OR(BP$99="",$A79=""),"",IF(AND(ISNUMBER($G79),$G79&gt;=BP$99,$G79&lt;EDATE(BP$99,1)),"F",IF(AND(ISNUMBER($H79),$H79&gt;=BP$99,$H79&lt;EDATE(BP$99,1)),"D","")))</f>
        <v/>
      </c>
      <c r="BQ113" s="71" t="str">
        <f aca="false">IF(OR(BQ$99="",$A79=""),"",IF(AND(ISNUMBER($G79),$G79&gt;=BQ$99,$G79&lt;EDATE(BQ$99,1)),"F",IF(AND(ISNUMBER($H79),$H79&gt;=BQ$99,$H79&lt;EDATE(BQ$99,1)),"D","")))</f>
        <v/>
      </c>
      <c r="BR113" s="71" t="str">
        <f aca="false">IF(OR(BR$99="",$A79=""),"",IF(AND(ISNUMBER($G79),$G79&gt;=BR$99,$G79&lt;EDATE(BR$99,1)),"F",IF(AND(ISNUMBER($H79),$H79&gt;=BR$99,$H79&lt;EDATE(BR$99,1)),"D","")))</f>
        <v/>
      </c>
      <c r="BS113" s="71" t="str">
        <f aca="false">IF(OR(BS$99="",$A79=""),"",IF(AND(ISNUMBER($G79),$G79&gt;=BS$99,$G79&lt;EDATE(BS$99,1)),"F",IF(AND(ISNUMBER($H79),$H79&gt;=BS$99,$H79&lt;EDATE(BS$99,1)),"D","")))</f>
        <v/>
      </c>
      <c r="BT113" s="71" t="str">
        <f aca="false">IF(OR(BT$99="",$A79=""),"",IF(AND(ISNUMBER($G79),$G79&gt;=BT$99,$G79&lt;EDATE(BT$99,1)),"F",IF(AND(ISNUMBER($H79),$H79&gt;=BT$99,$H79&lt;EDATE(BT$99,1)),"D","")))</f>
        <v/>
      </c>
      <c r="BU113" s="71" t="str">
        <f aca="false">IF(OR(BU$99="",$A79=""),"",IF(AND(ISNUMBER($G79),$G79&gt;=BU$99,$G79&lt;EDATE(BU$99,1)),"F",IF(AND(ISNUMBER($H79),$H79&gt;=BU$99,$H79&lt;EDATE(BU$99,1)),"D","")))</f>
        <v/>
      </c>
      <c r="BV113" s="71" t="str">
        <f aca="false">IF(OR(BV$99="",$A79=""),"",IF(AND(ISNUMBER($G79),$G79&gt;=BV$99,$G79&lt;EDATE(BV$99,1)),"F",IF(AND(ISNUMBER($H79),$H79&gt;=BV$99,$H79&lt;EDATE(BV$99,1)),"D","")))</f>
        <v/>
      </c>
      <c r="BW113" s="71" t="str">
        <f aca="false">IF(OR(BW$99="",$A79=""),"",IF(AND(ISNUMBER($G79),$G79&gt;=BW$99,$G79&lt;EDATE(BW$99,1)),"F",IF(AND(ISNUMBER($H79),$H79&gt;=BW$99,$H79&lt;EDATE(BW$99,1)),"D","")))</f>
        <v/>
      </c>
      <c r="BX113" s="71" t="str">
        <f aca="false">IF(OR(BX$99="",$A79=""),"",IF(AND(ISNUMBER($G79),$G79&gt;=BX$99,$G79&lt;EDATE(BX$99,1)),"F",IF(AND(ISNUMBER($H79),$H79&gt;=BX$99,$H79&lt;EDATE(BX$99,1)),"D","")))</f>
        <v/>
      </c>
      <c r="BY113" s="71" t="str">
        <f aca="false">IF(OR(BY$99="",$A79=""),"",IF(AND(ISNUMBER($G79),$G79&gt;=BY$99,$G79&lt;EDATE(BY$99,1)),"F",IF(AND(ISNUMBER($H79),$H79&gt;=BY$99,$H79&lt;EDATE(BY$99,1)),"D","")))</f>
        <v/>
      </c>
      <c r="BZ113" s="71" t="str">
        <f aca="false">IF(OR(BZ$99="",$A79=""),"",IF(AND(ISNUMBER($G79),$G79&gt;=BZ$99,$G79&lt;EDATE(BZ$99,1)),"F",IF(AND(ISNUMBER($H79),$H79&gt;=BZ$99,$H79&lt;EDATE(BZ$99,1)),"D","")))</f>
        <v/>
      </c>
      <c r="CA113" s="71" t="str">
        <f aca="false">IF(OR(CA$99="",$A79=""),"",IF(AND(ISNUMBER($G79),$G79&gt;=CA$99,$G79&lt;EDATE(CA$99,1)),"F",IF(AND(ISNUMBER($H79),$H79&gt;=CA$99,$H79&lt;EDATE(CA$99,1)),"D","")))</f>
        <v/>
      </c>
      <c r="CB113" s="71" t="str">
        <f aca="false">IF(OR(CB$99="",$A79=""),"",IF(AND(ISNUMBER($G79),$G79&gt;=CB$99,$G79&lt;EDATE(CB$99,1)),"F",IF(AND(ISNUMBER($H79),$H79&gt;=CB$99,$H79&lt;EDATE(CB$99,1)),"D","")))</f>
        <v/>
      </c>
      <c r="CC113" s="71" t="str">
        <f aca="false">IF(OR(CC$99="",$A79=""),"",IF(AND(ISNUMBER($G79),$G79&gt;=CC$99,$G79&lt;EDATE(CC$99,1)),"F",IF(AND(ISNUMBER($H79),$H79&gt;=CC$99,$H79&lt;EDATE(CC$99,1)),"D","")))</f>
        <v/>
      </c>
      <c r="CD113" s="71" t="str">
        <f aca="false">IF(OR(CD$99="",$A79=""),"",IF(AND(ISNUMBER($G79),$G79&gt;=CD$99,$G79&lt;EDATE(CD$99,1)),"F",IF(AND(ISNUMBER($H79),$H79&gt;=CD$99,$H79&lt;EDATE(CD$99,1)),"D","")))</f>
        <v/>
      </c>
      <c r="CE113" s="71" t="str">
        <f aca="false">IF(OR(CE$99="",$A79=""),"",IF(AND(ISNUMBER($G79),$G79&gt;=CE$99,$G79&lt;EDATE(CE$99,1)),"F",IF(AND(ISNUMBER($H79),$H79&gt;=CE$99,$H79&lt;EDATE(CE$99,1)),"D","")))</f>
        <v/>
      </c>
      <c r="CF113" s="71" t="str">
        <f aca="false">IF(OR(CF$99="",$A79=""),"",IF(AND(ISNUMBER($G79),$G79&gt;=CF$99,$G79&lt;EDATE(CF$99,1)),"F",IF(AND(ISNUMBER($H79),$H79&gt;=CF$99,$H79&lt;EDATE(CF$99,1)),"D","")))</f>
        <v/>
      </c>
      <c r="CG113" s="71" t="str">
        <f aca="false">IF(OR(CG$99="",$A79=""),"",IF(AND(ISNUMBER($G79),$G79&gt;=CG$99,$G79&lt;EDATE(CG$99,1)),"F",IF(AND(ISNUMBER($H79),$H79&gt;=CG$99,$H79&lt;EDATE(CG$99,1)),"D","")))</f>
        <v/>
      </c>
      <c r="CH113" s="71" t="str">
        <f aca="false">IF(OR(CH$99="",$A79=""),"",IF(AND(ISNUMBER($G79),$G79&gt;=CH$99,$G79&lt;EDATE(CH$99,1)),"F",IF(AND(ISNUMBER($H79),$H79&gt;=CH$99,$H79&lt;EDATE(CH$99,1)),"D","")))</f>
        <v/>
      </c>
      <c r="CI113" s="71" t="str">
        <f aca="false">IF(OR(CI$99="",$A79=""),"",IF(AND(ISNUMBER($G79),$G79&gt;=CI$99,$G79&lt;EDATE(CI$99,1)),"F",IF(AND(ISNUMBER($H79),$H79&gt;=CI$99,$H79&lt;EDATE(CI$99,1)),"D","")))</f>
        <v/>
      </c>
      <c r="CJ113" s="71" t="str">
        <f aca="false">IF(OR(CJ$99="",$A79=""),"",IF(AND(ISNUMBER($G79),$G79&gt;=CJ$99,$G79&lt;EDATE(CJ$99,1)),"F",IF(AND(ISNUMBER($H79),$H79&gt;=CJ$99,$H79&lt;EDATE(CJ$99,1)),"D","")))</f>
        <v/>
      </c>
      <c r="CK113" s="71" t="str">
        <f aca="false">IF(OR(CK$99="",$A79=""),"",IF(AND(ISNUMBER($G79),$G79&gt;=CK$99,$G79&lt;EDATE(CK$99,1)),"F",IF(AND(ISNUMBER($H79),$H79&gt;=CK$99,$H79&lt;EDATE(CK$99,1)),"D","")))</f>
        <v/>
      </c>
    </row>
    <row r="114" customFormat="false" ht="15" hidden="false" customHeight="false" outlineLevel="0" collapsed="false">
      <c r="A114" s="74" t="str">
        <f aca="false">IF($A80="","",$A80)</f>
        <v>A005</v>
      </c>
      <c r="B114" s="74" t="str">
        <f aca="false">IF($A80="","",$B80)</f>
        <v>DI-SAFT-80102 Safety Assessment Report</v>
      </c>
      <c r="R114" s="71" t="str">
        <f aca="false">IF(OR(R$99="",$A80=""),"",IF(AND(ISNUMBER($G80),$G80&gt;=R$99,$G80&lt;EDATE(R$99,1)),"F",IF(AND(ISNUMBER($H80),$H80&gt;=R$99,$H80&lt;EDATE(R$99,1)),"D","")))</f>
        <v/>
      </c>
      <c r="S114" s="71" t="str">
        <f aca="false">IF(OR(S$99="",$A80=""),"",IF(AND(ISNUMBER($G80),$G80&gt;=S$99,$G80&lt;EDATE(S$99,1)),"F",IF(AND(ISNUMBER($H80),$H80&gt;=S$99,$H80&lt;EDATE(S$99,1)),"D","")))</f>
        <v/>
      </c>
      <c r="T114" s="71" t="str">
        <f aca="false">IF(OR(T$99="",$A80=""),"",IF(AND(ISNUMBER($G80),$G80&gt;=T$99,$G80&lt;EDATE(T$99,1)),"F",IF(AND(ISNUMBER($H80),$H80&gt;=T$99,$H80&lt;EDATE(T$99,1)),"D","")))</f>
        <v/>
      </c>
      <c r="U114" s="71" t="str">
        <f aca="false">IF(OR(U$99="",$A80=""),"",IF(AND(ISNUMBER($G80),$G80&gt;=U$99,$G80&lt;EDATE(U$99,1)),"F",IF(AND(ISNUMBER($H80),$H80&gt;=U$99,$H80&lt;EDATE(U$99,1)),"D","")))</f>
        <v/>
      </c>
      <c r="V114" s="71" t="str">
        <f aca="false">IF(OR(V$99="",$A80=""),"",IF(AND(ISNUMBER($G80),$G80&gt;=V$99,$G80&lt;EDATE(V$99,1)),"F",IF(AND(ISNUMBER($H80),$H80&gt;=V$99,$H80&lt;EDATE(V$99,1)),"D","")))</f>
        <v/>
      </c>
      <c r="W114" s="71" t="str">
        <f aca="false">IF(OR(W$99="",$A80=""),"",IF(AND(ISNUMBER($G80),$G80&gt;=W$99,$G80&lt;EDATE(W$99,1)),"F",IF(AND(ISNUMBER($H80),$H80&gt;=W$99,$H80&lt;EDATE(W$99,1)),"D","")))</f>
        <v/>
      </c>
      <c r="X114" s="71" t="str">
        <f aca="false">IF(OR(X$99="",$A80=""),"",IF(AND(ISNUMBER($G80),$G80&gt;=X$99,$G80&lt;EDATE(X$99,1)),"F",IF(AND(ISNUMBER($H80),$H80&gt;=X$99,$H80&lt;EDATE(X$99,1)),"D","")))</f>
        <v/>
      </c>
      <c r="Y114" s="71" t="str">
        <f aca="false">IF(OR(Y$99="",$A80=""),"",IF(AND(ISNUMBER($G80),$G80&gt;=Y$99,$G80&lt;EDATE(Y$99,1)),"F",IF(AND(ISNUMBER($H80),$H80&gt;=Y$99,$H80&lt;EDATE(Y$99,1)),"D","")))</f>
        <v/>
      </c>
      <c r="Z114" s="71" t="str">
        <f aca="false">IF(OR(Z$99="",$A80=""),"",IF(AND(ISNUMBER($G80),$G80&gt;=Z$99,$G80&lt;EDATE(Z$99,1)),"F",IF(AND(ISNUMBER($H80),$H80&gt;=Z$99,$H80&lt;EDATE(Z$99,1)),"D","")))</f>
        <v/>
      </c>
      <c r="AA114" s="71" t="str">
        <f aca="false">IF(OR(AA$99="",$A80=""),"",IF(AND(ISNUMBER($G80),$G80&gt;=AA$99,$G80&lt;EDATE(AA$99,1)),"F",IF(AND(ISNUMBER($H80),$H80&gt;=AA$99,$H80&lt;EDATE(AA$99,1)),"D","")))</f>
        <v/>
      </c>
      <c r="AB114" s="71" t="str">
        <f aca="false">IF(OR(AB$99="",$A80=""),"",IF(AND(ISNUMBER($G80),$G80&gt;=AB$99,$G80&lt;EDATE(AB$99,1)),"F",IF(AND(ISNUMBER($H80),$H80&gt;=AB$99,$H80&lt;EDATE(AB$99,1)),"D","")))</f>
        <v/>
      </c>
      <c r="AC114" s="71" t="str">
        <f aca="false">IF(OR(AC$99="",$A80=""),"",IF(AND(ISNUMBER($G80),$G80&gt;=AC$99,$G80&lt;EDATE(AC$99,1)),"F",IF(AND(ISNUMBER($H80),$H80&gt;=AC$99,$H80&lt;EDATE(AC$99,1)),"D","")))</f>
        <v/>
      </c>
      <c r="AD114" s="71" t="str">
        <f aca="false">IF(OR(AD$99="",$A80=""),"",IF(AND(ISNUMBER($G80),$G80&gt;=AD$99,$G80&lt;EDATE(AD$99,1)),"F",IF(AND(ISNUMBER($H80),$H80&gt;=AD$99,$H80&lt;EDATE(AD$99,1)),"D","")))</f>
        <v/>
      </c>
      <c r="AE114" s="71" t="str">
        <f aca="false">IF(OR(AE$99="",$A80=""),"",IF(AND(ISNUMBER($G80),$G80&gt;=AE$99,$G80&lt;EDATE(AE$99,1)),"F",IF(AND(ISNUMBER($H80),$H80&gt;=AE$99,$H80&lt;EDATE(AE$99,1)),"D","")))</f>
        <v/>
      </c>
      <c r="AF114" s="71" t="str">
        <f aca="false">IF(OR(AF$99="",$A80=""),"",IF(AND(ISNUMBER($G80),$G80&gt;=AF$99,$G80&lt;EDATE(AF$99,1)),"F",IF(AND(ISNUMBER($H80),$H80&gt;=AF$99,$H80&lt;EDATE(AF$99,1)),"D","")))</f>
        <v/>
      </c>
      <c r="AG114" s="71" t="str">
        <f aca="false">IF(OR(AG$99="",$A80=""),"",IF(AND(ISNUMBER($G80),$G80&gt;=AG$99,$G80&lt;EDATE(AG$99,1)),"F",IF(AND(ISNUMBER($H80),$H80&gt;=AG$99,$H80&lt;EDATE(AG$99,1)),"D","")))</f>
        <v/>
      </c>
      <c r="AH114" s="71" t="str">
        <f aca="false">IF(OR(AH$99="",$A80=""),"",IF(AND(ISNUMBER($G80),$G80&gt;=AH$99,$G80&lt;EDATE(AH$99,1)),"F",IF(AND(ISNUMBER($H80),$H80&gt;=AH$99,$H80&lt;EDATE(AH$99,1)),"D","")))</f>
        <v/>
      </c>
      <c r="AI114" s="71" t="str">
        <f aca="false">IF(OR(AI$99="",$A80=""),"",IF(AND(ISNUMBER($G80),$G80&gt;=AI$99,$G80&lt;EDATE(AI$99,1)),"F",IF(AND(ISNUMBER($H80),$H80&gt;=AI$99,$H80&lt;EDATE(AI$99,1)),"D","")))</f>
        <v/>
      </c>
      <c r="AJ114" s="71" t="str">
        <f aca="false">IF(OR(AJ$99="",$A80=""),"",IF(AND(ISNUMBER($G80),$G80&gt;=AJ$99,$G80&lt;EDATE(AJ$99,1)),"F",IF(AND(ISNUMBER($H80),$H80&gt;=AJ$99,$H80&lt;EDATE(AJ$99,1)),"D","")))</f>
        <v/>
      </c>
      <c r="AK114" s="71" t="str">
        <f aca="false">IF(OR(AK$99="",$A80=""),"",IF(AND(ISNUMBER($G80),$G80&gt;=AK$99,$G80&lt;EDATE(AK$99,1)),"F",IF(AND(ISNUMBER($H80),$H80&gt;=AK$99,$H80&lt;EDATE(AK$99,1)),"D","")))</f>
        <v/>
      </c>
      <c r="AL114" s="71" t="str">
        <f aca="false">IF(OR(AL$99="",$A80=""),"",IF(AND(ISNUMBER($G80),$G80&gt;=AL$99,$G80&lt;EDATE(AL$99,1)),"F",IF(AND(ISNUMBER($H80),$H80&gt;=AL$99,$H80&lt;EDATE(AL$99,1)),"D","")))</f>
        <v/>
      </c>
      <c r="AM114" s="71" t="str">
        <f aca="false">IF(OR(AM$99="",$A80=""),"",IF(AND(ISNUMBER($G80),$G80&gt;=AM$99,$G80&lt;EDATE(AM$99,1)),"F",IF(AND(ISNUMBER($H80),$H80&gt;=AM$99,$H80&lt;EDATE(AM$99,1)),"D","")))</f>
        <v/>
      </c>
      <c r="AN114" s="71" t="str">
        <f aca="false">IF(OR(AN$99="",$A80=""),"",IF(AND(ISNUMBER($G80),$G80&gt;=AN$99,$G80&lt;EDATE(AN$99,1)),"F",IF(AND(ISNUMBER($H80),$H80&gt;=AN$99,$H80&lt;EDATE(AN$99,1)),"D","")))</f>
        <v/>
      </c>
      <c r="AO114" s="71" t="str">
        <f aca="false">IF(OR(AO$99="",$A80=""),"",IF(AND(ISNUMBER($G80),$G80&gt;=AO$99,$G80&lt;EDATE(AO$99,1)),"F",IF(AND(ISNUMBER($H80),$H80&gt;=AO$99,$H80&lt;EDATE(AO$99,1)),"D","")))</f>
        <v/>
      </c>
      <c r="AP114" s="71" t="str">
        <f aca="false">IF(OR(AP$99="",$A80=""),"",IF(AND(ISNUMBER($G80),$G80&gt;=AP$99,$G80&lt;EDATE(AP$99,1)),"F",IF(AND(ISNUMBER($H80),$H80&gt;=AP$99,$H80&lt;EDATE(AP$99,1)),"D","")))</f>
        <v/>
      </c>
      <c r="AQ114" s="71" t="str">
        <f aca="false">IF(OR(AQ$99="",$A80=""),"",IF(AND(ISNUMBER($G80),$G80&gt;=AQ$99,$G80&lt;EDATE(AQ$99,1)),"F",IF(AND(ISNUMBER($H80),$H80&gt;=AQ$99,$H80&lt;EDATE(AQ$99,1)),"D","")))</f>
        <v/>
      </c>
      <c r="AR114" s="71" t="str">
        <f aca="false">IF(OR(AR$99="",$A80=""),"",IF(AND(ISNUMBER($G80),$G80&gt;=AR$99,$G80&lt;EDATE(AR$99,1)),"F",IF(AND(ISNUMBER($H80),$H80&gt;=AR$99,$H80&lt;EDATE(AR$99,1)),"D","")))</f>
        <v/>
      </c>
      <c r="AS114" s="71" t="str">
        <f aca="false">IF(OR(AS$99="",$A80=""),"",IF(AND(ISNUMBER($G80),$G80&gt;=AS$99,$G80&lt;EDATE(AS$99,1)),"F",IF(AND(ISNUMBER($H80),$H80&gt;=AS$99,$H80&lt;EDATE(AS$99,1)),"D","")))</f>
        <v/>
      </c>
      <c r="AT114" s="71" t="str">
        <f aca="false">IF(OR(AT$99="",$A80=""),"",IF(AND(ISNUMBER($G80),$G80&gt;=AT$99,$G80&lt;EDATE(AT$99,1)),"F",IF(AND(ISNUMBER($H80),$H80&gt;=AT$99,$H80&lt;EDATE(AT$99,1)),"D","")))</f>
        <v/>
      </c>
      <c r="AU114" s="71" t="str">
        <f aca="false">IF(OR(AU$99="",$A80=""),"",IF(AND(ISNUMBER($G80),$G80&gt;=AU$99,$G80&lt;EDATE(AU$99,1)),"F",IF(AND(ISNUMBER($H80),$H80&gt;=AU$99,$H80&lt;EDATE(AU$99,1)),"D","")))</f>
        <v/>
      </c>
      <c r="AV114" s="71" t="str">
        <f aca="false">IF(OR(AV$99="",$A80=""),"",IF(AND(ISNUMBER($G80),$G80&gt;=AV$99,$G80&lt;EDATE(AV$99,1)),"F",IF(AND(ISNUMBER($H80),$H80&gt;=AV$99,$H80&lt;EDATE(AV$99,1)),"D","")))</f>
        <v/>
      </c>
      <c r="AW114" s="71" t="str">
        <f aca="false">IF(OR(AW$99="",$A80=""),"",IF(AND(ISNUMBER($G80),$G80&gt;=AW$99,$G80&lt;EDATE(AW$99,1)),"F",IF(AND(ISNUMBER($H80),$H80&gt;=AW$99,$H80&lt;EDATE(AW$99,1)),"D","")))</f>
        <v>D</v>
      </c>
      <c r="AX114" s="71" t="str">
        <f aca="false">IF(OR(AX$99="",$A80=""),"",IF(AND(ISNUMBER($G80),$G80&gt;=AX$99,$G80&lt;EDATE(AX$99,1)),"F",IF(AND(ISNUMBER($H80),$H80&gt;=AX$99,$H80&lt;EDATE(AX$99,1)),"D","")))</f>
        <v/>
      </c>
      <c r="AY114" s="71" t="str">
        <f aca="false">IF(OR(AY$99="",$A80=""),"",IF(AND(ISNUMBER($G80),$G80&gt;=AY$99,$G80&lt;EDATE(AY$99,1)),"F",IF(AND(ISNUMBER($H80),$H80&gt;=AY$99,$H80&lt;EDATE(AY$99,1)),"D","")))</f>
        <v>F</v>
      </c>
      <c r="AZ114" s="71" t="str">
        <f aca="false">IF(OR(AZ$99="",$A80=""),"",IF(AND(ISNUMBER($G80),$G80&gt;=AZ$99,$G80&lt;EDATE(AZ$99,1)),"F",IF(AND(ISNUMBER($H80),$H80&gt;=AZ$99,$H80&lt;EDATE(AZ$99,1)),"D","")))</f>
        <v/>
      </c>
      <c r="BA114" s="71" t="str">
        <f aca="false">IF(OR(BA$99="",$A80=""),"",IF(AND(ISNUMBER($G80),$G80&gt;=BA$99,$G80&lt;EDATE(BA$99,1)),"F",IF(AND(ISNUMBER($H80),$H80&gt;=BA$99,$H80&lt;EDATE(BA$99,1)),"D","")))</f>
        <v/>
      </c>
      <c r="BB114" s="71" t="str">
        <f aca="false">IF(OR(BB$99="",$A80=""),"",IF(AND(ISNUMBER($G80),$G80&gt;=BB$99,$G80&lt;EDATE(BB$99,1)),"F",IF(AND(ISNUMBER($H80),$H80&gt;=BB$99,$H80&lt;EDATE(BB$99,1)),"D","")))</f>
        <v/>
      </c>
      <c r="BC114" s="71" t="str">
        <f aca="false">IF(OR(BC$99="",$A80=""),"",IF(AND(ISNUMBER($G80),$G80&gt;=BC$99,$G80&lt;EDATE(BC$99,1)),"F",IF(AND(ISNUMBER($H80),$H80&gt;=BC$99,$H80&lt;EDATE(BC$99,1)),"D","")))</f>
        <v/>
      </c>
      <c r="BD114" s="71" t="str">
        <f aca="false">IF(OR(BD$99="",$A80=""),"",IF(AND(ISNUMBER($G80),$G80&gt;=BD$99,$G80&lt;EDATE(BD$99,1)),"F",IF(AND(ISNUMBER($H80),$H80&gt;=BD$99,$H80&lt;EDATE(BD$99,1)),"D","")))</f>
        <v/>
      </c>
      <c r="BE114" s="71" t="str">
        <f aca="false">IF(OR(BE$99="",$A80=""),"",IF(AND(ISNUMBER($G80),$G80&gt;=BE$99,$G80&lt;EDATE(BE$99,1)),"F",IF(AND(ISNUMBER($H80),$H80&gt;=BE$99,$H80&lt;EDATE(BE$99,1)),"D","")))</f>
        <v/>
      </c>
      <c r="BF114" s="71" t="str">
        <f aca="false">IF(OR(BF$99="",$A80=""),"",IF(AND(ISNUMBER($G80),$G80&gt;=BF$99,$G80&lt;EDATE(BF$99,1)),"F",IF(AND(ISNUMBER($H80),$H80&gt;=BF$99,$H80&lt;EDATE(BF$99,1)),"D","")))</f>
        <v/>
      </c>
      <c r="BG114" s="71" t="str">
        <f aca="false">IF(OR(BG$99="",$A80=""),"",IF(AND(ISNUMBER($G80),$G80&gt;=BG$99,$G80&lt;EDATE(BG$99,1)),"F",IF(AND(ISNUMBER($H80),$H80&gt;=BG$99,$H80&lt;EDATE(BG$99,1)),"D","")))</f>
        <v/>
      </c>
      <c r="BH114" s="71" t="str">
        <f aca="false">IF(OR(BH$99="",$A80=""),"",IF(AND(ISNUMBER($G80),$G80&gt;=BH$99,$G80&lt;EDATE(BH$99,1)),"F",IF(AND(ISNUMBER($H80),$H80&gt;=BH$99,$H80&lt;EDATE(BH$99,1)),"D","")))</f>
        <v/>
      </c>
      <c r="BI114" s="71" t="str">
        <f aca="false">IF(OR(BI$99="",$A80=""),"",IF(AND(ISNUMBER($G80),$G80&gt;=BI$99,$G80&lt;EDATE(BI$99,1)),"F",IF(AND(ISNUMBER($H80),$H80&gt;=BI$99,$H80&lt;EDATE(BI$99,1)),"D","")))</f>
        <v/>
      </c>
      <c r="BJ114" s="71" t="str">
        <f aca="false">IF(OR(BJ$99="",$A80=""),"",IF(AND(ISNUMBER($G80),$G80&gt;=BJ$99,$G80&lt;EDATE(BJ$99,1)),"F",IF(AND(ISNUMBER($H80),$H80&gt;=BJ$99,$H80&lt;EDATE(BJ$99,1)),"D","")))</f>
        <v/>
      </c>
      <c r="BK114" s="71" t="str">
        <f aca="false">IF(OR(BK$99="",$A80=""),"",IF(AND(ISNUMBER($G80),$G80&gt;=BK$99,$G80&lt;EDATE(BK$99,1)),"F",IF(AND(ISNUMBER($H80),$H80&gt;=BK$99,$H80&lt;EDATE(BK$99,1)),"D","")))</f>
        <v/>
      </c>
      <c r="BL114" s="71" t="str">
        <f aca="false">IF(OR(BL$99="",$A80=""),"",IF(AND(ISNUMBER($G80),$G80&gt;=BL$99,$G80&lt;EDATE(BL$99,1)),"F",IF(AND(ISNUMBER($H80),$H80&gt;=BL$99,$H80&lt;EDATE(BL$99,1)),"D","")))</f>
        <v/>
      </c>
      <c r="BM114" s="71" t="str">
        <f aca="false">IF(OR(BM$99="",$A80=""),"",IF(AND(ISNUMBER($G80),$G80&gt;=BM$99,$G80&lt;EDATE(BM$99,1)),"F",IF(AND(ISNUMBER($H80),$H80&gt;=BM$99,$H80&lt;EDATE(BM$99,1)),"D","")))</f>
        <v/>
      </c>
      <c r="BN114" s="71" t="str">
        <f aca="false">IF(OR(BN$99="",$A80=""),"",IF(AND(ISNUMBER($G80),$G80&gt;=BN$99,$G80&lt;EDATE(BN$99,1)),"F",IF(AND(ISNUMBER($H80),$H80&gt;=BN$99,$H80&lt;EDATE(BN$99,1)),"D","")))</f>
        <v/>
      </c>
      <c r="BO114" s="71" t="str">
        <f aca="false">IF(OR(BO$99="",$A80=""),"",IF(AND(ISNUMBER($G80),$G80&gt;=BO$99,$G80&lt;EDATE(BO$99,1)),"F",IF(AND(ISNUMBER($H80),$H80&gt;=BO$99,$H80&lt;EDATE(BO$99,1)),"D","")))</f>
        <v/>
      </c>
      <c r="BP114" s="71" t="str">
        <f aca="false">IF(OR(BP$99="",$A80=""),"",IF(AND(ISNUMBER($G80),$G80&gt;=BP$99,$G80&lt;EDATE(BP$99,1)),"F",IF(AND(ISNUMBER($H80),$H80&gt;=BP$99,$H80&lt;EDATE(BP$99,1)),"D","")))</f>
        <v/>
      </c>
      <c r="BQ114" s="71" t="str">
        <f aca="false">IF(OR(BQ$99="",$A80=""),"",IF(AND(ISNUMBER($G80),$G80&gt;=BQ$99,$G80&lt;EDATE(BQ$99,1)),"F",IF(AND(ISNUMBER($H80),$H80&gt;=BQ$99,$H80&lt;EDATE(BQ$99,1)),"D","")))</f>
        <v/>
      </c>
      <c r="BR114" s="71" t="str">
        <f aca="false">IF(OR(BR$99="",$A80=""),"",IF(AND(ISNUMBER($G80),$G80&gt;=BR$99,$G80&lt;EDATE(BR$99,1)),"F",IF(AND(ISNUMBER($H80),$H80&gt;=BR$99,$H80&lt;EDATE(BR$99,1)),"D","")))</f>
        <v/>
      </c>
      <c r="BS114" s="71" t="str">
        <f aca="false">IF(OR(BS$99="",$A80=""),"",IF(AND(ISNUMBER($G80),$G80&gt;=BS$99,$G80&lt;EDATE(BS$99,1)),"F",IF(AND(ISNUMBER($H80),$H80&gt;=BS$99,$H80&lt;EDATE(BS$99,1)),"D","")))</f>
        <v/>
      </c>
      <c r="BT114" s="71" t="str">
        <f aca="false">IF(OR(BT$99="",$A80=""),"",IF(AND(ISNUMBER($G80),$G80&gt;=BT$99,$G80&lt;EDATE(BT$99,1)),"F",IF(AND(ISNUMBER($H80),$H80&gt;=BT$99,$H80&lt;EDATE(BT$99,1)),"D","")))</f>
        <v/>
      </c>
      <c r="BU114" s="71" t="str">
        <f aca="false">IF(OR(BU$99="",$A80=""),"",IF(AND(ISNUMBER($G80),$G80&gt;=BU$99,$G80&lt;EDATE(BU$99,1)),"F",IF(AND(ISNUMBER($H80),$H80&gt;=BU$99,$H80&lt;EDATE(BU$99,1)),"D","")))</f>
        <v/>
      </c>
      <c r="BV114" s="71" t="str">
        <f aca="false">IF(OR(BV$99="",$A80=""),"",IF(AND(ISNUMBER($G80),$G80&gt;=BV$99,$G80&lt;EDATE(BV$99,1)),"F",IF(AND(ISNUMBER($H80),$H80&gt;=BV$99,$H80&lt;EDATE(BV$99,1)),"D","")))</f>
        <v/>
      </c>
      <c r="BW114" s="71" t="str">
        <f aca="false">IF(OR(BW$99="",$A80=""),"",IF(AND(ISNUMBER($G80),$G80&gt;=BW$99,$G80&lt;EDATE(BW$99,1)),"F",IF(AND(ISNUMBER($H80),$H80&gt;=BW$99,$H80&lt;EDATE(BW$99,1)),"D","")))</f>
        <v/>
      </c>
      <c r="BX114" s="71" t="str">
        <f aca="false">IF(OR(BX$99="",$A80=""),"",IF(AND(ISNUMBER($G80),$G80&gt;=BX$99,$G80&lt;EDATE(BX$99,1)),"F",IF(AND(ISNUMBER($H80),$H80&gt;=BX$99,$H80&lt;EDATE(BX$99,1)),"D","")))</f>
        <v/>
      </c>
      <c r="BY114" s="71" t="str">
        <f aca="false">IF(OR(BY$99="",$A80=""),"",IF(AND(ISNUMBER($G80),$G80&gt;=BY$99,$G80&lt;EDATE(BY$99,1)),"F",IF(AND(ISNUMBER($H80),$H80&gt;=BY$99,$H80&lt;EDATE(BY$99,1)),"D","")))</f>
        <v/>
      </c>
      <c r="BZ114" s="71" t="str">
        <f aca="false">IF(OR(BZ$99="",$A80=""),"",IF(AND(ISNUMBER($G80),$G80&gt;=BZ$99,$G80&lt;EDATE(BZ$99,1)),"F",IF(AND(ISNUMBER($H80),$H80&gt;=BZ$99,$H80&lt;EDATE(BZ$99,1)),"D","")))</f>
        <v/>
      </c>
      <c r="CA114" s="71" t="str">
        <f aca="false">IF(OR(CA$99="",$A80=""),"",IF(AND(ISNUMBER($G80),$G80&gt;=CA$99,$G80&lt;EDATE(CA$99,1)),"F",IF(AND(ISNUMBER($H80),$H80&gt;=CA$99,$H80&lt;EDATE(CA$99,1)),"D","")))</f>
        <v/>
      </c>
      <c r="CB114" s="71" t="str">
        <f aca="false">IF(OR(CB$99="",$A80=""),"",IF(AND(ISNUMBER($G80),$G80&gt;=CB$99,$G80&lt;EDATE(CB$99,1)),"F",IF(AND(ISNUMBER($H80),$H80&gt;=CB$99,$H80&lt;EDATE(CB$99,1)),"D","")))</f>
        <v/>
      </c>
      <c r="CC114" s="71" t="str">
        <f aca="false">IF(OR(CC$99="",$A80=""),"",IF(AND(ISNUMBER($G80),$G80&gt;=CC$99,$G80&lt;EDATE(CC$99,1)),"F",IF(AND(ISNUMBER($H80),$H80&gt;=CC$99,$H80&lt;EDATE(CC$99,1)),"D","")))</f>
        <v/>
      </c>
      <c r="CD114" s="71" t="str">
        <f aca="false">IF(OR(CD$99="",$A80=""),"",IF(AND(ISNUMBER($G80),$G80&gt;=CD$99,$G80&lt;EDATE(CD$99,1)),"F",IF(AND(ISNUMBER($H80),$H80&gt;=CD$99,$H80&lt;EDATE(CD$99,1)),"D","")))</f>
        <v/>
      </c>
      <c r="CE114" s="71" t="str">
        <f aca="false">IF(OR(CE$99="",$A80=""),"",IF(AND(ISNUMBER($G80),$G80&gt;=CE$99,$G80&lt;EDATE(CE$99,1)),"F",IF(AND(ISNUMBER($H80),$H80&gt;=CE$99,$H80&lt;EDATE(CE$99,1)),"D","")))</f>
        <v/>
      </c>
      <c r="CF114" s="71" t="str">
        <f aca="false">IF(OR(CF$99="",$A80=""),"",IF(AND(ISNUMBER($G80),$G80&gt;=CF$99,$G80&lt;EDATE(CF$99,1)),"F",IF(AND(ISNUMBER($H80),$H80&gt;=CF$99,$H80&lt;EDATE(CF$99,1)),"D","")))</f>
        <v/>
      </c>
      <c r="CG114" s="71" t="str">
        <f aca="false">IF(OR(CG$99="",$A80=""),"",IF(AND(ISNUMBER($G80),$G80&gt;=CG$99,$G80&lt;EDATE(CG$99,1)),"F",IF(AND(ISNUMBER($H80),$H80&gt;=CG$99,$H80&lt;EDATE(CG$99,1)),"D","")))</f>
        <v/>
      </c>
      <c r="CH114" s="71" t="str">
        <f aca="false">IF(OR(CH$99="",$A80=""),"",IF(AND(ISNUMBER($G80),$G80&gt;=CH$99,$G80&lt;EDATE(CH$99,1)),"F",IF(AND(ISNUMBER($H80),$H80&gt;=CH$99,$H80&lt;EDATE(CH$99,1)),"D","")))</f>
        <v/>
      </c>
      <c r="CI114" s="71" t="str">
        <f aca="false">IF(OR(CI$99="",$A80=""),"",IF(AND(ISNUMBER($G80),$G80&gt;=CI$99,$G80&lt;EDATE(CI$99,1)),"F",IF(AND(ISNUMBER($H80),$H80&gt;=CI$99,$H80&lt;EDATE(CI$99,1)),"D","")))</f>
        <v/>
      </c>
      <c r="CJ114" s="71" t="str">
        <f aca="false">IF(OR(CJ$99="",$A80=""),"",IF(AND(ISNUMBER($G80),$G80&gt;=CJ$99,$G80&lt;EDATE(CJ$99,1)),"F",IF(AND(ISNUMBER($H80),$H80&gt;=CJ$99,$H80&lt;EDATE(CJ$99,1)),"D","")))</f>
        <v/>
      </c>
      <c r="CK114" s="71" t="str">
        <f aca="false">IF(OR(CK$99="",$A80=""),"",IF(AND(ISNUMBER($G80),$G80&gt;=CK$99,$G80&lt;EDATE(CK$99,1)),"F",IF(AND(ISNUMBER($H80),$H80&gt;=CK$99,$H80&lt;EDATE(CK$99,1)),"D","")))</f>
        <v/>
      </c>
    </row>
    <row r="115" customFormat="false" ht="15" hidden="false" customHeight="false" outlineLevel="0" collapsed="false">
      <c r="A115" s="74" t="str">
        <f aca="false">IF($A81="","",$A81)</f>
        <v>A006</v>
      </c>
      <c r="B115" s="74" t="str">
        <f aca="false">IF($A81="","",$B81)</f>
        <v>DI-SAFT-80103 ECP System Safety Report / DI-SAFT-80104 Waiver-Deviation Report</v>
      </c>
      <c r="R115" s="71" t="str">
        <f aca="false">IF(OR(R$99="",$A81=""),"",IF(AND(ISNUMBER($G81),$G81&gt;=R$99,$G81&lt;EDATE(R$99,1)),"F",IF(AND(ISNUMBER($H81),$H81&gt;=R$99,$H81&lt;EDATE(R$99,1)),"D","")))</f>
        <v/>
      </c>
      <c r="S115" s="71" t="str">
        <f aca="false">IF(OR(S$99="",$A81=""),"",IF(AND(ISNUMBER($G81),$G81&gt;=S$99,$G81&lt;EDATE(S$99,1)),"F",IF(AND(ISNUMBER($H81),$H81&gt;=S$99,$H81&lt;EDATE(S$99,1)),"D","")))</f>
        <v/>
      </c>
      <c r="T115" s="71" t="str">
        <f aca="false">IF(OR(T$99="",$A81=""),"",IF(AND(ISNUMBER($G81),$G81&gt;=T$99,$G81&lt;EDATE(T$99,1)),"F",IF(AND(ISNUMBER($H81),$H81&gt;=T$99,$H81&lt;EDATE(T$99,1)),"D","")))</f>
        <v/>
      </c>
      <c r="U115" s="71" t="str">
        <f aca="false">IF(OR(U$99="",$A81=""),"",IF(AND(ISNUMBER($G81),$G81&gt;=U$99,$G81&lt;EDATE(U$99,1)),"F",IF(AND(ISNUMBER($H81),$H81&gt;=U$99,$H81&lt;EDATE(U$99,1)),"D","")))</f>
        <v/>
      </c>
      <c r="V115" s="71" t="str">
        <f aca="false">IF(OR(V$99="",$A81=""),"",IF(AND(ISNUMBER($G81),$G81&gt;=V$99,$G81&lt;EDATE(V$99,1)),"F",IF(AND(ISNUMBER($H81),$H81&gt;=V$99,$H81&lt;EDATE(V$99,1)),"D","")))</f>
        <v/>
      </c>
      <c r="W115" s="71" t="str">
        <f aca="false">IF(OR(W$99="",$A81=""),"",IF(AND(ISNUMBER($G81),$G81&gt;=W$99,$G81&lt;EDATE(W$99,1)),"F",IF(AND(ISNUMBER($H81),$H81&gt;=W$99,$H81&lt;EDATE(W$99,1)),"D","")))</f>
        <v/>
      </c>
      <c r="X115" s="71" t="str">
        <f aca="false">IF(OR(X$99="",$A81=""),"",IF(AND(ISNUMBER($G81),$G81&gt;=X$99,$G81&lt;EDATE(X$99,1)),"F",IF(AND(ISNUMBER($H81),$H81&gt;=X$99,$H81&lt;EDATE(X$99,1)),"D","")))</f>
        <v/>
      </c>
      <c r="Y115" s="71" t="str">
        <f aca="false">IF(OR(Y$99="",$A81=""),"",IF(AND(ISNUMBER($G81),$G81&gt;=Y$99,$G81&lt;EDATE(Y$99,1)),"F",IF(AND(ISNUMBER($H81),$H81&gt;=Y$99,$H81&lt;EDATE(Y$99,1)),"D","")))</f>
        <v/>
      </c>
      <c r="Z115" s="71" t="str">
        <f aca="false">IF(OR(Z$99="",$A81=""),"",IF(AND(ISNUMBER($G81),$G81&gt;=Z$99,$G81&lt;EDATE(Z$99,1)),"F",IF(AND(ISNUMBER($H81),$H81&gt;=Z$99,$H81&lt;EDATE(Z$99,1)),"D","")))</f>
        <v/>
      </c>
      <c r="AA115" s="71" t="str">
        <f aca="false">IF(OR(AA$99="",$A81=""),"",IF(AND(ISNUMBER($G81),$G81&gt;=AA$99,$G81&lt;EDATE(AA$99,1)),"F",IF(AND(ISNUMBER($H81),$H81&gt;=AA$99,$H81&lt;EDATE(AA$99,1)),"D","")))</f>
        <v/>
      </c>
      <c r="AB115" s="71" t="str">
        <f aca="false">IF(OR(AB$99="",$A81=""),"",IF(AND(ISNUMBER($G81),$G81&gt;=AB$99,$G81&lt;EDATE(AB$99,1)),"F",IF(AND(ISNUMBER($H81),$H81&gt;=AB$99,$H81&lt;EDATE(AB$99,1)),"D","")))</f>
        <v/>
      </c>
      <c r="AC115" s="71" t="str">
        <f aca="false">IF(OR(AC$99="",$A81=""),"",IF(AND(ISNUMBER($G81),$G81&gt;=AC$99,$G81&lt;EDATE(AC$99,1)),"F",IF(AND(ISNUMBER($H81),$H81&gt;=AC$99,$H81&lt;EDATE(AC$99,1)),"D","")))</f>
        <v/>
      </c>
      <c r="AD115" s="71" t="str">
        <f aca="false">IF(OR(AD$99="",$A81=""),"",IF(AND(ISNUMBER($G81),$G81&gt;=AD$99,$G81&lt;EDATE(AD$99,1)),"F",IF(AND(ISNUMBER($H81),$H81&gt;=AD$99,$H81&lt;EDATE(AD$99,1)),"D","")))</f>
        <v/>
      </c>
      <c r="AE115" s="71" t="str">
        <f aca="false">IF(OR(AE$99="",$A81=""),"",IF(AND(ISNUMBER($G81),$G81&gt;=AE$99,$G81&lt;EDATE(AE$99,1)),"F",IF(AND(ISNUMBER($H81),$H81&gt;=AE$99,$H81&lt;EDATE(AE$99,1)),"D","")))</f>
        <v/>
      </c>
      <c r="AF115" s="71" t="str">
        <f aca="false">IF(OR(AF$99="",$A81=""),"",IF(AND(ISNUMBER($G81),$G81&gt;=AF$99,$G81&lt;EDATE(AF$99,1)),"F",IF(AND(ISNUMBER($H81),$H81&gt;=AF$99,$H81&lt;EDATE(AF$99,1)),"D","")))</f>
        <v/>
      </c>
      <c r="AG115" s="71" t="str">
        <f aca="false">IF(OR(AG$99="",$A81=""),"",IF(AND(ISNUMBER($G81),$G81&gt;=AG$99,$G81&lt;EDATE(AG$99,1)),"F",IF(AND(ISNUMBER($H81),$H81&gt;=AG$99,$H81&lt;EDATE(AG$99,1)),"D","")))</f>
        <v/>
      </c>
      <c r="AH115" s="71" t="str">
        <f aca="false">IF(OR(AH$99="",$A81=""),"",IF(AND(ISNUMBER($G81),$G81&gt;=AH$99,$G81&lt;EDATE(AH$99,1)),"F",IF(AND(ISNUMBER($H81),$H81&gt;=AH$99,$H81&lt;EDATE(AH$99,1)),"D","")))</f>
        <v/>
      </c>
      <c r="AI115" s="71" t="str">
        <f aca="false">IF(OR(AI$99="",$A81=""),"",IF(AND(ISNUMBER($G81),$G81&gt;=AI$99,$G81&lt;EDATE(AI$99,1)),"F",IF(AND(ISNUMBER($H81),$H81&gt;=AI$99,$H81&lt;EDATE(AI$99,1)),"D","")))</f>
        <v/>
      </c>
      <c r="AJ115" s="71" t="str">
        <f aca="false">IF(OR(AJ$99="",$A81=""),"",IF(AND(ISNUMBER($G81),$G81&gt;=AJ$99,$G81&lt;EDATE(AJ$99,1)),"F",IF(AND(ISNUMBER($H81),$H81&gt;=AJ$99,$H81&lt;EDATE(AJ$99,1)),"D","")))</f>
        <v/>
      </c>
      <c r="AK115" s="71" t="str">
        <f aca="false">IF(OR(AK$99="",$A81=""),"",IF(AND(ISNUMBER($G81),$G81&gt;=AK$99,$G81&lt;EDATE(AK$99,1)),"F",IF(AND(ISNUMBER($H81),$H81&gt;=AK$99,$H81&lt;EDATE(AK$99,1)),"D","")))</f>
        <v/>
      </c>
      <c r="AL115" s="71" t="str">
        <f aca="false">IF(OR(AL$99="",$A81=""),"",IF(AND(ISNUMBER($G81),$G81&gt;=AL$99,$G81&lt;EDATE(AL$99,1)),"F",IF(AND(ISNUMBER($H81),$H81&gt;=AL$99,$H81&lt;EDATE(AL$99,1)),"D","")))</f>
        <v/>
      </c>
      <c r="AM115" s="71" t="str">
        <f aca="false">IF(OR(AM$99="",$A81=""),"",IF(AND(ISNUMBER($G81),$G81&gt;=AM$99,$G81&lt;EDATE(AM$99,1)),"F",IF(AND(ISNUMBER($H81),$H81&gt;=AM$99,$H81&lt;EDATE(AM$99,1)),"D","")))</f>
        <v/>
      </c>
      <c r="AN115" s="71" t="str">
        <f aca="false">IF(OR(AN$99="",$A81=""),"",IF(AND(ISNUMBER($G81),$G81&gt;=AN$99,$G81&lt;EDATE(AN$99,1)),"F",IF(AND(ISNUMBER($H81),$H81&gt;=AN$99,$H81&lt;EDATE(AN$99,1)),"D","")))</f>
        <v/>
      </c>
      <c r="AO115" s="71" t="str">
        <f aca="false">IF(OR(AO$99="",$A81=""),"",IF(AND(ISNUMBER($G81),$G81&gt;=AO$99,$G81&lt;EDATE(AO$99,1)),"F",IF(AND(ISNUMBER($H81),$H81&gt;=AO$99,$H81&lt;EDATE(AO$99,1)),"D","")))</f>
        <v/>
      </c>
      <c r="AP115" s="71" t="str">
        <f aca="false">IF(OR(AP$99="",$A81=""),"",IF(AND(ISNUMBER($G81),$G81&gt;=AP$99,$G81&lt;EDATE(AP$99,1)),"F",IF(AND(ISNUMBER($H81),$H81&gt;=AP$99,$H81&lt;EDATE(AP$99,1)),"D","")))</f>
        <v/>
      </c>
      <c r="AQ115" s="71" t="str">
        <f aca="false">IF(OR(AQ$99="",$A81=""),"",IF(AND(ISNUMBER($G81),$G81&gt;=AQ$99,$G81&lt;EDATE(AQ$99,1)),"F",IF(AND(ISNUMBER($H81),$H81&gt;=AQ$99,$H81&lt;EDATE(AQ$99,1)),"D","")))</f>
        <v/>
      </c>
      <c r="AR115" s="71" t="str">
        <f aca="false">IF(OR(AR$99="",$A81=""),"",IF(AND(ISNUMBER($G81),$G81&gt;=AR$99,$G81&lt;EDATE(AR$99,1)),"F",IF(AND(ISNUMBER($H81),$H81&gt;=AR$99,$H81&lt;EDATE(AR$99,1)),"D","")))</f>
        <v/>
      </c>
      <c r="AS115" s="71" t="str">
        <f aca="false">IF(OR(AS$99="",$A81=""),"",IF(AND(ISNUMBER($G81),$G81&gt;=AS$99,$G81&lt;EDATE(AS$99,1)),"F",IF(AND(ISNUMBER($H81),$H81&gt;=AS$99,$H81&lt;EDATE(AS$99,1)),"D","")))</f>
        <v/>
      </c>
      <c r="AT115" s="71" t="str">
        <f aca="false">IF(OR(AT$99="",$A81=""),"",IF(AND(ISNUMBER($G81),$G81&gt;=AT$99,$G81&lt;EDATE(AT$99,1)),"F",IF(AND(ISNUMBER($H81),$H81&gt;=AT$99,$H81&lt;EDATE(AT$99,1)),"D","")))</f>
        <v/>
      </c>
      <c r="AU115" s="71" t="str">
        <f aca="false">IF(OR(AU$99="",$A81=""),"",IF(AND(ISNUMBER($G81),$G81&gt;=AU$99,$G81&lt;EDATE(AU$99,1)),"F",IF(AND(ISNUMBER($H81),$H81&gt;=AU$99,$H81&lt;EDATE(AU$99,1)),"D","")))</f>
        <v/>
      </c>
      <c r="AV115" s="71" t="str">
        <f aca="false">IF(OR(AV$99="",$A81=""),"",IF(AND(ISNUMBER($G81),$G81&gt;=AV$99,$G81&lt;EDATE(AV$99,1)),"F",IF(AND(ISNUMBER($H81),$H81&gt;=AV$99,$H81&lt;EDATE(AV$99,1)),"D","")))</f>
        <v/>
      </c>
      <c r="AW115" s="71" t="str">
        <f aca="false">IF(OR(AW$99="",$A81=""),"",IF(AND(ISNUMBER($G81),$G81&gt;=AW$99,$G81&lt;EDATE(AW$99,1)),"F",IF(AND(ISNUMBER($H81),$H81&gt;=AW$99,$H81&lt;EDATE(AW$99,1)),"D","")))</f>
        <v/>
      </c>
      <c r="AX115" s="71" t="str">
        <f aca="false">IF(OR(AX$99="",$A81=""),"",IF(AND(ISNUMBER($G81),$G81&gt;=AX$99,$G81&lt;EDATE(AX$99,1)),"F",IF(AND(ISNUMBER($H81),$H81&gt;=AX$99,$H81&lt;EDATE(AX$99,1)),"D","")))</f>
        <v/>
      </c>
      <c r="AY115" s="71" t="str">
        <f aca="false">IF(OR(AY$99="",$A81=""),"",IF(AND(ISNUMBER($G81),$G81&gt;=AY$99,$G81&lt;EDATE(AY$99,1)),"F",IF(AND(ISNUMBER($H81),$H81&gt;=AY$99,$H81&lt;EDATE(AY$99,1)),"D","")))</f>
        <v/>
      </c>
      <c r="AZ115" s="71" t="str">
        <f aca="false">IF(OR(AZ$99="",$A81=""),"",IF(AND(ISNUMBER($G81),$G81&gt;=AZ$99,$G81&lt;EDATE(AZ$99,1)),"F",IF(AND(ISNUMBER($H81),$H81&gt;=AZ$99,$H81&lt;EDATE(AZ$99,1)),"D","")))</f>
        <v/>
      </c>
      <c r="BA115" s="71" t="str">
        <f aca="false">IF(OR(BA$99="",$A81=""),"",IF(AND(ISNUMBER($G81),$G81&gt;=BA$99,$G81&lt;EDATE(BA$99,1)),"F",IF(AND(ISNUMBER($H81),$H81&gt;=BA$99,$H81&lt;EDATE(BA$99,1)),"D","")))</f>
        <v>F</v>
      </c>
      <c r="BB115" s="71" t="str">
        <f aca="false">IF(OR(BB$99="",$A81=""),"",IF(AND(ISNUMBER($G81),$G81&gt;=BB$99,$G81&lt;EDATE(BB$99,1)),"F",IF(AND(ISNUMBER($H81),$H81&gt;=BB$99,$H81&lt;EDATE(BB$99,1)),"D","")))</f>
        <v/>
      </c>
      <c r="BC115" s="71" t="str">
        <f aca="false">IF(OR(BC$99="",$A81=""),"",IF(AND(ISNUMBER($G81),$G81&gt;=BC$99,$G81&lt;EDATE(BC$99,1)),"F",IF(AND(ISNUMBER($H81),$H81&gt;=BC$99,$H81&lt;EDATE(BC$99,1)),"D","")))</f>
        <v/>
      </c>
      <c r="BD115" s="71" t="str">
        <f aca="false">IF(OR(BD$99="",$A81=""),"",IF(AND(ISNUMBER($G81),$G81&gt;=BD$99,$G81&lt;EDATE(BD$99,1)),"F",IF(AND(ISNUMBER($H81),$H81&gt;=BD$99,$H81&lt;EDATE(BD$99,1)),"D","")))</f>
        <v/>
      </c>
      <c r="BE115" s="71" t="str">
        <f aca="false">IF(OR(BE$99="",$A81=""),"",IF(AND(ISNUMBER($G81),$G81&gt;=BE$99,$G81&lt;EDATE(BE$99,1)),"F",IF(AND(ISNUMBER($H81),$H81&gt;=BE$99,$H81&lt;EDATE(BE$99,1)),"D","")))</f>
        <v/>
      </c>
      <c r="BF115" s="71" t="str">
        <f aca="false">IF(OR(BF$99="",$A81=""),"",IF(AND(ISNUMBER($G81),$G81&gt;=BF$99,$G81&lt;EDATE(BF$99,1)),"F",IF(AND(ISNUMBER($H81),$H81&gt;=BF$99,$H81&lt;EDATE(BF$99,1)),"D","")))</f>
        <v/>
      </c>
      <c r="BG115" s="71" t="str">
        <f aca="false">IF(OR(BG$99="",$A81=""),"",IF(AND(ISNUMBER($G81),$G81&gt;=BG$99,$G81&lt;EDATE(BG$99,1)),"F",IF(AND(ISNUMBER($H81),$H81&gt;=BG$99,$H81&lt;EDATE(BG$99,1)),"D","")))</f>
        <v/>
      </c>
      <c r="BH115" s="71" t="str">
        <f aca="false">IF(OR(BH$99="",$A81=""),"",IF(AND(ISNUMBER($G81),$G81&gt;=BH$99,$G81&lt;EDATE(BH$99,1)),"F",IF(AND(ISNUMBER($H81),$H81&gt;=BH$99,$H81&lt;EDATE(BH$99,1)),"D","")))</f>
        <v/>
      </c>
      <c r="BI115" s="71" t="str">
        <f aca="false">IF(OR(BI$99="",$A81=""),"",IF(AND(ISNUMBER($G81),$G81&gt;=BI$99,$G81&lt;EDATE(BI$99,1)),"F",IF(AND(ISNUMBER($H81),$H81&gt;=BI$99,$H81&lt;EDATE(BI$99,1)),"D","")))</f>
        <v/>
      </c>
      <c r="BJ115" s="71" t="str">
        <f aca="false">IF(OR(BJ$99="",$A81=""),"",IF(AND(ISNUMBER($G81),$G81&gt;=BJ$99,$G81&lt;EDATE(BJ$99,1)),"F",IF(AND(ISNUMBER($H81),$H81&gt;=BJ$99,$H81&lt;EDATE(BJ$99,1)),"D","")))</f>
        <v/>
      </c>
      <c r="BK115" s="71" t="str">
        <f aca="false">IF(OR(BK$99="",$A81=""),"",IF(AND(ISNUMBER($G81),$G81&gt;=BK$99,$G81&lt;EDATE(BK$99,1)),"F",IF(AND(ISNUMBER($H81),$H81&gt;=BK$99,$H81&lt;EDATE(BK$99,1)),"D","")))</f>
        <v/>
      </c>
      <c r="BL115" s="71" t="str">
        <f aca="false">IF(OR(BL$99="",$A81=""),"",IF(AND(ISNUMBER($G81),$G81&gt;=BL$99,$G81&lt;EDATE(BL$99,1)),"F",IF(AND(ISNUMBER($H81),$H81&gt;=BL$99,$H81&lt;EDATE(BL$99,1)),"D","")))</f>
        <v/>
      </c>
      <c r="BM115" s="71" t="str">
        <f aca="false">IF(OR(BM$99="",$A81=""),"",IF(AND(ISNUMBER($G81),$G81&gt;=BM$99,$G81&lt;EDATE(BM$99,1)),"F",IF(AND(ISNUMBER($H81),$H81&gt;=BM$99,$H81&lt;EDATE(BM$99,1)),"D","")))</f>
        <v/>
      </c>
      <c r="BN115" s="71" t="str">
        <f aca="false">IF(OR(BN$99="",$A81=""),"",IF(AND(ISNUMBER($G81),$G81&gt;=BN$99,$G81&lt;EDATE(BN$99,1)),"F",IF(AND(ISNUMBER($H81),$H81&gt;=BN$99,$H81&lt;EDATE(BN$99,1)),"D","")))</f>
        <v/>
      </c>
      <c r="BO115" s="71" t="str">
        <f aca="false">IF(OR(BO$99="",$A81=""),"",IF(AND(ISNUMBER($G81),$G81&gt;=BO$99,$G81&lt;EDATE(BO$99,1)),"F",IF(AND(ISNUMBER($H81),$H81&gt;=BO$99,$H81&lt;EDATE(BO$99,1)),"D","")))</f>
        <v/>
      </c>
      <c r="BP115" s="71" t="str">
        <f aca="false">IF(OR(BP$99="",$A81=""),"",IF(AND(ISNUMBER($G81),$G81&gt;=BP$99,$G81&lt;EDATE(BP$99,1)),"F",IF(AND(ISNUMBER($H81),$H81&gt;=BP$99,$H81&lt;EDATE(BP$99,1)),"D","")))</f>
        <v/>
      </c>
      <c r="BQ115" s="71" t="str">
        <f aca="false">IF(OR(BQ$99="",$A81=""),"",IF(AND(ISNUMBER($G81),$G81&gt;=BQ$99,$G81&lt;EDATE(BQ$99,1)),"F",IF(AND(ISNUMBER($H81),$H81&gt;=BQ$99,$H81&lt;EDATE(BQ$99,1)),"D","")))</f>
        <v/>
      </c>
      <c r="BR115" s="71" t="str">
        <f aca="false">IF(OR(BR$99="",$A81=""),"",IF(AND(ISNUMBER($G81),$G81&gt;=BR$99,$G81&lt;EDATE(BR$99,1)),"F",IF(AND(ISNUMBER($H81),$H81&gt;=BR$99,$H81&lt;EDATE(BR$99,1)),"D","")))</f>
        <v/>
      </c>
      <c r="BS115" s="71" t="str">
        <f aca="false">IF(OR(BS$99="",$A81=""),"",IF(AND(ISNUMBER($G81),$G81&gt;=BS$99,$G81&lt;EDATE(BS$99,1)),"F",IF(AND(ISNUMBER($H81),$H81&gt;=BS$99,$H81&lt;EDATE(BS$99,1)),"D","")))</f>
        <v/>
      </c>
      <c r="BT115" s="71" t="str">
        <f aca="false">IF(OR(BT$99="",$A81=""),"",IF(AND(ISNUMBER($G81),$G81&gt;=BT$99,$G81&lt;EDATE(BT$99,1)),"F",IF(AND(ISNUMBER($H81),$H81&gt;=BT$99,$H81&lt;EDATE(BT$99,1)),"D","")))</f>
        <v/>
      </c>
      <c r="BU115" s="71" t="str">
        <f aca="false">IF(OR(BU$99="",$A81=""),"",IF(AND(ISNUMBER($G81),$G81&gt;=BU$99,$G81&lt;EDATE(BU$99,1)),"F",IF(AND(ISNUMBER($H81),$H81&gt;=BU$99,$H81&lt;EDATE(BU$99,1)),"D","")))</f>
        <v/>
      </c>
      <c r="BV115" s="71" t="str">
        <f aca="false">IF(OR(BV$99="",$A81=""),"",IF(AND(ISNUMBER($G81),$G81&gt;=BV$99,$G81&lt;EDATE(BV$99,1)),"F",IF(AND(ISNUMBER($H81),$H81&gt;=BV$99,$H81&lt;EDATE(BV$99,1)),"D","")))</f>
        <v/>
      </c>
      <c r="BW115" s="71" t="str">
        <f aca="false">IF(OR(BW$99="",$A81=""),"",IF(AND(ISNUMBER($G81),$G81&gt;=BW$99,$G81&lt;EDATE(BW$99,1)),"F",IF(AND(ISNUMBER($H81),$H81&gt;=BW$99,$H81&lt;EDATE(BW$99,1)),"D","")))</f>
        <v/>
      </c>
      <c r="BX115" s="71" t="str">
        <f aca="false">IF(OR(BX$99="",$A81=""),"",IF(AND(ISNUMBER($G81),$G81&gt;=BX$99,$G81&lt;EDATE(BX$99,1)),"F",IF(AND(ISNUMBER($H81),$H81&gt;=BX$99,$H81&lt;EDATE(BX$99,1)),"D","")))</f>
        <v/>
      </c>
      <c r="BY115" s="71" t="str">
        <f aca="false">IF(OR(BY$99="",$A81=""),"",IF(AND(ISNUMBER($G81),$G81&gt;=BY$99,$G81&lt;EDATE(BY$99,1)),"F",IF(AND(ISNUMBER($H81),$H81&gt;=BY$99,$H81&lt;EDATE(BY$99,1)),"D","")))</f>
        <v/>
      </c>
      <c r="BZ115" s="71" t="str">
        <f aca="false">IF(OR(BZ$99="",$A81=""),"",IF(AND(ISNUMBER($G81),$G81&gt;=BZ$99,$G81&lt;EDATE(BZ$99,1)),"F",IF(AND(ISNUMBER($H81),$H81&gt;=BZ$99,$H81&lt;EDATE(BZ$99,1)),"D","")))</f>
        <v/>
      </c>
      <c r="CA115" s="71" t="str">
        <f aca="false">IF(OR(CA$99="",$A81=""),"",IF(AND(ISNUMBER($G81),$G81&gt;=CA$99,$G81&lt;EDATE(CA$99,1)),"F",IF(AND(ISNUMBER($H81),$H81&gt;=CA$99,$H81&lt;EDATE(CA$99,1)),"D","")))</f>
        <v/>
      </c>
      <c r="CB115" s="71" t="str">
        <f aca="false">IF(OR(CB$99="",$A81=""),"",IF(AND(ISNUMBER($G81),$G81&gt;=CB$99,$G81&lt;EDATE(CB$99,1)),"F",IF(AND(ISNUMBER($H81),$H81&gt;=CB$99,$H81&lt;EDATE(CB$99,1)),"D","")))</f>
        <v/>
      </c>
      <c r="CC115" s="71" t="str">
        <f aca="false">IF(OR(CC$99="",$A81=""),"",IF(AND(ISNUMBER($G81),$G81&gt;=CC$99,$G81&lt;EDATE(CC$99,1)),"F",IF(AND(ISNUMBER($H81),$H81&gt;=CC$99,$H81&lt;EDATE(CC$99,1)),"D","")))</f>
        <v/>
      </c>
      <c r="CD115" s="71" t="str">
        <f aca="false">IF(OR(CD$99="",$A81=""),"",IF(AND(ISNUMBER($G81),$G81&gt;=CD$99,$G81&lt;EDATE(CD$99,1)),"F",IF(AND(ISNUMBER($H81),$H81&gt;=CD$99,$H81&lt;EDATE(CD$99,1)),"D","")))</f>
        <v/>
      </c>
      <c r="CE115" s="71" t="str">
        <f aca="false">IF(OR(CE$99="",$A81=""),"",IF(AND(ISNUMBER($G81),$G81&gt;=CE$99,$G81&lt;EDATE(CE$99,1)),"F",IF(AND(ISNUMBER($H81),$H81&gt;=CE$99,$H81&lt;EDATE(CE$99,1)),"D","")))</f>
        <v/>
      </c>
      <c r="CF115" s="71" t="str">
        <f aca="false">IF(OR(CF$99="",$A81=""),"",IF(AND(ISNUMBER($G81),$G81&gt;=CF$99,$G81&lt;EDATE(CF$99,1)),"F",IF(AND(ISNUMBER($H81),$H81&gt;=CF$99,$H81&lt;EDATE(CF$99,1)),"D","")))</f>
        <v/>
      </c>
      <c r="CG115" s="71" t="str">
        <f aca="false">IF(OR(CG$99="",$A81=""),"",IF(AND(ISNUMBER($G81),$G81&gt;=CG$99,$G81&lt;EDATE(CG$99,1)),"F",IF(AND(ISNUMBER($H81),$H81&gt;=CG$99,$H81&lt;EDATE(CG$99,1)),"D","")))</f>
        <v/>
      </c>
      <c r="CH115" s="71" t="str">
        <f aca="false">IF(OR(CH$99="",$A81=""),"",IF(AND(ISNUMBER($G81),$G81&gt;=CH$99,$G81&lt;EDATE(CH$99,1)),"F",IF(AND(ISNUMBER($H81),$H81&gt;=CH$99,$H81&lt;EDATE(CH$99,1)),"D","")))</f>
        <v/>
      </c>
      <c r="CI115" s="71" t="str">
        <f aca="false">IF(OR(CI$99="",$A81=""),"",IF(AND(ISNUMBER($G81),$G81&gt;=CI$99,$G81&lt;EDATE(CI$99,1)),"F",IF(AND(ISNUMBER($H81),$H81&gt;=CI$99,$H81&lt;EDATE(CI$99,1)),"D","")))</f>
        <v/>
      </c>
      <c r="CJ115" s="71" t="str">
        <f aca="false">IF(OR(CJ$99="",$A81=""),"",IF(AND(ISNUMBER($G81),$G81&gt;=CJ$99,$G81&lt;EDATE(CJ$99,1)),"F",IF(AND(ISNUMBER($H81),$H81&gt;=CJ$99,$H81&lt;EDATE(CJ$99,1)),"D","")))</f>
        <v/>
      </c>
      <c r="CK115" s="71" t="str">
        <f aca="false">IF(OR(CK$99="",$A81=""),"",IF(AND(ISNUMBER($G81),$G81&gt;=CK$99,$G81&lt;EDATE(CK$99,1)),"F",IF(AND(ISNUMBER($H81),$H81&gt;=CK$99,$H81&lt;EDATE(CK$99,1)),"D","")))</f>
        <v/>
      </c>
    </row>
    <row r="116" customFormat="false" ht="15" hidden="false" customHeight="false" outlineLevel="0" collapsed="false">
      <c r="A116" s="74" t="str">
        <f aca="false">IF($A82="","",$A82)</f>
        <v>A007</v>
      </c>
      <c r="B116" s="74" t="str">
        <f aca="false">IF($A82="","",$B82)</f>
        <v>DI-MISC-80370 Safety Engineering Analysis Report (safety verification results, 401.2.4)</v>
      </c>
      <c r="R116" s="71" t="str">
        <f aca="false">IF(OR(R$99="",$A82=""),"",IF(AND(ISNUMBER($G82),$G82&gt;=R$99,$G82&lt;EDATE(R$99,1)),"F",IF(AND(ISNUMBER($H82),$H82&gt;=R$99,$H82&lt;EDATE(R$99,1)),"D","")))</f>
        <v/>
      </c>
      <c r="S116" s="71" t="str">
        <f aca="false">IF(OR(S$99="",$A82=""),"",IF(AND(ISNUMBER($G82),$G82&gt;=S$99,$G82&lt;EDATE(S$99,1)),"F",IF(AND(ISNUMBER($H82),$H82&gt;=S$99,$H82&lt;EDATE(S$99,1)),"D","")))</f>
        <v/>
      </c>
      <c r="T116" s="71" t="str">
        <f aca="false">IF(OR(T$99="",$A82=""),"",IF(AND(ISNUMBER($G82),$G82&gt;=T$99,$G82&lt;EDATE(T$99,1)),"F",IF(AND(ISNUMBER($H82),$H82&gt;=T$99,$H82&lt;EDATE(T$99,1)),"D","")))</f>
        <v/>
      </c>
      <c r="U116" s="71" t="str">
        <f aca="false">IF(OR(U$99="",$A82=""),"",IF(AND(ISNUMBER($G82),$G82&gt;=U$99,$G82&lt;EDATE(U$99,1)),"F",IF(AND(ISNUMBER($H82),$H82&gt;=U$99,$H82&lt;EDATE(U$99,1)),"D","")))</f>
        <v/>
      </c>
      <c r="V116" s="71" t="str">
        <f aca="false">IF(OR(V$99="",$A82=""),"",IF(AND(ISNUMBER($G82),$G82&gt;=V$99,$G82&lt;EDATE(V$99,1)),"F",IF(AND(ISNUMBER($H82),$H82&gt;=V$99,$H82&lt;EDATE(V$99,1)),"D","")))</f>
        <v/>
      </c>
      <c r="W116" s="71" t="str">
        <f aca="false">IF(OR(W$99="",$A82=""),"",IF(AND(ISNUMBER($G82),$G82&gt;=W$99,$G82&lt;EDATE(W$99,1)),"F",IF(AND(ISNUMBER($H82),$H82&gt;=W$99,$H82&lt;EDATE(W$99,1)),"D","")))</f>
        <v/>
      </c>
      <c r="X116" s="71" t="str">
        <f aca="false">IF(OR(X$99="",$A82=""),"",IF(AND(ISNUMBER($G82),$G82&gt;=X$99,$G82&lt;EDATE(X$99,1)),"F",IF(AND(ISNUMBER($H82),$H82&gt;=X$99,$H82&lt;EDATE(X$99,1)),"D","")))</f>
        <v/>
      </c>
      <c r="Y116" s="71" t="str">
        <f aca="false">IF(OR(Y$99="",$A82=""),"",IF(AND(ISNUMBER($G82),$G82&gt;=Y$99,$G82&lt;EDATE(Y$99,1)),"F",IF(AND(ISNUMBER($H82),$H82&gt;=Y$99,$H82&lt;EDATE(Y$99,1)),"D","")))</f>
        <v/>
      </c>
      <c r="Z116" s="71" t="str">
        <f aca="false">IF(OR(Z$99="",$A82=""),"",IF(AND(ISNUMBER($G82),$G82&gt;=Z$99,$G82&lt;EDATE(Z$99,1)),"F",IF(AND(ISNUMBER($H82),$H82&gt;=Z$99,$H82&lt;EDATE(Z$99,1)),"D","")))</f>
        <v/>
      </c>
      <c r="AA116" s="71" t="str">
        <f aca="false">IF(OR(AA$99="",$A82=""),"",IF(AND(ISNUMBER($G82),$G82&gt;=AA$99,$G82&lt;EDATE(AA$99,1)),"F",IF(AND(ISNUMBER($H82),$H82&gt;=AA$99,$H82&lt;EDATE(AA$99,1)),"D","")))</f>
        <v/>
      </c>
      <c r="AB116" s="71" t="str">
        <f aca="false">IF(OR(AB$99="",$A82=""),"",IF(AND(ISNUMBER($G82),$G82&gt;=AB$99,$G82&lt;EDATE(AB$99,1)),"F",IF(AND(ISNUMBER($H82),$H82&gt;=AB$99,$H82&lt;EDATE(AB$99,1)),"D","")))</f>
        <v/>
      </c>
      <c r="AC116" s="71" t="str">
        <f aca="false">IF(OR(AC$99="",$A82=""),"",IF(AND(ISNUMBER($G82),$G82&gt;=AC$99,$G82&lt;EDATE(AC$99,1)),"F",IF(AND(ISNUMBER($H82),$H82&gt;=AC$99,$H82&lt;EDATE(AC$99,1)),"D","")))</f>
        <v/>
      </c>
      <c r="AD116" s="71" t="str">
        <f aca="false">IF(OR(AD$99="",$A82=""),"",IF(AND(ISNUMBER($G82),$G82&gt;=AD$99,$G82&lt;EDATE(AD$99,1)),"F",IF(AND(ISNUMBER($H82),$H82&gt;=AD$99,$H82&lt;EDATE(AD$99,1)),"D","")))</f>
        <v/>
      </c>
      <c r="AE116" s="71" t="str">
        <f aca="false">IF(OR(AE$99="",$A82=""),"",IF(AND(ISNUMBER($G82),$G82&gt;=AE$99,$G82&lt;EDATE(AE$99,1)),"F",IF(AND(ISNUMBER($H82),$H82&gt;=AE$99,$H82&lt;EDATE(AE$99,1)),"D","")))</f>
        <v/>
      </c>
      <c r="AF116" s="71" t="str">
        <f aca="false">IF(OR(AF$99="",$A82=""),"",IF(AND(ISNUMBER($G82),$G82&gt;=AF$99,$G82&lt;EDATE(AF$99,1)),"F",IF(AND(ISNUMBER($H82),$H82&gt;=AF$99,$H82&lt;EDATE(AF$99,1)),"D","")))</f>
        <v/>
      </c>
      <c r="AG116" s="71" t="str">
        <f aca="false">IF(OR(AG$99="",$A82=""),"",IF(AND(ISNUMBER($G82),$G82&gt;=AG$99,$G82&lt;EDATE(AG$99,1)),"F",IF(AND(ISNUMBER($H82),$H82&gt;=AG$99,$H82&lt;EDATE(AG$99,1)),"D","")))</f>
        <v/>
      </c>
      <c r="AH116" s="71" t="str">
        <f aca="false">IF(OR(AH$99="",$A82=""),"",IF(AND(ISNUMBER($G82),$G82&gt;=AH$99,$G82&lt;EDATE(AH$99,1)),"F",IF(AND(ISNUMBER($H82),$H82&gt;=AH$99,$H82&lt;EDATE(AH$99,1)),"D","")))</f>
        <v/>
      </c>
      <c r="AI116" s="71" t="str">
        <f aca="false">IF(OR(AI$99="",$A82=""),"",IF(AND(ISNUMBER($G82),$G82&gt;=AI$99,$G82&lt;EDATE(AI$99,1)),"F",IF(AND(ISNUMBER($H82),$H82&gt;=AI$99,$H82&lt;EDATE(AI$99,1)),"D","")))</f>
        <v/>
      </c>
      <c r="AJ116" s="71" t="str">
        <f aca="false">IF(OR(AJ$99="",$A82=""),"",IF(AND(ISNUMBER($G82),$G82&gt;=AJ$99,$G82&lt;EDATE(AJ$99,1)),"F",IF(AND(ISNUMBER($H82),$H82&gt;=AJ$99,$H82&lt;EDATE(AJ$99,1)),"D","")))</f>
        <v/>
      </c>
      <c r="AK116" s="71" t="str">
        <f aca="false">IF(OR(AK$99="",$A82=""),"",IF(AND(ISNUMBER($G82),$G82&gt;=AK$99,$G82&lt;EDATE(AK$99,1)),"F",IF(AND(ISNUMBER($H82),$H82&gt;=AK$99,$H82&lt;EDATE(AK$99,1)),"D","")))</f>
        <v/>
      </c>
      <c r="AL116" s="71" t="str">
        <f aca="false">IF(OR(AL$99="",$A82=""),"",IF(AND(ISNUMBER($G82),$G82&gt;=AL$99,$G82&lt;EDATE(AL$99,1)),"F",IF(AND(ISNUMBER($H82),$H82&gt;=AL$99,$H82&lt;EDATE(AL$99,1)),"D","")))</f>
        <v/>
      </c>
      <c r="AM116" s="71" t="str">
        <f aca="false">IF(OR(AM$99="",$A82=""),"",IF(AND(ISNUMBER($G82),$G82&gt;=AM$99,$G82&lt;EDATE(AM$99,1)),"F",IF(AND(ISNUMBER($H82),$H82&gt;=AM$99,$H82&lt;EDATE(AM$99,1)),"D","")))</f>
        <v/>
      </c>
      <c r="AN116" s="71" t="str">
        <f aca="false">IF(OR(AN$99="",$A82=""),"",IF(AND(ISNUMBER($G82),$G82&gt;=AN$99,$G82&lt;EDATE(AN$99,1)),"F",IF(AND(ISNUMBER($H82),$H82&gt;=AN$99,$H82&lt;EDATE(AN$99,1)),"D","")))</f>
        <v/>
      </c>
      <c r="AO116" s="71" t="str">
        <f aca="false">IF(OR(AO$99="",$A82=""),"",IF(AND(ISNUMBER($G82),$G82&gt;=AO$99,$G82&lt;EDATE(AO$99,1)),"F",IF(AND(ISNUMBER($H82),$H82&gt;=AO$99,$H82&lt;EDATE(AO$99,1)),"D","")))</f>
        <v/>
      </c>
      <c r="AP116" s="71" t="str">
        <f aca="false">IF(OR(AP$99="",$A82=""),"",IF(AND(ISNUMBER($G82),$G82&gt;=AP$99,$G82&lt;EDATE(AP$99,1)),"F",IF(AND(ISNUMBER($H82),$H82&gt;=AP$99,$H82&lt;EDATE(AP$99,1)),"D","")))</f>
        <v/>
      </c>
      <c r="AQ116" s="71" t="str">
        <f aca="false">IF(OR(AQ$99="",$A82=""),"",IF(AND(ISNUMBER($G82),$G82&gt;=AQ$99,$G82&lt;EDATE(AQ$99,1)),"F",IF(AND(ISNUMBER($H82),$H82&gt;=AQ$99,$H82&lt;EDATE(AQ$99,1)),"D","")))</f>
        <v/>
      </c>
      <c r="AR116" s="71" t="str">
        <f aca="false">IF(OR(AR$99="",$A82=""),"",IF(AND(ISNUMBER($G82),$G82&gt;=AR$99,$G82&lt;EDATE(AR$99,1)),"F",IF(AND(ISNUMBER($H82),$H82&gt;=AR$99,$H82&lt;EDATE(AR$99,1)),"D","")))</f>
        <v/>
      </c>
      <c r="AS116" s="71" t="str">
        <f aca="false">IF(OR(AS$99="",$A82=""),"",IF(AND(ISNUMBER($G82),$G82&gt;=AS$99,$G82&lt;EDATE(AS$99,1)),"F",IF(AND(ISNUMBER($H82),$H82&gt;=AS$99,$H82&lt;EDATE(AS$99,1)),"D","")))</f>
        <v/>
      </c>
      <c r="AT116" s="71" t="str">
        <f aca="false">IF(OR(AT$99="",$A82=""),"",IF(AND(ISNUMBER($G82),$G82&gt;=AT$99,$G82&lt;EDATE(AT$99,1)),"F",IF(AND(ISNUMBER($H82),$H82&gt;=AT$99,$H82&lt;EDATE(AT$99,1)),"D","")))</f>
        <v/>
      </c>
      <c r="AU116" s="71" t="str">
        <f aca="false">IF(OR(AU$99="",$A82=""),"",IF(AND(ISNUMBER($G82),$G82&gt;=AU$99,$G82&lt;EDATE(AU$99,1)),"F",IF(AND(ISNUMBER($H82),$H82&gt;=AU$99,$H82&lt;EDATE(AU$99,1)),"D","")))</f>
        <v/>
      </c>
      <c r="AV116" s="71" t="str">
        <f aca="false">IF(OR(AV$99="",$A82=""),"",IF(AND(ISNUMBER($G82),$G82&gt;=AV$99,$G82&lt;EDATE(AV$99,1)),"F",IF(AND(ISNUMBER($H82),$H82&gt;=AV$99,$H82&lt;EDATE(AV$99,1)),"D","")))</f>
        <v>D</v>
      </c>
      <c r="AW116" s="71" t="str">
        <f aca="false">IF(OR(AW$99="",$A82=""),"",IF(AND(ISNUMBER($G82),$G82&gt;=AW$99,$G82&lt;EDATE(AW$99,1)),"F",IF(AND(ISNUMBER($H82),$H82&gt;=AW$99,$H82&lt;EDATE(AW$99,1)),"D","")))</f>
        <v>F</v>
      </c>
      <c r="AX116" s="71" t="str">
        <f aca="false">IF(OR(AX$99="",$A82=""),"",IF(AND(ISNUMBER($G82),$G82&gt;=AX$99,$G82&lt;EDATE(AX$99,1)),"F",IF(AND(ISNUMBER($H82),$H82&gt;=AX$99,$H82&lt;EDATE(AX$99,1)),"D","")))</f>
        <v/>
      </c>
      <c r="AY116" s="71" t="str">
        <f aca="false">IF(OR(AY$99="",$A82=""),"",IF(AND(ISNUMBER($G82),$G82&gt;=AY$99,$G82&lt;EDATE(AY$99,1)),"F",IF(AND(ISNUMBER($H82),$H82&gt;=AY$99,$H82&lt;EDATE(AY$99,1)),"D","")))</f>
        <v/>
      </c>
      <c r="AZ116" s="71" t="str">
        <f aca="false">IF(OR(AZ$99="",$A82=""),"",IF(AND(ISNUMBER($G82),$G82&gt;=AZ$99,$G82&lt;EDATE(AZ$99,1)),"F",IF(AND(ISNUMBER($H82),$H82&gt;=AZ$99,$H82&lt;EDATE(AZ$99,1)),"D","")))</f>
        <v/>
      </c>
      <c r="BA116" s="71" t="str">
        <f aca="false">IF(OR(BA$99="",$A82=""),"",IF(AND(ISNUMBER($G82),$G82&gt;=BA$99,$G82&lt;EDATE(BA$99,1)),"F",IF(AND(ISNUMBER($H82),$H82&gt;=BA$99,$H82&lt;EDATE(BA$99,1)),"D","")))</f>
        <v/>
      </c>
      <c r="BB116" s="71" t="str">
        <f aca="false">IF(OR(BB$99="",$A82=""),"",IF(AND(ISNUMBER($G82),$G82&gt;=BB$99,$G82&lt;EDATE(BB$99,1)),"F",IF(AND(ISNUMBER($H82),$H82&gt;=BB$99,$H82&lt;EDATE(BB$99,1)),"D","")))</f>
        <v/>
      </c>
      <c r="BC116" s="71" t="str">
        <f aca="false">IF(OR(BC$99="",$A82=""),"",IF(AND(ISNUMBER($G82),$G82&gt;=BC$99,$G82&lt;EDATE(BC$99,1)),"F",IF(AND(ISNUMBER($H82),$H82&gt;=BC$99,$H82&lt;EDATE(BC$99,1)),"D","")))</f>
        <v/>
      </c>
      <c r="BD116" s="71" t="str">
        <f aca="false">IF(OR(BD$99="",$A82=""),"",IF(AND(ISNUMBER($G82),$G82&gt;=BD$99,$G82&lt;EDATE(BD$99,1)),"F",IF(AND(ISNUMBER($H82),$H82&gt;=BD$99,$H82&lt;EDATE(BD$99,1)),"D","")))</f>
        <v/>
      </c>
      <c r="BE116" s="71" t="str">
        <f aca="false">IF(OR(BE$99="",$A82=""),"",IF(AND(ISNUMBER($G82),$G82&gt;=BE$99,$G82&lt;EDATE(BE$99,1)),"F",IF(AND(ISNUMBER($H82),$H82&gt;=BE$99,$H82&lt;EDATE(BE$99,1)),"D","")))</f>
        <v/>
      </c>
      <c r="BF116" s="71" t="str">
        <f aca="false">IF(OR(BF$99="",$A82=""),"",IF(AND(ISNUMBER($G82),$G82&gt;=BF$99,$G82&lt;EDATE(BF$99,1)),"F",IF(AND(ISNUMBER($H82),$H82&gt;=BF$99,$H82&lt;EDATE(BF$99,1)),"D","")))</f>
        <v/>
      </c>
      <c r="BG116" s="71" t="str">
        <f aca="false">IF(OR(BG$99="",$A82=""),"",IF(AND(ISNUMBER($G82),$G82&gt;=BG$99,$G82&lt;EDATE(BG$99,1)),"F",IF(AND(ISNUMBER($H82),$H82&gt;=BG$99,$H82&lt;EDATE(BG$99,1)),"D","")))</f>
        <v/>
      </c>
      <c r="BH116" s="71" t="str">
        <f aca="false">IF(OR(BH$99="",$A82=""),"",IF(AND(ISNUMBER($G82),$G82&gt;=BH$99,$G82&lt;EDATE(BH$99,1)),"F",IF(AND(ISNUMBER($H82),$H82&gt;=BH$99,$H82&lt;EDATE(BH$99,1)),"D","")))</f>
        <v/>
      </c>
      <c r="BI116" s="71" t="str">
        <f aca="false">IF(OR(BI$99="",$A82=""),"",IF(AND(ISNUMBER($G82),$G82&gt;=BI$99,$G82&lt;EDATE(BI$99,1)),"F",IF(AND(ISNUMBER($H82),$H82&gt;=BI$99,$H82&lt;EDATE(BI$99,1)),"D","")))</f>
        <v/>
      </c>
      <c r="BJ116" s="71" t="str">
        <f aca="false">IF(OR(BJ$99="",$A82=""),"",IF(AND(ISNUMBER($G82),$G82&gt;=BJ$99,$G82&lt;EDATE(BJ$99,1)),"F",IF(AND(ISNUMBER($H82),$H82&gt;=BJ$99,$H82&lt;EDATE(BJ$99,1)),"D","")))</f>
        <v/>
      </c>
      <c r="BK116" s="71" t="str">
        <f aca="false">IF(OR(BK$99="",$A82=""),"",IF(AND(ISNUMBER($G82),$G82&gt;=BK$99,$G82&lt;EDATE(BK$99,1)),"F",IF(AND(ISNUMBER($H82),$H82&gt;=BK$99,$H82&lt;EDATE(BK$99,1)),"D","")))</f>
        <v/>
      </c>
      <c r="BL116" s="71" t="str">
        <f aca="false">IF(OR(BL$99="",$A82=""),"",IF(AND(ISNUMBER($G82),$G82&gt;=BL$99,$G82&lt;EDATE(BL$99,1)),"F",IF(AND(ISNUMBER($H82),$H82&gt;=BL$99,$H82&lt;EDATE(BL$99,1)),"D","")))</f>
        <v/>
      </c>
      <c r="BM116" s="71" t="str">
        <f aca="false">IF(OR(BM$99="",$A82=""),"",IF(AND(ISNUMBER($G82),$G82&gt;=BM$99,$G82&lt;EDATE(BM$99,1)),"F",IF(AND(ISNUMBER($H82),$H82&gt;=BM$99,$H82&lt;EDATE(BM$99,1)),"D","")))</f>
        <v/>
      </c>
      <c r="BN116" s="71" t="str">
        <f aca="false">IF(OR(BN$99="",$A82=""),"",IF(AND(ISNUMBER($G82),$G82&gt;=BN$99,$G82&lt;EDATE(BN$99,1)),"F",IF(AND(ISNUMBER($H82),$H82&gt;=BN$99,$H82&lt;EDATE(BN$99,1)),"D","")))</f>
        <v/>
      </c>
      <c r="BO116" s="71" t="str">
        <f aca="false">IF(OR(BO$99="",$A82=""),"",IF(AND(ISNUMBER($G82),$G82&gt;=BO$99,$G82&lt;EDATE(BO$99,1)),"F",IF(AND(ISNUMBER($H82),$H82&gt;=BO$99,$H82&lt;EDATE(BO$99,1)),"D","")))</f>
        <v/>
      </c>
      <c r="BP116" s="71" t="str">
        <f aca="false">IF(OR(BP$99="",$A82=""),"",IF(AND(ISNUMBER($G82),$G82&gt;=BP$99,$G82&lt;EDATE(BP$99,1)),"F",IF(AND(ISNUMBER($H82),$H82&gt;=BP$99,$H82&lt;EDATE(BP$99,1)),"D","")))</f>
        <v/>
      </c>
      <c r="BQ116" s="71" t="str">
        <f aca="false">IF(OR(BQ$99="",$A82=""),"",IF(AND(ISNUMBER($G82),$G82&gt;=BQ$99,$G82&lt;EDATE(BQ$99,1)),"F",IF(AND(ISNUMBER($H82),$H82&gt;=BQ$99,$H82&lt;EDATE(BQ$99,1)),"D","")))</f>
        <v/>
      </c>
      <c r="BR116" s="71" t="str">
        <f aca="false">IF(OR(BR$99="",$A82=""),"",IF(AND(ISNUMBER($G82),$G82&gt;=BR$99,$G82&lt;EDATE(BR$99,1)),"F",IF(AND(ISNUMBER($H82),$H82&gt;=BR$99,$H82&lt;EDATE(BR$99,1)),"D","")))</f>
        <v/>
      </c>
      <c r="BS116" s="71" t="str">
        <f aca="false">IF(OR(BS$99="",$A82=""),"",IF(AND(ISNUMBER($G82),$G82&gt;=BS$99,$G82&lt;EDATE(BS$99,1)),"F",IF(AND(ISNUMBER($H82),$H82&gt;=BS$99,$H82&lt;EDATE(BS$99,1)),"D","")))</f>
        <v/>
      </c>
      <c r="BT116" s="71" t="str">
        <f aca="false">IF(OR(BT$99="",$A82=""),"",IF(AND(ISNUMBER($G82),$G82&gt;=BT$99,$G82&lt;EDATE(BT$99,1)),"F",IF(AND(ISNUMBER($H82),$H82&gt;=BT$99,$H82&lt;EDATE(BT$99,1)),"D","")))</f>
        <v/>
      </c>
      <c r="BU116" s="71" t="str">
        <f aca="false">IF(OR(BU$99="",$A82=""),"",IF(AND(ISNUMBER($G82),$G82&gt;=BU$99,$G82&lt;EDATE(BU$99,1)),"F",IF(AND(ISNUMBER($H82),$H82&gt;=BU$99,$H82&lt;EDATE(BU$99,1)),"D","")))</f>
        <v/>
      </c>
      <c r="BV116" s="71" t="str">
        <f aca="false">IF(OR(BV$99="",$A82=""),"",IF(AND(ISNUMBER($G82),$G82&gt;=BV$99,$G82&lt;EDATE(BV$99,1)),"F",IF(AND(ISNUMBER($H82),$H82&gt;=BV$99,$H82&lt;EDATE(BV$99,1)),"D","")))</f>
        <v/>
      </c>
      <c r="BW116" s="71" t="str">
        <f aca="false">IF(OR(BW$99="",$A82=""),"",IF(AND(ISNUMBER($G82),$G82&gt;=BW$99,$G82&lt;EDATE(BW$99,1)),"F",IF(AND(ISNUMBER($H82),$H82&gt;=BW$99,$H82&lt;EDATE(BW$99,1)),"D","")))</f>
        <v/>
      </c>
      <c r="BX116" s="71" t="str">
        <f aca="false">IF(OR(BX$99="",$A82=""),"",IF(AND(ISNUMBER($G82),$G82&gt;=BX$99,$G82&lt;EDATE(BX$99,1)),"F",IF(AND(ISNUMBER($H82),$H82&gt;=BX$99,$H82&lt;EDATE(BX$99,1)),"D","")))</f>
        <v/>
      </c>
      <c r="BY116" s="71" t="str">
        <f aca="false">IF(OR(BY$99="",$A82=""),"",IF(AND(ISNUMBER($G82),$G82&gt;=BY$99,$G82&lt;EDATE(BY$99,1)),"F",IF(AND(ISNUMBER($H82),$H82&gt;=BY$99,$H82&lt;EDATE(BY$99,1)),"D","")))</f>
        <v/>
      </c>
      <c r="BZ116" s="71" t="str">
        <f aca="false">IF(OR(BZ$99="",$A82=""),"",IF(AND(ISNUMBER($G82),$G82&gt;=BZ$99,$G82&lt;EDATE(BZ$99,1)),"F",IF(AND(ISNUMBER($H82),$H82&gt;=BZ$99,$H82&lt;EDATE(BZ$99,1)),"D","")))</f>
        <v/>
      </c>
      <c r="CA116" s="71" t="str">
        <f aca="false">IF(OR(CA$99="",$A82=""),"",IF(AND(ISNUMBER($G82),$G82&gt;=CA$99,$G82&lt;EDATE(CA$99,1)),"F",IF(AND(ISNUMBER($H82),$H82&gt;=CA$99,$H82&lt;EDATE(CA$99,1)),"D","")))</f>
        <v/>
      </c>
      <c r="CB116" s="71" t="str">
        <f aca="false">IF(OR(CB$99="",$A82=""),"",IF(AND(ISNUMBER($G82),$G82&gt;=CB$99,$G82&lt;EDATE(CB$99,1)),"F",IF(AND(ISNUMBER($H82),$H82&gt;=CB$99,$H82&lt;EDATE(CB$99,1)),"D","")))</f>
        <v/>
      </c>
      <c r="CC116" s="71" t="str">
        <f aca="false">IF(OR(CC$99="",$A82=""),"",IF(AND(ISNUMBER($G82),$G82&gt;=CC$99,$G82&lt;EDATE(CC$99,1)),"F",IF(AND(ISNUMBER($H82),$H82&gt;=CC$99,$H82&lt;EDATE(CC$99,1)),"D","")))</f>
        <v/>
      </c>
      <c r="CD116" s="71" t="str">
        <f aca="false">IF(OR(CD$99="",$A82=""),"",IF(AND(ISNUMBER($G82),$G82&gt;=CD$99,$G82&lt;EDATE(CD$99,1)),"F",IF(AND(ISNUMBER($H82),$H82&gt;=CD$99,$H82&lt;EDATE(CD$99,1)),"D","")))</f>
        <v/>
      </c>
      <c r="CE116" s="71" t="str">
        <f aca="false">IF(OR(CE$99="",$A82=""),"",IF(AND(ISNUMBER($G82),$G82&gt;=CE$99,$G82&lt;EDATE(CE$99,1)),"F",IF(AND(ISNUMBER($H82),$H82&gt;=CE$99,$H82&lt;EDATE(CE$99,1)),"D","")))</f>
        <v/>
      </c>
      <c r="CF116" s="71" t="str">
        <f aca="false">IF(OR(CF$99="",$A82=""),"",IF(AND(ISNUMBER($G82),$G82&gt;=CF$99,$G82&lt;EDATE(CF$99,1)),"F",IF(AND(ISNUMBER($H82),$H82&gt;=CF$99,$H82&lt;EDATE(CF$99,1)),"D","")))</f>
        <v/>
      </c>
      <c r="CG116" s="71" t="str">
        <f aca="false">IF(OR(CG$99="",$A82=""),"",IF(AND(ISNUMBER($G82),$G82&gt;=CG$99,$G82&lt;EDATE(CG$99,1)),"F",IF(AND(ISNUMBER($H82),$H82&gt;=CG$99,$H82&lt;EDATE(CG$99,1)),"D","")))</f>
        <v/>
      </c>
      <c r="CH116" s="71" t="str">
        <f aca="false">IF(OR(CH$99="",$A82=""),"",IF(AND(ISNUMBER($G82),$G82&gt;=CH$99,$G82&lt;EDATE(CH$99,1)),"F",IF(AND(ISNUMBER($H82),$H82&gt;=CH$99,$H82&lt;EDATE(CH$99,1)),"D","")))</f>
        <v/>
      </c>
      <c r="CI116" s="71" t="str">
        <f aca="false">IF(OR(CI$99="",$A82=""),"",IF(AND(ISNUMBER($G82),$G82&gt;=CI$99,$G82&lt;EDATE(CI$99,1)),"F",IF(AND(ISNUMBER($H82),$H82&gt;=CI$99,$H82&lt;EDATE(CI$99,1)),"D","")))</f>
        <v/>
      </c>
      <c r="CJ116" s="71" t="str">
        <f aca="false">IF(OR(CJ$99="",$A82=""),"",IF(AND(ISNUMBER($G82),$G82&gt;=CJ$99,$G82&lt;EDATE(CJ$99,1)),"F",IF(AND(ISNUMBER($H82),$H82&gt;=CJ$99,$H82&lt;EDATE(CJ$99,1)),"D","")))</f>
        <v/>
      </c>
      <c r="CK116" s="71" t="str">
        <f aca="false">IF(OR(CK$99="",$A82=""),"",IF(AND(ISNUMBER($G82),$G82&gt;=CK$99,$G82&lt;EDATE(CK$99,1)),"F",IF(AND(ISNUMBER($H82),$H82&gt;=CK$99,$H82&lt;EDATE(CK$99,1)),"D","")))</f>
        <v/>
      </c>
    </row>
    <row r="117" customFormat="false" ht="15" hidden="false" customHeight="false" outlineLevel="0" collapsed="false">
      <c r="A117" s="74" t="str">
        <f aca="false">IF($A83="","",$A83)</f>
        <v>A008</v>
      </c>
      <c r="B117" s="74" t="str">
        <f aca="false">IF($A83="","",$B83)</f>
        <v>DI-MGMT-81398 Hazardous Materials Management Program Report</v>
      </c>
      <c r="R117" s="71" t="str">
        <f aca="false">IF(OR(R$99="",$A83=""),"",IF(AND(ISNUMBER($G83),$G83&gt;=R$99,$G83&lt;EDATE(R$99,1)),"F",IF(AND(ISNUMBER($H83),$H83&gt;=R$99,$H83&lt;EDATE(R$99,1)),"D","")))</f>
        <v/>
      </c>
      <c r="S117" s="71" t="str">
        <f aca="false">IF(OR(S$99="",$A83=""),"",IF(AND(ISNUMBER($G83),$G83&gt;=S$99,$G83&lt;EDATE(S$99,1)),"F",IF(AND(ISNUMBER($H83),$H83&gt;=S$99,$H83&lt;EDATE(S$99,1)),"D","")))</f>
        <v/>
      </c>
      <c r="T117" s="71" t="str">
        <f aca="false">IF(OR(T$99="",$A83=""),"",IF(AND(ISNUMBER($G83),$G83&gt;=T$99,$G83&lt;EDATE(T$99,1)),"F",IF(AND(ISNUMBER($H83),$H83&gt;=T$99,$H83&lt;EDATE(T$99,1)),"D","")))</f>
        <v/>
      </c>
      <c r="U117" s="71" t="str">
        <f aca="false">IF(OR(U$99="",$A83=""),"",IF(AND(ISNUMBER($G83),$G83&gt;=U$99,$G83&lt;EDATE(U$99,1)),"F",IF(AND(ISNUMBER($H83),$H83&gt;=U$99,$H83&lt;EDATE(U$99,1)),"D","")))</f>
        <v/>
      </c>
      <c r="V117" s="71" t="str">
        <f aca="false">IF(OR(V$99="",$A83=""),"",IF(AND(ISNUMBER($G83),$G83&gt;=V$99,$G83&lt;EDATE(V$99,1)),"F",IF(AND(ISNUMBER($H83),$H83&gt;=V$99,$H83&lt;EDATE(V$99,1)),"D","")))</f>
        <v/>
      </c>
      <c r="W117" s="71" t="str">
        <f aca="false">IF(OR(W$99="",$A83=""),"",IF(AND(ISNUMBER($G83),$G83&gt;=W$99,$G83&lt;EDATE(W$99,1)),"F",IF(AND(ISNUMBER($H83),$H83&gt;=W$99,$H83&lt;EDATE(W$99,1)),"D","")))</f>
        <v/>
      </c>
      <c r="X117" s="71" t="str">
        <f aca="false">IF(OR(X$99="",$A83=""),"",IF(AND(ISNUMBER($G83),$G83&gt;=X$99,$G83&lt;EDATE(X$99,1)),"F",IF(AND(ISNUMBER($H83),$H83&gt;=X$99,$H83&lt;EDATE(X$99,1)),"D","")))</f>
        <v/>
      </c>
      <c r="Y117" s="71" t="str">
        <f aca="false">IF(OR(Y$99="",$A83=""),"",IF(AND(ISNUMBER($G83),$G83&gt;=Y$99,$G83&lt;EDATE(Y$99,1)),"F",IF(AND(ISNUMBER($H83),$H83&gt;=Y$99,$H83&lt;EDATE(Y$99,1)),"D","")))</f>
        <v/>
      </c>
      <c r="Z117" s="71" t="str">
        <f aca="false">IF(OR(Z$99="",$A83=""),"",IF(AND(ISNUMBER($G83),$G83&gt;=Z$99,$G83&lt;EDATE(Z$99,1)),"F",IF(AND(ISNUMBER($H83),$H83&gt;=Z$99,$H83&lt;EDATE(Z$99,1)),"D","")))</f>
        <v/>
      </c>
      <c r="AA117" s="71" t="str">
        <f aca="false">IF(OR(AA$99="",$A83=""),"",IF(AND(ISNUMBER($G83),$G83&gt;=AA$99,$G83&lt;EDATE(AA$99,1)),"F",IF(AND(ISNUMBER($H83),$H83&gt;=AA$99,$H83&lt;EDATE(AA$99,1)),"D","")))</f>
        <v>D</v>
      </c>
      <c r="AB117" s="71" t="str">
        <f aca="false">IF(OR(AB$99="",$A83=""),"",IF(AND(ISNUMBER($G83),$G83&gt;=AB$99,$G83&lt;EDATE(AB$99,1)),"F",IF(AND(ISNUMBER($H83),$H83&gt;=AB$99,$H83&lt;EDATE(AB$99,1)),"D","")))</f>
        <v>F</v>
      </c>
      <c r="AC117" s="71" t="str">
        <f aca="false">IF(OR(AC$99="",$A83=""),"",IF(AND(ISNUMBER($G83),$G83&gt;=AC$99,$G83&lt;EDATE(AC$99,1)),"F",IF(AND(ISNUMBER($H83),$H83&gt;=AC$99,$H83&lt;EDATE(AC$99,1)),"D","")))</f>
        <v/>
      </c>
      <c r="AD117" s="71" t="str">
        <f aca="false">IF(OR(AD$99="",$A83=""),"",IF(AND(ISNUMBER($G83),$G83&gt;=AD$99,$G83&lt;EDATE(AD$99,1)),"F",IF(AND(ISNUMBER($H83),$H83&gt;=AD$99,$H83&lt;EDATE(AD$99,1)),"D","")))</f>
        <v/>
      </c>
      <c r="AE117" s="71" t="str">
        <f aca="false">IF(OR(AE$99="",$A83=""),"",IF(AND(ISNUMBER($G83),$G83&gt;=AE$99,$G83&lt;EDATE(AE$99,1)),"F",IF(AND(ISNUMBER($H83),$H83&gt;=AE$99,$H83&lt;EDATE(AE$99,1)),"D","")))</f>
        <v/>
      </c>
      <c r="AF117" s="71" t="str">
        <f aca="false">IF(OR(AF$99="",$A83=""),"",IF(AND(ISNUMBER($G83),$G83&gt;=AF$99,$G83&lt;EDATE(AF$99,1)),"F",IF(AND(ISNUMBER($H83),$H83&gt;=AF$99,$H83&lt;EDATE(AF$99,1)),"D","")))</f>
        <v/>
      </c>
      <c r="AG117" s="71" t="str">
        <f aca="false">IF(OR(AG$99="",$A83=""),"",IF(AND(ISNUMBER($G83),$G83&gt;=AG$99,$G83&lt;EDATE(AG$99,1)),"F",IF(AND(ISNUMBER($H83),$H83&gt;=AG$99,$H83&lt;EDATE(AG$99,1)),"D","")))</f>
        <v/>
      </c>
      <c r="AH117" s="71" t="str">
        <f aca="false">IF(OR(AH$99="",$A83=""),"",IF(AND(ISNUMBER($G83),$G83&gt;=AH$99,$G83&lt;EDATE(AH$99,1)),"F",IF(AND(ISNUMBER($H83),$H83&gt;=AH$99,$H83&lt;EDATE(AH$99,1)),"D","")))</f>
        <v/>
      </c>
      <c r="AI117" s="71" t="str">
        <f aca="false">IF(OR(AI$99="",$A83=""),"",IF(AND(ISNUMBER($G83),$G83&gt;=AI$99,$G83&lt;EDATE(AI$99,1)),"F",IF(AND(ISNUMBER($H83),$H83&gt;=AI$99,$H83&lt;EDATE(AI$99,1)),"D","")))</f>
        <v/>
      </c>
      <c r="AJ117" s="71" t="str">
        <f aca="false">IF(OR(AJ$99="",$A83=""),"",IF(AND(ISNUMBER($G83),$G83&gt;=AJ$99,$G83&lt;EDATE(AJ$99,1)),"F",IF(AND(ISNUMBER($H83),$H83&gt;=AJ$99,$H83&lt;EDATE(AJ$99,1)),"D","")))</f>
        <v/>
      </c>
      <c r="AK117" s="71" t="str">
        <f aca="false">IF(OR(AK$99="",$A83=""),"",IF(AND(ISNUMBER($G83),$G83&gt;=AK$99,$G83&lt;EDATE(AK$99,1)),"F",IF(AND(ISNUMBER($H83),$H83&gt;=AK$99,$H83&lt;EDATE(AK$99,1)),"D","")))</f>
        <v/>
      </c>
      <c r="AL117" s="71" t="str">
        <f aca="false">IF(OR(AL$99="",$A83=""),"",IF(AND(ISNUMBER($G83),$G83&gt;=AL$99,$G83&lt;EDATE(AL$99,1)),"F",IF(AND(ISNUMBER($H83),$H83&gt;=AL$99,$H83&lt;EDATE(AL$99,1)),"D","")))</f>
        <v/>
      </c>
      <c r="AM117" s="71" t="str">
        <f aca="false">IF(OR(AM$99="",$A83=""),"",IF(AND(ISNUMBER($G83),$G83&gt;=AM$99,$G83&lt;EDATE(AM$99,1)),"F",IF(AND(ISNUMBER($H83),$H83&gt;=AM$99,$H83&lt;EDATE(AM$99,1)),"D","")))</f>
        <v/>
      </c>
      <c r="AN117" s="71" t="str">
        <f aca="false">IF(OR(AN$99="",$A83=""),"",IF(AND(ISNUMBER($G83),$G83&gt;=AN$99,$G83&lt;EDATE(AN$99,1)),"F",IF(AND(ISNUMBER($H83),$H83&gt;=AN$99,$H83&lt;EDATE(AN$99,1)),"D","")))</f>
        <v/>
      </c>
      <c r="AO117" s="71" t="str">
        <f aca="false">IF(OR(AO$99="",$A83=""),"",IF(AND(ISNUMBER($G83),$G83&gt;=AO$99,$G83&lt;EDATE(AO$99,1)),"F",IF(AND(ISNUMBER($H83),$H83&gt;=AO$99,$H83&lt;EDATE(AO$99,1)),"D","")))</f>
        <v/>
      </c>
      <c r="AP117" s="71" t="str">
        <f aca="false">IF(OR(AP$99="",$A83=""),"",IF(AND(ISNUMBER($G83),$G83&gt;=AP$99,$G83&lt;EDATE(AP$99,1)),"F",IF(AND(ISNUMBER($H83),$H83&gt;=AP$99,$H83&lt;EDATE(AP$99,1)),"D","")))</f>
        <v/>
      </c>
      <c r="AQ117" s="71" t="str">
        <f aca="false">IF(OR(AQ$99="",$A83=""),"",IF(AND(ISNUMBER($G83),$G83&gt;=AQ$99,$G83&lt;EDATE(AQ$99,1)),"F",IF(AND(ISNUMBER($H83),$H83&gt;=AQ$99,$H83&lt;EDATE(AQ$99,1)),"D","")))</f>
        <v/>
      </c>
      <c r="AR117" s="71" t="str">
        <f aca="false">IF(OR(AR$99="",$A83=""),"",IF(AND(ISNUMBER($G83),$G83&gt;=AR$99,$G83&lt;EDATE(AR$99,1)),"F",IF(AND(ISNUMBER($H83),$H83&gt;=AR$99,$H83&lt;EDATE(AR$99,1)),"D","")))</f>
        <v/>
      </c>
      <c r="AS117" s="71" t="str">
        <f aca="false">IF(OR(AS$99="",$A83=""),"",IF(AND(ISNUMBER($G83),$G83&gt;=AS$99,$G83&lt;EDATE(AS$99,1)),"F",IF(AND(ISNUMBER($H83),$H83&gt;=AS$99,$H83&lt;EDATE(AS$99,1)),"D","")))</f>
        <v/>
      </c>
      <c r="AT117" s="71" t="str">
        <f aca="false">IF(OR(AT$99="",$A83=""),"",IF(AND(ISNUMBER($G83),$G83&gt;=AT$99,$G83&lt;EDATE(AT$99,1)),"F",IF(AND(ISNUMBER($H83),$H83&gt;=AT$99,$H83&lt;EDATE(AT$99,1)),"D","")))</f>
        <v/>
      </c>
      <c r="AU117" s="71" t="str">
        <f aca="false">IF(OR(AU$99="",$A83=""),"",IF(AND(ISNUMBER($G83),$G83&gt;=AU$99,$G83&lt;EDATE(AU$99,1)),"F",IF(AND(ISNUMBER($H83),$H83&gt;=AU$99,$H83&lt;EDATE(AU$99,1)),"D","")))</f>
        <v/>
      </c>
      <c r="AV117" s="71" t="str">
        <f aca="false">IF(OR(AV$99="",$A83=""),"",IF(AND(ISNUMBER($G83),$G83&gt;=AV$99,$G83&lt;EDATE(AV$99,1)),"F",IF(AND(ISNUMBER($H83),$H83&gt;=AV$99,$H83&lt;EDATE(AV$99,1)),"D","")))</f>
        <v/>
      </c>
      <c r="AW117" s="71" t="str">
        <f aca="false">IF(OR(AW$99="",$A83=""),"",IF(AND(ISNUMBER($G83),$G83&gt;=AW$99,$G83&lt;EDATE(AW$99,1)),"F",IF(AND(ISNUMBER($H83),$H83&gt;=AW$99,$H83&lt;EDATE(AW$99,1)),"D","")))</f>
        <v/>
      </c>
      <c r="AX117" s="71" t="str">
        <f aca="false">IF(OR(AX$99="",$A83=""),"",IF(AND(ISNUMBER($G83),$G83&gt;=AX$99,$G83&lt;EDATE(AX$99,1)),"F",IF(AND(ISNUMBER($H83),$H83&gt;=AX$99,$H83&lt;EDATE(AX$99,1)),"D","")))</f>
        <v/>
      </c>
      <c r="AY117" s="71" t="str">
        <f aca="false">IF(OR(AY$99="",$A83=""),"",IF(AND(ISNUMBER($G83),$G83&gt;=AY$99,$G83&lt;EDATE(AY$99,1)),"F",IF(AND(ISNUMBER($H83),$H83&gt;=AY$99,$H83&lt;EDATE(AY$99,1)),"D","")))</f>
        <v/>
      </c>
      <c r="AZ117" s="71" t="str">
        <f aca="false">IF(OR(AZ$99="",$A83=""),"",IF(AND(ISNUMBER($G83),$G83&gt;=AZ$99,$G83&lt;EDATE(AZ$99,1)),"F",IF(AND(ISNUMBER($H83),$H83&gt;=AZ$99,$H83&lt;EDATE(AZ$99,1)),"D","")))</f>
        <v/>
      </c>
      <c r="BA117" s="71" t="str">
        <f aca="false">IF(OR(BA$99="",$A83=""),"",IF(AND(ISNUMBER($G83),$G83&gt;=BA$99,$G83&lt;EDATE(BA$99,1)),"F",IF(AND(ISNUMBER($H83),$H83&gt;=BA$99,$H83&lt;EDATE(BA$99,1)),"D","")))</f>
        <v/>
      </c>
      <c r="BB117" s="71" t="str">
        <f aca="false">IF(OR(BB$99="",$A83=""),"",IF(AND(ISNUMBER($G83),$G83&gt;=BB$99,$G83&lt;EDATE(BB$99,1)),"F",IF(AND(ISNUMBER($H83),$H83&gt;=BB$99,$H83&lt;EDATE(BB$99,1)),"D","")))</f>
        <v/>
      </c>
      <c r="BC117" s="71" t="str">
        <f aca="false">IF(OR(BC$99="",$A83=""),"",IF(AND(ISNUMBER($G83),$G83&gt;=BC$99,$G83&lt;EDATE(BC$99,1)),"F",IF(AND(ISNUMBER($H83),$H83&gt;=BC$99,$H83&lt;EDATE(BC$99,1)),"D","")))</f>
        <v/>
      </c>
      <c r="BD117" s="71" t="str">
        <f aca="false">IF(OR(BD$99="",$A83=""),"",IF(AND(ISNUMBER($G83),$G83&gt;=BD$99,$G83&lt;EDATE(BD$99,1)),"F",IF(AND(ISNUMBER($H83),$H83&gt;=BD$99,$H83&lt;EDATE(BD$99,1)),"D","")))</f>
        <v/>
      </c>
      <c r="BE117" s="71" t="str">
        <f aca="false">IF(OR(BE$99="",$A83=""),"",IF(AND(ISNUMBER($G83),$G83&gt;=BE$99,$G83&lt;EDATE(BE$99,1)),"F",IF(AND(ISNUMBER($H83),$H83&gt;=BE$99,$H83&lt;EDATE(BE$99,1)),"D","")))</f>
        <v/>
      </c>
      <c r="BF117" s="71" t="str">
        <f aca="false">IF(OR(BF$99="",$A83=""),"",IF(AND(ISNUMBER($G83),$G83&gt;=BF$99,$G83&lt;EDATE(BF$99,1)),"F",IF(AND(ISNUMBER($H83),$H83&gt;=BF$99,$H83&lt;EDATE(BF$99,1)),"D","")))</f>
        <v/>
      </c>
      <c r="BG117" s="71" t="str">
        <f aca="false">IF(OR(BG$99="",$A83=""),"",IF(AND(ISNUMBER($G83),$G83&gt;=BG$99,$G83&lt;EDATE(BG$99,1)),"F",IF(AND(ISNUMBER($H83),$H83&gt;=BG$99,$H83&lt;EDATE(BG$99,1)),"D","")))</f>
        <v/>
      </c>
      <c r="BH117" s="71" t="str">
        <f aca="false">IF(OR(BH$99="",$A83=""),"",IF(AND(ISNUMBER($G83),$G83&gt;=BH$99,$G83&lt;EDATE(BH$99,1)),"F",IF(AND(ISNUMBER($H83),$H83&gt;=BH$99,$H83&lt;EDATE(BH$99,1)),"D","")))</f>
        <v/>
      </c>
      <c r="BI117" s="71" t="str">
        <f aca="false">IF(OR(BI$99="",$A83=""),"",IF(AND(ISNUMBER($G83),$G83&gt;=BI$99,$G83&lt;EDATE(BI$99,1)),"F",IF(AND(ISNUMBER($H83),$H83&gt;=BI$99,$H83&lt;EDATE(BI$99,1)),"D","")))</f>
        <v/>
      </c>
      <c r="BJ117" s="71" t="str">
        <f aca="false">IF(OR(BJ$99="",$A83=""),"",IF(AND(ISNUMBER($G83),$G83&gt;=BJ$99,$G83&lt;EDATE(BJ$99,1)),"F",IF(AND(ISNUMBER($H83),$H83&gt;=BJ$99,$H83&lt;EDATE(BJ$99,1)),"D","")))</f>
        <v/>
      </c>
      <c r="BK117" s="71" t="str">
        <f aca="false">IF(OR(BK$99="",$A83=""),"",IF(AND(ISNUMBER($G83),$G83&gt;=BK$99,$G83&lt;EDATE(BK$99,1)),"F",IF(AND(ISNUMBER($H83),$H83&gt;=BK$99,$H83&lt;EDATE(BK$99,1)),"D","")))</f>
        <v/>
      </c>
      <c r="BL117" s="71" t="str">
        <f aca="false">IF(OR(BL$99="",$A83=""),"",IF(AND(ISNUMBER($G83),$G83&gt;=BL$99,$G83&lt;EDATE(BL$99,1)),"F",IF(AND(ISNUMBER($H83),$H83&gt;=BL$99,$H83&lt;EDATE(BL$99,1)),"D","")))</f>
        <v/>
      </c>
      <c r="BM117" s="71" t="str">
        <f aca="false">IF(OR(BM$99="",$A83=""),"",IF(AND(ISNUMBER($G83),$G83&gt;=BM$99,$G83&lt;EDATE(BM$99,1)),"F",IF(AND(ISNUMBER($H83),$H83&gt;=BM$99,$H83&lt;EDATE(BM$99,1)),"D","")))</f>
        <v/>
      </c>
      <c r="BN117" s="71" t="str">
        <f aca="false">IF(OR(BN$99="",$A83=""),"",IF(AND(ISNUMBER($G83),$G83&gt;=BN$99,$G83&lt;EDATE(BN$99,1)),"F",IF(AND(ISNUMBER($H83),$H83&gt;=BN$99,$H83&lt;EDATE(BN$99,1)),"D","")))</f>
        <v/>
      </c>
      <c r="BO117" s="71" t="str">
        <f aca="false">IF(OR(BO$99="",$A83=""),"",IF(AND(ISNUMBER($G83),$G83&gt;=BO$99,$G83&lt;EDATE(BO$99,1)),"F",IF(AND(ISNUMBER($H83),$H83&gt;=BO$99,$H83&lt;EDATE(BO$99,1)),"D","")))</f>
        <v/>
      </c>
      <c r="BP117" s="71" t="str">
        <f aca="false">IF(OR(BP$99="",$A83=""),"",IF(AND(ISNUMBER($G83),$G83&gt;=BP$99,$G83&lt;EDATE(BP$99,1)),"F",IF(AND(ISNUMBER($H83),$H83&gt;=BP$99,$H83&lt;EDATE(BP$99,1)),"D","")))</f>
        <v/>
      </c>
      <c r="BQ117" s="71" t="str">
        <f aca="false">IF(OR(BQ$99="",$A83=""),"",IF(AND(ISNUMBER($G83),$G83&gt;=BQ$99,$G83&lt;EDATE(BQ$99,1)),"F",IF(AND(ISNUMBER($H83),$H83&gt;=BQ$99,$H83&lt;EDATE(BQ$99,1)),"D","")))</f>
        <v/>
      </c>
      <c r="BR117" s="71" t="str">
        <f aca="false">IF(OR(BR$99="",$A83=""),"",IF(AND(ISNUMBER($G83),$G83&gt;=BR$99,$G83&lt;EDATE(BR$99,1)),"F",IF(AND(ISNUMBER($H83),$H83&gt;=BR$99,$H83&lt;EDATE(BR$99,1)),"D","")))</f>
        <v/>
      </c>
      <c r="BS117" s="71" t="str">
        <f aca="false">IF(OR(BS$99="",$A83=""),"",IF(AND(ISNUMBER($G83),$G83&gt;=BS$99,$G83&lt;EDATE(BS$99,1)),"F",IF(AND(ISNUMBER($H83),$H83&gt;=BS$99,$H83&lt;EDATE(BS$99,1)),"D","")))</f>
        <v/>
      </c>
      <c r="BT117" s="71" t="str">
        <f aca="false">IF(OR(BT$99="",$A83=""),"",IF(AND(ISNUMBER($G83),$G83&gt;=BT$99,$G83&lt;EDATE(BT$99,1)),"F",IF(AND(ISNUMBER($H83),$H83&gt;=BT$99,$H83&lt;EDATE(BT$99,1)),"D","")))</f>
        <v/>
      </c>
      <c r="BU117" s="71" t="str">
        <f aca="false">IF(OR(BU$99="",$A83=""),"",IF(AND(ISNUMBER($G83),$G83&gt;=BU$99,$G83&lt;EDATE(BU$99,1)),"F",IF(AND(ISNUMBER($H83),$H83&gt;=BU$99,$H83&lt;EDATE(BU$99,1)),"D","")))</f>
        <v/>
      </c>
      <c r="BV117" s="71" t="str">
        <f aca="false">IF(OR(BV$99="",$A83=""),"",IF(AND(ISNUMBER($G83),$G83&gt;=BV$99,$G83&lt;EDATE(BV$99,1)),"F",IF(AND(ISNUMBER($H83),$H83&gt;=BV$99,$H83&lt;EDATE(BV$99,1)),"D","")))</f>
        <v/>
      </c>
      <c r="BW117" s="71" t="str">
        <f aca="false">IF(OR(BW$99="",$A83=""),"",IF(AND(ISNUMBER($G83),$G83&gt;=BW$99,$G83&lt;EDATE(BW$99,1)),"F",IF(AND(ISNUMBER($H83),$H83&gt;=BW$99,$H83&lt;EDATE(BW$99,1)),"D","")))</f>
        <v/>
      </c>
      <c r="BX117" s="71" t="str">
        <f aca="false">IF(OR(BX$99="",$A83=""),"",IF(AND(ISNUMBER($G83),$G83&gt;=BX$99,$G83&lt;EDATE(BX$99,1)),"F",IF(AND(ISNUMBER($H83),$H83&gt;=BX$99,$H83&lt;EDATE(BX$99,1)),"D","")))</f>
        <v/>
      </c>
      <c r="BY117" s="71" t="str">
        <f aca="false">IF(OR(BY$99="",$A83=""),"",IF(AND(ISNUMBER($G83),$G83&gt;=BY$99,$G83&lt;EDATE(BY$99,1)),"F",IF(AND(ISNUMBER($H83),$H83&gt;=BY$99,$H83&lt;EDATE(BY$99,1)),"D","")))</f>
        <v/>
      </c>
      <c r="BZ117" s="71" t="str">
        <f aca="false">IF(OR(BZ$99="",$A83=""),"",IF(AND(ISNUMBER($G83),$G83&gt;=BZ$99,$G83&lt;EDATE(BZ$99,1)),"F",IF(AND(ISNUMBER($H83),$H83&gt;=BZ$99,$H83&lt;EDATE(BZ$99,1)),"D","")))</f>
        <v/>
      </c>
      <c r="CA117" s="71" t="str">
        <f aca="false">IF(OR(CA$99="",$A83=""),"",IF(AND(ISNUMBER($G83),$G83&gt;=CA$99,$G83&lt;EDATE(CA$99,1)),"F",IF(AND(ISNUMBER($H83),$H83&gt;=CA$99,$H83&lt;EDATE(CA$99,1)),"D","")))</f>
        <v/>
      </c>
      <c r="CB117" s="71" t="str">
        <f aca="false">IF(OR(CB$99="",$A83=""),"",IF(AND(ISNUMBER($G83),$G83&gt;=CB$99,$G83&lt;EDATE(CB$99,1)),"F",IF(AND(ISNUMBER($H83),$H83&gt;=CB$99,$H83&lt;EDATE(CB$99,1)),"D","")))</f>
        <v/>
      </c>
      <c r="CC117" s="71" t="str">
        <f aca="false">IF(OR(CC$99="",$A83=""),"",IF(AND(ISNUMBER($G83),$G83&gt;=CC$99,$G83&lt;EDATE(CC$99,1)),"F",IF(AND(ISNUMBER($H83),$H83&gt;=CC$99,$H83&lt;EDATE(CC$99,1)),"D","")))</f>
        <v/>
      </c>
      <c r="CD117" s="71" t="str">
        <f aca="false">IF(OR(CD$99="",$A83=""),"",IF(AND(ISNUMBER($G83),$G83&gt;=CD$99,$G83&lt;EDATE(CD$99,1)),"F",IF(AND(ISNUMBER($H83),$H83&gt;=CD$99,$H83&lt;EDATE(CD$99,1)),"D","")))</f>
        <v/>
      </c>
      <c r="CE117" s="71" t="str">
        <f aca="false">IF(OR(CE$99="",$A83=""),"",IF(AND(ISNUMBER($G83),$G83&gt;=CE$99,$G83&lt;EDATE(CE$99,1)),"F",IF(AND(ISNUMBER($H83),$H83&gt;=CE$99,$H83&lt;EDATE(CE$99,1)),"D","")))</f>
        <v/>
      </c>
      <c r="CF117" s="71" t="str">
        <f aca="false">IF(OR(CF$99="",$A83=""),"",IF(AND(ISNUMBER($G83),$G83&gt;=CF$99,$G83&lt;EDATE(CF$99,1)),"F",IF(AND(ISNUMBER($H83),$H83&gt;=CF$99,$H83&lt;EDATE(CF$99,1)),"D","")))</f>
        <v/>
      </c>
      <c r="CG117" s="71" t="str">
        <f aca="false">IF(OR(CG$99="",$A83=""),"",IF(AND(ISNUMBER($G83),$G83&gt;=CG$99,$G83&lt;EDATE(CG$99,1)),"F",IF(AND(ISNUMBER($H83),$H83&gt;=CG$99,$H83&lt;EDATE(CG$99,1)),"D","")))</f>
        <v/>
      </c>
      <c r="CH117" s="71" t="str">
        <f aca="false">IF(OR(CH$99="",$A83=""),"",IF(AND(ISNUMBER($G83),$G83&gt;=CH$99,$G83&lt;EDATE(CH$99,1)),"F",IF(AND(ISNUMBER($H83),$H83&gt;=CH$99,$H83&lt;EDATE(CH$99,1)),"D","")))</f>
        <v/>
      </c>
      <c r="CI117" s="71" t="str">
        <f aca="false">IF(OR(CI$99="",$A83=""),"",IF(AND(ISNUMBER($G83),$G83&gt;=CI$99,$G83&lt;EDATE(CI$99,1)),"F",IF(AND(ISNUMBER($H83),$H83&gt;=CI$99,$H83&lt;EDATE(CI$99,1)),"D","")))</f>
        <v/>
      </c>
      <c r="CJ117" s="71" t="str">
        <f aca="false">IF(OR(CJ$99="",$A83=""),"",IF(AND(ISNUMBER($G83),$G83&gt;=CJ$99,$G83&lt;EDATE(CJ$99,1)),"F",IF(AND(ISNUMBER($H83),$H83&gt;=CJ$99,$H83&lt;EDATE(CJ$99,1)),"D","")))</f>
        <v/>
      </c>
      <c r="CK117" s="71" t="str">
        <f aca="false">IF(OR(CK$99="",$A83=""),"",IF(AND(ISNUMBER($G83),$G83&gt;=CK$99,$G83&lt;EDATE(CK$99,1)),"F",IF(AND(ISNUMBER($H83),$H83&gt;=CK$99,$H83&lt;EDATE(CK$99,1)),"D","")))</f>
        <v/>
      </c>
    </row>
    <row r="118" customFormat="false" ht="15" hidden="false" customHeight="false" outlineLevel="0" collapsed="false">
      <c r="A118" s="74" t="str">
        <f aca="false">IF($A84="","",$A84)</f>
        <v>A009</v>
      </c>
      <c r="B118" s="74" t="str">
        <f aca="false">IF($A84="","",$B84)</f>
        <v>DI-SAFT-81299 Explosive Hazard Classification Data</v>
      </c>
      <c r="R118" s="71" t="str">
        <f aca="false">IF(OR(R$99="",$A84=""),"",IF(AND(ISNUMBER($G84),$G84&gt;=R$99,$G84&lt;EDATE(R$99,1)),"F",IF(AND(ISNUMBER($H84),$H84&gt;=R$99,$H84&lt;EDATE(R$99,1)),"D","")))</f>
        <v/>
      </c>
      <c r="S118" s="71" t="str">
        <f aca="false">IF(OR(S$99="",$A84=""),"",IF(AND(ISNUMBER($G84),$G84&gt;=S$99,$G84&lt;EDATE(S$99,1)),"F",IF(AND(ISNUMBER($H84),$H84&gt;=S$99,$H84&lt;EDATE(S$99,1)),"D","")))</f>
        <v/>
      </c>
      <c r="T118" s="71" t="str">
        <f aca="false">IF(OR(T$99="",$A84=""),"",IF(AND(ISNUMBER($G84),$G84&gt;=T$99,$G84&lt;EDATE(T$99,1)),"F",IF(AND(ISNUMBER($H84),$H84&gt;=T$99,$H84&lt;EDATE(T$99,1)),"D","")))</f>
        <v/>
      </c>
      <c r="U118" s="71" t="str">
        <f aca="false">IF(OR(U$99="",$A84=""),"",IF(AND(ISNUMBER($G84),$G84&gt;=U$99,$G84&lt;EDATE(U$99,1)),"F",IF(AND(ISNUMBER($H84),$H84&gt;=U$99,$H84&lt;EDATE(U$99,1)),"D","")))</f>
        <v/>
      </c>
      <c r="V118" s="71" t="str">
        <f aca="false">IF(OR(V$99="",$A84=""),"",IF(AND(ISNUMBER($G84),$G84&gt;=V$99,$G84&lt;EDATE(V$99,1)),"F",IF(AND(ISNUMBER($H84),$H84&gt;=V$99,$H84&lt;EDATE(V$99,1)),"D","")))</f>
        <v/>
      </c>
      <c r="W118" s="71" t="str">
        <f aca="false">IF(OR(W$99="",$A84=""),"",IF(AND(ISNUMBER($G84),$G84&gt;=W$99,$G84&lt;EDATE(W$99,1)),"F",IF(AND(ISNUMBER($H84),$H84&gt;=W$99,$H84&lt;EDATE(W$99,1)),"D","")))</f>
        <v/>
      </c>
      <c r="X118" s="71" t="str">
        <f aca="false">IF(OR(X$99="",$A84=""),"",IF(AND(ISNUMBER($G84),$G84&gt;=X$99,$G84&lt;EDATE(X$99,1)),"F",IF(AND(ISNUMBER($H84),$H84&gt;=X$99,$H84&lt;EDATE(X$99,1)),"D","")))</f>
        <v/>
      </c>
      <c r="Y118" s="71" t="str">
        <f aca="false">IF(OR(Y$99="",$A84=""),"",IF(AND(ISNUMBER($G84),$G84&gt;=Y$99,$G84&lt;EDATE(Y$99,1)),"F",IF(AND(ISNUMBER($H84),$H84&gt;=Y$99,$H84&lt;EDATE(Y$99,1)),"D","")))</f>
        <v/>
      </c>
      <c r="Z118" s="71" t="str">
        <f aca="false">IF(OR(Z$99="",$A84=""),"",IF(AND(ISNUMBER($G84),$G84&gt;=Z$99,$G84&lt;EDATE(Z$99,1)),"F",IF(AND(ISNUMBER($H84),$H84&gt;=Z$99,$H84&lt;EDATE(Z$99,1)),"D","")))</f>
        <v/>
      </c>
      <c r="AA118" s="71" t="str">
        <f aca="false">IF(OR(AA$99="",$A84=""),"",IF(AND(ISNUMBER($G84),$G84&gt;=AA$99,$G84&lt;EDATE(AA$99,1)),"F",IF(AND(ISNUMBER($H84),$H84&gt;=AA$99,$H84&lt;EDATE(AA$99,1)),"D","")))</f>
        <v/>
      </c>
      <c r="AB118" s="71" t="str">
        <f aca="false">IF(OR(AB$99="",$A84=""),"",IF(AND(ISNUMBER($G84),$G84&gt;=AB$99,$G84&lt;EDATE(AB$99,1)),"F",IF(AND(ISNUMBER($H84),$H84&gt;=AB$99,$H84&lt;EDATE(AB$99,1)),"D","")))</f>
        <v/>
      </c>
      <c r="AC118" s="71" t="str">
        <f aca="false">IF(OR(AC$99="",$A84=""),"",IF(AND(ISNUMBER($G84),$G84&gt;=AC$99,$G84&lt;EDATE(AC$99,1)),"F",IF(AND(ISNUMBER($H84),$H84&gt;=AC$99,$H84&lt;EDATE(AC$99,1)),"D","")))</f>
        <v/>
      </c>
      <c r="AD118" s="71" t="str">
        <f aca="false">IF(OR(AD$99="",$A84=""),"",IF(AND(ISNUMBER($G84),$G84&gt;=AD$99,$G84&lt;EDATE(AD$99,1)),"F",IF(AND(ISNUMBER($H84),$H84&gt;=AD$99,$H84&lt;EDATE(AD$99,1)),"D","")))</f>
        <v/>
      </c>
      <c r="AE118" s="71" t="str">
        <f aca="false">IF(OR(AE$99="",$A84=""),"",IF(AND(ISNUMBER($G84),$G84&gt;=AE$99,$G84&lt;EDATE(AE$99,1)),"F",IF(AND(ISNUMBER($H84),$H84&gt;=AE$99,$H84&lt;EDATE(AE$99,1)),"D","")))</f>
        <v/>
      </c>
      <c r="AF118" s="71" t="str">
        <f aca="false">IF(OR(AF$99="",$A84=""),"",IF(AND(ISNUMBER($G84),$G84&gt;=AF$99,$G84&lt;EDATE(AF$99,1)),"F",IF(AND(ISNUMBER($H84),$H84&gt;=AF$99,$H84&lt;EDATE(AF$99,1)),"D","")))</f>
        <v/>
      </c>
      <c r="AG118" s="71" t="str">
        <f aca="false">IF(OR(AG$99="",$A84=""),"",IF(AND(ISNUMBER($G84),$G84&gt;=AG$99,$G84&lt;EDATE(AG$99,1)),"F",IF(AND(ISNUMBER($H84),$H84&gt;=AG$99,$H84&lt;EDATE(AG$99,1)),"D","")))</f>
        <v/>
      </c>
      <c r="AH118" s="71" t="str">
        <f aca="false">IF(OR(AH$99="",$A84=""),"",IF(AND(ISNUMBER($G84),$G84&gt;=AH$99,$G84&lt;EDATE(AH$99,1)),"F",IF(AND(ISNUMBER($H84),$H84&gt;=AH$99,$H84&lt;EDATE(AH$99,1)),"D","")))</f>
        <v/>
      </c>
      <c r="AI118" s="71" t="str">
        <f aca="false">IF(OR(AI$99="",$A84=""),"",IF(AND(ISNUMBER($G84),$G84&gt;=AI$99,$G84&lt;EDATE(AI$99,1)),"F",IF(AND(ISNUMBER($H84),$H84&gt;=AI$99,$H84&lt;EDATE(AI$99,1)),"D","")))</f>
        <v/>
      </c>
      <c r="AJ118" s="71" t="str">
        <f aca="false">IF(OR(AJ$99="",$A84=""),"",IF(AND(ISNUMBER($G84),$G84&gt;=AJ$99,$G84&lt;EDATE(AJ$99,1)),"F",IF(AND(ISNUMBER($H84),$H84&gt;=AJ$99,$H84&lt;EDATE(AJ$99,1)),"D","")))</f>
        <v/>
      </c>
      <c r="AK118" s="71" t="str">
        <f aca="false">IF(OR(AK$99="",$A84=""),"",IF(AND(ISNUMBER($G84),$G84&gt;=AK$99,$G84&lt;EDATE(AK$99,1)),"F",IF(AND(ISNUMBER($H84),$H84&gt;=AK$99,$H84&lt;EDATE(AK$99,1)),"D","")))</f>
        <v/>
      </c>
      <c r="AL118" s="71" t="str">
        <f aca="false">IF(OR(AL$99="",$A84=""),"",IF(AND(ISNUMBER($G84),$G84&gt;=AL$99,$G84&lt;EDATE(AL$99,1)),"F",IF(AND(ISNUMBER($H84),$H84&gt;=AL$99,$H84&lt;EDATE(AL$99,1)),"D","")))</f>
        <v/>
      </c>
      <c r="AM118" s="71" t="str">
        <f aca="false">IF(OR(AM$99="",$A84=""),"",IF(AND(ISNUMBER($G84),$G84&gt;=AM$99,$G84&lt;EDATE(AM$99,1)),"F",IF(AND(ISNUMBER($H84),$H84&gt;=AM$99,$H84&lt;EDATE(AM$99,1)),"D","")))</f>
        <v/>
      </c>
      <c r="AN118" s="71" t="str">
        <f aca="false">IF(OR(AN$99="",$A84=""),"",IF(AND(ISNUMBER($G84),$G84&gt;=AN$99,$G84&lt;EDATE(AN$99,1)),"F",IF(AND(ISNUMBER($H84),$H84&gt;=AN$99,$H84&lt;EDATE(AN$99,1)),"D","")))</f>
        <v/>
      </c>
      <c r="AO118" s="71" t="str">
        <f aca="false">IF(OR(AO$99="",$A84=""),"",IF(AND(ISNUMBER($G84),$G84&gt;=AO$99,$G84&lt;EDATE(AO$99,1)),"F",IF(AND(ISNUMBER($H84),$H84&gt;=AO$99,$H84&lt;EDATE(AO$99,1)),"D","")))</f>
        <v/>
      </c>
      <c r="AP118" s="71" t="str">
        <f aca="false">IF(OR(AP$99="",$A84=""),"",IF(AND(ISNUMBER($G84),$G84&gt;=AP$99,$G84&lt;EDATE(AP$99,1)),"F",IF(AND(ISNUMBER($H84),$H84&gt;=AP$99,$H84&lt;EDATE(AP$99,1)),"D","")))</f>
        <v/>
      </c>
      <c r="AQ118" s="71" t="str">
        <f aca="false">IF(OR(AQ$99="",$A84=""),"",IF(AND(ISNUMBER($G84),$G84&gt;=AQ$99,$G84&lt;EDATE(AQ$99,1)),"F",IF(AND(ISNUMBER($H84),$H84&gt;=AQ$99,$H84&lt;EDATE(AQ$99,1)),"D","")))</f>
        <v/>
      </c>
      <c r="AR118" s="71" t="str">
        <f aca="false">IF(OR(AR$99="",$A84=""),"",IF(AND(ISNUMBER($G84),$G84&gt;=AR$99,$G84&lt;EDATE(AR$99,1)),"F",IF(AND(ISNUMBER($H84),$H84&gt;=AR$99,$H84&lt;EDATE(AR$99,1)),"D","")))</f>
        <v/>
      </c>
      <c r="AS118" s="71" t="str">
        <f aca="false">IF(OR(AS$99="",$A84=""),"",IF(AND(ISNUMBER($G84),$G84&gt;=AS$99,$G84&lt;EDATE(AS$99,1)),"F",IF(AND(ISNUMBER($H84),$H84&gt;=AS$99,$H84&lt;EDATE(AS$99,1)),"D","")))</f>
        <v/>
      </c>
      <c r="AT118" s="71" t="str">
        <f aca="false">IF(OR(AT$99="",$A84=""),"",IF(AND(ISNUMBER($G84),$G84&gt;=AT$99,$G84&lt;EDATE(AT$99,1)),"F",IF(AND(ISNUMBER($H84),$H84&gt;=AT$99,$H84&lt;EDATE(AT$99,1)),"D","")))</f>
        <v/>
      </c>
      <c r="AU118" s="71" t="str">
        <f aca="false">IF(OR(AU$99="",$A84=""),"",IF(AND(ISNUMBER($G84),$G84&gt;=AU$99,$G84&lt;EDATE(AU$99,1)),"F",IF(AND(ISNUMBER($H84),$H84&gt;=AU$99,$H84&lt;EDATE(AU$99,1)),"D","")))</f>
        <v/>
      </c>
      <c r="AV118" s="71" t="str">
        <f aca="false">IF(OR(AV$99="",$A84=""),"",IF(AND(ISNUMBER($G84),$G84&gt;=AV$99,$G84&lt;EDATE(AV$99,1)),"F",IF(AND(ISNUMBER($H84),$H84&gt;=AV$99,$H84&lt;EDATE(AV$99,1)),"D","")))</f>
        <v/>
      </c>
      <c r="AW118" s="71" t="str">
        <f aca="false">IF(OR(AW$99="",$A84=""),"",IF(AND(ISNUMBER($G84),$G84&gt;=AW$99,$G84&lt;EDATE(AW$99,1)),"F",IF(AND(ISNUMBER($H84),$H84&gt;=AW$99,$H84&lt;EDATE(AW$99,1)),"D","")))</f>
        <v/>
      </c>
      <c r="AX118" s="71" t="str">
        <f aca="false">IF(OR(AX$99="",$A84=""),"",IF(AND(ISNUMBER($G84),$G84&gt;=AX$99,$G84&lt;EDATE(AX$99,1)),"F",IF(AND(ISNUMBER($H84),$H84&gt;=AX$99,$H84&lt;EDATE(AX$99,1)),"D","")))</f>
        <v/>
      </c>
      <c r="AY118" s="71" t="str">
        <f aca="false">IF(OR(AY$99="",$A84=""),"",IF(AND(ISNUMBER($G84),$G84&gt;=AY$99,$G84&lt;EDATE(AY$99,1)),"F",IF(AND(ISNUMBER($H84),$H84&gt;=AY$99,$H84&lt;EDATE(AY$99,1)),"D","")))</f>
        <v/>
      </c>
      <c r="AZ118" s="71" t="str">
        <f aca="false">IF(OR(AZ$99="",$A84=""),"",IF(AND(ISNUMBER($G84),$G84&gt;=AZ$99,$G84&lt;EDATE(AZ$99,1)),"F",IF(AND(ISNUMBER($H84),$H84&gt;=AZ$99,$H84&lt;EDATE(AZ$99,1)),"D","")))</f>
        <v/>
      </c>
      <c r="BA118" s="71" t="str">
        <f aca="false">IF(OR(BA$99="",$A84=""),"",IF(AND(ISNUMBER($G84),$G84&gt;=BA$99,$G84&lt;EDATE(BA$99,1)),"F",IF(AND(ISNUMBER($H84),$H84&gt;=BA$99,$H84&lt;EDATE(BA$99,1)),"D","")))</f>
        <v/>
      </c>
      <c r="BB118" s="71" t="str">
        <f aca="false">IF(OR(BB$99="",$A84=""),"",IF(AND(ISNUMBER($G84),$G84&gt;=BB$99,$G84&lt;EDATE(BB$99,1)),"F",IF(AND(ISNUMBER($H84),$H84&gt;=BB$99,$H84&lt;EDATE(BB$99,1)),"D","")))</f>
        <v/>
      </c>
      <c r="BC118" s="71" t="str">
        <f aca="false">IF(OR(BC$99="",$A84=""),"",IF(AND(ISNUMBER($G84),$G84&gt;=BC$99,$G84&lt;EDATE(BC$99,1)),"F",IF(AND(ISNUMBER($H84),$H84&gt;=BC$99,$H84&lt;EDATE(BC$99,1)),"D","")))</f>
        <v/>
      </c>
      <c r="BD118" s="71" t="str">
        <f aca="false">IF(OR(BD$99="",$A84=""),"",IF(AND(ISNUMBER($G84),$G84&gt;=BD$99,$G84&lt;EDATE(BD$99,1)),"F",IF(AND(ISNUMBER($H84),$H84&gt;=BD$99,$H84&lt;EDATE(BD$99,1)),"D","")))</f>
        <v/>
      </c>
      <c r="BE118" s="71" t="str">
        <f aca="false">IF(OR(BE$99="",$A84=""),"",IF(AND(ISNUMBER($G84),$G84&gt;=BE$99,$G84&lt;EDATE(BE$99,1)),"F",IF(AND(ISNUMBER($H84),$H84&gt;=BE$99,$H84&lt;EDATE(BE$99,1)),"D","")))</f>
        <v/>
      </c>
      <c r="BF118" s="71" t="str">
        <f aca="false">IF(OR(BF$99="",$A84=""),"",IF(AND(ISNUMBER($G84),$G84&gt;=BF$99,$G84&lt;EDATE(BF$99,1)),"F",IF(AND(ISNUMBER($H84),$H84&gt;=BF$99,$H84&lt;EDATE(BF$99,1)),"D","")))</f>
        <v/>
      </c>
      <c r="BG118" s="71" t="str">
        <f aca="false">IF(OR(BG$99="",$A84=""),"",IF(AND(ISNUMBER($G84),$G84&gt;=BG$99,$G84&lt;EDATE(BG$99,1)),"F",IF(AND(ISNUMBER($H84),$H84&gt;=BG$99,$H84&lt;EDATE(BG$99,1)),"D","")))</f>
        <v/>
      </c>
      <c r="BH118" s="71" t="str">
        <f aca="false">IF(OR(BH$99="",$A84=""),"",IF(AND(ISNUMBER($G84),$G84&gt;=BH$99,$G84&lt;EDATE(BH$99,1)),"F",IF(AND(ISNUMBER($H84),$H84&gt;=BH$99,$H84&lt;EDATE(BH$99,1)),"D","")))</f>
        <v/>
      </c>
      <c r="BI118" s="71" t="str">
        <f aca="false">IF(OR(BI$99="",$A84=""),"",IF(AND(ISNUMBER($G84),$G84&gt;=BI$99,$G84&lt;EDATE(BI$99,1)),"F",IF(AND(ISNUMBER($H84),$H84&gt;=BI$99,$H84&lt;EDATE(BI$99,1)),"D","")))</f>
        <v/>
      </c>
      <c r="BJ118" s="71" t="str">
        <f aca="false">IF(OR(BJ$99="",$A84=""),"",IF(AND(ISNUMBER($G84),$G84&gt;=BJ$99,$G84&lt;EDATE(BJ$99,1)),"F",IF(AND(ISNUMBER($H84),$H84&gt;=BJ$99,$H84&lt;EDATE(BJ$99,1)),"D","")))</f>
        <v/>
      </c>
      <c r="BK118" s="71" t="str">
        <f aca="false">IF(OR(BK$99="",$A84=""),"",IF(AND(ISNUMBER($G84),$G84&gt;=BK$99,$G84&lt;EDATE(BK$99,1)),"F",IF(AND(ISNUMBER($H84),$H84&gt;=BK$99,$H84&lt;EDATE(BK$99,1)),"D","")))</f>
        <v/>
      </c>
      <c r="BL118" s="71" t="str">
        <f aca="false">IF(OR(BL$99="",$A84=""),"",IF(AND(ISNUMBER($G84),$G84&gt;=BL$99,$G84&lt;EDATE(BL$99,1)),"F",IF(AND(ISNUMBER($H84),$H84&gt;=BL$99,$H84&lt;EDATE(BL$99,1)),"D","")))</f>
        <v/>
      </c>
      <c r="BM118" s="71" t="str">
        <f aca="false">IF(OR(BM$99="",$A84=""),"",IF(AND(ISNUMBER($G84),$G84&gt;=BM$99,$G84&lt;EDATE(BM$99,1)),"F",IF(AND(ISNUMBER($H84),$H84&gt;=BM$99,$H84&lt;EDATE(BM$99,1)),"D","")))</f>
        <v/>
      </c>
      <c r="BN118" s="71" t="str">
        <f aca="false">IF(OR(BN$99="",$A84=""),"",IF(AND(ISNUMBER($G84),$G84&gt;=BN$99,$G84&lt;EDATE(BN$99,1)),"F",IF(AND(ISNUMBER($H84),$H84&gt;=BN$99,$H84&lt;EDATE(BN$99,1)),"D","")))</f>
        <v/>
      </c>
      <c r="BO118" s="71" t="str">
        <f aca="false">IF(OR(BO$99="",$A84=""),"",IF(AND(ISNUMBER($G84),$G84&gt;=BO$99,$G84&lt;EDATE(BO$99,1)),"F",IF(AND(ISNUMBER($H84),$H84&gt;=BO$99,$H84&lt;EDATE(BO$99,1)),"D","")))</f>
        <v/>
      </c>
      <c r="BP118" s="71" t="str">
        <f aca="false">IF(OR(BP$99="",$A84=""),"",IF(AND(ISNUMBER($G84),$G84&gt;=BP$99,$G84&lt;EDATE(BP$99,1)),"F",IF(AND(ISNUMBER($H84),$H84&gt;=BP$99,$H84&lt;EDATE(BP$99,1)),"D","")))</f>
        <v/>
      </c>
      <c r="BQ118" s="71" t="str">
        <f aca="false">IF(OR(BQ$99="",$A84=""),"",IF(AND(ISNUMBER($G84),$G84&gt;=BQ$99,$G84&lt;EDATE(BQ$99,1)),"F",IF(AND(ISNUMBER($H84),$H84&gt;=BQ$99,$H84&lt;EDATE(BQ$99,1)),"D","")))</f>
        <v/>
      </c>
      <c r="BR118" s="71" t="str">
        <f aca="false">IF(OR(BR$99="",$A84=""),"",IF(AND(ISNUMBER($G84),$G84&gt;=BR$99,$G84&lt;EDATE(BR$99,1)),"F",IF(AND(ISNUMBER($H84),$H84&gt;=BR$99,$H84&lt;EDATE(BR$99,1)),"D","")))</f>
        <v/>
      </c>
      <c r="BS118" s="71" t="str">
        <f aca="false">IF(OR(BS$99="",$A84=""),"",IF(AND(ISNUMBER($G84),$G84&gt;=BS$99,$G84&lt;EDATE(BS$99,1)),"F",IF(AND(ISNUMBER($H84),$H84&gt;=BS$99,$H84&lt;EDATE(BS$99,1)),"D","")))</f>
        <v/>
      </c>
      <c r="BT118" s="71" t="str">
        <f aca="false">IF(OR(BT$99="",$A84=""),"",IF(AND(ISNUMBER($G84),$G84&gt;=BT$99,$G84&lt;EDATE(BT$99,1)),"F",IF(AND(ISNUMBER($H84),$H84&gt;=BT$99,$H84&lt;EDATE(BT$99,1)),"D","")))</f>
        <v/>
      </c>
      <c r="BU118" s="71" t="str">
        <f aca="false">IF(OR(BU$99="",$A84=""),"",IF(AND(ISNUMBER($G84),$G84&gt;=BU$99,$G84&lt;EDATE(BU$99,1)),"F",IF(AND(ISNUMBER($H84),$H84&gt;=BU$99,$H84&lt;EDATE(BU$99,1)),"D","")))</f>
        <v/>
      </c>
      <c r="BV118" s="71" t="str">
        <f aca="false">IF(OR(BV$99="",$A84=""),"",IF(AND(ISNUMBER($G84),$G84&gt;=BV$99,$G84&lt;EDATE(BV$99,1)),"F",IF(AND(ISNUMBER($H84),$H84&gt;=BV$99,$H84&lt;EDATE(BV$99,1)),"D","")))</f>
        <v/>
      </c>
      <c r="BW118" s="71" t="str">
        <f aca="false">IF(OR(BW$99="",$A84=""),"",IF(AND(ISNUMBER($G84),$G84&gt;=BW$99,$G84&lt;EDATE(BW$99,1)),"F",IF(AND(ISNUMBER($H84),$H84&gt;=BW$99,$H84&lt;EDATE(BW$99,1)),"D","")))</f>
        <v/>
      </c>
      <c r="BX118" s="71" t="str">
        <f aca="false">IF(OR(BX$99="",$A84=""),"",IF(AND(ISNUMBER($G84),$G84&gt;=BX$99,$G84&lt;EDATE(BX$99,1)),"F",IF(AND(ISNUMBER($H84),$H84&gt;=BX$99,$H84&lt;EDATE(BX$99,1)),"D","")))</f>
        <v/>
      </c>
      <c r="BY118" s="71" t="str">
        <f aca="false">IF(OR(BY$99="",$A84=""),"",IF(AND(ISNUMBER($G84),$G84&gt;=BY$99,$G84&lt;EDATE(BY$99,1)),"F",IF(AND(ISNUMBER($H84),$H84&gt;=BY$99,$H84&lt;EDATE(BY$99,1)),"D","")))</f>
        <v/>
      </c>
      <c r="BZ118" s="71" t="str">
        <f aca="false">IF(OR(BZ$99="",$A84=""),"",IF(AND(ISNUMBER($G84),$G84&gt;=BZ$99,$G84&lt;EDATE(BZ$99,1)),"F",IF(AND(ISNUMBER($H84),$H84&gt;=BZ$99,$H84&lt;EDATE(BZ$99,1)),"D","")))</f>
        <v/>
      </c>
      <c r="CA118" s="71" t="str">
        <f aca="false">IF(OR(CA$99="",$A84=""),"",IF(AND(ISNUMBER($G84),$G84&gt;=CA$99,$G84&lt;EDATE(CA$99,1)),"F",IF(AND(ISNUMBER($H84),$H84&gt;=CA$99,$H84&lt;EDATE(CA$99,1)),"D","")))</f>
        <v/>
      </c>
      <c r="CB118" s="71" t="str">
        <f aca="false">IF(OR(CB$99="",$A84=""),"",IF(AND(ISNUMBER($G84),$G84&gt;=CB$99,$G84&lt;EDATE(CB$99,1)),"F",IF(AND(ISNUMBER($H84),$H84&gt;=CB$99,$H84&lt;EDATE(CB$99,1)),"D","")))</f>
        <v/>
      </c>
      <c r="CC118" s="71" t="str">
        <f aca="false">IF(OR(CC$99="",$A84=""),"",IF(AND(ISNUMBER($G84),$G84&gt;=CC$99,$G84&lt;EDATE(CC$99,1)),"F",IF(AND(ISNUMBER($H84),$H84&gt;=CC$99,$H84&lt;EDATE(CC$99,1)),"D","")))</f>
        <v/>
      </c>
      <c r="CD118" s="71" t="str">
        <f aca="false">IF(OR(CD$99="",$A84=""),"",IF(AND(ISNUMBER($G84),$G84&gt;=CD$99,$G84&lt;EDATE(CD$99,1)),"F",IF(AND(ISNUMBER($H84),$H84&gt;=CD$99,$H84&lt;EDATE(CD$99,1)),"D","")))</f>
        <v/>
      </c>
      <c r="CE118" s="71" t="str">
        <f aca="false">IF(OR(CE$99="",$A84=""),"",IF(AND(ISNUMBER($G84),$G84&gt;=CE$99,$G84&lt;EDATE(CE$99,1)),"F",IF(AND(ISNUMBER($H84),$H84&gt;=CE$99,$H84&lt;EDATE(CE$99,1)),"D","")))</f>
        <v/>
      </c>
      <c r="CF118" s="71" t="str">
        <f aca="false">IF(OR(CF$99="",$A84=""),"",IF(AND(ISNUMBER($G84),$G84&gt;=CF$99,$G84&lt;EDATE(CF$99,1)),"F",IF(AND(ISNUMBER($H84),$H84&gt;=CF$99,$H84&lt;EDATE(CF$99,1)),"D","")))</f>
        <v/>
      </c>
      <c r="CG118" s="71" t="str">
        <f aca="false">IF(OR(CG$99="",$A84=""),"",IF(AND(ISNUMBER($G84),$G84&gt;=CG$99,$G84&lt;EDATE(CG$99,1)),"F",IF(AND(ISNUMBER($H84),$H84&gt;=CG$99,$H84&lt;EDATE(CG$99,1)),"D","")))</f>
        <v/>
      </c>
      <c r="CH118" s="71" t="str">
        <f aca="false">IF(OR(CH$99="",$A84=""),"",IF(AND(ISNUMBER($G84),$G84&gt;=CH$99,$G84&lt;EDATE(CH$99,1)),"F",IF(AND(ISNUMBER($H84),$H84&gt;=CH$99,$H84&lt;EDATE(CH$99,1)),"D","")))</f>
        <v/>
      </c>
      <c r="CI118" s="71" t="str">
        <f aca="false">IF(OR(CI$99="",$A84=""),"",IF(AND(ISNUMBER($G84),$G84&gt;=CI$99,$G84&lt;EDATE(CI$99,1)),"F",IF(AND(ISNUMBER($H84),$H84&gt;=CI$99,$H84&lt;EDATE(CI$99,1)),"D","")))</f>
        <v/>
      </c>
      <c r="CJ118" s="71" t="str">
        <f aca="false">IF(OR(CJ$99="",$A84=""),"",IF(AND(ISNUMBER($G84),$G84&gt;=CJ$99,$G84&lt;EDATE(CJ$99,1)),"F",IF(AND(ISNUMBER($H84),$H84&gt;=CJ$99,$H84&lt;EDATE(CJ$99,1)),"D","")))</f>
        <v/>
      </c>
      <c r="CK118" s="71" t="str">
        <f aca="false">IF(OR(CK$99="",$A84=""),"",IF(AND(ISNUMBER($G84),$G84&gt;=CK$99,$G84&lt;EDATE(CK$99,1)),"F",IF(AND(ISNUMBER($H84),$H84&gt;=CK$99,$H84&lt;EDATE(CK$99,1)),"D","")))</f>
        <v/>
      </c>
    </row>
    <row r="119" customFormat="false" ht="15" hidden="false" customHeight="false" outlineLevel="0" collapsed="false">
      <c r="A119" s="74" t="str">
        <f aca="false">IF($A85="","",$A85)</f>
        <v>A010</v>
      </c>
      <c r="B119" s="74" t="str">
        <f aca="false">IF($A85="","",$B85)</f>
        <v>DI-SAFT-80931 Explosive Ordnance Disposal Data</v>
      </c>
      <c r="R119" s="71" t="str">
        <f aca="false">IF(OR(R$99="",$A85=""),"",IF(AND(ISNUMBER($G85),$G85&gt;=R$99,$G85&lt;EDATE(R$99,1)),"F",IF(AND(ISNUMBER($H85),$H85&gt;=R$99,$H85&lt;EDATE(R$99,1)),"D","")))</f>
        <v/>
      </c>
      <c r="S119" s="71" t="str">
        <f aca="false">IF(OR(S$99="",$A85=""),"",IF(AND(ISNUMBER($G85),$G85&gt;=S$99,$G85&lt;EDATE(S$99,1)),"F",IF(AND(ISNUMBER($H85),$H85&gt;=S$99,$H85&lt;EDATE(S$99,1)),"D","")))</f>
        <v/>
      </c>
      <c r="T119" s="71" t="str">
        <f aca="false">IF(OR(T$99="",$A85=""),"",IF(AND(ISNUMBER($G85),$G85&gt;=T$99,$G85&lt;EDATE(T$99,1)),"F",IF(AND(ISNUMBER($H85),$H85&gt;=T$99,$H85&lt;EDATE(T$99,1)),"D","")))</f>
        <v/>
      </c>
      <c r="U119" s="71" t="str">
        <f aca="false">IF(OR(U$99="",$A85=""),"",IF(AND(ISNUMBER($G85),$G85&gt;=U$99,$G85&lt;EDATE(U$99,1)),"F",IF(AND(ISNUMBER($H85),$H85&gt;=U$99,$H85&lt;EDATE(U$99,1)),"D","")))</f>
        <v/>
      </c>
      <c r="V119" s="71" t="str">
        <f aca="false">IF(OR(V$99="",$A85=""),"",IF(AND(ISNUMBER($G85),$G85&gt;=V$99,$G85&lt;EDATE(V$99,1)),"F",IF(AND(ISNUMBER($H85),$H85&gt;=V$99,$H85&lt;EDATE(V$99,1)),"D","")))</f>
        <v/>
      </c>
      <c r="W119" s="71" t="str">
        <f aca="false">IF(OR(W$99="",$A85=""),"",IF(AND(ISNUMBER($G85),$G85&gt;=W$99,$G85&lt;EDATE(W$99,1)),"F",IF(AND(ISNUMBER($H85),$H85&gt;=W$99,$H85&lt;EDATE(W$99,1)),"D","")))</f>
        <v/>
      </c>
      <c r="X119" s="71" t="str">
        <f aca="false">IF(OR(X$99="",$A85=""),"",IF(AND(ISNUMBER($G85),$G85&gt;=X$99,$G85&lt;EDATE(X$99,1)),"F",IF(AND(ISNUMBER($H85),$H85&gt;=X$99,$H85&lt;EDATE(X$99,1)),"D","")))</f>
        <v/>
      </c>
      <c r="Y119" s="71" t="str">
        <f aca="false">IF(OR(Y$99="",$A85=""),"",IF(AND(ISNUMBER($G85),$G85&gt;=Y$99,$G85&lt;EDATE(Y$99,1)),"F",IF(AND(ISNUMBER($H85),$H85&gt;=Y$99,$H85&lt;EDATE(Y$99,1)),"D","")))</f>
        <v/>
      </c>
      <c r="Z119" s="71" t="str">
        <f aca="false">IF(OR(Z$99="",$A85=""),"",IF(AND(ISNUMBER($G85),$G85&gt;=Z$99,$G85&lt;EDATE(Z$99,1)),"F",IF(AND(ISNUMBER($H85),$H85&gt;=Z$99,$H85&lt;EDATE(Z$99,1)),"D","")))</f>
        <v/>
      </c>
      <c r="AA119" s="71" t="str">
        <f aca="false">IF(OR(AA$99="",$A85=""),"",IF(AND(ISNUMBER($G85),$G85&gt;=AA$99,$G85&lt;EDATE(AA$99,1)),"F",IF(AND(ISNUMBER($H85),$H85&gt;=AA$99,$H85&lt;EDATE(AA$99,1)),"D","")))</f>
        <v/>
      </c>
      <c r="AB119" s="71" t="str">
        <f aca="false">IF(OR(AB$99="",$A85=""),"",IF(AND(ISNUMBER($G85),$G85&gt;=AB$99,$G85&lt;EDATE(AB$99,1)),"F",IF(AND(ISNUMBER($H85),$H85&gt;=AB$99,$H85&lt;EDATE(AB$99,1)),"D","")))</f>
        <v/>
      </c>
      <c r="AC119" s="71" t="str">
        <f aca="false">IF(OR(AC$99="",$A85=""),"",IF(AND(ISNUMBER($G85),$G85&gt;=AC$99,$G85&lt;EDATE(AC$99,1)),"F",IF(AND(ISNUMBER($H85),$H85&gt;=AC$99,$H85&lt;EDATE(AC$99,1)),"D","")))</f>
        <v/>
      </c>
      <c r="AD119" s="71" t="str">
        <f aca="false">IF(OR(AD$99="",$A85=""),"",IF(AND(ISNUMBER($G85),$G85&gt;=AD$99,$G85&lt;EDATE(AD$99,1)),"F",IF(AND(ISNUMBER($H85),$H85&gt;=AD$99,$H85&lt;EDATE(AD$99,1)),"D","")))</f>
        <v/>
      </c>
      <c r="AE119" s="71" t="str">
        <f aca="false">IF(OR(AE$99="",$A85=""),"",IF(AND(ISNUMBER($G85),$G85&gt;=AE$99,$G85&lt;EDATE(AE$99,1)),"F",IF(AND(ISNUMBER($H85),$H85&gt;=AE$99,$H85&lt;EDATE(AE$99,1)),"D","")))</f>
        <v/>
      </c>
      <c r="AF119" s="71" t="str">
        <f aca="false">IF(OR(AF$99="",$A85=""),"",IF(AND(ISNUMBER($G85),$G85&gt;=AF$99,$G85&lt;EDATE(AF$99,1)),"F",IF(AND(ISNUMBER($H85),$H85&gt;=AF$99,$H85&lt;EDATE(AF$99,1)),"D","")))</f>
        <v/>
      </c>
      <c r="AG119" s="71" t="str">
        <f aca="false">IF(OR(AG$99="",$A85=""),"",IF(AND(ISNUMBER($G85),$G85&gt;=AG$99,$G85&lt;EDATE(AG$99,1)),"F",IF(AND(ISNUMBER($H85),$H85&gt;=AG$99,$H85&lt;EDATE(AG$99,1)),"D","")))</f>
        <v/>
      </c>
      <c r="AH119" s="71" t="str">
        <f aca="false">IF(OR(AH$99="",$A85=""),"",IF(AND(ISNUMBER($G85),$G85&gt;=AH$99,$G85&lt;EDATE(AH$99,1)),"F",IF(AND(ISNUMBER($H85),$H85&gt;=AH$99,$H85&lt;EDATE(AH$99,1)),"D","")))</f>
        <v/>
      </c>
      <c r="AI119" s="71" t="str">
        <f aca="false">IF(OR(AI$99="",$A85=""),"",IF(AND(ISNUMBER($G85),$G85&gt;=AI$99,$G85&lt;EDATE(AI$99,1)),"F",IF(AND(ISNUMBER($H85),$H85&gt;=AI$99,$H85&lt;EDATE(AI$99,1)),"D","")))</f>
        <v/>
      </c>
      <c r="AJ119" s="71" t="str">
        <f aca="false">IF(OR(AJ$99="",$A85=""),"",IF(AND(ISNUMBER($G85),$G85&gt;=AJ$99,$G85&lt;EDATE(AJ$99,1)),"F",IF(AND(ISNUMBER($H85),$H85&gt;=AJ$99,$H85&lt;EDATE(AJ$99,1)),"D","")))</f>
        <v/>
      </c>
      <c r="AK119" s="71" t="str">
        <f aca="false">IF(OR(AK$99="",$A85=""),"",IF(AND(ISNUMBER($G85),$G85&gt;=AK$99,$G85&lt;EDATE(AK$99,1)),"F",IF(AND(ISNUMBER($H85),$H85&gt;=AK$99,$H85&lt;EDATE(AK$99,1)),"D","")))</f>
        <v/>
      </c>
      <c r="AL119" s="71" t="str">
        <f aca="false">IF(OR(AL$99="",$A85=""),"",IF(AND(ISNUMBER($G85),$G85&gt;=AL$99,$G85&lt;EDATE(AL$99,1)),"F",IF(AND(ISNUMBER($H85),$H85&gt;=AL$99,$H85&lt;EDATE(AL$99,1)),"D","")))</f>
        <v/>
      </c>
      <c r="AM119" s="71" t="str">
        <f aca="false">IF(OR(AM$99="",$A85=""),"",IF(AND(ISNUMBER($G85),$G85&gt;=AM$99,$G85&lt;EDATE(AM$99,1)),"F",IF(AND(ISNUMBER($H85),$H85&gt;=AM$99,$H85&lt;EDATE(AM$99,1)),"D","")))</f>
        <v/>
      </c>
      <c r="AN119" s="71" t="str">
        <f aca="false">IF(OR(AN$99="",$A85=""),"",IF(AND(ISNUMBER($G85),$G85&gt;=AN$99,$G85&lt;EDATE(AN$99,1)),"F",IF(AND(ISNUMBER($H85),$H85&gt;=AN$99,$H85&lt;EDATE(AN$99,1)),"D","")))</f>
        <v/>
      </c>
      <c r="AO119" s="71" t="str">
        <f aca="false">IF(OR(AO$99="",$A85=""),"",IF(AND(ISNUMBER($G85),$G85&gt;=AO$99,$G85&lt;EDATE(AO$99,1)),"F",IF(AND(ISNUMBER($H85),$H85&gt;=AO$99,$H85&lt;EDATE(AO$99,1)),"D","")))</f>
        <v/>
      </c>
      <c r="AP119" s="71" t="str">
        <f aca="false">IF(OR(AP$99="",$A85=""),"",IF(AND(ISNUMBER($G85),$G85&gt;=AP$99,$G85&lt;EDATE(AP$99,1)),"F",IF(AND(ISNUMBER($H85),$H85&gt;=AP$99,$H85&lt;EDATE(AP$99,1)),"D","")))</f>
        <v/>
      </c>
      <c r="AQ119" s="71" t="str">
        <f aca="false">IF(OR(AQ$99="",$A85=""),"",IF(AND(ISNUMBER($G85),$G85&gt;=AQ$99,$G85&lt;EDATE(AQ$99,1)),"F",IF(AND(ISNUMBER($H85),$H85&gt;=AQ$99,$H85&lt;EDATE(AQ$99,1)),"D","")))</f>
        <v/>
      </c>
      <c r="AR119" s="71" t="str">
        <f aca="false">IF(OR(AR$99="",$A85=""),"",IF(AND(ISNUMBER($G85),$G85&gt;=AR$99,$G85&lt;EDATE(AR$99,1)),"F",IF(AND(ISNUMBER($H85),$H85&gt;=AR$99,$H85&lt;EDATE(AR$99,1)),"D","")))</f>
        <v/>
      </c>
      <c r="AS119" s="71" t="str">
        <f aca="false">IF(OR(AS$99="",$A85=""),"",IF(AND(ISNUMBER($G85),$G85&gt;=AS$99,$G85&lt;EDATE(AS$99,1)),"F",IF(AND(ISNUMBER($H85),$H85&gt;=AS$99,$H85&lt;EDATE(AS$99,1)),"D","")))</f>
        <v/>
      </c>
      <c r="AT119" s="71" t="str">
        <f aca="false">IF(OR(AT$99="",$A85=""),"",IF(AND(ISNUMBER($G85),$G85&gt;=AT$99,$G85&lt;EDATE(AT$99,1)),"F",IF(AND(ISNUMBER($H85),$H85&gt;=AT$99,$H85&lt;EDATE(AT$99,1)),"D","")))</f>
        <v/>
      </c>
      <c r="AU119" s="71" t="str">
        <f aca="false">IF(OR(AU$99="",$A85=""),"",IF(AND(ISNUMBER($G85),$G85&gt;=AU$99,$G85&lt;EDATE(AU$99,1)),"F",IF(AND(ISNUMBER($H85),$H85&gt;=AU$99,$H85&lt;EDATE(AU$99,1)),"D","")))</f>
        <v/>
      </c>
      <c r="AV119" s="71" t="str">
        <f aca="false">IF(OR(AV$99="",$A85=""),"",IF(AND(ISNUMBER($G85),$G85&gt;=AV$99,$G85&lt;EDATE(AV$99,1)),"F",IF(AND(ISNUMBER($H85),$H85&gt;=AV$99,$H85&lt;EDATE(AV$99,1)),"D","")))</f>
        <v/>
      </c>
      <c r="AW119" s="71" t="str">
        <f aca="false">IF(OR(AW$99="",$A85=""),"",IF(AND(ISNUMBER($G85),$G85&gt;=AW$99,$G85&lt;EDATE(AW$99,1)),"F",IF(AND(ISNUMBER($H85),$H85&gt;=AW$99,$H85&lt;EDATE(AW$99,1)),"D","")))</f>
        <v/>
      </c>
      <c r="AX119" s="71" t="str">
        <f aca="false">IF(OR(AX$99="",$A85=""),"",IF(AND(ISNUMBER($G85),$G85&gt;=AX$99,$G85&lt;EDATE(AX$99,1)),"F",IF(AND(ISNUMBER($H85),$H85&gt;=AX$99,$H85&lt;EDATE(AX$99,1)),"D","")))</f>
        <v/>
      </c>
      <c r="AY119" s="71" t="str">
        <f aca="false">IF(OR(AY$99="",$A85=""),"",IF(AND(ISNUMBER($G85),$G85&gt;=AY$99,$G85&lt;EDATE(AY$99,1)),"F",IF(AND(ISNUMBER($H85),$H85&gt;=AY$99,$H85&lt;EDATE(AY$99,1)),"D","")))</f>
        <v/>
      </c>
      <c r="AZ119" s="71" t="str">
        <f aca="false">IF(OR(AZ$99="",$A85=""),"",IF(AND(ISNUMBER($G85),$G85&gt;=AZ$99,$G85&lt;EDATE(AZ$99,1)),"F",IF(AND(ISNUMBER($H85),$H85&gt;=AZ$99,$H85&lt;EDATE(AZ$99,1)),"D","")))</f>
        <v/>
      </c>
      <c r="BA119" s="71" t="str">
        <f aca="false">IF(OR(BA$99="",$A85=""),"",IF(AND(ISNUMBER($G85),$G85&gt;=BA$99,$G85&lt;EDATE(BA$99,1)),"F",IF(AND(ISNUMBER($H85),$H85&gt;=BA$99,$H85&lt;EDATE(BA$99,1)),"D","")))</f>
        <v/>
      </c>
      <c r="BB119" s="71" t="str">
        <f aca="false">IF(OR(BB$99="",$A85=""),"",IF(AND(ISNUMBER($G85),$G85&gt;=BB$99,$G85&lt;EDATE(BB$99,1)),"F",IF(AND(ISNUMBER($H85),$H85&gt;=BB$99,$H85&lt;EDATE(BB$99,1)),"D","")))</f>
        <v/>
      </c>
      <c r="BC119" s="71" t="str">
        <f aca="false">IF(OR(BC$99="",$A85=""),"",IF(AND(ISNUMBER($G85),$G85&gt;=BC$99,$G85&lt;EDATE(BC$99,1)),"F",IF(AND(ISNUMBER($H85),$H85&gt;=BC$99,$H85&lt;EDATE(BC$99,1)),"D","")))</f>
        <v/>
      </c>
      <c r="BD119" s="71" t="str">
        <f aca="false">IF(OR(BD$99="",$A85=""),"",IF(AND(ISNUMBER($G85),$G85&gt;=BD$99,$G85&lt;EDATE(BD$99,1)),"F",IF(AND(ISNUMBER($H85),$H85&gt;=BD$99,$H85&lt;EDATE(BD$99,1)),"D","")))</f>
        <v/>
      </c>
      <c r="BE119" s="71" t="str">
        <f aca="false">IF(OR(BE$99="",$A85=""),"",IF(AND(ISNUMBER($G85),$G85&gt;=BE$99,$G85&lt;EDATE(BE$99,1)),"F",IF(AND(ISNUMBER($H85),$H85&gt;=BE$99,$H85&lt;EDATE(BE$99,1)),"D","")))</f>
        <v/>
      </c>
      <c r="BF119" s="71" t="str">
        <f aca="false">IF(OR(BF$99="",$A85=""),"",IF(AND(ISNUMBER($G85),$G85&gt;=BF$99,$G85&lt;EDATE(BF$99,1)),"F",IF(AND(ISNUMBER($H85),$H85&gt;=BF$99,$H85&lt;EDATE(BF$99,1)),"D","")))</f>
        <v/>
      </c>
      <c r="BG119" s="71" t="str">
        <f aca="false">IF(OR(BG$99="",$A85=""),"",IF(AND(ISNUMBER($G85),$G85&gt;=BG$99,$G85&lt;EDATE(BG$99,1)),"F",IF(AND(ISNUMBER($H85),$H85&gt;=BG$99,$H85&lt;EDATE(BG$99,1)),"D","")))</f>
        <v/>
      </c>
      <c r="BH119" s="71" t="str">
        <f aca="false">IF(OR(BH$99="",$A85=""),"",IF(AND(ISNUMBER($G85),$G85&gt;=BH$99,$G85&lt;EDATE(BH$99,1)),"F",IF(AND(ISNUMBER($H85),$H85&gt;=BH$99,$H85&lt;EDATE(BH$99,1)),"D","")))</f>
        <v/>
      </c>
      <c r="BI119" s="71" t="str">
        <f aca="false">IF(OR(BI$99="",$A85=""),"",IF(AND(ISNUMBER($G85),$G85&gt;=BI$99,$G85&lt;EDATE(BI$99,1)),"F",IF(AND(ISNUMBER($H85),$H85&gt;=BI$99,$H85&lt;EDATE(BI$99,1)),"D","")))</f>
        <v/>
      </c>
      <c r="BJ119" s="71" t="str">
        <f aca="false">IF(OR(BJ$99="",$A85=""),"",IF(AND(ISNUMBER($G85),$G85&gt;=BJ$99,$G85&lt;EDATE(BJ$99,1)),"F",IF(AND(ISNUMBER($H85),$H85&gt;=BJ$99,$H85&lt;EDATE(BJ$99,1)),"D","")))</f>
        <v/>
      </c>
      <c r="BK119" s="71" t="str">
        <f aca="false">IF(OR(BK$99="",$A85=""),"",IF(AND(ISNUMBER($G85),$G85&gt;=BK$99,$G85&lt;EDATE(BK$99,1)),"F",IF(AND(ISNUMBER($H85),$H85&gt;=BK$99,$H85&lt;EDATE(BK$99,1)),"D","")))</f>
        <v/>
      </c>
      <c r="BL119" s="71" t="str">
        <f aca="false">IF(OR(BL$99="",$A85=""),"",IF(AND(ISNUMBER($G85),$G85&gt;=BL$99,$G85&lt;EDATE(BL$99,1)),"F",IF(AND(ISNUMBER($H85),$H85&gt;=BL$99,$H85&lt;EDATE(BL$99,1)),"D","")))</f>
        <v/>
      </c>
      <c r="BM119" s="71" t="str">
        <f aca="false">IF(OR(BM$99="",$A85=""),"",IF(AND(ISNUMBER($G85),$G85&gt;=BM$99,$G85&lt;EDATE(BM$99,1)),"F",IF(AND(ISNUMBER($H85),$H85&gt;=BM$99,$H85&lt;EDATE(BM$99,1)),"D","")))</f>
        <v/>
      </c>
      <c r="BN119" s="71" t="str">
        <f aca="false">IF(OR(BN$99="",$A85=""),"",IF(AND(ISNUMBER($G85),$G85&gt;=BN$99,$G85&lt;EDATE(BN$99,1)),"F",IF(AND(ISNUMBER($H85),$H85&gt;=BN$99,$H85&lt;EDATE(BN$99,1)),"D","")))</f>
        <v/>
      </c>
      <c r="BO119" s="71" t="str">
        <f aca="false">IF(OR(BO$99="",$A85=""),"",IF(AND(ISNUMBER($G85),$G85&gt;=BO$99,$G85&lt;EDATE(BO$99,1)),"F",IF(AND(ISNUMBER($H85),$H85&gt;=BO$99,$H85&lt;EDATE(BO$99,1)),"D","")))</f>
        <v/>
      </c>
      <c r="BP119" s="71" t="str">
        <f aca="false">IF(OR(BP$99="",$A85=""),"",IF(AND(ISNUMBER($G85),$G85&gt;=BP$99,$G85&lt;EDATE(BP$99,1)),"F",IF(AND(ISNUMBER($H85),$H85&gt;=BP$99,$H85&lt;EDATE(BP$99,1)),"D","")))</f>
        <v/>
      </c>
      <c r="BQ119" s="71" t="str">
        <f aca="false">IF(OR(BQ$99="",$A85=""),"",IF(AND(ISNUMBER($G85),$G85&gt;=BQ$99,$G85&lt;EDATE(BQ$99,1)),"F",IF(AND(ISNUMBER($H85),$H85&gt;=BQ$99,$H85&lt;EDATE(BQ$99,1)),"D","")))</f>
        <v/>
      </c>
      <c r="BR119" s="71" t="str">
        <f aca="false">IF(OR(BR$99="",$A85=""),"",IF(AND(ISNUMBER($G85),$G85&gt;=BR$99,$G85&lt;EDATE(BR$99,1)),"F",IF(AND(ISNUMBER($H85),$H85&gt;=BR$99,$H85&lt;EDATE(BR$99,1)),"D","")))</f>
        <v/>
      </c>
      <c r="BS119" s="71" t="str">
        <f aca="false">IF(OR(BS$99="",$A85=""),"",IF(AND(ISNUMBER($G85),$G85&gt;=BS$99,$G85&lt;EDATE(BS$99,1)),"F",IF(AND(ISNUMBER($H85),$H85&gt;=BS$99,$H85&lt;EDATE(BS$99,1)),"D","")))</f>
        <v/>
      </c>
      <c r="BT119" s="71" t="str">
        <f aca="false">IF(OR(BT$99="",$A85=""),"",IF(AND(ISNUMBER($G85),$G85&gt;=BT$99,$G85&lt;EDATE(BT$99,1)),"F",IF(AND(ISNUMBER($H85),$H85&gt;=BT$99,$H85&lt;EDATE(BT$99,1)),"D","")))</f>
        <v/>
      </c>
      <c r="BU119" s="71" t="str">
        <f aca="false">IF(OR(BU$99="",$A85=""),"",IF(AND(ISNUMBER($G85),$G85&gt;=BU$99,$G85&lt;EDATE(BU$99,1)),"F",IF(AND(ISNUMBER($H85),$H85&gt;=BU$99,$H85&lt;EDATE(BU$99,1)),"D","")))</f>
        <v/>
      </c>
      <c r="BV119" s="71" t="str">
        <f aca="false">IF(OR(BV$99="",$A85=""),"",IF(AND(ISNUMBER($G85),$G85&gt;=BV$99,$G85&lt;EDATE(BV$99,1)),"F",IF(AND(ISNUMBER($H85),$H85&gt;=BV$99,$H85&lt;EDATE(BV$99,1)),"D","")))</f>
        <v/>
      </c>
      <c r="BW119" s="71" t="str">
        <f aca="false">IF(OR(BW$99="",$A85=""),"",IF(AND(ISNUMBER($G85),$G85&gt;=BW$99,$G85&lt;EDATE(BW$99,1)),"F",IF(AND(ISNUMBER($H85),$H85&gt;=BW$99,$H85&lt;EDATE(BW$99,1)),"D","")))</f>
        <v/>
      </c>
      <c r="BX119" s="71" t="str">
        <f aca="false">IF(OR(BX$99="",$A85=""),"",IF(AND(ISNUMBER($G85),$G85&gt;=BX$99,$G85&lt;EDATE(BX$99,1)),"F",IF(AND(ISNUMBER($H85),$H85&gt;=BX$99,$H85&lt;EDATE(BX$99,1)),"D","")))</f>
        <v/>
      </c>
      <c r="BY119" s="71" t="str">
        <f aca="false">IF(OR(BY$99="",$A85=""),"",IF(AND(ISNUMBER($G85),$G85&gt;=BY$99,$G85&lt;EDATE(BY$99,1)),"F",IF(AND(ISNUMBER($H85),$H85&gt;=BY$99,$H85&lt;EDATE(BY$99,1)),"D","")))</f>
        <v/>
      </c>
      <c r="BZ119" s="71" t="str">
        <f aca="false">IF(OR(BZ$99="",$A85=""),"",IF(AND(ISNUMBER($G85),$G85&gt;=BZ$99,$G85&lt;EDATE(BZ$99,1)),"F",IF(AND(ISNUMBER($H85),$H85&gt;=BZ$99,$H85&lt;EDATE(BZ$99,1)),"D","")))</f>
        <v/>
      </c>
      <c r="CA119" s="71" t="str">
        <f aca="false">IF(OR(CA$99="",$A85=""),"",IF(AND(ISNUMBER($G85),$G85&gt;=CA$99,$G85&lt;EDATE(CA$99,1)),"F",IF(AND(ISNUMBER($H85),$H85&gt;=CA$99,$H85&lt;EDATE(CA$99,1)),"D","")))</f>
        <v/>
      </c>
      <c r="CB119" s="71" t="str">
        <f aca="false">IF(OR(CB$99="",$A85=""),"",IF(AND(ISNUMBER($G85),$G85&gt;=CB$99,$G85&lt;EDATE(CB$99,1)),"F",IF(AND(ISNUMBER($H85),$H85&gt;=CB$99,$H85&lt;EDATE(CB$99,1)),"D","")))</f>
        <v/>
      </c>
      <c r="CC119" s="71" t="str">
        <f aca="false">IF(OR(CC$99="",$A85=""),"",IF(AND(ISNUMBER($G85),$G85&gt;=CC$99,$G85&lt;EDATE(CC$99,1)),"F",IF(AND(ISNUMBER($H85),$H85&gt;=CC$99,$H85&lt;EDATE(CC$99,1)),"D","")))</f>
        <v/>
      </c>
      <c r="CD119" s="71" t="str">
        <f aca="false">IF(OR(CD$99="",$A85=""),"",IF(AND(ISNUMBER($G85),$G85&gt;=CD$99,$G85&lt;EDATE(CD$99,1)),"F",IF(AND(ISNUMBER($H85),$H85&gt;=CD$99,$H85&lt;EDATE(CD$99,1)),"D","")))</f>
        <v/>
      </c>
      <c r="CE119" s="71" t="str">
        <f aca="false">IF(OR(CE$99="",$A85=""),"",IF(AND(ISNUMBER($G85),$G85&gt;=CE$99,$G85&lt;EDATE(CE$99,1)),"F",IF(AND(ISNUMBER($H85),$H85&gt;=CE$99,$H85&lt;EDATE(CE$99,1)),"D","")))</f>
        <v/>
      </c>
      <c r="CF119" s="71" t="str">
        <f aca="false">IF(OR(CF$99="",$A85=""),"",IF(AND(ISNUMBER($G85),$G85&gt;=CF$99,$G85&lt;EDATE(CF$99,1)),"F",IF(AND(ISNUMBER($H85),$H85&gt;=CF$99,$H85&lt;EDATE(CF$99,1)),"D","")))</f>
        <v/>
      </c>
      <c r="CG119" s="71" t="str">
        <f aca="false">IF(OR(CG$99="",$A85=""),"",IF(AND(ISNUMBER($G85),$G85&gt;=CG$99,$G85&lt;EDATE(CG$99,1)),"F",IF(AND(ISNUMBER($H85),$H85&gt;=CG$99,$H85&lt;EDATE(CG$99,1)),"D","")))</f>
        <v/>
      </c>
      <c r="CH119" s="71" t="str">
        <f aca="false">IF(OR(CH$99="",$A85=""),"",IF(AND(ISNUMBER($G85),$G85&gt;=CH$99,$G85&lt;EDATE(CH$99,1)),"F",IF(AND(ISNUMBER($H85),$H85&gt;=CH$99,$H85&lt;EDATE(CH$99,1)),"D","")))</f>
        <v/>
      </c>
      <c r="CI119" s="71" t="str">
        <f aca="false">IF(OR(CI$99="",$A85=""),"",IF(AND(ISNUMBER($G85),$G85&gt;=CI$99,$G85&lt;EDATE(CI$99,1)),"F",IF(AND(ISNUMBER($H85),$H85&gt;=CI$99,$H85&lt;EDATE(CI$99,1)),"D","")))</f>
        <v/>
      </c>
      <c r="CJ119" s="71" t="str">
        <f aca="false">IF(OR(CJ$99="",$A85=""),"",IF(AND(ISNUMBER($G85),$G85&gt;=CJ$99,$G85&lt;EDATE(CJ$99,1)),"F",IF(AND(ISNUMBER($H85),$H85&gt;=CJ$99,$H85&lt;EDATE(CJ$99,1)),"D","")))</f>
        <v/>
      </c>
      <c r="CK119" s="71" t="str">
        <f aca="false">IF(OR(CK$99="",$A85=""),"",IF(AND(ISNUMBER($G85),$G85&gt;=CK$99,$G85&lt;EDATE(CK$99,1)),"F",IF(AND(ISNUMBER($H85),$H85&gt;=CK$99,$H85&lt;EDATE(CK$99,1)),"D","")))</f>
        <v/>
      </c>
    </row>
    <row r="120" customFormat="false" ht="15" hidden="false" customHeight="false" outlineLevel="0" collapsed="false">
      <c r="A120" s="74" t="str">
        <f aca="false">IF($A86="","",$A86)</f>
        <v/>
      </c>
      <c r="B120" s="74" t="str">
        <f aca="false">IF($A86="","",$B86)</f>
        <v/>
      </c>
      <c r="R120" s="71" t="str">
        <f aca="false">IF(OR(R$99="",$A86=""),"",IF(AND(ISNUMBER($G86),$G86&gt;=R$99,$G86&lt;EDATE(R$99,1)),"F",IF(AND(ISNUMBER($H86),$H86&gt;=R$99,$H86&lt;EDATE(R$99,1)),"D","")))</f>
        <v/>
      </c>
      <c r="S120" s="71" t="str">
        <f aca="false">IF(OR(S$99="",$A86=""),"",IF(AND(ISNUMBER($G86),$G86&gt;=S$99,$G86&lt;EDATE(S$99,1)),"F",IF(AND(ISNUMBER($H86),$H86&gt;=S$99,$H86&lt;EDATE(S$99,1)),"D","")))</f>
        <v/>
      </c>
      <c r="T120" s="71" t="str">
        <f aca="false">IF(OR(T$99="",$A86=""),"",IF(AND(ISNUMBER($G86),$G86&gt;=T$99,$G86&lt;EDATE(T$99,1)),"F",IF(AND(ISNUMBER($H86),$H86&gt;=T$99,$H86&lt;EDATE(T$99,1)),"D","")))</f>
        <v/>
      </c>
      <c r="U120" s="71" t="str">
        <f aca="false">IF(OR(U$99="",$A86=""),"",IF(AND(ISNUMBER($G86),$G86&gt;=U$99,$G86&lt;EDATE(U$99,1)),"F",IF(AND(ISNUMBER($H86),$H86&gt;=U$99,$H86&lt;EDATE(U$99,1)),"D","")))</f>
        <v/>
      </c>
      <c r="V120" s="71" t="str">
        <f aca="false">IF(OR(V$99="",$A86=""),"",IF(AND(ISNUMBER($G86),$G86&gt;=V$99,$G86&lt;EDATE(V$99,1)),"F",IF(AND(ISNUMBER($H86),$H86&gt;=V$99,$H86&lt;EDATE(V$99,1)),"D","")))</f>
        <v/>
      </c>
      <c r="W120" s="71" t="str">
        <f aca="false">IF(OR(W$99="",$A86=""),"",IF(AND(ISNUMBER($G86),$G86&gt;=W$99,$G86&lt;EDATE(W$99,1)),"F",IF(AND(ISNUMBER($H86),$H86&gt;=W$99,$H86&lt;EDATE(W$99,1)),"D","")))</f>
        <v/>
      </c>
      <c r="X120" s="71" t="str">
        <f aca="false">IF(OR(X$99="",$A86=""),"",IF(AND(ISNUMBER($G86),$G86&gt;=X$99,$G86&lt;EDATE(X$99,1)),"F",IF(AND(ISNUMBER($H86),$H86&gt;=X$99,$H86&lt;EDATE(X$99,1)),"D","")))</f>
        <v/>
      </c>
      <c r="Y120" s="71" t="str">
        <f aca="false">IF(OR(Y$99="",$A86=""),"",IF(AND(ISNUMBER($G86),$G86&gt;=Y$99,$G86&lt;EDATE(Y$99,1)),"F",IF(AND(ISNUMBER($H86),$H86&gt;=Y$99,$H86&lt;EDATE(Y$99,1)),"D","")))</f>
        <v/>
      </c>
      <c r="Z120" s="71" t="str">
        <f aca="false">IF(OR(Z$99="",$A86=""),"",IF(AND(ISNUMBER($G86),$G86&gt;=Z$99,$G86&lt;EDATE(Z$99,1)),"F",IF(AND(ISNUMBER($H86),$H86&gt;=Z$99,$H86&lt;EDATE(Z$99,1)),"D","")))</f>
        <v/>
      </c>
      <c r="AA120" s="71" t="str">
        <f aca="false">IF(OR(AA$99="",$A86=""),"",IF(AND(ISNUMBER($G86),$G86&gt;=AA$99,$G86&lt;EDATE(AA$99,1)),"F",IF(AND(ISNUMBER($H86),$H86&gt;=AA$99,$H86&lt;EDATE(AA$99,1)),"D","")))</f>
        <v/>
      </c>
      <c r="AB120" s="71" t="str">
        <f aca="false">IF(OR(AB$99="",$A86=""),"",IF(AND(ISNUMBER($G86),$G86&gt;=AB$99,$G86&lt;EDATE(AB$99,1)),"F",IF(AND(ISNUMBER($H86),$H86&gt;=AB$99,$H86&lt;EDATE(AB$99,1)),"D","")))</f>
        <v/>
      </c>
      <c r="AC120" s="71" t="str">
        <f aca="false">IF(OR(AC$99="",$A86=""),"",IF(AND(ISNUMBER($G86),$G86&gt;=AC$99,$G86&lt;EDATE(AC$99,1)),"F",IF(AND(ISNUMBER($H86),$H86&gt;=AC$99,$H86&lt;EDATE(AC$99,1)),"D","")))</f>
        <v/>
      </c>
      <c r="AD120" s="71" t="str">
        <f aca="false">IF(OR(AD$99="",$A86=""),"",IF(AND(ISNUMBER($G86),$G86&gt;=AD$99,$G86&lt;EDATE(AD$99,1)),"F",IF(AND(ISNUMBER($H86),$H86&gt;=AD$99,$H86&lt;EDATE(AD$99,1)),"D","")))</f>
        <v/>
      </c>
      <c r="AE120" s="71" t="str">
        <f aca="false">IF(OR(AE$99="",$A86=""),"",IF(AND(ISNUMBER($G86),$G86&gt;=AE$99,$G86&lt;EDATE(AE$99,1)),"F",IF(AND(ISNUMBER($H86),$H86&gt;=AE$99,$H86&lt;EDATE(AE$99,1)),"D","")))</f>
        <v/>
      </c>
      <c r="AF120" s="71" t="str">
        <f aca="false">IF(OR(AF$99="",$A86=""),"",IF(AND(ISNUMBER($G86),$G86&gt;=AF$99,$G86&lt;EDATE(AF$99,1)),"F",IF(AND(ISNUMBER($H86),$H86&gt;=AF$99,$H86&lt;EDATE(AF$99,1)),"D","")))</f>
        <v/>
      </c>
      <c r="AG120" s="71" t="str">
        <f aca="false">IF(OR(AG$99="",$A86=""),"",IF(AND(ISNUMBER($G86),$G86&gt;=AG$99,$G86&lt;EDATE(AG$99,1)),"F",IF(AND(ISNUMBER($H86),$H86&gt;=AG$99,$H86&lt;EDATE(AG$99,1)),"D","")))</f>
        <v/>
      </c>
      <c r="AH120" s="71" t="str">
        <f aca="false">IF(OR(AH$99="",$A86=""),"",IF(AND(ISNUMBER($G86),$G86&gt;=AH$99,$G86&lt;EDATE(AH$99,1)),"F",IF(AND(ISNUMBER($H86),$H86&gt;=AH$99,$H86&lt;EDATE(AH$99,1)),"D","")))</f>
        <v/>
      </c>
      <c r="AI120" s="71" t="str">
        <f aca="false">IF(OR(AI$99="",$A86=""),"",IF(AND(ISNUMBER($G86),$G86&gt;=AI$99,$G86&lt;EDATE(AI$99,1)),"F",IF(AND(ISNUMBER($H86),$H86&gt;=AI$99,$H86&lt;EDATE(AI$99,1)),"D","")))</f>
        <v/>
      </c>
      <c r="AJ120" s="71" t="str">
        <f aca="false">IF(OR(AJ$99="",$A86=""),"",IF(AND(ISNUMBER($G86),$G86&gt;=AJ$99,$G86&lt;EDATE(AJ$99,1)),"F",IF(AND(ISNUMBER($H86),$H86&gt;=AJ$99,$H86&lt;EDATE(AJ$99,1)),"D","")))</f>
        <v/>
      </c>
      <c r="AK120" s="71" t="str">
        <f aca="false">IF(OR(AK$99="",$A86=""),"",IF(AND(ISNUMBER($G86),$G86&gt;=AK$99,$G86&lt;EDATE(AK$99,1)),"F",IF(AND(ISNUMBER($H86),$H86&gt;=AK$99,$H86&lt;EDATE(AK$99,1)),"D","")))</f>
        <v/>
      </c>
      <c r="AL120" s="71" t="str">
        <f aca="false">IF(OR(AL$99="",$A86=""),"",IF(AND(ISNUMBER($G86),$G86&gt;=AL$99,$G86&lt;EDATE(AL$99,1)),"F",IF(AND(ISNUMBER($H86),$H86&gt;=AL$99,$H86&lt;EDATE(AL$99,1)),"D","")))</f>
        <v/>
      </c>
      <c r="AM120" s="71" t="str">
        <f aca="false">IF(OR(AM$99="",$A86=""),"",IF(AND(ISNUMBER($G86),$G86&gt;=AM$99,$G86&lt;EDATE(AM$99,1)),"F",IF(AND(ISNUMBER($H86),$H86&gt;=AM$99,$H86&lt;EDATE(AM$99,1)),"D","")))</f>
        <v/>
      </c>
      <c r="AN120" s="71" t="str">
        <f aca="false">IF(OR(AN$99="",$A86=""),"",IF(AND(ISNUMBER($G86),$G86&gt;=AN$99,$G86&lt;EDATE(AN$99,1)),"F",IF(AND(ISNUMBER($H86),$H86&gt;=AN$99,$H86&lt;EDATE(AN$99,1)),"D","")))</f>
        <v/>
      </c>
      <c r="AO120" s="71" t="str">
        <f aca="false">IF(OR(AO$99="",$A86=""),"",IF(AND(ISNUMBER($G86),$G86&gt;=AO$99,$G86&lt;EDATE(AO$99,1)),"F",IF(AND(ISNUMBER($H86),$H86&gt;=AO$99,$H86&lt;EDATE(AO$99,1)),"D","")))</f>
        <v/>
      </c>
      <c r="AP120" s="71" t="str">
        <f aca="false">IF(OR(AP$99="",$A86=""),"",IF(AND(ISNUMBER($G86),$G86&gt;=AP$99,$G86&lt;EDATE(AP$99,1)),"F",IF(AND(ISNUMBER($H86),$H86&gt;=AP$99,$H86&lt;EDATE(AP$99,1)),"D","")))</f>
        <v/>
      </c>
      <c r="AQ120" s="71" t="str">
        <f aca="false">IF(OR(AQ$99="",$A86=""),"",IF(AND(ISNUMBER($G86),$G86&gt;=AQ$99,$G86&lt;EDATE(AQ$99,1)),"F",IF(AND(ISNUMBER($H86),$H86&gt;=AQ$99,$H86&lt;EDATE(AQ$99,1)),"D","")))</f>
        <v/>
      </c>
      <c r="AR120" s="71" t="str">
        <f aca="false">IF(OR(AR$99="",$A86=""),"",IF(AND(ISNUMBER($G86),$G86&gt;=AR$99,$G86&lt;EDATE(AR$99,1)),"F",IF(AND(ISNUMBER($H86),$H86&gt;=AR$99,$H86&lt;EDATE(AR$99,1)),"D","")))</f>
        <v/>
      </c>
      <c r="AS120" s="71" t="str">
        <f aca="false">IF(OR(AS$99="",$A86=""),"",IF(AND(ISNUMBER($G86),$G86&gt;=AS$99,$G86&lt;EDATE(AS$99,1)),"F",IF(AND(ISNUMBER($H86),$H86&gt;=AS$99,$H86&lt;EDATE(AS$99,1)),"D","")))</f>
        <v/>
      </c>
      <c r="AT120" s="71" t="str">
        <f aca="false">IF(OR(AT$99="",$A86=""),"",IF(AND(ISNUMBER($G86),$G86&gt;=AT$99,$G86&lt;EDATE(AT$99,1)),"F",IF(AND(ISNUMBER($H86),$H86&gt;=AT$99,$H86&lt;EDATE(AT$99,1)),"D","")))</f>
        <v/>
      </c>
      <c r="AU120" s="71" t="str">
        <f aca="false">IF(OR(AU$99="",$A86=""),"",IF(AND(ISNUMBER($G86),$G86&gt;=AU$99,$G86&lt;EDATE(AU$99,1)),"F",IF(AND(ISNUMBER($H86),$H86&gt;=AU$99,$H86&lt;EDATE(AU$99,1)),"D","")))</f>
        <v/>
      </c>
      <c r="AV120" s="71" t="str">
        <f aca="false">IF(OR(AV$99="",$A86=""),"",IF(AND(ISNUMBER($G86),$G86&gt;=AV$99,$G86&lt;EDATE(AV$99,1)),"F",IF(AND(ISNUMBER($H86),$H86&gt;=AV$99,$H86&lt;EDATE(AV$99,1)),"D","")))</f>
        <v/>
      </c>
      <c r="AW120" s="71" t="str">
        <f aca="false">IF(OR(AW$99="",$A86=""),"",IF(AND(ISNUMBER($G86),$G86&gt;=AW$99,$G86&lt;EDATE(AW$99,1)),"F",IF(AND(ISNUMBER($H86),$H86&gt;=AW$99,$H86&lt;EDATE(AW$99,1)),"D","")))</f>
        <v/>
      </c>
      <c r="AX120" s="71" t="str">
        <f aca="false">IF(OR(AX$99="",$A86=""),"",IF(AND(ISNUMBER($G86),$G86&gt;=AX$99,$G86&lt;EDATE(AX$99,1)),"F",IF(AND(ISNUMBER($H86),$H86&gt;=AX$99,$H86&lt;EDATE(AX$99,1)),"D","")))</f>
        <v/>
      </c>
      <c r="AY120" s="71" t="str">
        <f aca="false">IF(OR(AY$99="",$A86=""),"",IF(AND(ISNUMBER($G86),$G86&gt;=AY$99,$G86&lt;EDATE(AY$99,1)),"F",IF(AND(ISNUMBER($H86),$H86&gt;=AY$99,$H86&lt;EDATE(AY$99,1)),"D","")))</f>
        <v/>
      </c>
      <c r="AZ120" s="71" t="str">
        <f aca="false">IF(OR(AZ$99="",$A86=""),"",IF(AND(ISNUMBER($G86),$G86&gt;=AZ$99,$G86&lt;EDATE(AZ$99,1)),"F",IF(AND(ISNUMBER($H86),$H86&gt;=AZ$99,$H86&lt;EDATE(AZ$99,1)),"D","")))</f>
        <v/>
      </c>
      <c r="BA120" s="71" t="str">
        <f aca="false">IF(OR(BA$99="",$A86=""),"",IF(AND(ISNUMBER($G86),$G86&gt;=BA$99,$G86&lt;EDATE(BA$99,1)),"F",IF(AND(ISNUMBER($H86),$H86&gt;=BA$99,$H86&lt;EDATE(BA$99,1)),"D","")))</f>
        <v/>
      </c>
      <c r="BB120" s="71" t="str">
        <f aca="false">IF(OR(BB$99="",$A86=""),"",IF(AND(ISNUMBER($G86),$G86&gt;=BB$99,$G86&lt;EDATE(BB$99,1)),"F",IF(AND(ISNUMBER($H86),$H86&gt;=BB$99,$H86&lt;EDATE(BB$99,1)),"D","")))</f>
        <v/>
      </c>
      <c r="BC120" s="71" t="str">
        <f aca="false">IF(OR(BC$99="",$A86=""),"",IF(AND(ISNUMBER($G86),$G86&gt;=BC$99,$G86&lt;EDATE(BC$99,1)),"F",IF(AND(ISNUMBER($H86),$H86&gt;=BC$99,$H86&lt;EDATE(BC$99,1)),"D","")))</f>
        <v/>
      </c>
      <c r="BD120" s="71" t="str">
        <f aca="false">IF(OR(BD$99="",$A86=""),"",IF(AND(ISNUMBER($G86),$G86&gt;=BD$99,$G86&lt;EDATE(BD$99,1)),"F",IF(AND(ISNUMBER($H86),$H86&gt;=BD$99,$H86&lt;EDATE(BD$99,1)),"D","")))</f>
        <v/>
      </c>
      <c r="BE120" s="71" t="str">
        <f aca="false">IF(OR(BE$99="",$A86=""),"",IF(AND(ISNUMBER($G86),$G86&gt;=BE$99,$G86&lt;EDATE(BE$99,1)),"F",IF(AND(ISNUMBER($H86),$H86&gt;=BE$99,$H86&lt;EDATE(BE$99,1)),"D","")))</f>
        <v/>
      </c>
      <c r="BF120" s="71" t="str">
        <f aca="false">IF(OR(BF$99="",$A86=""),"",IF(AND(ISNUMBER($G86),$G86&gt;=BF$99,$G86&lt;EDATE(BF$99,1)),"F",IF(AND(ISNUMBER($H86),$H86&gt;=BF$99,$H86&lt;EDATE(BF$99,1)),"D","")))</f>
        <v/>
      </c>
      <c r="BG120" s="71" t="str">
        <f aca="false">IF(OR(BG$99="",$A86=""),"",IF(AND(ISNUMBER($G86),$G86&gt;=BG$99,$G86&lt;EDATE(BG$99,1)),"F",IF(AND(ISNUMBER($H86),$H86&gt;=BG$99,$H86&lt;EDATE(BG$99,1)),"D","")))</f>
        <v/>
      </c>
      <c r="BH120" s="71" t="str">
        <f aca="false">IF(OR(BH$99="",$A86=""),"",IF(AND(ISNUMBER($G86),$G86&gt;=BH$99,$G86&lt;EDATE(BH$99,1)),"F",IF(AND(ISNUMBER($H86),$H86&gt;=BH$99,$H86&lt;EDATE(BH$99,1)),"D","")))</f>
        <v/>
      </c>
      <c r="BI120" s="71" t="str">
        <f aca="false">IF(OR(BI$99="",$A86=""),"",IF(AND(ISNUMBER($G86),$G86&gt;=BI$99,$G86&lt;EDATE(BI$99,1)),"F",IF(AND(ISNUMBER($H86),$H86&gt;=BI$99,$H86&lt;EDATE(BI$99,1)),"D","")))</f>
        <v/>
      </c>
      <c r="BJ120" s="71" t="str">
        <f aca="false">IF(OR(BJ$99="",$A86=""),"",IF(AND(ISNUMBER($G86),$G86&gt;=BJ$99,$G86&lt;EDATE(BJ$99,1)),"F",IF(AND(ISNUMBER($H86),$H86&gt;=BJ$99,$H86&lt;EDATE(BJ$99,1)),"D","")))</f>
        <v/>
      </c>
      <c r="BK120" s="71" t="str">
        <f aca="false">IF(OR(BK$99="",$A86=""),"",IF(AND(ISNUMBER($G86),$G86&gt;=BK$99,$G86&lt;EDATE(BK$99,1)),"F",IF(AND(ISNUMBER($H86),$H86&gt;=BK$99,$H86&lt;EDATE(BK$99,1)),"D","")))</f>
        <v/>
      </c>
      <c r="BL120" s="71" t="str">
        <f aca="false">IF(OR(BL$99="",$A86=""),"",IF(AND(ISNUMBER($G86),$G86&gt;=BL$99,$G86&lt;EDATE(BL$99,1)),"F",IF(AND(ISNUMBER($H86),$H86&gt;=BL$99,$H86&lt;EDATE(BL$99,1)),"D","")))</f>
        <v/>
      </c>
      <c r="BM120" s="71" t="str">
        <f aca="false">IF(OR(BM$99="",$A86=""),"",IF(AND(ISNUMBER($G86),$G86&gt;=BM$99,$G86&lt;EDATE(BM$99,1)),"F",IF(AND(ISNUMBER($H86),$H86&gt;=BM$99,$H86&lt;EDATE(BM$99,1)),"D","")))</f>
        <v/>
      </c>
      <c r="BN120" s="71" t="str">
        <f aca="false">IF(OR(BN$99="",$A86=""),"",IF(AND(ISNUMBER($G86),$G86&gt;=BN$99,$G86&lt;EDATE(BN$99,1)),"F",IF(AND(ISNUMBER($H86),$H86&gt;=BN$99,$H86&lt;EDATE(BN$99,1)),"D","")))</f>
        <v/>
      </c>
      <c r="BO120" s="71" t="str">
        <f aca="false">IF(OR(BO$99="",$A86=""),"",IF(AND(ISNUMBER($G86),$G86&gt;=BO$99,$G86&lt;EDATE(BO$99,1)),"F",IF(AND(ISNUMBER($H86),$H86&gt;=BO$99,$H86&lt;EDATE(BO$99,1)),"D","")))</f>
        <v/>
      </c>
      <c r="BP120" s="71" t="str">
        <f aca="false">IF(OR(BP$99="",$A86=""),"",IF(AND(ISNUMBER($G86),$G86&gt;=BP$99,$G86&lt;EDATE(BP$99,1)),"F",IF(AND(ISNUMBER($H86),$H86&gt;=BP$99,$H86&lt;EDATE(BP$99,1)),"D","")))</f>
        <v/>
      </c>
      <c r="BQ120" s="71" t="str">
        <f aca="false">IF(OR(BQ$99="",$A86=""),"",IF(AND(ISNUMBER($G86),$G86&gt;=BQ$99,$G86&lt;EDATE(BQ$99,1)),"F",IF(AND(ISNUMBER($H86),$H86&gt;=BQ$99,$H86&lt;EDATE(BQ$99,1)),"D","")))</f>
        <v/>
      </c>
      <c r="BR120" s="71" t="str">
        <f aca="false">IF(OR(BR$99="",$A86=""),"",IF(AND(ISNUMBER($G86),$G86&gt;=BR$99,$G86&lt;EDATE(BR$99,1)),"F",IF(AND(ISNUMBER($H86),$H86&gt;=BR$99,$H86&lt;EDATE(BR$99,1)),"D","")))</f>
        <v/>
      </c>
      <c r="BS120" s="71" t="str">
        <f aca="false">IF(OR(BS$99="",$A86=""),"",IF(AND(ISNUMBER($G86),$G86&gt;=BS$99,$G86&lt;EDATE(BS$99,1)),"F",IF(AND(ISNUMBER($H86),$H86&gt;=BS$99,$H86&lt;EDATE(BS$99,1)),"D","")))</f>
        <v/>
      </c>
      <c r="BT120" s="71" t="str">
        <f aca="false">IF(OR(BT$99="",$A86=""),"",IF(AND(ISNUMBER($G86),$G86&gt;=BT$99,$G86&lt;EDATE(BT$99,1)),"F",IF(AND(ISNUMBER($H86),$H86&gt;=BT$99,$H86&lt;EDATE(BT$99,1)),"D","")))</f>
        <v/>
      </c>
      <c r="BU120" s="71" t="str">
        <f aca="false">IF(OR(BU$99="",$A86=""),"",IF(AND(ISNUMBER($G86),$G86&gt;=BU$99,$G86&lt;EDATE(BU$99,1)),"F",IF(AND(ISNUMBER($H86),$H86&gt;=BU$99,$H86&lt;EDATE(BU$99,1)),"D","")))</f>
        <v/>
      </c>
      <c r="BV120" s="71" t="str">
        <f aca="false">IF(OR(BV$99="",$A86=""),"",IF(AND(ISNUMBER($G86),$G86&gt;=BV$99,$G86&lt;EDATE(BV$99,1)),"F",IF(AND(ISNUMBER($H86),$H86&gt;=BV$99,$H86&lt;EDATE(BV$99,1)),"D","")))</f>
        <v/>
      </c>
      <c r="BW120" s="71" t="str">
        <f aca="false">IF(OR(BW$99="",$A86=""),"",IF(AND(ISNUMBER($G86),$G86&gt;=BW$99,$G86&lt;EDATE(BW$99,1)),"F",IF(AND(ISNUMBER($H86),$H86&gt;=BW$99,$H86&lt;EDATE(BW$99,1)),"D","")))</f>
        <v/>
      </c>
      <c r="BX120" s="71" t="str">
        <f aca="false">IF(OR(BX$99="",$A86=""),"",IF(AND(ISNUMBER($G86),$G86&gt;=BX$99,$G86&lt;EDATE(BX$99,1)),"F",IF(AND(ISNUMBER($H86),$H86&gt;=BX$99,$H86&lt;EDATE(BX$99,1)),"D","")))</f>
        <v/>
      </c>
      <c r="BY120" s="71" t="str">
        <f aca="false">IF(OR(BY$99="",$A86=""),"",IF(AND(ISNUMBER($G86),$G86&gt;=BY$99,$G86&lt;EDATE(BY$99,1)),"F",IF(AND(ISNUMBER($H86),$H86&gt;=BY$99,$H86&lt;EDATE(BY$99,1)),"D","")))</f>
        <v/>
      </c>
      <c r="BZ120" s="71" t="str">
        <f aca="false">IF(OR(BZ$99="",$A86=""),"",IF(AND(ISNUMBER($G86),$G86&gt;=BZ$99,$G86&lt;EDATE(BZ$99,1)),"F",IF(AND(ISNUMBER($H86),$H86&gt;=BZ$99,$H86&lt;EDATE(BZ$99,1)),"D","")))</f>
        <v/>
      </c>
      <c r="CA120" s="71" t="str">
        <f aca="false">IF(OR(CA$99="",$A86=""),"",IF(AND(ISNUMBER($G86),$G86&gt;=CA$99,$G86&lt;EDATE(CA$99,1)),"F",IF(AND(ISNUMBER($H86),$H86&gt;=CA$99,$H86&lt;EDATE(CA$99,1)),"D","")))</f>
        <v/>
      </c>
      <c r="CB120" s="71" t="str">
        <f aca="false">IF(OR(CB$99="",$A86=""),"",IF(AND(ISNUMBER($G86),$G86&gt;=CB$99,$G86&lt;EDATE(CB$99,1)),"F",IF(AND(ISNUMBER($H86),$H86&gt;=CB$99,$H86&lt;EDATE(CB$99,1)),"D","")))</f>
        <v/>
      </c>
      <c r="CC120" s="71" t="str">
        <f aca="false">IF(OR(CC$99="",$A86=""),"",IF(AND(ISNUMBER($G86),$G86&gt;=CC$99,$G86&lt;EDATE(CC$99,1)),"F",IF(AND(ISNUMBER($H86),$H86&gt;=CC$99,$H86&lt;EDATE(CC$99,1)),"D","")))</f>
        <v/>
      </c>
      <c r="CD120" s="71" t="str">
        <f aca="false">IF(OR(CD$99="",$A86=""),"",IF(AND(ISNUMBER($G86),$G86&gt;=CD$99,$G86&lt;EDATE(CD$99,1)),"F",IF(AND(ISNUMBER($H86),$H86&gt;=CD$99,$H86&lt;EDATE(CD$99,1)),"D","")))</f>
        <v/>
      </c>
      <c r="CE120" s="71" t="str">
        <f aca="false">IF(OR(CE$99="",$A86=""),"",IF(AND(ISNUMBER($G86),$G86&gt;=CE$99,$G86&lt;EDATE(CE$99,1)),"F",IF(AND(ISNUMBER($H86),$H86&gt;=CE$99,$H86&lt;EDATE(CE$99,1)),"D","")))</f>
        <v/>
      </c>
      <c r="CF120" s="71" t="str">
        <f aca="false">IF(OR(CF$99="",$A86=""),"",IF(AND(ISNUMBER($G86),$G86&gt;=CF$99,$G86&lt;EDATE(CF$99,1)),"F",IF(AND(ISNUMBER($H86),$H86&gt;=CF$99,$H86&lt;EDATE(CF$99,1)),"D","")))</f>
        <v/>
      </c>
      <c r="CG120" s="71" t="str">
        <f aca="false">IF(OR(CG$99="",$A86=""),"",IF(AND(ISNUMBER($G86),$G86&gt;=CG$99,$G86&lt;EDATE(CG$99,1)),"F",IF(AND(ISNUMBER($H86),$H86&gt;=CG$99,$H86&lt;EDATE(CG$99,1)),"D","")))</f>
        <v/>
      </c>
      <c r="CH120" s="71" t="str">
        <f aca="false">IF(OR(CH$99="",$A86=""),"",IF(AND(ISNUMBER($G86),$G86&gt;=CH$99,$G86&lt;EDATE(CH$99,1)),"F",IF(AND(ISNUMBER($H86),$H86&gt;=CH$99,$H86&lt;EDATE(CH$99,1)),"D","")))</f>
        <v/>
      </c>
      <c r="CI120" s="71" t="str">
        <f aca="false">IF(OR(CI$99="",$A86=""),"",IF(AND(ISNUMBER($G86),$G86&gt;=CI$99,$G86&lt;EDATE(CI$99,1)),"F",IF(AND(ISNUMBER($H86),$H86&gt;=CI$99,$H86&lt;EDATE(CI$99,1)),"D","")))</f>
        <v/>
      </c>
      <c r="CJ120" s="71" t="str">
        <f aca="false">IF(OR(CJ$99="",$A86=""),"",IF(AND(ISNUMBER($G86),$G86&gt;=CJ$99,$G86&lt;EDATE(CJ$99,1)),"F",IF(AND(ISNUMBER($H86),$H86&gt;=CJ$99,$H86&lt;EDATE(CJ$99,1)),"D","")))</f>
        <v/>
      </c>
      <c r="CK120" s="71" t="str">
        <f aca="false">IF(OR(CK$99="",$A86=""),"",IF(AND(ISNUMBER($G86),$G86&gt;=CK$99,$G86&lt;EDATE(CK$99,1)),"F",IF(AND(ISNUMBER($H86),$H86&gt;=CK$99,$H86&lt;EDATE(CK$99,1)),"D","")))</f>
        <v/>
      </c>
    </row>
    <row r="121" customFormat="false" ht="15" hidden="false" customHeight="false" outlineLevel="0" collapsed="false">
      <c r="A121" s="74" t="str">
        <f aca="false">IF($A87="","",$A87)</f>
        <v/>
      </c>
      <c r="B121" s="74" t="str">
        <f aca="false">IF($A87="","",$B87)</f>
        <v/>
      </c>
      <c r="R121" s="71" t="str">
        <f aca="false">IF(OR(R$99="",$A87=""),"",IF(AND(ISNUMBER($G87),$G87&gt;=R$99,$G87&lt;EDATE(R$99,1)),"F",IF(AND(ISNUMBER($H87),$H87&gt;=R$99,$H87&lt;EDATE(R$99,1)),"D","")))</f>
        <v/>
      </c>
      <c r="S121" s="71" t="str">
        <f aca="false">IF(OR(S$99="",$A87=""),"",IF(AND(ISNUMBER($G87),$G87&gt;=S$99,$G87&lt;EDATE(S$99,1)),"F",IF(AND(ISNUMBER($H87),$H87&gt;=S$99,$H87&lt;EDATE(S$99,1)),"D","")))</f>
        <v/>
      </c>
      <c r="T121" s="71" t="str">
        <f aca="false">IF(OR(T$99="",$A87=""),"",IF(AND(ISNUMBER($G87),$G87&gt;=T$99,$G87&lt;EDATE(T$99,1)),"F",IF(AND(ISNUMBER($H87),$H87&gt;=T$99,$H87&lt;EDATE(T$99,1)),"D","")))</f>
        <v/>
      </c>
      <c r="U121" s="71" t="str">
        <f aca="false">IF(OR(U$99="",$A87=""),"",IF(AND(ISNUMBER($G87),$G87&gt;=U$99,$G87&lt;EDATE(U$99,1)),"F",IF(AND(ISNUMBER($H87),$H87&gt;=U$99,$H87&lt;EDATE(U$99,1)),"D","")))</f>
        <v/>
      </c>
      <c r="V121" s="71" t="str">
        <f aca="false">IF(OR(V$99="",$A87=""),"",IF(AND(ISNUMBER($G87),$G87&gt;=V$99,$G87&lt;EDATE(V$99,1)),"F",IF(AND(ISNUMBER($H87),$H87&gt;=V$99,$H87&lt;EDATE(V$99,1)),"D","")))</f>
        <v/>
      </c>
      <c r="W121" s="71" t="str">
        <f aca="false">IF(OR(W$99="",$A87=""),"",IF(AND(ISNUMBER($G87),$G87&gt;=W$99,$G87&lt;EDATE(W$99,1)),"F",IF(AND(ISNUMBER($H87),$H87&gt;=W$99,$H87&lt;EDATE(W$99,1)),"D","")))</f>
        <v/>
      </c>
      <c r="X121" s="71" t="str">
        <f aca="false">IF(OR(X$99="",$A87=""),"",IF(AND(ISNUMBER($G87),$G87&gt;=X$99,$G87&lt;EDATE(X$99,1)),"F",IF(AND(ISNUMBER($H87),$H87&gt;=X$99,$H87&lt;EDATE(X$99,1)),"D","")))</f>
        <v/>
      </c>
      <c r="Y121" s="71" t="str">
        <f aca="false">IF(OR(Y$99="",$A87=""),"",IF(AND(ISNUMBER($G87),$G87&gt;=Y$99,$G87&lt;EDATE(Y$99,1)),"F",IF(AND(ISNUMBER($H87),$H87&gt;=Y$99,$H87&lt;EDATE(Y$99,1)),"D","")))</f>
        <v/>
      </c>
      <c r="Z121" s="71" t="str">
        <f aca="false">IF(OR(Z$99="",$A87=""),"",IF(AND(ISNUMBER($G87),$G87&gt;=Z$99,$G87&lt;EDATE(Z$99,1)),"F",IF(AND(ISNUMBER($H87),$H87&gt;=Z$99,$H87&lt;EDATE(Z$99,1)),"D","")))</f>
        <v/>
      </c>
      <c r="AA121" s="71" t="str">
        <f aca="false">IF(OR(AA$99="",$A87=""),"",IF(AND(ISNUMBER($G87),$G87&gt;=AA$99,$G87&lt;EDATE(AA$99,1)),"F",IF(AND(ISNUMBER($H87),$H87&gt;=AA$99,$H87&lt;EDATE(AA$99,1)),"D","")))</f>
        <v/>
      </c>
      <c r="AB121" s="71" t="str">
        <f aca="false">IF(OR(AB$99="",$A87=""),"",IF(AND(ISNUMBER($G87),$G87&gt;=AB$99,$G87&lt;EDATE(AB$99,1)),"F",IF(AND(ISNUMBER($H87),$H87&gt;=AB$99,$H87&lt;EDATE(AB$99,1)),"D","")))</f>
        <v/>
      </c>
      <c r="AC121" s="71" t="str">
        <f aca="false">IF(OR(AC$99="",$A87=""),"",IF(AND(ISNUMBER($G87),$G87&gt;=AC$99,$G87&lt;EDATE(AC$99,1)),"F",IF(AND(ISNUMBER($H87),$H87&gt;=AC$99,$H87&lt;EDATE(AC$99,1)),"D","")))</f>
        <v/>
      </c>
      <c r="AD121" s="71" t="str">
        <f aca="false">IF(OR(AD$99="",$A87=""),"",IF(AND(ISNUMBER($G87),$G87&gt;=AD$99,$G87&lt;EDATE(AD$99,1)),"F",IF(AND(ISNUMBER($H87),$H87&gt;=AD$99,$H87&lt;EDATE(AD$99,1)),"D","")))</f>
        <v/>
      </c>
      <c r="AE121" s="71" t="str">
        <f aca="false">IF(OR(AE$99="",$A87=""),"",IF(AND(ISNUMBER($G87),$G87&gt;=AE$99,$G87&lt;EDATE(AE$99,1)),"F",IF(AND(ISNUMBER($H87),$H87&gt;=AE$99,$H87&lt;EDATE(AE$99,1)),"D","")))</f>
        <v/>
      </c>
      <c r="AF121" s="71" t="str">
        <f aca="false">IF(OR(AF$99="",$A87=""),"",IF(AND(ISNUMBER($G87),$G87&gt;=AF$99,$G87&lt;EDATE(AF$99,1)),"F",IF(AND(ISNUMBER($H87),$H87&gt;=AF$99,$H87&lt;EDATE(AF$99,1)),"D","")))</f>
        <v/>
      </c>
      <c r="AG121" s="71" t="str">
        <f aca="false">IF(OR(AG$99="",$A87=""),"",IF(AND(ISNUMBER($G87),$G87&gt;=AG$99,$G87&lt;EDATE(AG$99,1)),"F",IF(AND(ISNUMBER($H87),$H87&gt;=AG$99,$H87&lt;EDATE(AG$99,1)),"D","")))</f>
        <v/>
      </c>
      <c r="AH121" s="71" t="str">
        <f aca="false">IF(OR(AH$99="",$A87=""),"",IF(AND(ISNUMBER($G87),$G87&gt;=AH$99,$G87&lt;EDATE(AH$99,1)),"F",IF(AND(ISNUMBER($H87),$H87&gt;=AH$99,$H87&lt;EDATE(AH$99,1)),"D","")))</f>
        <v/>
      </c>
      <c r="AI121" s="71" t="str">
        <f aca="false">IF(OR(AI$99="",$A87=""),"",IF(AND(ISNUMBER($G87),$G87&gt;=AI$99,$G87&lt;EDATE(AI$99,1)),"F",IF(AND(ISNUMBER($H87),$H87&gt;=AI$99,$H87&lt;EDATE(AI$99,1)),"D","")))</f>
        <v/>
      </c>
      <c r="AJ121" s="71" t="str">
        <f aca="false">IF(OR(AJ$99="",$A87=""),"",IF(AND(ISNUMBER($G87),$G87&gt;=AJ$99,$G87&lt;EDATE(AJ$99,1)),"F",IF(AND(ISNUMBER($H87),$H87&gt;=AJ$99,$H87&lt;EDATE(AJ$99,1)),"D","")))</f>
        <v/>
      </c>
      <c r="AK121" s="71" t="str">
        <f aca="false">IF(OR(AK$99="",$A87=""),"",IF(AND(ISNUMBER($G87),$G87&gt;=AK$99,$G87&lt;EDATE(AK$99,1)),"F",IF(AND(ISNUMBER($H87),$H87&gt;=AK$99,$H87&lt;EDATE(AK$99,1)),"D","")))</f>
        <v/>
      </c>
      <c r="AL121" s="71" t="str">
        <f aca="false">IF(OR(AL$99="",$A87=""),"",IF(AND(ISNUMBER($G87),$G87&gt;=AL$99,$G87&lt;EDATE(AL$99,1)),"F",IF(AND(ISNUMBER($H87),$H87&gt;=AL$99,$H87&lt;EDATE(AL$99,1)),"D","")))</f>
        <v/>
      </c>
      <c r="AM121" s="71" t="str">
        <f aca="false">IF(OR(AM$99="",$A87=""),"",IF(AND(ISNUMBER($G87),$G87&gt;=AM$99,$G87&lt;EDATE(AM$99,1)),"F",IF(AND(ISNUMBER($H87),$H87&gt;=AM$99,$H87&lt;EDATE(AM$99,1)),"D","")))</f>
        <v/>
      </c>
      <c r="AN121" s="71" t="str">
        <f aca="false">IF(OR(AN$99="",$A87=""),"",IF(AND(ISNUMBER($G87),$G87&gt;=AN$99,$G87&lt;EDATE(AN$99,1)),"F",IF(AND(ISNUMBER($H87),$H87&gt;=AN$99,$H87&lt;EDATE(AN$99,1)),"D","")))</f>
        <v/>
      </c>
      <c r="AO121" s="71" t="str">
        <f aca="false">IF(OR(AO$99="",$A87=""),"",IF(AND(ISNUMBER($G87),$G87&gt;=AO$99,$G87&lt;EDATE(AO$99,1)),"F",IF(AND(ISNUMBER($H87),$H87&gt;=AO$99,$H87&lt;EDATE(AO$99,1)),"D","")))</f>
        <v/>
      </c>
      <c r="AP121" s="71" t="str">
        <f aca="false">IF(OR(AP$99="",$A87=""),"",IF(AND(ISNUMBER($G87),$G87&gt;=AP$99,$G87&lt;EDATE(AP$99,1)),"F",IF(AND(ISNUMBER($H87),$H87&gt;=AP$99,$H87&lt;EDATE(AP$99,1)),"D","")))</f>
        <v/>
      </c>
      <c r="AQ121" s="71" t="str">
        <f aca="false">IF(OR(AQ$99="",$A87=""),"",IF(AND(ISNUMBER($G87),$G87&gt;=AQ$99,$G87&lt;EDATE(AQ$99,1)),"F",IF(AND(ISNUMBER($H87),$H87&gt;=AQ$99,$H87&lt;EDATE(AQ$99,1)),"D","")))</f>
        <v/>
      </c>
      <c r="AR121" s="71" t="str">
        <f aca="false">IF(OR(AR$99="",$A87=""),"",IF(AND(ISNUMBER($G87),$G87&gt;=AR$99,$G87&lt;EDATE(AR$99,1)),"F",IF(AND(ISNUMBER($H87),$H87&gt;=AR$99,$H87&lt;EDATE(AR$99,1)),"D","")))</f>
        <v/>
      </c>
      <c r="AS121" s="71" t="str">
        <f aca="false">IF(OR(AS$99="",$A87=""),"",IF(AND(ISNUMBER($G87),$G87&gt;=AS$99,$G87&lt;EDATE(AS$99,1)),"F",IF(AND(ISNUMBER($H87),$H87&gt;=AS$99,$H87&lt;EDATE(AS$99,1)),"D","")))</f>
        <v/>
      </c>
      <c r="AT121" s="71" t="str">
        <f aca="false">IF(OR(AT$99="",$A87=""),"",IF(AND(ISNUMBER($G87),$G87&gt;=AT$99,$G87&lt;EDATE(AT$99,1)),"F",IF(AND(ISNUMBER($H87),$H87&gt;=AT$99,$H87&lt;EDATE(AT$99,1)),"D","")))</f>
        <v/>
      </c>
      <c r="AU121" s="71" t="str">
        <f aca="false">IF(OR(AU$99="",$A87=""),"",IF(AND(ISNUMBER($G87),$G87&gt;=AU$99,$G87&lt;EDATE(AU$99,1)),"F",IF(AND(ISNUMBER($H87),$H87&gt;=AU$99,$H87&lt;EDATE(AU$99,1)),"D","")))</f>
        <v/>
      </c>
      <c r="AV121" s="71" t="str">
        <f aca="false">IF(OR(AV$99="",$A87=""),"",IF(AND(ISNUMBER($G87),$G87&gt;=AV$99,$G87&lt;EDATE(AV$99,1)),"F",IF(AND(ISNUMBER($H87),$H87&gt;=AV$99,$H87&lt;EDATE(AV$99,1)),"D","")))</f>
        <v/>
      </c>
      <c r="AW121" s="71" t="str">
        <f aca="false">IF(OR(AW$99="",$A87=""),"",IF(AND(ISNUMBER($G87),$G87&gt;=AW$99,$G87&lt;EDATE(AW$99,1)),"F",IF(AND(ISNUMBER($H87),$H87&gt;=AW$99,$H87&lt;EDATE(AW$99,1)),"D","")))</f>
        <v/>
      </c>
      <c r="AX121" s="71" t="str">
        <f aca="false">IF(OR(AX$99="",$A87=""),"",IF(AND(ISNUMBER($G87),$G87&gt;=AX$99,$G87&lt;EDATE(AX$99,1)),"F",IF(AND(ISNUMBER($H87),$H87&gt;=AX$99,$H87&lt;EDATE(AX$99,1)),"D","")))</f>
        <v/>
      </c>
      <c r="AY121" s="71" t="str">
        <f aca="false">IF(OR(AY$99="",$A87=""),"",IF(AND(ISNUMBER($G87),$G87&gt;=AY$99,$G87&lt;EDATE(AY$99,1)),"F",IF(AND(ISNUMBER($H87),$H87&gt;=AY$99,$H87&lt;EDATE(AY$99,1)),"D","")))</f>
        <v/>
      </c>
      <c r="AZ121" s="71" t="str">
        <f aca="false">IF(OR(AZ$99="",$A87=""),"",IF(AND(ISNUMBER($G87),$G87&gt;=AZ$99,$G87&lt;EDATE(AZ$99,1)),"F",IF(AND(ISNUMBER($H87),$H87&gt;=AZ$99,$H87&lt;EDATE(AZ$99,1)),"D","")))</f>
        <v/>
      </c>
      <c r="BA121" s="71" t="str">
        <f aca="false">IF(OR(BA$99="",$A87=""),"",IF(AND(ISNUMBER($G87),$G87&gt;=BA$99,$G87&lt;EDATE(BA$99,1)),"F",IF(AND(ISNUMBER($H87),$H87&gt;=BA$99,$H87&lt;EDATE(BA$99,1)),"D","")))</f>
        <v/>
      </c>
      <c r="BB121" s="71" t="str">
        <f aca="false">IF(OR(BB$99="",$A87=""),"",IF(AND(ISNUMBER($G87),$G87&gt;=BB$99,$G87&lt;EDATE(BB$99,1)),"F",IF(AND(ISNUMBER($H87),$H87&gt;=BB$99,$H87&lt;EDATE(BB$99,1)),"D","")))</f>
        <v/>
      </c>
      <c r="BC121" s="71" t="str">
        <f aca="false">IF(OR(BC$99="",$A87=""),"",IF(AND(ISNUMBER($G87),$G87&gt;=BC$99,$G87&lt;EDATE(BC$99,1)),"F",IF(AND(ISNUMBER($H87),$H87&gt;=BC$99,$H87&lt;EDATE(BC$99,1)),"D","")))</f>
        <v/>
      </c>
      <c r="BD121" s="71" t="str">
        <f aca="false">IF(OR(BD$99="",$A87=""),"",IF(AND(ISNUMBER($G87),$G87&gt;=BD$99,$G87&lt;EDATE(BD$99,1)),"F",IF(AND(ISNUMBER($H87),$H87&gt;=BD$99,$H87&lt;EDATE(BD$99,1)),"D","")))</f>
        <v/>
      </c>
      <c r="BE121" s="71" t="str">
        <f aca="false">IF(OR(BE$99="",$A87=""),"",IF(AND(ISNUMBER($G87),$G87&gt;=BE$99,$G87&lt;EDATE(BE$99,1)),"F",IF(AND(ISNUMBER($H87),$H87&gt;=BE$99,$H87&lt;EDATE(BE$99,1)),"D","")))</f>
        <v/>
      </c>
      <c r="BF121" s="71" t="str">
        <f aca="false">IF(OR(BF$99="",$A87=""),"",IF(AND(ISNUMBER($G87),$G87&gt;=BF$99,$G87&lt;EDATE(BF$99,1)),"F",IF(AND(ISNUMBER($H87),$H87&gt;=BF$99,$H87&lt;EDATE(BF$99,1)),"D","")))</f>
        <v/>
      </c>
      <c r="BG121" s="71" t="str">
        <f aca="false">IF(OR(BG$99="",$A87=""),"",IF(AND(ISNUMBER($G87),$G87&gt;=BG$99,$G87&lt;EDATE(BG$99,1)),"F",IF(AND(ISNUMBER($H87),$H87&gt;=BG$99,$H87&lt;EDATE(BG$99,1)),"D","")))</f>
        <v/>
      </c>
      <c r="BH121" s="71" t="str">
        <f aca="false">IF(OR(BH$99="",$A87=""),"",IF(AND(ISNUMBER($G87),$G87&gt;=BH$99,$G87&lt;EDATE(BH$99,1)),"F",IF(AND(ISNUMBER($H87),$H87&gt;=BH$99,$H87&lt;EDATE(BH$99,1)),"D","")))</f>
        <v/>
      </c>
      <c r="BI121" s="71" t="str">
        <f aca="false">IF(OR(BI$99="",$A87=""),"",IF(AND(ISNUMBER($G87),$G87&gt;=BI$99,$G87&lt;EDATE(BI$99,1)),"F",IF(AND(ISNUMBER($H87),$H87&gt;=BI$99,$H87&lt;EDATE(BI$99,1)),"D","")))</f>
        <v/>
      </c>
      <c r="BJ121" s="71" t="str">
        <f aca="false">IF(OR(BJ$99="",$A87=""),"",IF(AND(ISNUMBER($G87),$G87&gt;=BJ$99,$G87&lt;EDATE(BJ$99,1)),"F",IF(AND(ISNUMBER($H87),$H87&gt;=BJ$99,$H87&lt;EDATE(BJ$99,1)),"D","")))</f>
        <v/>
      </c>
      <c r="BK121" s="71" t="str">
        <f aca="false">IF(OR(BK$99="",$A87=""),"",IF(AND(ISNUMBER($G87),$G87&gt;=BK$99,$G87&lt;EDATE(BK$99,1)),"F",IF(AND(ISNUMBER($H87),$H87&gt;=BK$99,$H87&lt;EDATE(BK$99,1)),"D","")))</f>
        <v/>
      </c>
      <c r="BL121" s="71" t="str">
        <f aca="false">IF(OR(BL$99="",$A87=""),"",IF(AND(ISNUMBER($G87),$G87&gt;=BL$99,$G87&lt;EDATE(BL$99,1)),"F",IF(AND(ISNUMBER($H87),$H87&gt;=BL$99,$H87&lt;EDATE(BL$99,1)),"D","")))</f>
        <v/>
      </c>
      <c r="BM121" s="71" t="str">
        <f aca="false">IF(OR(BM$99="",$A87=""),"",IF(AND(ISNUMBER($G87),$G87&gt;=BM$99,$G87&lt;EDATE(BM$99,1)),"F",IF(AND(ISNUMBER($H87),$H87&gt;=BM$99,$H87&lt;EDATE(BM$99,1)),"D","")))</f>
        <v/>
      </c>
      <c r="BN121" s="71" t="str">
        <f aca="false">IF(OR(BN$99="",$A87=""),"",IF(AND(ISNUMBER($G87),$G87&gt;=BN$99,$G87&lt;EDATE(BN$99,1)),"F",IF(AND(ISNUMBER($H87),$H87&gt;=BN$99,$H87&lt;EDATE(BN$99,1)),"D","")))</f>
        <v/>
      </c>
      <c r="BO121" s="71" t="str">
        <f aca="false">IF(OR(BO$99="",$A87=""),"",IF(AND(ISNUMBER($G87),$G87&gt;=BO$99,$G87&lt;EDATE(BO$99,1)),"F",IF(AND(ISNUMBER($H87),$H87&gt;=BO$99,$H87&lt;EDATE(BO$99,1)),"D","")))</f>
        <v/>
      </c>
      <c r="BP121" s="71" t="str">
        <f aca="false">IF(OR(BP$99="",$A87=""),"",IF(AND(ISNUMBER($G87),$G87&gt;=BP$99,$G87&lt;EDATE(BP$99,1)),"F",IF(AND(ISNUMBER($H87),$H87&gt;=BP$99,$H87&lt;EDATE(BP$99,1)),"D","")))</f>
        <v/>
      </c>
      <c r="BQ121" s="71" t="str">
        <f aca="false">IF(OR(BQ$99="",$A87=""),"",IF(AND(ISNUMBER($G87),$G87&gt;=BQ$99,$G87&lt;EDATE(BQ$99,1)),"F",IF(AND(ISNUMBER($H87),$H87&gt;=BQ$99,$H87&lt;EDATE(BQ$99,1)),"D","")))</f>
        <v/>
      </c>
      <c r="BR121" s="71" t="str">
        <f aca="false">IF(OR(BR$99="",$A87=""),"",IF(AND(ISNUMBER($G87),$G87&gt;=BR$99,$G87&lt;EDATE(BR$99,1)),"F",IF(AND(ISNUMBER($H87),$H87&gt;=BR$99,$H87&lt;EDATE(BR$99,1)),"D","")))</f>
        <v/>
      </c>
      <c r="BS121" s="71" t="str">
        <f aca="false">IF(OR(BS$99="",$A87=""),"",IF(AND(ISNUMBER($G87),$G87&gt;=BS$99,$G87&lt;EDATE(BS$99,1)),"F",IF(AND(ISNUMBER($H87),$H87&gt;=BS$99,$H87&lt;EDATE(BS$99,1)),"D","")))</f>
        <v/>
      </c>
      <c r="BT121" s="71" t="str">
        <f aca="false">IF(OR(BT$99="",$A87=""),"",IF(AND(ISNUMBER($G87),$G87&gt;=BT$99,$G87&lt;EDATE(BT$99,1)),"F",IF(AND(ISNUMBER($H87),$H87&gt;=BT$99,$H87&lt;EDATE(BT$99,1)),"D","")))</f>
        <v/>
      </c>
      <c r="BU121" s="71" t="str">
        <f aca="false">IF(OR(BU$99="",$A87=""),"",IF(AND(ISNUMBER($G87),$G87&gt;=BU$99,$G87&lt;EDATE(BU$99,1)),"F",IF(AND(ISNUMBER($H87),$H87&gt;=BU$99,$H87&lt;EDATE(BU$99,1)),"D","")))</f>
        <v/>
      </c>
      <c r="BV121" s="71" t="str">
        <f aca="false">IF(OR(BV$99="",$A87=""),"",IF(AND(ISNUMBER($G87),$G87&gt;=BV$99,$G87&lt;EDATE(BV$99,1)),"F",IF(AND(ISNUMBER($H87),$H87&gt;=BV$99,$H87&lt;EDATE(BV$99,1)),"D","")))</f>
        <v/>
      </c>
      <c r="BW121" s="71" t="str">
        <f aca="false">IF(OR(BW$99="",$A87=""),"",IF(AND(ISNUMBER($G87),$G87&gt;=BW$99,$G87&lt;EDATE(BW$99,1)),"F",IF(AND(ISNUMBER($H87),$H87&gt;=BW$99,$H87&lt;EDATE(BW$99,1)),"D","")))</f>
        <v/>
      </c>
      <c r="BX121" s="71" t="str">
        <f aca="false">IF(OR(BX$99="",$A87=""),"",IF(AND(ISNUMBER($G87),$G87&gt;=BX$99,$G87&lt;EDATE(BX$99,1)),"F",IF(AND(ISNUMBER($H87),$H87&gt;=BX$99,$H87&lt;EDATE(BX$99,1)),"D","")))</f>
        <v/>
      </c>
      <c r="BY121" s="71" t="str">
        <f aca="false">IF(OR(BY$99="",$A87=""),"",IF(AND(ISNUMBER($G87),$G87&gt;=BY$99,$G87&lt;EDATE(BY$99,1)),"F",IF(AND(ISNUMBER($H87),$H87&gt;=BY$99,$H87&lt;EDATE(BY$99,1)),"D","")))</f>
        <v/>
      </c>
      <c r="BZ121" s="71" t="str">
        <f aca="false">IF(OR(BZ$99="",$A87=""),"",IF(AND(ISNUMBER($G87),$G87&gt;=BZ$99,$G87&lt;EDATE(BZ$99,1)),"F",IF(AND(ISNUMBER($H87),$H87&gt;=BZ$99,$H87&lt;EDATE(BZ$99,1)),"D","")))</f>
        <v/>
      </c>
      <c r="CA121" s="71" t="str">
        <f aca="false">IF(OR(CA$99="",$A87=""),"",IF(AND(ISNUMBER($G87),$G87&gt;=CA$99,$G87&lt;EDATE(CA$99,1)),"F",IF(AND(ISNUMBER($H87),$H87&gt;=CA$99,$H87&lt;EDATE(CA$99,1)),"D","")))</f>
        <v/>
      </c>
      <c r="CB121" s="71" t="str">
        <f aca="false">IF(OR(CB$99="",$A87=""),"",IF(AND(ISNUMBER($G87),$G87&gt;=CB$99,$G87&lt;EDATE(CB$99,1)),"F",IF(AND(ISNUMBER($H87),$H87&gt;=CB$99,$H87&lt;EDATE(CB$99,1)),"D","")))</f>
        <v/>
      </c>
      <c r="CC121" s="71" t="str">
        <f aca="false">IF(OR(CC$99="",$A87=""),"",IF(AND(ISNUMBER($G87),$G87&gt;=CC$99,$G87&lt;EDATE(CC$99,1)),"F",IF(AND(ISNUMBER($H87),$H87&gt;=CC$99,$H87&lt;EDATE(CC$99,1)),"D","")))</f>
        <v/>
      </c>
      <c r="CD121" s="71" t="str">
        <f aca="false">IF(OR(CD$99="",$A87=""),"",IF(AND(ISNUMBER($G87),$G87&gt;=CD$99,$G87&lt;EDATE(CD$99,1)),"F",IF(AND(ISNUMBER($H87),$H87&gt;=CD$99,$H87&lt;EDATE(CD$99,1)),"D","")))</f>
        <v/>
      </c>
      <c r="CE121" s="71" t="str">
        <f aca="false">IF(OR(CE$99="",$A87=""),"",IF(AND(ISNUMBER($G87),$G87&gt;=CE$99,$G87&lt;EDATE(CE$99,1)),"F",IF(AND(ISNUMBER($H87),$H87&gt;=CE$99,$H87&lt;EDATE(CE$99,1)),"D","")))</f>
        <v/>
      </c>
      <c r="CF121" s="71" t="str">
        <f aca="false">IF(OR(CF$99="",$A87=""),"",IF(AND(ISNUMBER($G87),$G87&gt;=CF$99,$G87&lt;EDATE(CF$99,1)),"F",IF(AND(ISNUMBER($H87),$H87&gt;=CF$99,$H87&lt;EDATE(CF$99,1)),"D","")))</f>
        <v/>
      </c>
      <c r="CG121" s="71" t="str">
        <f aca="false">IF(OR(CG$99="",$A87=""),"",IF(AND(ISNUMBER($G87),$G87&gt;=CG$99,$G87&lt;EDATE(CG$99,1)),"F",IF(AND(ISNUMBER($H87),$H87&gt;=CG$99,$H87&lt;EDATE(CG$99,1)),"D","")))</f>
        <v/>
      </c>
      <c r="CH121" s="71" t="str">
        <f aca="false">IF(OR(CH$99="",$A87=""),"",IF(AND(ISNUMBER($G87),$G87&gt;=CH$99,$G87&lt;EDATE(CH$99,1)),"F",IF(AND(ISNUMBER($H87),$H87&gt;=CH$99,$H87&lt;EDATE(CH$99,1)),"D","")))</f>
        <v/>
      </c>
      <c r="CI121" s="71" t="str">
        <f aca="false">IF(OR(CI$99="",$A87=""),"",IF(AND(ISNUMBER($G87),$G87&gt;=CI$99,$G87&lt;EDATE(CI$99,1)),"F",IF(AND(ISNUMBER($H87),$H87&gt;=CI$99,$H87&lt;EDATE(CI$99,1)),"D","")))</f>
        <v/>
      </c>
      <c r="CJ121" s="71" t="str">
        <f aca="false">IF(OR(CJ$99="",$A87=""),"",IF(AND(ISNUMBER($G87),$G87&gt;=CJ$99,$G87&lt;EDATE(CJ$99,1)),"F",IF(AND(ISNUMBER($H87),$H87&gt;=CJ$99,$H87&lt;EDATE(CJ$99,1)),"D","")))</f>
        <v/>
      </c>
      <c r="CK121" s="71" t="str">
        <f aca="false">IF(OR(CK$99="",$A87=""),"",IF(AND(ISNUMBER($G87),$G87&gt;=CK$99,$G87&lt;EDATE(CK$99,1)),"F",IF(AND(ISNUMBER($H87),$H87&gt;=CK$99,$H87&lt;EDATE(CK$99,1)),"D","")))</f>
        <v/>
      </c>
    </row>
    <row r="122" customFormat="false" ht="15" hidden="false" customHeight="false" outlineLevel="0" collapsed="false">
      <c r="A122" s="74" t="str">
        <f aca="false">IF($A88="","",$A88)</f>
        <v/>
      </c>
      <c r="B122" s="74" t="str">
        <f aca="false">IF($A88="","",$B88)</f>
        <v/>
      </c>
      <c r="R122" s="71" t="str">
        <f aca="false">IF(OR(R$99="",$A88=""),"",IF(AND(ISNUMBER($G88),$G88&gt;=R$99,$G88&lt;EDATE(R$99,1)),"F",IF(AND(ISNUMBER($H88),$H88&gt;=R$99,$H88&lt;EDATE(R$99,1)),"D","")))</f>
        <v/>
      </c>
      <c r="S122" s="71" t="str">
        <f aca="false">IF(OR(S$99="",$A88=""),"",IF(AND(ISNUMBER($G88),$G88&gt;=S$99,$G88&lt;EDATE(S$99,1)),"F",IF(AND(ISNUMBER($H88),$H88&gt;=S$99,$H88&lt;EDATE(S$99,1)),"D","")))</f>
        <v/>
      </c>
      <c r="T122" s="71" t="str">
        <f aca="false">IF(OR(T$99="",$A88=""),"",IF(AND(ISNUMBER($G88),$G88&gt;=T$99,$G88&lt;EDATE(T$99,1)),"F",IF(AND(ISNUMBER($H88),$H88&gt;=T$99,$H88&lt;EDATE(T$99,1)),"D","")))</f>
        <v/>
      </c>
      <c r="U122" s="71" t="str">
        <f aca="false">IF(OR(U$99="",$A88=""),"",IF(AND(ISNUMBER($G88),$G88&gt;=U$99,$G88&lt;EDATE(U$99,1)),"F",IF(AND(ISNUMBER($H88),$H88&gt;=U$99,$H88&lt;EDATE(U$99,1)),"D","")))</f>
        <v/>
      </c>
      <c r="V122" s="71" t="str">
        <f aca="false">IF(OR(V$99="",$A88=""),"",IF(AND(ISNUMBER($G88),$G88&gt;=V$99,$G88&lt;EDATE(V$99,1)),"F",IF(AND(ISNUMBER($H88),$H88&gt;=V$99,$H88&lt;EDATE(V$99,1)),"D","")))</f>
        <v/>
      </c>
      <c r="W122" s="71" t="str">
        <f aca="false">IF(OR(W$99="",$A88=""),"",IF(AND(ISNUMBER($G88),$G88&gt;=W$99,$G88&lt;EDATE(W$99,1)),"F",IF(AND(ISNUMBER($H88),$H88&gt;=W$99,$H88&lt;EDATE(W$99,1)),"D","")))</f>
        <v/>
      </c>
      <c r="X122" s="71" t="str">
        <f aca="false">IF(OR(X$99="",$A88=""),"",IF(AND(ISNUMBER($G88),$G88&gt;=X$99,$G88&lt;EDATE(X$99,1)),"F",IF(AND(ISNUMBER($H88),$H88&gt;=X$99,$H88&lt;EDATE(X$99,1)),"D","")))</f>
        <v/>
      </c>
      <c r="Y122" s="71" t="str">
        <f aca="false">IF(OR(Y$99="",$A88=""),"",IF(AND(ISNUMBER($G88),$G88&gt;=Y$99,$G88&lt;EDATE(Y$99,1)),"F",IF(AND(ISNUMBER($H88),$H88&gt;=Y$99,$H88&lt;EDATE(Y$99,1)),"D","")))</f>
        <v/>
      </c>
      <c r="Z122" s="71" t="str">
        <f aca="false">IF(OR(Z$99="",$A88=""),"",IF(AND(ISNUMBER($G88),$G88&gt;=Z$99,$G88&lt;EDATE(Z$99,1)),"F",IF(AND(ISNUMBER($H88),$H88&gt;=Z$99,$H88&lt;EDATE(Z$99,1)),"D","")))</f>
        <v/>
      </c>
      <c r="AA122" s="71" t="str">
        <f aca="false">IF(OR(AA$99="",$A88=""),"",IF(AND(ISNUMBER($G88),$G88&gt;=AA$99,$G88&lt;EDATE(AA$99,1)),"F",IF(AND(ISNUMBER($H88),$H88&gt;=AA$99,$H88&lt;EDATE(AA$99,1)),"D","")))</f>
        <v/>
      </c>
      <c r="AB122" s="71" t="str">
        <f aca="false">IF(OR(AB$99="",$A88=""),"",IF(AND(ISNUMBER($G88),$G88&gt;=AB$99,$G88&lt;EDATE(AB$99,1)),"F",IF(AND(ISNUMBER($H88),$H88&gt;=AB$99,$H88&lt;EDATE(AB$99,1)),"D","")))</f>
        <v/>
      </c>
      <c r="AC122" s="71" t="str">
        <f aca="false">IF(OR(AC$99="",$A88=""),"",IF(AND(ISNUMBER($G88),$G88&gt;=AC$99,$G88&lt;EDATE(AC$99,1)),"F",IF(AND(ISNUMBER($H88),$H88&gt;=AC$99,$H88&lt;EDATE(AC$99,1)),"D","")))</f>
        <v/>
      </c>
      <c r="AD122" s="71" t="str">
        <f aca="false">IF(OR(AD$99="",$A88=""),"",IF(AND(ISNUMBER($G88),$G88&gt;=AD$99,$G88&lt;EDATE(AD$99,1)),"F",IF(AND(ISNUMBER($H88),$H88&gt;=AD$99,$H88&lt;EDATE(AD$99,1)),"D","")))</f>
        <v/>
      </c>
      <c r="AE122" s="71" t="str">
        <f aca="false">IF(OR(AE$99="",$A88=""),"",IF(AND(ISNUMBER($G88),$G88&gt;=AE$99,$G88&lt;EDATE(AE$99,1)),"F",IF(AND(ISNUMBER($H88),$H88&gt;=AE$99,$H88&lt;EDATE(AE$99,1)),"D","")))</f>
        <v/>
      </c>
      <c r="AF122" s="71" t="str">
        <f aca="false">IF(OR(AF$99="",$A88=""),"",IF(AND(ISNUMBER($G88),$G88&gt;=AF$99,$G88&lt;EDATE(AF$99,1)),"F",IF(AND(ISNUMBER($H88),$H88&gt;=AF$99,$H88&lt;EDATE(AF$99,1)),"D","")))</f>
        <v/>
      </c>
      <c r="AG122" s="71" t="str">
        <f aca="false">IF(OR(AG$99="",$A88=""),"",IF(AND(ISNUMBER($G88),$G88&gt;=AG$99,$G88&lt;EDATE(AG$99,1)),"F",IF(AND(ISNUMBER($H88),$H88&gt;=AG$99,$H88&lt;EDATE(AG$99,1)),"D","")))</f>
        <v/>
      </c>
      <c r="AH122" s="71" t="str">
        <f aca="false">IF(OR(AH$99="",$A88=""),"",IF(AND(ISNUMBER($G88),$G88&gt;=AH$99,$G88&lt;EDATE(AH$99,1)),"F",IF(AND(ISNUMBER($H88),$H88&gt;=AH$99,$H88&lt;EDATE(AH$99,1)),"D","")))</f>
        <v/>
      </c>
      <c r="AI122" s="71" t="str">
        <f aca="false">IF(OR(AI$99="",$A88=""),"",IF(AND(ISNUMBER($G88),$G88&gt;=AI$99,$G88&lt;EDATE(AI$99,1)),"F",IF(AND(ISNUMBER($H88),$H88&gt;=AI$99,$H88&lt;EDATE(AI$99,1)),"D","")))</f>
        <v/>
      </c>
      <c r="AJ122" s="71" t="str">
        <f aca="false">IF(OR(AJ$99="",$A88=""),"",IF(AND(ISNUMBER($G88),$G88&gt;=AJ$99,$G88&lt;EDATE(AJ$99,1)),"F",IF(AND(ISNUMBER($H88),$H88&gt;=AJ$99,$H88&lt;EDATE(AJ$99,1)),"D","")))</f>
        <v/>
      </c>
      <c r="AK122" s="71" t="str">
        <f aca="false">IF(OR(AK$99="",$A88=""),"",IF(AND(ISNUMBER($G88),$G88&gt;=AK$99,$G88&lt;EDATE(AK$99,1)),"F",IF(AND(ISNUMBER($H88),$H88&gt;=AK$99,$H88&lt;EDATE(AK$99,1)),"D","")))</f>
        <v/>
      </c>
      <c r="AL122" s="71" t="str">
        <f aca="false">IF(OR(AL$99="",$A88=""),"",IF(AND(ISNUMBER($G88),$G88&gt;=AL$99,$G88&lt;EDATE(AL$99,1)),"F",IF(AND(ISNUMBER($H88),$H88&gt;=AL$99,$H88&lt;EDATE(AL$99,1)),"D","")))</f>
        <v/>
      </c>
      <c r="AM122" s="71" t="str">
        <f aca="false">IF(OR(AM$99="",$A88=""),"",IF(AND(ISNUMBER($G88),$G88&gt;=AM$99,$G88&lt;EDATE(AM$99,1)),"F",IF(AND(ISNUMBER($H88),$H88&gt;=AM$99,$H88&lt;EDATE(AM$99,1)),"D","")))</f>
        <v/>
      </c>
      <c r="AN122" s="71" t="str">
        <f aca="false">IF(OR(AN$99="",$A88=""),"",IF(AND(ISNUMBER($G88),$G88&gt;=AN$99,$G88&lt;EDATE(AN$99,1)),"F",IF(AND(ISNUMBER($H88),$H88&gt;=AN$99,$H88&lt;EDATE(AN$99,1)),"D","")))</f>
        <v/>
      </c>
      <c r="AO122" s="71" t="str">
        <f aca="false">IF(OR(AO$99="",$A88=""),"",IF(AND(ISNUMBER($G88),$G88&gt;=AO$99,$G88&lt;EDATE(AO$99,1)),"F",IF(AND(ISNUMBER($H88),$H88&gt;=AO$99,$H88&lt;EDATE(AO$99,1)),"D","")))</f>
        <v/>
      </c>
      <c r="AP122" s="71" t="str">
        <f aca="false">IF(OR(AP$99="",$A88=""),"",IF(AND(ISNUMBER($G88),$G88&gt;=AP$99,$G88&lt;EDATE(AP$99,1)),"F",IF(AND(ISNUMBER($H88),$H88&gt;=AP$99,$H88&lt;EDATE(AP$99,1)),"D","")))</f>
        <v/>
      </c>
      <c r="AQ122" s="71" t="str">
        <f aca="false">IF(OR(AQ$99="",$A88=""),"",IF(AND(ISNUMBER($G88),$G88&gt;=AQ$99,$G88&lt;EDATE(AQ$99,1)),"F",IF(AND(ISNUMBER($H88),$H88&gt;=AQ$99,$H88&lt;EDATE(AQ$99,1)),"D","")))</f>
        <v/>
      </c>
      <c r="AR122" s="71" t="str">
        <f aca="false">IF(OR(AR$99="",$A88=""),"",IF(AND(ISNUMBER($G88),$G88&gt;=AR$99,$G88&lt;EDATE(AR$99,1)),"F",IF(AND(ISNUMBER($H88),$H88&gt;=AR$99,$H88&lt;EDATE(AR$99,1)),"D","")))</f>
        <v/>
      </c>
      <c r="AS122" s="71" t="str">
        <f aca="false">IF(OR(AS$99="",$A88=""),"",IF(AND(ISNUMBER($G88),$G88&gt;=AS$99,$G88&lt;EDATE(AS$99,1)),"F",IF(AND(ISNUMBER($H88),$H88&gt;=AS$99,$H88&lt;EDATE(AS$99,1)),"D","")))</f>
        <v/>
      </c>
      <c r="AT122" s="71" t="str">
        <f aca="false">IF(OR(AT$99="",$A88=""),"",IF(AND(ISNUMBER($G88),$G88&gt;=AT$99,$G88&lt;EDATE(AT$99,1)),"F",IF(AND(ISNUMBER($H88),$H88&gt;=AT$99,$H88&lt;EDATE(AT$99,1)),"D","")))</f>
        <v/>
      </c>
      <c r="AU122" s="71" t="str">
        <f aca="false">IF(OR(AU$99="",$A88=""),"",IF(AND(ISNUMBER($G88),$G88&gt;=AU$99,$G88&lt;EDATE(AU$99,1)),"F",IF(AND(ISNUMBER($H88),$H88&gt;=AU$99,$H88&lt;EDATE(AU$99,1)),"D","")))</f>
        <v/>
      </c>
      <c r="AV122" s="71" t="str">
        <f aca="false">IF(OR(AV$99="",$A88=""),"",IF(AND(ISNUMBER($G88),$G88&gt;=AV$99,$G88&lt;EDATE(AV$99,1)),"F",IF(AND(ISNUMBER($H88),$H88&gt;=AV$99,$H88&lt;EDATE(AV$99,1)),"D","")))</f>
        <v/>
      </c>
      <c r="AW122" s="71" t="str">
        <f aca="false">IF(OR(AW$99="",$A88=""),"",IF(AND(ISNUMBER($G88),$G88&gt;=AW$99,$G88&lt;EDATE(AW$99,1)),"F",IF(AND(ISNUMBER($H88),$H88&gt;=AW$99,$H88&lt;EDATE(AW$99,1)),"D","")))</f>
        <v/>
      </c>
      <c r="AX122" s="71" t="str">
        <f aca="false">IF(OR(AX$99="",$A88=""),"",IF(AND(ISNUMBER($G88),$G88&gt;=AX$99,$G88&lt;EDATE(AX$99,1)),"F",IF(AND(ISNUMBER($H88),$H88&gt;=AX$99,$H88&lt;EDATE(AX$99,1)),"D","")))</f>
        <v/>
      </c>
      <c r="AY122" s="71" t="str">
        <f aca="false">IF(OR(AY$99="",$A88=""),"",IF(AND(ISNUMBER($G88),$G88&gt;=AY$99,$G88&lt;EDATE(AY$99,1)),"F",IF(AND(ISNUMBER($H88),$H88&gt;=AY$99,$H88&lt;EDATE(AY$99,1)),"D","")))</f>
        <v/>
      </c>
      <c r="AZ122" s="71" t="str">
        <f aca="false">IF(OR(AZ$99="",$A88=""),"",IF(AND(ISNUMBER($G88),$G88&gt;=AZ$99,$G88&lt;EDATE(AZ$99,1)),"F",IF(AND(ISNUMBER($H88),$H88&gt;=AZ$99,$H88&lt;EDATE(AZ$99,1)),"D","")))</f>
        <v/>
      </c>
      <c r="BA122" s="71" t="str">
        <f aca="false">IF(OR(BA$99="",$A88=""),"",IF(AND(ISNUMBER($G88),$G88&gt;=BA$99,$G88&lt;EDATE(BA$99,1)),"F",IF(AND(ISNUMBER($H88),$H88&gt;=BA$99,$H88&lt;EDATE(BA$99,1)),"D","")))</f>
        <v/>
      </c>
      <c r="BB122" s="71" t="str">
        <f aca="false">IF(OR(BB$99="",$A88=""),"",IF(AND(ISNUMBER($G88),$G88&gt;=BB$99,$G88&lt;EDATE(BB$99,1)),"F",IF(AND(ISNUMBER($H88),$H88&gt;=BB$99,$H88&lt;EDATE(BB$99,1)),"D","")))</f>
        <v/>
      </c>
      <c r="BC122" s="71" t="str">
        <f aca="false">IF(OR(BC$99="",$A88=""),"",IF(AND(ISNUMBER($G88),$G88&gt;=BC$99,$G88&lt;EDATE(BC$99,1)),"F",IF(AND(ISNUMBER($H88),$H88&gt;=BC$99,$H88&lt;EDATE(BC$99,1)),"D","")))</f>
        <v/>
      </c>
      <c r="BD122" s="71" t="str">
        <f aca="false">IF(OR(BD$99="",$A88=""),"",IF(AND(ISNUMBER($G88),$G88&gt;=BD$99,$G88&lt;EDATE(BD$99,1)),"F",IF(AND(ISNUMBER($H88),$H88&gt;=BD$99,$H88&lt;EDATE(BD$99,1)),"D","")))</f>
        <v/>
      </c>
      <c r="BE122" s="71" t="str">
        <f aca="false">IF(OR(BE$99="",$A88=""),"",IF(AND(ISNUMBER($G88),$G88&gt;=BE$99,$G88&lt;EDATE(BE$99,1)),"F",IF(AND(ISNUMBER($H88),$H88&gt;=BE$99,$H88&lt;EDATE(BE$99,1)),"D","")))</f>
        <v/>
      </c>
      <c r="BF122" s="71" t="str">
        <f aca="false">IF(OR(BF$99="",$A88=""),"",IF(AND(ISNUMBER($G88),$G88&gt;=BF$99,$G88&lt;EDATE(BF$99,1)),"F",IF(AND(ISNUMBER($H88),$H88&gt;=BF$99,$H88&lt;EDATE(BF$99,1)),"D","")))</f>
        <v/>
      </c>
      <c r="BG122" s="71" t="str">
        <f aca="false">IF(OR(BG$99="",$A88=""),"",IF(AND(ISNUMBER($G88),$G88&gt;=BG$99,$G88&lt;EDATE(BG$99,1)),"F",IF(AND(ISNUMBER($H88),$H88&gt;=BG$99,$H88&lt;EDATE(BG$99,1)),"D","")))</f>
        <v/>
      </c>
      <c r="BH122" s="71" t="str">
        <f aca="false">IF(OR(BH$99="",$A88=""),"",IF(AND(ISNUMBER($G88),$G88&gt;=BH$99,$G88&lt;EDATE(BH$99,1)),"F",IF(AND(ISNUMBER($H88),$H88&gt;=BH$99,$H88&lt;EDATE(BH$99,1)),"D","")))</f>
        <v/>
      </c>
      <c r="BI122" s="71" t="str">
        <f aca="false">IF(OR(BI$99="",$A88=""),"",IF(AND(ISNUMBER($G88),$G88&gt;=BI$99,$G88&lt;EDATE(BI$99,1)),"F",IF(AND(ISNUMBER($H88),$H88&gt;=BI$99,$H88&lt;EDATE(BI$99,1)),"D","")))</f>
        <v/>
      </c>
      <c r="BJ122" s="71" t="str">
        <f aca="false">IF(OR(BJ$99="",$A88=""),"",IF(AND(ISNUMBER($G88),$G88&gt;=BJ$99,$G88&lt;EDATE(BJ$99,1)),"F",IF(AND(ISNUMBER($H88),$H88&gt;=BJ$99,$H88&lt;EDATE(BJ$99,1)),"D","")))</f>
        <v/>
      </c>
      <c r="BK122" s="71" t="str">
        <f aca="false">IF(OR(BK$99="",$A88=""),"",IF(AND(ISNUMBER($G88),$G88&gt;=BK$99,$G88&lt;EDATE(BK$99,1)),"F",IF(AND(ISNUMBER($H88),$H88&gt;=BK$99,$H88&lt;EDATE(BK$99,1)),"D","")))</f>
        <v/>
      </c>
      <c r="BL122" s="71" t="str">
        <f aca="false">IF(OR(BL$99="",$A88=""),"",IF(AND(ISNUMBER($G88),$G88&gt;=BL$99,$G88&lt;EDATE(BL$99,1)),"F",IF(AND(ISNUMBER($H88),$H88&gt;=BL$99,$H88&lt;EDATE(BL$99,1)),"D","")))</f>
        <v/>
      </c>
      <c r="BM122" s="71" t="str">
        <f aca="false">IF(OR(BM$99="",$A88=""),"",IF(AND(ISNUMBER($G88),$G88&gt;=BM$99,$G88&lt;EDATE(BM$99,1)),"F",IF(AND(ISNUMBER($H88),$H88&gt;=BM$99,$H88&lt;EDATE(BM$99,1)),"D","")))</f>
        <v/>
      </c>
      <c r="BN122" s="71" t="str">
        <f aca="false">IF(OR(BN$99="",$A88=""),"",IF(AND(ISNUMBER($G88),$G88&gt;=BN$99,$G88&lt;EDATE(BN$99,1)),"F",IF(AND(ISNUMBER($H88),$H88&gt;=BN$99,$H88&lt;EDATE(BN$99,1)),"D","")))</f>
        <v/>
      </c>
      <c r="BO122" s="71" t="str">
        <f aca="false">IF(OR(BO$99="",$A88=""),"",IF(AND(ISNUMBER($G88),$G88&gt;=BO$99,$G88&lt;EDATE(BO$99,1)),"F",IF(AND(ISNUMBER($H88),$H88&gt;=BO$99,$H88&lt;EDATE(BO$99,1)),"D","")))</f>
        <v/>
      </c>
      <c r="BP122" s="71" t="str">
        <f aca="false">IF(OR(BP$99="",$A88=""),"",IF(AND(ISNUMBER($G88),$G88&gt;=BP$99,$G88&lt;EDATE(BP$99,1)),"F",IF(AND(ISNUMBER($H88),$H88&gt;=BP$99,$H88&lt;EDATE(BP$99,1)),"D","")))</f>
        <v/>
      </c>
      <c r="BQ122" s="71" t="str">
        <f aca="false">IF(OR(BQ$99="",$A88=""),"",IF(AND(ISNUMBER($G88),$G88&gt;=BQ$99,$G88&lt;EDATE(BQ$99,1)),"F",IF(AND(ISNUMBER($H88),$H88&gt;=BQ$99,$H88&lt;EDATE(BQ$99,1)),"D","")))</f>
        <v/>
      </c>
      <c r="BR122" s="71" t="str">
        <f aca="false">IF(OR(BR$99="",$A88=""),"",IF(AND(ISNUMBER($G88),$G88&gt;=BR$99,$G88&lt;EDATE(BR$99,1)),"F",IF(AND(ISNUMBER($H88),$H88&gt;=BR$99,$H88&lt;EDATE(BR$99,1)),"D","")))</f>
        <v/>
      </c>
      <c r="BS122" s="71" t="str">
        <f aca="false">IF(OR(BS$99="",$A88=""),"",IF(AND(ISNUMBER($G88),$G88&gt;=BS$99,$G88&lt;EDATE(BS$99,1)),"F",IF(AND(ISNUMBER($H88),$H88&gt;=BS$99,$H88&lt;EDATE(BS$99,1)),"D","")))</f>
        <v/>
      </c>
      <c r="BT122" s="71" t="str">
        <f aca="false">IF(OR(BT$99="",$A88=""),"",IF(AND(ISNUMBER($G88),$G88&gt;=BT$99,$G88&lt;EDATE(BT$99,1)),"F",IF(AND(ISNUMBER($H88),$H88&gt;=BT$99,$H88&lt;EDATE(BT$99,1)),"D","")))</f>
        <v/>
      </c>
      <c r="BU122" s="71" t="str">
        <f aca="false">IF(OR(BU$99="",$A88=""),"",IF(AND(ISNUMBER($G88),$G88&gt;=BU$99,$G88&lt;EDATE(BU$99,1)),"F",IF(AND(ISNUMBER($H88),$H88&gt;=BU$99,$H88&lt;EDATE(BU$99,1)),"D","")))</f>
        <v/>
      </c>
      <c r="BV122" s="71" t="str">
        <f aca="false">IF(OR(BV$99="",$A88=""),"",IF(AND(ISNUMBER($G88),$G88&gt;=BV$99,$G88&lt;EDATE(BV$99,1)),"F",IF(AND(ISNUMBER($H88),$H88&gt;=BV$99,$H88&lt;EDATE(BV$99,1)),"D","")))</f>
        <v/>
      </c>
      <c r="BW122" s="71" t="str">
        <f aca="false">IF(OR(BW$99="",$A88=""),"",IF(AND(ISNUMBER($G88),$G88&gt;=BW$99,$G88&lt;EDATE(BW$99,1)),"F",IF(AND(ISNUMBER($H88),$H88&gt;=BW$99,$H88&lt;EDATE(BW$99,1)),"D","")))</f>
        <v/>
      </c>
      <c r="BX122" s="71" t="str">
        <f aca="false">IF(OR(BX$99="",$A88=""),"",IF(AND(ISNUMBER($G88),$G88&gt;=BX$99,$G88&lt;EDATE(BX$99,1)),"F",IF(AND(ISNUMBER($H88),$H88&gt;=BX$99,$H88&lt;EDATE(BX$99,1)),"D","")))</f>
        <v/>
      </c>
      <c r="BY122" s="71" t="str">
        <f aca="false">IF(OR(BY$99="",$A88=""),"",IF(AND(ISNUMBER($G88),$G88&gt;=BY$99,$G88&lt;EDATE(BY$99,1)),"F",IF(AND(ISNUMBER($H88),$H88&gt;=BY$99,$H88&lt;EDATE(BY$99,1)),"D","")))</f>
        <v/>
      </c>
      <c r="BZ122" s="71" t="str">
        <f aca="false">IF(OR(BZ$99="",$A88=""),"",IF(AND(ISNUMBER($G88),$G88&gt;=BZ$99,$G88&lt;EDATE(BZ$99,1)),"F",IF(AND(ISNUMBER($H88),$H88&gt;=BZ$99,$H88&lt;EDATE(BZ$99,1)),"D","")))</f>
        <v/>
      </c>
      <c r="CA122" s="71" t="str">
        <f aca="false">IF(OR(CA$99="",$A88=""),"",IF(AND(ISNUMBER($G88),$G88&gt;=CA$99,$G88&lt;EDATE(CA$99,1)),"F",IF(AND(ISNUMBER($H88),$H88&gt;=CA$99,$H88&lt;EDATE(CA$99,1)),"D","")))</f>
        <v/>
      </c>
      <c r="CB122" s="71" t="str">
        <f aca="false">IF(OR(CB$99="",$A88=""),"",IF(AND(ISNUMBER($G88),$G88&gt;=CB$99,$G88&lt;EDATE(CB$99,1)),"F",IF(AND(ISNUMBER($H88),$H88&gt;=CB$99,$H88&lt;EDATE(CB$99,1)),"D","")))</f>
        <v/>
      </c>
      <c r="CC122" s="71" t="str">
        <f aca="false">IF(OR(CC$99="",$A88=""),"",IF(AND(ISNUMBER($G88),$G88&gt;=CC$99,$G88&lt;EDATE(CC$99,1)),"F",IF(AND(ISNUMBER($H88),$H88&gt;=CC$99,$H88&lt;EDATE(CC$99,1)),"D","")))</f>
        <v/>
      </c>
      <c r="CD122" s="71" t="str">
        <f aca="false">IF(OR(CD$99="",$A88=""),"",IF(AND(ISNUMBER($G88),$G88&gt;=CD$99,$G88&lt;EDATE(CD$99,1)),"F",IF(AND(ISNUMBER($H88),$H88&gt;=CD$99,$H88&lt;EDATE(CD$99,1)),"D","")))</f>
        <v/>
      </c>
      <c r="CE122" s="71" t="str">
        <f aca="false">IF(OR(CE$99="",$A88=""),"",IF(AND(ISNUMBER($G88),$G88&gt;=CE$99,$G88&lt;EDATE(CE$99,1)),"F",IF(AND(ISNUMBER($H88),$H88&gt;=CE$99,$H88&lt;EDATE(CE$99,1)),"D","")))</f>
        <v/>
      </c>
      <c r="CF122" s="71" t="str">
        <f aca="false">IF(OR(CF$99="",$A88=""),"",IF(AND(ISNUMBER($G88),$G88&gt;=CF$99,$G88&lt;EDATE(CF$99,1)),"F",IF(AND(ISNUMBER($H88),$H88&gt;=CF$99,$H88&lt;EDATE(CF$99,1)),"D","")))</f>
        <v/>
      </c>
      <c r="CG122" s="71" t="str">
        <f aca="false">IF(OR(CG$99="",$A88=""),"",IF(AND(ISNUMBER($G88),$G88&gt;=CG$99,$G88&lt;EDATE(CG$99,1)),"F",IF(AND(ISNUMBER($H88),$H88&gt;=CG$99,$H88&lt;EDATE(CG$99,1)),"D","")))</f>
        <v/>
      </c>
      <c r="CH122" s="71" t="str">
        <f aca="false">IF(OR(CH$99="",$A88=""),"",IF(AND(ISNUMBER($G88),$G88&gt;=CH$99,$G88&lt;EDATE(CH$99,1)),"F",IF(AND(ISNUMBER($H88),$H88&gt;=CH$99,$H88&lt;EDATE(CH$99,1)),"D","")))</f>
        <v/>
      </c>
      <c r="CI122" s="71" t="str">
        <f aca="false">IF(OR(CI$99="",$A88=""),"",IF(AND(ISNUMBER($G88),$G88&gt;=CI$99,$G88&lt;EDATE(CI$99,1)),"F",IF(AND(ISNUMBER($H88),$H88&gt;=CI$99,$H88&lt;EDATE(CI$99,1)),"D","")))</f>
        <v/>
      </c>
      <c r="CJ122" s="71" t="str">
        <f aca="false">IF(OR(CJ$99="",$A88=""),"",IF(AND(ISNUMBER($G88),$G88&gt;=CJ$99,$G88&lt;EDATE(CJ$99,1)),"F",IF(AND(ISNUMBER($H88),$H88&gt;=CJ$99,$H88&lt;EDATE(CJ$99,1)),"D","")))</f>
        <v/>
      </c>
      <c r="CK122" s="71" t="str">
        <f aca="false">IF(OR(CK$99="",$A88=""),"",IF(AND(ISNUMBER($G88),$G88&gt;=CK$99,$G88&lt;EDATE(CK$99,1)),"F",IF(AND(ISNUMBER($H88),$H88&gt;=CK$99,$H88&lt;EDATE(CK$99,1)),"D","")))</f>
        <v/>
      </c>
    </row>
    <row r="123" customFormat="false" ht="15" hidden="false" customHeight="false" outlineLevel="0" collapsed="false">
      <c r="A123" s="74" t="str">
        <f aca="false">IF($A89="","",$A89)</f>
        <v/>
      </c>
      <c r="B123" s="74" t="str">
        <f aca="false">IF($A89="","",$B89)</f>
        <v/>
      </c>
      <c r="R123" s="71" t="str">
        <f aca="false">IF(OR(R$99="",$A89=""),"",IF(AND(ISNUMBER($G89),$G89&gt;=R$99,$G89&lt;EDATE(R$99,1)),"F",IF(AND(ISNUMBER($H89),$H89&gt;=R$99,$H89&lt;EDATE(R$99,1)),"D","")))</f>
        <v/>
      </c>
      <c r="S123" s="71" t="str">
        <f aca="false">IF(OR(S$99="",$A89=""),"",IF(AND(ISNUMBER($G89),$G89&gt;=S$99,$G89&lt;EDATE(S$99,1)),"F",IF(AND(ISNUMBER($H89),$H89&gt;=S$99,$H89&lt;EDATE(S$99,1)),"D","")))</f>
        <v/>
      </c>
      <c r="T123" s="71" t="str">
        <f aca="false">IF(OR(T$99="",$A89=""),"",IF(AND(ISNUMBER($G89),$G89&gt;=T$99,$G89&lt;EDATE(T$99,1)),"F",IF(AND(ISNUMBER($H89),$H89&gt;=T$99,$H89&lt;EDATE(T$99,1)),"D","")))</f>
        <v/>
      </c>
      <c r="U123" s="71" t="str">
        <f aca="false">IF(OR(U$99="",$A89=""),"",IF(AND(ISNUMBER($G89),$G89&gt;=U$99,$G89&lt;EDATE(U$99,1)),"F",IF(AND(ISNUMBER($H89),$H89&gt;=U$99,$H89&lt;EDATE(U$99,1)),"D","")))</f>
        <v/>
      </c>
      <c r="V123" s="71" t="str">
        <f aca="false">IF(OR(V$99="",$A89=""),"",IF(AND(ISNUMBER($G89),$G89&gt;=V$99,$G89&lt;EDATE(V$99,1)),"F",IF(AND(ISNUMBER($H89),$H89&gt;=V$99,$H89&lt;EDATE(V$99,1)),"D","")))</f>
        <v/>
      </c>
      <c r="W123" s="71" t="str">
        <f aca="false">IF(OR(W$99="",$A89=""),"",IF(AND(ISNUMBER($G89),$G89&gt;=W$99,$G89&lt;EDATE(W$99,1)),"F",IF(AND(ISNUMBER($H89),$H89&gt;=W$99,$H89&lt;EDATE(W$99,1)),"D","")))</f>
        <v/>
      </c>
      <c r="X123" s="71" t="str">
        <f aca="false">IF(OR(X$99="",$A89=""),"",IF(AND(ISNUMBER($G89),$G89&gt;=X$99,$G89&lt;EDATE(X$99,1)),"F",IF(AND(ISNUMBER($H89),$H89&gt;=X$99,$H89&lt;EDATE(X$99,1)),"D","")))</f>
        <v/>
      </c>
      <c r="Y123" s="71" t="str">
        <f aca="false">IF(OR(Y$99="",$A89=""),"",IF(AND(ISNUMBER($G89),$G89&gt;=Y$99,$G89&lt;EDATE(Y$99,1)),"F",IF(AND(ISNUMBER($H89),$H89&gt;=Y$99,$H89&lt;EDATE(Y$99,1)),"D","")))</f>
        <v/>
      </c>
      <c r="Z123" s="71" t="str">
        <f aca="false">IF(OR(Z$99="",$A89=""),"",IF(AND(ISNUMBER($G89),$G89&gt;=Z$99,$G89&lt;EDATE(Z$99,1)),"F",IF(AND(ISNUMBER($H89),$H89&gt;=Z$99,$H89&lt;EDATE(Z$99,1)),"D","")))</f>
        <v/>
      </c>
      <c r="AA123" s="71" t="str">
        <f aca="false">IF(OR(AA$99="",$A89=""),"",IF(AND(ISNUMBER($G89),$G89&gt;=AA$99,$G89&lt;EDATE(AA$99,1)),"F",IF(AND(ISNUMBER($H89),$H89&gt;=AA$99,$H89&lt;EDATE(AA$99,1)),"D","")))</f>
        <v/>
      </c>
      <c r="AB123" s="71" t="str">
        <f aca="false">IF(OR(AB$99="",$A89=""),"",IF(AND(ISNUMBER($G89),$G89&gt;=AB$99,$G89&lt;EDATE(AB$99,1)),"F",IF(AND(ISNUMBER($H89),$H89&gt;=AB$99,$H89&lt;EDATE(AB$99,1)),"D","")))</f>
        <v/>
      </c>
      <c r="AC123" s="71" t="str">
        <f aca="false">IF(OR(AC$99="",$A89=""),"",IF(AND(ISNUMBER($G89),$G89&gt;=AC$99,$G89&lt;EDATE(AC$99,1)),"F",IF(AND(ISNUMBER($H89),$H89&gt;=AC$99,$H89&lt;EDATE(AC$99,1)),"D","")))</f>
        <v/>
      </c>
      <c r="AD123" s="71" t="str">
        <f aca="false">IF(OR(AD$99="",$A89=""),"",IF(AND(ISNUMBER($G89),$G89&gt;=AD$99,$G89&lt;EDATE(AD$99,1)),"F",IF(AND(ISNUMBER($H89),$H89&gt;=AD$99,$H89&lt;EDATE(AD$99,1)),"D","")))</f>
        <v/>
      </c>
      <c r="AE123" s="71" t="str">
        <f aca="false">IF(OR(AE$99="",$A89=""),"",IF(AND(ISNUMBER($G89),$G89&gt;=AE$99,$G89&lt;EDATE(AE$99,1)),"F",IF(AND(ISNUMBER($H89),$H89&gt;=AE$99,$H89&lt;EDATE(AE$99,1)),"D","")))</f>
        <v/>
      </c>
      <c r="AF123" s="71" t="str">
        <f aca="false">IF(OR(AF$99="",$A89=""),"",IF(AND(ISNUMBER($G89),$G89&gt;=AF$99,$G89&lt;EDATE(AF$99,1)),"F",IF(AND(ISNUMBER($H89),$H89&gt;=AF$99,$H89&lt;EDATE(AF$99,1)),"D","")))</f>
        <v/>
      </c>
      <c r="AG123" s="71" t="str">
        <f aca="false">IF(OR(AG$99="",$A89=""),"",IF(AND(ISNUMBER($G89),$G89&gt;=AG$99,$G89&lt;EDATE(AG$99,1)),"F",IF(AND(ISNUMBER($H89),$H89&gt;=AG$99,$H89&lt;EDATE(AG$99,1)),"D","")))</f>
        <v/>
      </c>
      <c r="AH123" s="71" t="str">
        <f aca="false">IF(OR(AH$99="",$A89=""),"",IF(AND(ISNUMBER($G89),$G89&gt;=AH$99,$G89&lt;EDATE(AH$99,1)),"F",IF(AND(ISNUMBER($H89),$H89&gt;=AH$99,$H89&lt;EDATE(AH$99,1)),"D","")))</f>
        <v/>
      </c>
      <c r="AI123" s="71" t="str">
        <f aca="false">IF(OR(AI$99="",$A89=""),"",IF(AND(ISNUMBER($G89),$G89&gt;=AI$99,$G89&lt;EDATE(AI$99,1)),"F",IF(AND(ISNUMBER($H89),$H89&gt;=AI$99,$H89&lt;EDATE(AI$99,1)),"D","")))</f>
        <v/>
      </c>
      <c r="AJ123" s="71" t="str">
        <f aca="false">IF(OR(AJ$99="",$A89=""),"",IF(AND(ISNUMBER($G89),$G89&gt;=AJ$99,$G89&lt;EDATE(AJ$99,1)),"F",IF(AND(ISNUMBER($H89),$H89&gt;=AJ$99,$H89&lt;EDATE(AJ$99,1)),"D","")))</f>
        <v/>
      </c>
      <c r="AK123" s="71" t="str">
        <f aca="false">IF(OR(AK$99="",$A89=""),"",IF(AND(ISNUMBER($G89),$G89&gt;=AK$99,$G89&lt;EDATE(AK$99,1)),"F",IF(AND(ISNUMBER($H89),$H89&gt;=AK$99,$H89&lt;EDATE(AK$99,1)),"D","")))</f>
        <v/>
      </c>
      <c r="AL123" s="71" t="str">
        <f aca="false">IF(OR(AL$99="",$A89=""),"",IF(AND(ISNUMBER($G89),$G89&gt;=AL$99,$G89&lt;EDATE(AL$99,1)),"F",IF(AND(ISNUMBER($H89),$H89&gt;=AL$99,$H89&lt;EDATE(AL$99,1)),"D","")))</f>
        <v/>
      </c>
      <c r="AM123" s="71" t="str">
        <f aca="false">IF(OR(AM$99="",$A89=""),"",IF(AND(ISNUMBER($G89),$G89&gt;=AM$99,$G89&lt;EDATE(AM$99,1)),"F",IF(AND(ISNUMBER($H89),$H89&gt;=AM$99,$H89&lt;EDATE(AM$99,1)),"D","")))</f>
        <v/>
      </c>
      <c r="AN123" s="71" t="str">
        <f aca="false">IF(OR(AN$99="",$A89=""),"",IF(AND(ISNUMBER($G89),$G89&gt;=AN$99,$G89&lt;EDATE(AN$99,1)),"F",IF(AND(ISNUMBER($H89),$H89&gt;=AN$99,$H89&lt;EDATE(AN$99,1)),"D","")))</f>
        <v/>
      </c>
      <c r="AO123" s="71" t="str">
        <f aca="false">IF(OR(AO$99="",$A89=""),"",IF(AND(ISNUMBER($G89),$G89&gt;=AO$99,$G89&lt;EDATE(AO$99,1)),"F",IF(AND(ISNUMBER($H89),$H89&gt;=AO$99,$H89&lt;EDATE(AO$99,1)),"D","")))</f>
        <v/>
      </c>
      <c r="AP123" s="71" t="str">
        <f aca="false">IF(OR(AP$99="",$A89=""),"",IF(AND(ISNUMBER($G89),$G89&gt;=AP$99,$G89&lt;EDATE(AP$99,1)),"F",IF(AND(ISNUMBER($H89),$H89&gt;=AP$99,$H89&lt;EDATE(AP$99,1)),"D","")))</f>
        <v/>
      </c>
      <c r="AQ123" s="71" t="str">
        <f aca="false">IF(OR(AQ$99="",$A89=""),"",IF(AND(ISNUMBER($G89),$G89&gt;=AQ$99,$G89&lt;EDATE(AQ$99,1)),"F",IF(AND(ISNUMBER($H89),$H89&gt;=AQ$99,$H89&lt;EDATE(AQ$99,1)),"D","")))</f>
        <v/>
      </c>
      <c r="AR123" s="71" t="str">
        <f aca="false">IF(OR(AR$99="",$A89=""),"",IF(AND(ISNUMBER($G89),$G89&gt;=AR$99,$G89&lt;EDATE(AR$99,1)),"F",IF(AND(ISNUMBER($H89),$H89&gt;=AR$99,$H89&lt;EDATE(AR$99,1)),"D","")))</f>
        <v/>
      </c>
      <c r="AS123" s="71" t="str">
        <f aca="false">IF(OR(AS$99="",$A89=""),"",IF(AND(ISNUMBER($G89),$G89&gt;=AS$99,$G89&lt;EDATE(AS$99,1)),"F",IF(AND(ISNUMBER($H89),$H89&gt;=AS$99,$H89&lt;EDATE(AS$99,1)),"D","")))</f>
        <v/>
      </c>
      <c r="AT123" s="71" t="str">
        <f aca="false">IF(OR(AT$99="",$A89=""),"",IF(AND(ISNUMBER($G89),$G89&gt;=AT$99,$G89&lt;EDATE(AT$99,1)),"F",IF(AND(ISNUMBER($H89),$H89&gt;=AT$99,$H89&lt;EDATE(AT$99,1)),"D","")))</f>
        <v/>
      </c>
      <c r="AU123" s="71" t="str">
        <f aca="false">IF(OR(AU$99="",$A89=""),"",IF(AND(ISNUMBER($G89),$G89&gt;=AU$99,$G89&lt;EDATE(AU$99,1)),"F",IF(AND(ISNUMBER($H89),$H89&gt;=AU$99,$H89&lt;EDATE(AU$99,1)),"D","")))</f>
        <v/>
      </c>
      <c r="AV123" s="71" t="str">
        <f aca="false">IF(OR(AV$99="",$A89=""),"",IF(AND(ISNUMBER($G89),$G89&gt;=AV$99,$G89&lt;EDATE(AV$99,1)),"F",IF(AND(ISNUMBER($H89),$H89&gt;=AV$99,$H89&lt;EDATE(AV$99,1)),"D","")))</f>
        <v/>
      </c>
      <c r="AW123" s="71" t="str">
        <f aca="false">IF(OR(AW$99="",$A89=""),"",IF(AND(ISNUMBER($G89),$G89&gt;=AW$99,$G89&lt;EDATE(AW$99,1)),"F",IF(AND(ISNUMBER($H89),$H89&gt;=AW$99,$H89&lt;EDATE(AW$99,1)),"D","")))</f>
        <v/>
      </c>
      <c r="AX123" s="71" t="str">
        <f aca="false">IF(OR(AX$99="",$A89=""),"",IF(AND(ISNUMBER($G89),$G89&gt;=AX$99,$G89&lt;EDATE(AX$99,1)),"F",IF(AND(ISNUMBER($H89),$H89&gt;=AX$99,$H89&lt;EDATE(AX$99,1)),"D","")))</f>
        <v/>
      </c>
      <c r="AY123" s="71" t="str">
        <f aca="false">IF(OR(AY$99="",$A89=""),"",IF(AND(ISNUMBER($G89),$G89&gt;=AY$99,$G89&lt;EDATE(AY$99,1)),"F",IF(AND(ISNUMBER($H89),$H89&gt;=AY$99,$H89&lt;EDATE(AY$99,1)),"D","")))</f>
        <v/>
      </c>
      <c r="AZ123" s="71" t="str">
        <f aca="false">IF(OR(AZ$99="",$A89=""),"",IF(AND(ISNUMBER($G89),$G89&gt;=AZ$99,$G89&lt;EDATE(AZ$99,1)),"F",IF(AND(ISNUMBER($H89),$H89&gt;=AZ$99,$H89&lt;EDATE(AZ$99,1)),"D","")))</f>
        <v/>
      </c>
      <c r="BA123" s="71" t="str">
        <f aca="false">IF(OR(BA$99="",$A89=""),"",IF(AND(ISNUMBER($G89),$G89&gt;=BA$99,$G89&lt;EDATE(BA$99,1)),"F",IF(AND(ISNUMBER($H89),$H89&gt;=BA$99,$H89&lt;EDATE(BA$99,1)),"D","")))</f>
        <v/>
      </c>
      <c r="BB123" s="71" t="str">
        <f aca="false">IF(OR(BB$99="",$A89=""),"",IF(AND(ISNUMBER($G89),$G89&gt;=BB$99,$G89&lt;EDATE(BB$99,1)),"F",IF(AND(ISNUMBER($H89),$H89&gt;=BB$99,$H89&lt;EDATE(BB$99,1)),"D","")))</f>
        <v/>
      </c>
      <c r="BC123" s="71" t="str">
        <f aca="false">IF(OR(BC$99="",$A89=""),"",IF(AND(ISNUMBER($G89),$G89&gt;=BC$99,$G89&lt;EDATE(BC$99,1)),"F",IF(AND(ISNUMBER($H89),$H89&gt;=BC$99,$H89&lt;EDATE(BC$99,1)),"D","")))</f>
        <v/>
      </c>
      <c r="BD123" s="71" t="str">
        <f aca="false">IF(OR(BD$99="",$A89=""),"",IF(AND(ISNUMBER($G89),$G89&gt;=BD$99,$G89&lt;EDATE(BD$99,1)),"F",IF(AND(ISNUMBER($H89),$H89&gt;=BD$99,$H89&lt;EDATE(BD$99,1)),"D","")))</f>
        <v/>
      </c>
      <c r="BE123" s="71" t="str">
        <f aca="false">IF(OR(BE$99="",$A89=""),"",IF(AND(ISNUMBER($G89),$G89&gt;=BE$99,$G89&lt;EDATE(BE$99,1)),"F",IF(AND(ISNUMBER($H89),$H89&gt;=BE$99,$H89&lt;EDATE(BE$99,1)),"D","")))</f>
        <v/>
      </c>
      <c r="BF123" s="71" t="str">
        <f aca="false">IF(OR(BF$99="",$A89=""),"",IF(AND(ISNUMBER($G89),$G89&gt;=BF$99,$G89&lt;EDATE(BF$99,1)),"F",IF(AND(ISNUMBER($H89),$H89&gt;=BF$99,$H89&lt;EDATE(BF$99,1)),"D","")))</f>
        <v/>
      </c>
      <c r="BG123" s="71" t="str">
        <f aca="false">IF(OR(BG$99="",$A89=""),"",IF(AND(ISNUMBER($G89),$G89&gt;=BG$99,$G89&lt;EDATE(BG$99,1)),"F",IF(AND(ISNUMBER($H89),$H89&gt;=BG$99,$H89&lt;EDATE(BG$99,1)),"D","")))</f>
        <v/>
      </c>
      <c r="BH123" s="71" t="str">
        <f aca="false">IF(OR(BH$99="",$A89=""),"",IF(AND(ISNUMBER($G89),$G89&gt;=BH$99,$G89&lt;EDATE(BH$99,1)),"F",IF(AND(ISNUMBER($H89),$H89&gt;=BH$99,$H89&lt;EDATE(BH$99,1)),"D","")))</f>
        <v/>
      </c>
      <c r="BI123" s="71" t="str">
        <f aca="false">IF(OR(BI$99="",$A89=""),"",IF(AND(ISNUMBER($G89),$G89&gt;=BI$99,$G89&lt;EDATE(BI$99,1)),"F",IF(AND(ISNUMBER($H89),$H89&gt;=BI$99,$H89&lt;EDATE(BI$99,1)),"D","")))</f>
        <v/>
      </c>
      <c r="BJ123" s="71" t="str">
        <f aca="false">IF(OR(BJ$99="",$A89=""),"",IF(AND(ISNUMBER($G89),$G89&gt;=BJ$99,$G89&lt;EDATE(BJ$99,1)),"F",IF(AND(ISNUMBER($H89),$H89&gt;=BJ$99,$H89&lt;EDATE(BJ$99,1)),"D","")))</f>
        <v/>
      </c>
      <c r="BK123" s="71" t="str">
        <f aca="false">IF(OR(BK$99="",$A89=""),"",IF(AND(ISNUMBER($G89),$G89&gt;=BK$99,$G89&lt;EDATE(BK$99,1)),"F",IF(AND(ISNUMBER($H89),$H89&gt;=BK$99,$H89&lt;EDATE(BK$99,1)),"D","")))</f>
        <v/>
      </c>
      <c r="BL123" s="71" t="str">
        <f aca="false">IF(OR(BL$99="",$A89=""),"",IF(AND(ISNUMBER($G89),$G89&gt;=BL$99,$G89&lt;EDATE(BL$99,1)),"F",IF(AND(ISNUMBER($H89),$H89&gt;=BL$99,$H89&lt;EDATE(BL$99,1)),"D","")))</f>
        <v/>
      </c>
      <c r="BM123" s="71" t="str">
        <f aca="false">IF(OR(BM$99="",$A89=""),"",IF(AND(ISNUMBER($G89),$G89&gt;=BM$99,$G89&lt;EDATE(BM$99,1)),"F",IF(AND(ISNUMBER($H89),$H89&gt;=BM$99,$H89&lt;EDATE(BM$99,1)),"D","")))</f>
        <v/>
      </c>
      <c r="BN123" s="71" t="str">
        <f aca="false">IF(OR(BN$99="",$A89=""),"",IF(AND(ISNUMBER($G89),$G89&gt;=BN$99,$G89&lt;EDATE(BN$99,1)),"F",IF(AND(ISNUMBER($H89),$H89&gt;=BN$99,$H89&lt;EDATE(BN$99,1)),"D","")))</f>
        <v/>
      </c>
      <c r="BO123" s="71" t="str">
        <f aca="false">IF(OR(BO$99="",$A89=""),"",IF(AND(ISNUMBER($G89),$G89&gt;=BO$99,$G89&lt;EDATE(BO$99,1)),"F",IF(AND(ISNUMBER($H89),$H89&gt;=BO$99,$H89&lt;EDATE(BO$99,1)),"D","")))</f>
        <v/>
      </c>
      <c r="BP123" s="71" t="str">
        <f aca="false">IF(OR(BP$99="",$A89=""),"",IF(AND(ISNUMBER($G89),$G89&gt;=BP$99,$G89&lt;EDATE(BP$99,1)),"F",IF(AND(ISNUMBER($H89),$H89&gt;=BP$99,$H89&lt;EDATE(BP$99,1)),"D","")))</f>
        <v/>
      </c>
      <c r="BQ123" s="71" t="str">
        <f aca="false">IF(OR(BQ$99="",$A89=""),"",IF(AND(ISNUMBER($G89),$G89&gt;=BQ$99,$G89&lt;EDATE(BQ$99,1)),"F",IF(AND(ISNUMBER($H89),$H89&gt;=BQ$99,$H89&lt;EDATE(BQ$99,1)),"D","")))</f>
        <v/>
      </c>
      <c r="BR123" s="71" t="str">
        <f aca="false">IF(OR(BR$99="",$A89=""),"",IF(AND(ISNUMBER($G89),$G89&gt;=BR$99,$G89&lt;EDATE(BR$99,1)),"F",IF(AND(ISNUMBER($H89),$H89&gt;=BR$99,$H89&lt;EDATE(BR$99,1)),"D","")))</f>
        <v/>
      </c>
      <c r="BS123" s="71" t="str">
        <f aca="false">IF(OR(BS$99="",$A89=""),"",IF(AND(ISNUMBER($G89),$G89&gt;=BS$99,$G89&lt;EDATE(BS$99,1)),"F",IF(AND(ISNUMBER($H89),$H89&gt;=BS$99,$H89&lt;EDATE(BS$99,1)),"D","")))</f>
        <v/>
      </c>
      <c r="BT123" s="71" t="str">
        <f aca="false">IF(OR(BT$99="",$A89=""),"",IF(AND(ISNUMBER($G89),$G89&gt;=BT$99,$G89&lt;EDATE(BT$99,1)),"F",IF(AND(ISNUMBER($H89),$H89&gt;=BT$99,$H89&lt;EDATE(BT$99,1)),"D","")))</f>
        <v/>
      </c>
      <c r="BU123" s="71" t="str">
        <f aca="false">IF(OR(BU$99="",$A89=""),"",IF(AND(ISNUMBER($G89),$G89&gt;=BU$99,$G89&lt;EDATE(BU$99,1)),"F",IF(AND(ISNUMBER($H89),$H89&gt;=BU$99,$H89&lt;EDATE(BU$99,1)),"D","")))</f>
        <v/>
      </c>
      <c r="BV123" s="71" t="str">
        <f aca="false">IF(OR(BV$99="",$A89=""),"",IF(AND(ISNUMBER($G89),$G89&gt;=BV$99,$G89&lt;EDATE(BV$99,1)),"F",IF(AND(ISNUMBER($H89),$H89&gt;=BV$99,$H89&lt;EDATE(BV$99,1)),"D","")))</f>
        <v/>
      </c>
      <c r="BW123" s="71" t="str">
        <f aca="false">IF(OR(BW$99="",$A89=""),"",IF(AND(ISNUMBER($G89),$G89&gt;=BW$99,$G89&lt;EDATE(BW$99,1)),"F",IF(AND(ISNUMBER($H89),$H89&gt;=BW$99,$H89&lt;EDATE(BW$99,1)),"D","")))</f>
        <v/>
      </c>
      <c r="BX123" s="71" t="str">
        <f aca="false">IF(OR(BX$99="",$A89=""),"",IF(AND(ISNUMBER($G89),$G89&gt;=BX$99,$G89&lt;EDATE(BX$99,1)),"F",IF(AND(ISNUMBER($H89),$H89&gt;=BX$99,$H89&lt;EDATE(BX$99,1)),"D","")))</f>
        <v/>
      </c>
      <c r="BY123" s="71" t="str">
        <f aca="false">IF(OR(BY$99="",$A89=""),"",IF(AND(ISNUMBER($G89),$G89&gt;=BY$99,$G89&lt;EDATE(BY$99,1)),"F",IF(AND(ISNUMBER($H89),$H89&gt;=BY$99,$H89&lt;EDATE(BY$99,1)),"D","")))</f>
        <v/>
      </c>
      <c r="BZ123" s="71" t="str">
        <f aca="false">IF(OR(BZ$99="",$A89=""),"",IF(AND(ISNUMBER($G89),$G89&gt;=BZ$99,$G89&lt;EDATE(BZ$99,1)),"F",IF(AND(ISNUMBER($H89),$H89&gt;=BZ$99,$H89&lt;EDATE(BZ$99,1)),"D","")))</f>
        <v/>
      </c>
      <c r="CA123" s="71" t="str">
        <f aca="false">IF(OR(CA$99="",$A89=""),"",IF(AND(ISNUMBER($G89),$G89&gt;=CA$99,$G89&lt;EDATE(CA$99,1)),"F",IF(AND(ISNUMBER($H89),$H89&gt;=CA$99,$H89&lt;EDATE(CA$99,1)),"D","")))</f>
        <v/>
      </c>
      <c r="CB123" s="71" t="str">
        <f aca="false">IF(OR(CB$99="",$A89=""),"",IF(AND(ISNUMBER($G89),$G89&gt;=CB$99,$G89&lt;EDATE(CB$99,1)),"F",IF(AND(ISNUMBER($H89),$H89&gt;=CB$99,$H89&lt;EDATE(CB$99,1)),"D","")))</f>
        <v/>
      </c>
      <c r="CC123" s="71" t="str">
        <f aca="false">IF(OR(CC$99="",$A89=""),"",IF(AND(ISNUMBER($G89),$G89&gt;=CC$99,$G89&lt;EDATE(CC$99,1)),"F",IF(AND(ISNUMBER($H89),$H89&gt;=CC$99,$H89&lt;EDATE(CC$99,1)),"D","")))</f>
        <v/>
      </c>
      <c r="CD123" s="71" t="str">
        <f aca="false">IF(OR(CD$99="",$A89=""),"",IF(AND(ISNUMBER($G89),$G89&gt;=CD$99,$G89&lt;EDATE(CD$99,1)),"F",IF(AND(ISNUMBER($H89),$H89&gt;=CD$99,$H89&lt;EDATE(CD$99,1)),"D","")))</f>
        <v/>
      </c>
      <c r="CE123" s="71" t="str">
        <f aca="false">IF(OR(CE$99="",$A89=""),"",IF(AND(ISNUMBER($G89),$G89&gt;=CE$99,$G89&lt;EDATE(CE$99,1)),"F",IF(AND(ISNUMBER($H89),$H89&gt;=CE$99,$H89&lt;EDATE(CE$99,1)),"D","")))</f>
        <v/>
      </c>
      <c r="CF123" s="71" t="str">
        <f aca="false">IF(OR(CF$99="",$A89=""),"",IF(AND(ISNUMBER($G89),$G89&gt;=CF$99,$G89&lt;EDATE(CF$99,1)),"F",IF(AND(ISNUMBER($H89),$H89&gt;=CF$99,$H89&lt;EDATE(CF$99,1)),"D","")))</f>
        <v/>
      </c>
      <c r="CG123" s="71" t="str">
        <f aca="false">IF(OR(CG$99="",$A89=""),"",IF(AND(ISNUMBER($G89),$G89&gt;=CG$99,$G89&lt;EDATE(CG$99,1)),"F",IF(AND(ISNUMBER($H89),$H89&gt;=CG$99,$H89&lt;EDATE(CG$99,1)),"D","")))</f>
        <v/>
      </c>
      <c r="CH123" s="71" t="str">
        <f aca="false">IF(OR(CH$99="",$A89=""),"",IF(AND(ISNUMBER($G89),$G89&gt;=CH$99,$G89&lt;EDATE(CH$99,1)),"F",IF(AND(ISNUMBER($H89),$H89&gt;=CH$99,$H89&lt;EDATE(CH$99,1)),"D","")))</f>
        <v/>
      </c>
      <c r="CI123" s="71" t="str">
        <f aca="false">IF(OR(CI$99="",$A89=""),"",IF(AND(ISNUMBER($G89),$G89&gt;=CI$99,$G89&lt;EDATE(CI$99,1)),"F",IF(AND(ISNUMBER($H89),$H89&gt;=CI$99,$H89&lt;EDATE(CI$99,1)),"D","")))</f>
        <v/>
      </c>
      <c r="CJ123" s="71" t="str">
        <f aca="false">IF(OR(CJ$99="",$A89=""),"",IF(AND(ISNUMBER($G89),$G89&gt;=CJ$99,$G89&lt;EDATE(CJ$99,1)),"F",IF(AND(ISNUMBER($H89),$H89&gt;=CJ$99,$H89&lt;EDATE(CJ$99,1)),"D","")))</f>
        <v/>
      </c>
      <c r="CK123" s="71" t="str">
        <f aca="false">IF(OR(CK$99="",$A89=""),"",IF(AND(ISNUMBER($G89),$G89&gt;=CK$99,$G89&lt;EDATE(CK$99,1)),"F",IF(AND(ISNUMBER($H89),$H89&gt;=CK$99,$H89&lt;EDATE(CK$99,1)),"D","")))</f>
        <v/>
      </c>
    </row>
    <row r="124" customFormat="false" ht="15" hidden="false" customHeight="false" outlineLevel="0" collapsed="false">
      <c r="A124" s="74" t="str">
        <f aca="false">IF($A90="","",$A90)</f>
        <v/>
      </c>
      <c r="B124" s="74" t="str">
        <f aca="false">IF($A90="","",$B90)</f>
        <v/>
      </c>
      <c r="R124" s="71" t="str">
        <f aca="false">IF(OR(R$99="",$A90=""),"",IF(AND(ISNUMBER($G90),$G90&gt;=R$99,$G90&lt;EDATE(R$99,1)),"F",IF(AND(ISNUMBER($H90),$H90&gt;=R$99,$H90&lt;EDATE(R$99,1)),"D","")))</f>
        <v/>
      </c>
      <c r="S124" s="71" t="str">
        <f aca="false">IF(OR(S$99="",$A90=""),"",IF(AND(ISNUMBER($G90),$G90&gt;=S$99,$G90&lt;EDATE(S$99,1)),"F",IF(AND(ISNUMBER($H90),$H90&gt;=S$99,$H90&lt;EDATE(S$99,1)),"D","")))</f>
        <v/>
      </c>
      <c r="T124" s="71" t="str">
        <f aca="false">IF(OR(T$99="",$A90=""),"",IF(AND(ISNUMBER($G90),$G90&gt;=T$99,$G90&lt;EDATE(T$99,1)),"F",IF(AND(ISNUMBER($H90),$H90&gt;=T$99,$H90&lt;EDATE(T$99,1)),"D","")))</f>
        <v/>
      </c>
      <c r="U124" s="71" t="str">
        <f aca="false">IF(OR(U$99="",$A90=""),"",IF(AND(ISNUMBER($G90),$G90&gt;=U$99,$G90&lt;EDATE(U$99,1)),"F",IF(AND(ISNUMBER($H90),$H90&gt;=U$99,$H90&lt;EDATE(U$99,1)),"D","")))</f>
        <v/>
      </c>
      <c r="V124" s="71" t="str">
        <f aca="false">IF(OR(V$99="",$A90=""),"",IF(AND(ISNUMBER($G90),$G90&gt;=V$99,$G90&lt;EDATE(V$99,1)),"F",IF(AND(ISNUMBER($H90),$H90&gt;=V$99,$H90&lt;EDATE(V$99,1)),"D","")))</f>
        <v/>
      </c>
      <c r="W124" s="71" t="str">
        <f aca="false">IF(OR(W$99="",$A90=""),"",IF(AND(ISNUMBER($G90),$G90&gt;=W$99,$G90&lt;EDATE(W$99,1)),"F",IF(AND(ISNUMBER($H90),$H90&gt;=W$99,$H90&lt;EDATE(W$99,1)),"D","")))</f>
        <v/>
      </c>
      <c r="X124" s="71" t="str">
        <f aca="false">IF(OR(X$99="",$A90=""),"",IF(AND(ISNUMBER($G90),$G90&gt;=X$99,$G90&lt;EDATE(X$99,1)),"F",IF(AND(ISNUMBER($H90),$H90&gt;=X$99,$H90&lt;EDATE(X$99,1)),"D","")))</f>
        <v/>
      </c>
      <c r="Y124" s="71" t="str">
        <f aca="false">IF(OR(Y$99="",$A90=""),"",IF(AND(ISNUMBER($G90),$G90&gt;=Y$99,$G90&lt;EDATE(Y$99,1)),"F",IF(AND(ISNUMBER($H90),$H90&gt;=Y$99,$H90&lt;EDATE(Y$99,1)),"D","")))</f>
        <v/>
      </c>
      <c r="Z124" s="71" t="str">
        <f aca="false">IF(OR(Z$99="",$A90=""),"",IF(AND(ISNUMBER($G90),$G90&gt;=Z$99,$G90&lt;EDATE(Z$99,1)),"F",IF(AND(ISNUMBER($H90),$H90&gt;=Z$99,$H90&lt;EDATE(Z$99,1)),"D","")))</f>
        <v/>
      </c>
      <c r="AA124" s="71" t="str">
        <f aca="false">IF(OR(AA$99="",$A90=""),"",IF(AND(ISNUMBER($G90),$G90&gt;=AA$99,$G90&lt;EDATE(AA$99,1)),"F",IF(AND(ISNUMBER($H90),$H90&gt;=AA$99,$H90&lt;EDATE(AA$99,1)),"D","")))</f>
        <v/>
      </c>
      <c r="AB124" s="71" t="str">
        <f aca="false">IF(OR(AB$99="",$A90=""),"",IF(AND(ISNUMBER($G90),$G90&gt;=AB$99,$G90&lt;EDATE(AB$99,1)),"F",IF(AND(ISNUMBER($H90),$H90&gt;=AB$99,$H90&lt;EDATE(AB$99,1)),"D","")))</f>
        <v/>
      </c>
      <c r="AC124" s="71" t="str">
        <f aca="false">IF(OR(AC$99="",$A90=""),"",IF(AND(ISNUMBER($G90),$G90&gt;=AC$99,$G90&lt;EDATE(AC$99,1)),"F",IF(AND(ISNUMBER($H90),$H90&gt;=AC$99,$H90&lt;EDATE(AC$99,1)),"D","")))</f>
        <v/>
      </c>
      <c r="AD124" s="71" t="str">
        <f aca="false">IF(OR(AD$99="",$A90=""),"",IF(AND(ISNUMBER($G90),$G90&gt;=AD$99,$G90&lt;EDATE(AD$99,1)),"F",IF(AND(ISNUMBER($H90),$H90&gt;=AD$99,$H90&lt;EDATE(AD$99,1)),"D","")))</f>
        <v/>
      </c>
      <c r="AE124" s="71" t="str">
        <f aca="false">IF(OR(AE$99="",$A90=""),"",IF(AND(ISNUMBER($G90),$G90&gt;=AE$99,$G90&lt;EDATE(AE$99,1)),"F",IF(AND(ISNUMBER($H90),$H90&gt;=AE$99,$H90&lt;EDATE(AE$99,1)),"D","")))</f>
        <v/>
      </c>
      <c r="AF124" s="71" t="str">
        <f aca="false">IF(OR(AF$99="",$A90=""),"",IF(AND(ISNUMBER($G90),$G90&gt;=AF$99,$G90&lt;EDATE(AF$99,1)),"F",IF(AND(ISNUMBER($H90),$H90&gt;=AF$99,$H90&lt;EDATE(AF$99,1)),"D","")))</f>
        <v/>
      </c>
      <c r="AG124" s="71" t="str">
        <f aca="false">IF(OR(AG$99="",$A90=""),"",IF(AND(ISNUMBER($G90),$G90&gt;=AG$99,$G90&lt;EDATE(AG$99,1)),"F",IF(AND(ISNUMBER($H90),$H90&gt;=AG$99,$H90&lt;EDATE(AG$99,1)),"D","")))</f>
        <v/>
      </c>
      <c r="AH124" s="71" t="str">
        <f aca="false">IF(OR(AH$99="",$A90=""),"",IF(AND(ISNUMBER($G90),$G90&gt;=AH$99,$G90&lt;EDATE(AH$99,1)),"F",IF(AND(ISNUMBER($H90),$H90&gt;=AH$99,$H90&lt;EDATE(AH$99,1)),"D","")))</f>
        <v/>
      </c>
      <c r="AI124" s="71" t="str">
        <f aca="false">IF(OR(AI$99="",$A90=""),"",IF(AND(ISNUMBER($G90),$G90&gt;=AI$99,$G90&lt;EDATE(AI$99,1)),"F",IF(AND(ISNUMBER($H90),$H90&gt;=AI$99,$H90&lt;EDATE(AI$99,1)),"D","")))</f>
        <v/>
      </c>
      <c r="AJ124" s="71" t="str">
        <f aca="false">IF(OR(AJ$99="",$A90=""),"",IF(AND(ISNUMBER($G90),$G90&gt;=AJ$99,$G90&lt;EDATE(AJ$99,1)),"F",IF(AND(ISNUMBER($H90),$H90&gt;=AJ$99,$H90&lt;EDATE(AJ$99,1)),"D","")))</f>
        <v/>
      </c>
      <c r="AK124" s="71" t="str">
        <f aca="false">IF(OR(AK$99="",$A90=""),"",IF(AND(ISNUMBER($G90),$G90&gt;=AK$99,$G90&lt;EDATE(AK$99,1)),"F",IF(AND(ISNUMBER($H90),$H90&gt;=AK$99,$H90&lt;EDATE(AK$99,1)),"D","")))</f>
        <v/>
      </c>
      <c r="AL124" s="71" t="str">
        <f aca="false">IF(OR(AL$99="",$A90=""),"",IF(AND(ISNUMBER($G90),$G90&gt;=AL$99,$G90&lt;EDATE(AL$99,1)),"F",IF(AND(ISNUMBER($H90),$H90&gt;=AL$99,$H90&lt;EDATE(AL$99,1)),"D","")))</f>
        <v/>
      </c>
      <c r="AM124" s="71" t="str">
        <f aca="false">IF(OR(AM$99="",$A90=""),"",IF(AND(ISNUMBER($G90),$G90&gt;=AM$99,$G90&lt;EDATE(AM$99,1)),"F",IF(AND(ISNUMBER($H90),$H90&gt;=AM$99,$H90&lt;EDATE(AM$99,1)),"D","")))</f>
        <v/>
      </c>
      <c r="AN124" s="71" t="str">
        <f aca="false">IF(OR(AN$99="",$A90=""),"",IF(AND(ISNUMBER($G90),$G90&gt;=AN$99,$G90&lt;EDATE(AN$99,1)),"F",IF(AND(ISNUMBER($H90),$H90&gt;=AN$99,$H90&lt;EDATE(AN$99,1)),"D","")))</f>
        <v/>
      </c>
      <c r="AO124" s="71" t="str">
        <f aca="false">IF(OR(AO$99="",$A90=""),"",IF(AND(ISNUMBER($G90),$G90&gt;=AO$99,$G90&lt;EDATE(AO$99,1)),"F",IF(AND(ISNUMBER($H90),$H90&gt;=AO$99,$H90&lt;EDATE(AO$99,1)),"D","")))</f>
        <v/>
      </c>
      <c r="AP124" s="71" t="str">
        <f aca="false">IF(OR(AP$99="",$A90=""),"",IF(AND(ISNUMBER($G90),$G90&gt;=AP$99,$G90&lt;EDATE(AP$99,1)),"F",IF(AND(ISNUMBER($H90),$H90&gt;=AP$99,$H90&lt;EDATE(AP$99,1)),"D","")))</f>
        <v/>
      </c>
      <c r="AQ124" s="71" t="str">
        <f aca="false">IF(OR(AQ$99="",$A90=""),"",IF(AND(ISNUMBER($G90),$G90&gt;=AQ$99,$G90&lt;EDATE(AQ$99,1)),"F",IF(AND(ISNUMBER($H90),$H90&gt;=AQ$99,$H90&lt;EDATE(AQ$99,1)),"D","")))</f>
        <v/>
      </c>
      <c r="AR124" s="71" t="str">
        <f aca="false">IF(OR(AR$99="",$A90=""),"",IF(AND(ISNUMBER($G90),$G90&gt;=AR$99,$G90&lt;EDATE(AR$99,1)),"F",IF(AND(ISNUMBER($H90),$H90&gt;=AR$99,$H90&lt;EDATE(AR$99,1)),"D","")))</f>
        <v/>
      </c>
      <c r="AS124" s="71" t="str">
        <f aca="false">IF(OR(AS$99="",$A90=""),"",IF(AND(ISNUMBER($G90),$G90&gt;=AS$99,$G90&lt;EDATE(AS$99,1)),"F",IF(AND(ISNUMBER($H90),$H90&gt;=AS$99,$H90&lt;EDATE(AS$99,1)),"D","")))</f>
        <v/>
      </c>
      <c r="AT124" s="71" t="str">
        <f aca="false">IF(OR(AT$99="",$A90=""),"",IF(AND(ISNUMBER($G90),$G90&gt;=AT$99,$G90&lt;EDATE(AT$99,1)),"F",IF(AND(ISNUMBER($H90),$H90&gt;=AT$99,$H90&lt;EDATE(AT$99,1)),"D","")))</f>
        <v/>
      </c>
      <c r="AU124" s="71" t="str">
        <f aca="false">IF(OR(AU$99="",$A90=""),"",IF(AND(ISNUMBER($G90),$G90&gt;=AU$99,$G90&lt;EDATE(AU$99,1)),"F",IF(AND(ISNUMBER($H90),$H90&gt;=AU$99,$H90&lt;EDATE(AU$99,1)),"D","")))</f>
        <v/>
      </c>
      <c r="AV124" s="71" t="str">
        <f aca="false">IF(OR(AV$99="",$A90=""),"",IF(AND(ISNUMBER($G90),$G90&gt;=AV$99,$G90&lt;EDATE(AV$99,1)),"F",IF(AND(ISNUMBER($H90),$H90&gt;=AV$99,$H90&lt;EDATE(AV$99,1)),"D","")))</f>
        <v/>
      </c>
      <c r="AW124" s="71" t="str">
        <f aca="false">IF(OR(AW$99="",$A90=""),"",IF(AND(ISNUMBER($G90),$G90&gt;=AW$99,$G90&lt;EDATE(AW$99,1)),"F",IF(AND(ISNUMBER($H90),$H90&gt;=AW$99,$H90&lt;EDATE(AW$99,1)),"D","")))</f>
        <v/>
      </c>
      <c r="AX124" s="71" t="str">
        <f aca="false">IF(OR(AX$99="",$A90=""),"",IF(AND(ISNUMBER($G90),$G90&gt;=AX$99,$G90&lt;EDATE(AX$99,1)),"F",IF(AND(ISNUMBER($H90),$H90&gt;=AX$99,$H90&lt;EDATE(AX$99,1)),"D","")))</f>
        <v/>
      </c>
      <c r="AY124" s="71" t="str">
        <f aca="false">IF(OR(AY$99="",$A90=""),"",IF(AND(ISNUMBER($G90),$G90&gt;=AY$99,$G90&lt;EDATE(AY$99,1)),"F",IF(AND(ISNUMBER($H90),$H90&gt;=AY$99,$H90&lt;EDATE(AY$99,1)),"D","")))</f>
        <v/>
      </c>
      <c r="AZ124" s="71" t="str">
        <f aca="false">IF(OR(AZ$99="",$A90=""),"",IF(AND(ISNUMBER($G90),$G90&gt;=AZ$99,$G90&lt;EDATE(AZ$99,1)),"F",IF(AND(ISNUMBER($H90),$H90&gt;=AZ$99,$H90&lt;EDATE(AZ$99,1)),"D","")))</f>
        <v/>
      </c>
      <c r="BA124" s="71" t="str">
        <f aca="false">IF(OR(BA$99="",$A90=""),"",IF(AND(ISNUMBER($G90),$G90&gt;=BA$99,$G90&lt;EDATE(BA$99,1)),"F",IF(AND(ISNUMBER($H90),$H90&gt;=BA$99,$H90&lt;EDATE(BA$99,1)),"D","")))</f>
        <v/>
      </c>
      <c r="BB124" s="71" t="str">
        <f aca="false">IF(OR(BB$99="",$A90=""),"",IF(AND(ISNUMBER($G90),$G90&gt;=BB$99,$G90&lt;EDATE(BB$99,1)),"F",IF(AND(ISNUMBER($H90),$H90&gt;=BB$99,$H90&lt;EDATE(BB$99,1)),"D","")))</f>
        <v/>
      </c>
      <c r="BC124" s="71" t="str">
        <f aca="false">IF(OR(BC$99="",$A90=""),"",IF(AND(ISNUMBER($G90),$G90&gt;=BC$99,$G90&lt;EDATE(BC$99,1)),"F",IF(AND(ISNUMBER($H90),$H90&gt;=BC$99,$H90&lt;EDATE(BC$99,1)),"D","")))</f>
        <v/>
      </c>
      <c r="BD124" s="71" t="str">
        <f aca="false">IF(OR(BD$99="",$A90=""),"",IF(AND(ISNUMBER($G90),$G90&gt;=BD$99,$G90&lt;EDATE(BD$99,1)),"F",IF(AND(ISNUMBER($H90),$H90&gt;=BD$99,$H90&lt;EDATE(BD$99,1)),"D","")))</f>
        <v/>
      </c>
      <c r="BE124" s="71" t="str">
        <f aca="false">IF(OR(BE$99="",$A90=""),"",IF(AND(ISNUMBER($G90),$G90&gt;=BE$99,$G90&lt;EDATE(BE$99,1)),"F",IF(AND(ISNUMBER($H90),$H90&gt;=BE$99,$H90&lt;EDATE(BE$99,1)),"D","")))</f>
        <v/>
      </c>
      <c r="BF124" s="71" t="str">
        <f aca="false">IF(OR(BF$99="",$A90=""),"",IF(AND(ISNUMBER($G90),$G90&gt;=BF$99,$G90&lt;EDATE(BF$99,1)),"F",IF(AND(ISNUMBER($H90),$H90&gt;=BF$99,$H90&lt;EDATE(BF$99,1)),"D","")))</f>
        <v/>
      </c>
      <c r="BG124" s="71" t="str">
        <f aca="false">IF(OR(BG$99="",$A90=""),"",IF(AND(ISNUMBER($G90),$G90&gt;=BG$99,$G90&lt;EDATE(BG$99,1)),"F",IF(AND(ISNUMBER($H90),$H90&gt;=BG$99,$H90&lt;EDATE(BG$99,1)),"D","")))</f>
        <v/>
      </c>
      <c r="BH124" s="71" t="str">
        <f aca="false">IF(OR(BH$99="",$A90=""),"",IF(AND(ISNUMBER($G90),$G90&gt;=BH$99,$G90&lt;EDATE(BH$99,1)),"F",IF(AND(ISNUMBER($H90),$H90&gt;=BH$99,$H90&lt;EDATE(BH$99,1)),"D","")))</f>
        <v/>
      </c>
      <c r="BI124" s="71" t="str">
        <f aca="false">IF(OR(BI$99="",$A90=""),"",IF(AND(ISNUMBER($G90),$G90&gt;=BI$99,$G90&lt;EDATE(BI$99,1)),"F",IF(AND(ISNUMBER($H90),$H90&gt;=BI$99,$H90&lt;EDATE(BI$99,1)),"D","")))</f>
        <v/>
      </c>
      <c r="BJ124" s="71" t="str">
        <f aca="false">IF(OR(BJ$99="",$A90=""),"",IF(AND(ISNUMBER($G90),$G90&gt;=BJ$99,$G90&lt;EDATE(BJ$99,1)),"F",IF(AND(ISNUMBER($H90),$H90&gt;=BJ$99,$H90&lt;EDATE(BJ$99,1)),"D","")))</f>
        <v/>
      </c>
      <c r="BK124" s="71" t="str">
        <f aca="false">IF(OR(BK$99="",$A90=""),"",IF(AND(ISNUMBER($G90),$G90&gt;=BK$99,$G90&lt;EDATE(BK$99,1)),"F",IF(AND(ISNUMBER($H90),$H90&gt;=BK$99,$H90&lt;EDATE(BK$99,1)),"D","")))</f>
        <v/>
      </c>
      <c r="BL124" s="71" t="str">
        <f aca="false">IF(OR(BL$99="",$A90=""),"",IF(AND(ISNUMBER($G90),$G90&gt;=BL$99,$G90&lt;EDATE(BL$99,1)),"F",IF(AND(ISNUMBER($H90),$H90&gt;=BL$99,$H90&lt;EDATE(BL$99,1)),"D","")))</f>
        <v/>
      </c>
      <c r="BM124" s="71" t="str">
        <f aca="false">IF(OR(BM$99="",$A90=""),"",IF(AND(ISNUMBER($G90),$G90&gt;=BM$99,$G90&lt;EDATE(BM$99,1)),"F",IF(AND(ISNUMBER($H90),$H90&gt;=BM$99,$H90&lt;EDATE(BM$99,1)),"D","")))</f>
        <v/>
      </c>
      <c r="BN124" s="71" t="str">
        <f aca="false">IF(OR(BN$99="",$A90=""),"",IF(AND(ISNUMBER($G90),$G90&gt;=BN$99,$G90&lt;EDATE(BN$99,1)),"F",IF(AND(ISNUMBER($H90),$H90&gt;=BN$99,$H90&lt;EDATE(BN$99,1)),"D","")))</f>
        <v/>
      </c>
      <c r="BO124" s="71" t="str">
        <f aca="false">IF(OR(BO$99="",$A90=""),"",IF(AND(ISNUMBER($G90),$G90&gt;=BO$99,$G90&lt;EDATE(BO$99,1)),"F",IF(AND(ISNUMBER($H90),$H90&gt;=BO$99,$H90&lt;EDATE(BO$99,1)),"D","")))</f>
        <v/>
      </c>
      <c r="BP124" s="71" t="str">
        <f aca="false">IF(OR(BP$99="",$A90=""),"",IF(AND(ISNUMBER($G90),$G90&gt;=BP$99,$G90&lt;EDATE(BP$99,1)),"F",IF(AND(ISNUMBER($H90),$H90&gt;=BP$99,$H90&lt;EDATE(BP$99,1)),"D","")))</f>
        <v/>
      </c>
      <c r="BQ124" s="71" t="str">
        <f aca="false">IF(OR(BQ$99="",$A90=""),"",IF(AND(ISNUMBER($G90),$G90&gt;=BQ$99,$G90&lt;EDATE(BQ$99,1)),"F",IF(AND(ISNUMBER($H90),$H90&gt;=BQ$99,$H90&lt;EDATE(BQ$99,1)),"D","")))</f>
        <v/>
      </c>
      <c r="BR124" s="71" t="str">
        <f aca="false">IF(OR(BR$99="",$A90=""),"",IF(AND(ISNUMBER($G90),$G90&gt;=BR$99,$G90&lt;EDATE(BR$99,1)),"F",IF(AND(ISNUMBER($H90),$H90&gt;=BR$99,$H90&lt;EDATE(BR$99,1)),"D","")))</f>
        <v/>
      </c>
      <c r="BS124" s="71" t="str">
        <f aca="false">IF(OR(BS$99="",$A90=""),"",IF(AND(ISNUMBER($G90),$G90&gt;=BS$99,$G90&lt;EDATE(BS$99,1)),"F",IF(AND(ISNUMBER($H90),$H90&gt;=BS$99,$H90&lt;EDATE(BS$99,1)),"D","")))</f>
        <v/>
      </c>
      <c r="BT124" s="71" t="str">
        <f aca="false">IF(OR(BT$99="",$A90=""),"",IF(AND(ISNUMBER($G90),$G90&gt;=BT$99,$G90&lt;EDATE(BT$99,1)),"F",IF(AND(ISNUMBER($H90),$H90&gt;=BT$99,$H90&lt;EDATE(BT$99,1)),"D","")))</f>
        <v/>
      </c>
      <c r="BU124" s="71" t="str">
        <f aca="false">IF(OR(BU$99="",$A90=""),"",IF(AND(ISNUMBER($G90),$G90&gt;=BU$99,$G90&lt;EDATE(BU$99,1)),"F",IF(AND(ISNUMBER($H90),$H90&gt;=BU$99,$H90&lt;EDATE(BU$99,1)),"D","")))</f>
        <v/>
      </c>
      <c r="BV124" s="71" t="str">
        <f aca="false">IF(OR(BV$99="",$A90=""),"",IF(AND(ISNUMBER($G90),$G90&gt;=BV$99,$G90&lt;EDATE(BV$99,1)),"F",IF(AND(ISNUMBER($H90),$H90&gt;=BV$99,$H90&lt;EDATE(BV$99,1)),"D","")))</f>
        <v/>
      </c>
      <c r="BW124" s="71" t="str">
        <f aca="false">IF(OR(BW$99="",$A90=""),"",IF(AND(ISNUMBER($G90),$G90&gt;=BW$99,$G90&lt;EDATE(BW$99,1)),"F",IF(AND(ISNUMBER($H90),$H90&gt;=BW$99,$H90&lt;EDATE(BW$99,1)),"D","")))</f>
        <v/>
      </c>
      <c r="BX124" s="71" t="str">
        <f aca="false">IF(OR(BX$99="",$A90=""),"",IF(AND(ISNUMBER($G90),$G90&gt;=BX$99,$G90&lt;EDATE(BX$99,1)),"F",IF(AND(ISNUMBER($H90),$H90&gt;=BX$99,$H90&lt;EDATE(BX$99,1)),"D","")))</f>
        <v/>
      </c>
      <c r="BY124" s="71" t="str">
        <f aca="false">IF(OR(BY$99="",$A90=""),"",IF(AND(ISNUMBER($G90),$G90&gt;=BY$99,$G90&lt;EDATE(BY$99,1)),"F",IF(AND(ISNUMBER($H90),$H90&gt;=BY$99,$H90&lt;EDATE(BY$99,1)),"D","")))</f>
        <v/>
      </c>
      <c r="BZ124" s="71" t="str">
        <f aca="false">IF(OR(BZ$99="",$A90=""),"",IF(AND(ISNUMBER($G90),$G90&gt;=BZ$99,$G90&lt;EDATE(BZ$99,1)),"F",IF(AND(ISNUMBER($H90),$H90&gt;=BZ$99,$H90&lt;EDATE(BZ$99,1)),"D","")))</f>
        <v/>
      </c>
      <c r="CA124" s="71" t="str">
        <f aca="false">IF(OR(CA$99="",$A90=""),"",IF(AND(ISNUMBER($G90),$G90&gt;=CA$99,$G90&lt;EDATE(CA$99,1)),"F",IF(AND(ISNUMBER($H90),$H90&gt;=CA$99,$H90&lt;EDATE(CA$99,1)),"D","")))</f>
        <v/>
      </c>
      <c r="CB124" s="71" t="str">
        <f aca="false">IF(OR(CB$99="",$A90=""),"",IF(AND(ISNUMBER($G90),$G90&gt;=CB$99,$G90&lt;EDATE(CB$99,1)),"F",IF(AND(ISNUMBER($H90),$H90&gt;=CB$99,$H90&lt;EDATE(CB$99,1)),"D","")))</f>
        <v/>
      </c>
      <c r="CC124" s="71" t="str">
        <f aca="false">IF(OR(CC$99="",$A90=""),"",IF(AND(ISNUMBER($G90),$G90&gt;=CC$99,$G90&lt;EDATE(CC$99,1)),"F",IF(AND(ISNUMBER($H90),$H90&gt;=CC$99,$H90&lt;EDATE(CC$99,1)),"D","")))</f>
        <v/>
      </c>
      <c r="CD124" s="71" t="str">
        <f aca="false">IF(OR(CD$99="",$A90=""),"",IF(AND(ISNUMBER($G90),$G90&gt;=CD$99,$G90&lt;EDATE(CD$99,1)),"F",IF(AND(ISNUMBER($H90),$H90&gt;=CD$99,$H90&lt;EDATE(CD$99,1)),"D","")))</f>
        <v/>
      </c>
      <c r="CE124" s="71" t="str">
        <f aca="false">IF(OR(CE$99="",$A90=""),"",IF(AND(ISNUMBER($G90),$G90&gt;=CE$99,$G90&lt;EDATE(CE$99,1)),"F",IF(AND(ISNUMBER($H90),$H90&gt;=CE$99,$H90&lt;EDATE(CE$99,1)),"D","")))</f>
        <v/>
      </c>
      <c r="CF124" s="71" t="str">
        <f aca="false">IF(OR(CF$99="",$A90=""),"",IF(AND(ISNUMBER($G90),$G90&gt;=CF$99,$G90&lt;EDATE(CF$99,1)),"F",IF(AND(ISNUMBER($H90),$H90&gt;=CF$99,$H90&lt;EDATE(CF$99,1)),"D","")))</f>
        <v/>
      </c>
      <c r="CG124" s="71" t="str">
        <f aca="false">IF(OR(CG$99="",$A90=""),"",IF(AND(ISNUMBER($G90),$G90&gt;=CG$99,$G90&lt;EDATE(CG$99,1)),"F",IF(AND(ISNUMBER($H90),$H90&gt;=CG$99,$H90&lt;EDATE(CG$99,1)),"D","")))</f>
        <v/>
      </c>
      <c r="CH124" s="71" t="str">
        <f aca="false">IF(OR(CH$99="",$A90=""),"",IF(AND(ISNUMBER($G90),$G90&gt;=CH$99,$G90&lt;EDATE(CH$99,1)),"F",IF(AND(ISNUMBER($H90),$H90&gt;=CH$99,$H90&lt;EDATE(CH$99,1)),"D","")))</f>
        <v/>
      </c>
      <c r="CI124" s="71" t="str">
        <f aca="false">IF(OR(CI$99="",$A90=""),"",IF(AND(ISNUMBER($G90),$G90&gt;=CI$99,$G90&lt;EDATE(CI$99,1)),"F",IF(AND(ISNUMBER($H90),$H90&gt;=CI$99,$H90&lt;EDATE(CI$99,1)),"D","")))</f>
        <v/>
      </c>
      <c r="CJ124" s="71" t="str">
        <f aca="false">IF(OR(CJ$99="",$A90=""),"",IF(AND(ISNUMBER($G90),$G90&gt;=CJ$99,$G90&lt;EDATE(CJ$99,1)),"F",IF(AND(ISNUMBER($H90),$H90&gt;=CJ$99,$H90&lt;EDATE(CJ$99,1)),"D","")))</f>
        <v/>
      </c>
      <c r="CK124" s="71" t="str">
        <f aca="false">IF(OR(CK$99="",$A90=""),"",IF(AND(ISNUMBER($G90),$G90&gt;=CK$99,$G90&lt;EDATE(CK$99,1)),"F",IF(AND(ISNUMBER($H90),$H90&gt;=CK$99,$H90&lt;EDATE(CK$99,1)),"D","")))</f>
        <v/>
      </c>
    </row>
    <row r="125" customFormat="false" ht="15" hidden="false" customHeight="false" outlineLevel="0" collapsed="false">
      <c r="A125" s="74" t="str">
        <f aca="false">IF($A91="","",$A91)</f>
        <v/>
      </c>
      <c r="B125" s="74" t="str">
        <f aca="false">IF($A91="","",$B91)</f>
        <v/>
      </c>
      <c r="R125" s="71" t="str">
        <f aca="false">IF(OR(R$99="",$A91=""),"",IF(AND(ISNUMBER($G91),$G91&gt;=R$99,$G91&lt;EDATE(R$99,1)),"F",IF(AND(ISNUMBER($H91),$H91&gt;=R$99,$H91&lt;EDATE(R$99,1)),"D","")))</f>
        <v/>
      </c>
      <c r="S125" s="71" t="str">
        <f aca="false">IF(OR(S$99="",$A91=""),"",IF(AND(ISNUMBER($G91),$G91&gt;=S$99,$G91&lt;EDATE(S$99,1)),"F",IF(AND(ISNUMBER($H91),$H91&gt;=S$99,$H91&lt;EDATE(S$99,1)),"D","")))</f>
        <v/>
      </c>
      <c r="T125" s="71" t="str">
        <f aca="false">IF(OR(T$99="",$A91=""),"",IF(AND(ISNUMBER($G91),$G91&gt;=T$99,$G91&lt;EDATE(T$99,1)),"F",IF(AND(ISNUMBER($H91),$H91&gt;=T$99,$H91&lt;EDATE(T$99,1)),"D","")))</f>
        <v/>
      </c>
      <c r="U125" s="71" t="str">
        <f aca="false">IF(OR(U$99="",$A91=""),"",IF(AND(ISNUMBER($G91),$G91&gt;=U$99,$G91&lt;EDATE(U$99,1)),"F",IF(AND(ISNUMBER($H91),$H91&gt;=U$99,$H91&lt;EDATE(U$99,1)),"D","")))</f>
        <v/>
      </c>
      <c r="V125" s="71" t="str">
        <f aca="false">IF(OR(V$99="",$A91=""),"",IF(AND(ISNUMBER($G91),$G91&gt;=V$99,$G91&lt;EDATE(V$99,1)),"F",IF(AND(ISNUMBER($H91),$H91&gt;=V$99,$H91&lt;EDATE(V$99,1)),"D","")))</f>
        <v/>
      </c>
      <c r="W125" s="71" t="str">
        <f aca="false">IF(OR(W$99="",$A91=""),"",IF(AND(ISNUMBER($G91),$G91&gt;=W$99,$G91&lt;EDATE(W$99,1)),"F",IF(AND(ISNUMBER($H91),$H91&gt;=W$99,$H91&lt;EDATE(W$99,1)),"D","")))</f>
        <v/>
      </c>
      <c r="X125" s="71" t="str">
        <f aca="false">IF(OR(X$99="",$A91=""),"",IF(AND(ISNUMBER($G91),$G91&gt;=X$99,$G91&lt;EDATE(X$99,1)),"F",IF(AND(ISNUMBER($H91),$H91&gt;=X$99,$H91&lt;EDATE(X$99,1)),"D","")))</f>
        <v/>
      </c>
      <c r="Y125" s="71" t="str">
        <f aca="false">IF(OR(Y$99="",$A91=""),"",IF(AND(ISNUMBER($G91),$G91&gt;=Y$99,$G91&lt;EDATE(Y$99,1)),"F",IF(AND(ISNUMBER($H91),$H91&gt;=Y$99,$H91&lt;EDATE(Y$99,1)),"D","")))</f>
        <v/>
      </c>
      <c r="Z125" s="71" t="str">
        <f aca="false">IF(OR(Z$99="",$A91=""),"",IF(AND(ISNUMBER($G91),$G91&gt;=Z$99,$G91&lt;EDATE(Z$99,1)),"F",IF(AND(ISNUMBER($H91),$H91&gt;=Z$99,$H91&lt;EDATE(Z$99,1)),"D","")))</f>
        <v/>
      </c>
      <c r="AA125" s="71" t="str">
        <f aca="false">IF(OR(AA$99="",$A91=""),"",IF(AND(ISNUMBER($G91),$G91&gt;=AA$99,$G91&lt;EDATE(AA$99,1)),"F",IF(AND(ISNUMBER($H91),$H91&gt;=AA$99,$H91&lt;EDATE(AA$99,1)),"D","")))</f>
        <v/>
      </c>
      <c r="AB125" s="71" t="str">
        <f aca="false">IF(OR(AB$99="",$A91=""),"",IF(AND(ISNUMBER($G91),$G91&gt;=AB$99,$G91&lt;EDATE(AB$99,1)),"F",IF(AND(ISNUMBER($H91),$H91&gt;=AB$99,$H91&lt;EDATE(AB$99,1)),"D","")))</f>
        <v/>
      </c>
      <c r="AC125" s="71" t="str">
        <f aca="false">IF(OR(AC$99="",$A91=""),"",IF(AND(ISNUMBER($G91),$G91&gt;=AC$99,$G91&lt;EDATE(AC$99,1)),"F",IF(AND(ISNUMBER($H91),$H91&gt;=AC$99,$H91&lt;EDATE(AC$99,1)),"D","")))</f>
        <v/>
      </c>
      <c r="AD125" s="71" t="str">
        <f aca="false">IF(OR(AD$99="",$A91=""),"",IF(AND(ISNUMBER($G91),$G91&gt;=AD$99,$G91&lt;EDATE(AD$99,1)),"F",IF(AND(ISNUMBER($H91),$H91&gt;=AD$99,$H91&lt;EDATE(AD$99,1)),"D","")))</f>
        <v/>
      </c>
      <c r="AE125" s="71" t="str">
        <f aca="false">IF(OR(AE$99="",$A91=""),"",IF(AND(ISNUMBER($G91),$G91&gt;=AE$99,$G91&lt;EDATE(AE$99,1)),"F",IF(AND(ISNUMBER($H91),$H91&gt;=AE$99,$H91&lt;EDATE(AE$99,1)),"D","")))</f>
        <v/>
      </c>
      <c r="AF125" s="71" t="str">
        <f aca="false">IF(OR(AF$99="",$A91=""),"",IF(AND(ISNUMBER($G91),$G91&gt;=AF$99,$G91&lt;EDATE(AF$99,1)),"F",IF(AND(ISNUMBER($H91),$H91&gt;=AF$99,$H91&lt;EDATE(AF$99,1)),"D","")))</f>
        <v/>
      </c>
      <c r="AG125" s="71" t="str">
        <f aca="false">IF(OR(AG$99="",$A91=""),"",IF(AND(ISNUMBER($G91),$G91&gt;=AG$99,$G91&lt;EDATE(AG$99,1)),"F",IF(AND(ISNUMBER($H91),$H91&gt;=AG$99,$H91&lt;EDATE(AG$99,1)),"D","")))</f>
        <v/>
      </c>
      <c r="AH125" s="71" t="str">
        <f aca="false">IF(OR(AH$99="",$A91=""),"",IF(AND(ISNUMBER($G91),$G91&gt;=AH$99,$G91&lt;EDATE(AH$99,1)),"F",IF(AND(ISNUMBER($H91),$H91&gt;=AH$99,$H91&lt;EDATE(AH$99,1)),"D","")))</f>
        <v/>
      </c>
      <c r="AI125" s="71" t="str">
        <f aca="false">IF(OR(AI$99="",$A91=""),"",IF(AND(ISNUMBER($G91),$G91&gt;=AI$99,$G91&lt;EDATE(AI$99,1)),"F",IF(AND(ISNUMBER($H91),$H91&gt;=AI$99,$H91&lt;EDATE(AI$99,1)),"D","")))</f>
        <v/>
      </c>
      <c r="AJ125" s="71" t="str">
        <f aca="false">IF(OR(AJ$99="",$A91=""),"",IF(AND(ISNUMBER($G91),$G91&gt;=AJ$99,$G91&lt;EDATE(AJ$99,1)),"F",IF(AND(ISNUMBER($H91),$H91&gt;=AJ$99,$H91&lt;EDATE(AJ$99,1)),"D","")))</f>
        <v/>
      </c>
      <c r="AK125" s="71" t="str">
        <f aca="false">IF(OR(AK$99="",$A91=""),"",IF(AND(ISNUMBER($G91),$G91&gt;=AK$99,$G91&lt;EDATE(AK$99,1)),"F",IF(AND(ISNUMBER($H91),$H91&gt;=AK$99,$H91&lt;EDATE(AK$99,1)),"D","")))</f>
        <v/>
      </c>
      <c r="AL125" s="71" t="str">
        <f aca="false">IF(OR(AL$99="",$A91=""),"",IF(AND(ISNUMBER($G91),$G91&gt;=AL$99,$G91&lt;EDATE(AL$99,1)),"F",IF(AND(ISNUMBER($H91),$H91&gt;=AL$99,$H91&lt;EDATE(AL$99,1)),"D","")))</f>
        <v/>
      </c>
      <c r="AM125" s="71" t="str">
        <f aca="false">IF(OR(AM$99="",$A91=""),"",IF(AND(ISNUMBER($G91),$G91&gt;=AM$99,$G91&lt;EDATE(AM$99,1)),"F",IF(AND(ISNUMBER($H91),$H91&gt;=AM$99,$H91&lt;EDATE(AM$99,1)),"D","")))</f>
        <v/>
      </c>
      <c r="AN125" s="71" t="str">
        <f aca="false">IF(OR(AN$99="",$A91=""),"",IF(AND(ISNUMBER($G91),$G91&gt;=AN$99,$G91&lt;EDATE(AN$99,1)),"F",IF(AND(ISNUMBER($H91),$H91&gt;=AN$99,$H91&lt;EDATE(AN$99,1)),"D","")))</f>
        <v/>
      </c>
      <c r="AO125" s="71" t="str">
        <f aca="false">IF(OR(AO$99="",$A91=""),"",IF(AND(ISNUMBER($G91),$G91&gt;=AO$99,$G91&lt;EDATE(AO$99,1)),"F",IF(AND(ISNUMBER($H91),$H91&gt;=AO$99,$H91&lt;EDATE(AO$99,1)),"D","")))</f>
        <v/>
      </c>
      <c r="AP125" s="71" t="str">
        <f aca="false">IF(OR(AP$99="",$A91=""),"",IF(AND(ISNUMBER($G91),$G91&gt;=AP$99,$G91&lt;EDATE(AP$99,1)),"F",IF(AND(ISNUMBER($H91),$H91&gt;=AP$99,$H91&lt;EDATE(AP$99,1)),"D","")))</f>
        <v/>
      </c>
      <c r="AQ125" s="71" t="str">
        <f aca="false">IF(OR(AQ$99="",$A91=""),"",IF(AND(ISNUMBER($G91),$G91&gt;=AQ$99,$G91&lt;EDATE(AQ$99,1)),"F",IF(AND(ISNUMBER($H91),$H91&gt;=AQ$99,$H91&lt;EDATE(AQ$99,1)),"D","")))</f>
        <v/>
      </c>
      <c r="AR125" s="71" t="str">
        <f aca="false">IF(OR(AR$99="",$A91=""),"",IF(AND(ISNUMBER($G91),$G91&gt;=AR$99,$G91&lt;EDATE(AR$99,1)),"F",IF(AND(ISNUMBER($H91),$H91&gt;=AR$99,$H91&lt;EDATE(AR$99,1)),"D","")))</f>
        <v/>
      </c>
      <c r="AS125" s="71" t="str">
        <f aca="false">IF(OR(AS$99="",$A91=""),"",IF(AND(ISNUMBER($G91),$G91&gt;=AS$99,$G91&lt;EDATE(AS$99,1)),"F",IF(AND(ISNUMBER($H91),$H91&gt;=AS$99,$H91&lt;EDATE(AS$99,1)),"D","")))</f>
        <v/>
      </c>
      <c r="AT125" s="71" t="str">
        <f aca="false">IF(OR(AT$99="",$A91=""),"",IF(AND(ISNUMBER($G91),$G91&gt;=AT$99,$G91&lt;EDATE(AT$99,1)),"F",IF(AND(ISNUMBER($H91),$H91&gt;=AT$99,$H91&lt;EDATE(AT$99,1)),"D","")))</f>
        <v/>
      </c>
      <c r="AU125" s="71" t="str">
        <f aca="false">IF(OR(AU$99="",$A91=""),"",IF(AND(ISNUMBER($G91),$G91&gt;=AU$99,$G91&lt;EDATE(AU$99,1)),"F",IF(AND(ISNUMBER($H91),$H91&gt;=AU$99,$H91&lt;EDATE(AU$99,1)),"D","")))</f>
        <v/>
      </c>
      <c r="AV125" s="71" t="str">
        <f aca="false">IF(OR(AV$99="",$A91=""),"",IF(AND(ISNUMBER($G91),$G91&gt;=AV$99,$G91&lt;EDATE(AV$99,1)),"F",IF(AND(ISNUMBER($H91),$H91&gt;=AV$99,$H91&lt;EDATE(AV$99,1)),"D","")))</f>
        <v/>
      </c>
      <c r="AW125" s="71" t="str">
        <f aca="false">IF(OR(AW$99="",$A91=""),"",IF(AND(ISNUMBER($G91),$G91&gt;=AW$99,$G91&lt;EDATE(AW$99,1)),"F",IF(AND(ISNUMBER($H91),$H91&gt;=AW$99,$H91&lt;EDATE(AW$99,1)),"D","")))</f>
        <v/>
      </c>
      <c r="AX125" s="71" t="str">
        <f aca="false">IF(OR(AX$99="",$A91=""),"",IF(AND(ISNUMBER($G91),$G91&gt;=AX$99,$G91&lt;EDATE(AX$99,1)),"F",IF(AND(ISNUMBER($H91),$H91&gt;=AX$99,$H91&lt;EDATE(AX$99,1)),"D","")))</f>
        <v/>
      </c>
      <c r="AY125" s="71" t="str">
        <f aca="false">IF(OR(AY$99="",$A91=""),"",IF(AND(ISNUMBER($G91),$G91&gt;=AY$99,$G91&lt;EDATE(AY$99,1)),"F",IF(AND(ISNUMBER($H91),$H91&gt;=AY$99,$H91&lt;EDATE(AY$99,1)),"D","")))</f>
        <v/>
      </c>
      <c r="AZ125" s="71" t="str">
        <f aca="false">IF(OR(AZ$99="",$A91=""),"",IF(AND(ISNUMBER($G91),$G91&gt;=AZ$99,$G91&lt;EDATE(AZ$99,1)),"F",IF(AND(ISNUMBER($H91),$H91&gt;=AZ$99,$H91&lt;EDATE(AZ$99,1)),"D","")))</f>
        <v/>
      </c>
      <c r="BA125" s="71" t="str">
        <f aca="false">IF(OR(BA$99="",$A91=""),"",IF(AND(ISNUMBER($G91),$G91&gt;=BA$99,$G91&lt;EDATE(BA$99,1)),"F",IF(AND(ISNUMBER($H91),$H91&gt;=BA$99,$H91&lt;EDATE(BA$99,1)),"D","")))</f>
        <v/>
      </c>
      <c r="BB125" s="71" t="str">
        <f aca="false">IF(OR(BB$99="",$A91=""),"",IF(AND(ISNUMBER($G91),$G91&gt;=BB$99,$G91&lt;EDATE(BB$99,1)),"F",IF(AND(ISNUMBER($H91),$H91&gt;=BB$99,$H91&lt;EDATE(BB$99,1)),"D","")))</f>
        <v/>
      </c>
      <c r="BC125" s="71" t="str">
        <f aca="false">IF(OR(BC$99="",$A91=""),"",IF(AND(ISNUMBER($G91),$G91&gt;=BC$99,$G91&lt;EDATE(BC$99,1)),"F",IF(AND(ISNUMBER($H91),$H91&gt;=BC$99,$H91&lt;EDATE(BC$99,1)),"D","")))</f>
        <v/>
      </c>
      <c r="BD125" s="71" t="str">
        <f aca="false">IF(OR(BD$99="",$A91=""),"",IF(AND(ISNUMBER($G91),$G91&gt;=BD$99,$G91&lt;EDATE(BD$99,1)),"F",IF(AND(ISNUMBER($H91),$H91&gt;=BD$99,$H91&lt;EDATE(BD$99,1)),"D","")))</f>
        <v/>
      </c>
      <c r="BE125" s="71" t="str">
        <f aca="false">IF(OR(BE$99="",$A91=""),"",IF(AND(ISNUMBER($G91),$G91&gt;=BE$99,$G91&lt;EDATE(BE$99,1)),"F",IF(AND(ISNUMBER($H91),$H91&gt;=BE$99,$H91&lt;EDATE(BE$99,1)),"D","")))</f>
        <v/>
      </c>
      <c r="BF125" s="71" t="str">
        <f aca="false">IF(OR(BF$99="",$A91=""),"",IF(AND(ISNUMBER($G91),$G91&gt;=BF$99,$G91&lt;EDATE(BF$99,1)),"F",IF(AND(ISNUMBER($H91),$H91&gt;=BF$99,$H91&lt;EDATE(BF$99,1)),"D","")))</f>
        <v/>
      </c>
      <c r="BG125" s="71" t="str">
        <f aca="false">IF(OR(BG$99="",$A91=""),"",IF(AND(ISNUMBER($G91),$G91&gt;=BG$99,$G91&lt;EDATE(BG$99,1)),"F",IF(AND(ISNUMBER($H91),$H91&gt;=BG$99,$H91&lt;EDATE(BG$99,1)),"D","")))</f>
        <v/>
      </c>
      <c r="BH125" s="71" t="str">
        <f aca="false">IF(OR(BH$99="",$A91=""),"",IF(AND(ISNUMBER($G91),$G91&gt;=BH$99,$G91&lt;EDATE(BH$99,1)),"F",IF(AND(ISNUMBER($H91),$H91&gt;=BH$99,$H91&lt;EDATE(BH$99,1)),"D","")))</f>
        <v/>
      </c>
      <c r="BI125" s="71" t="str">
        <f aca="false">IF(OR(BI$99="",$A91=""),"",IF(AND(ISNUMBER($G91),$G91&gt;=BI$99,$G91&lt;EDATE(BI$99,1)),"F",IF(AND(ISNUMBER($H91),$H91&gt;=BI$99,$H91&lt;EDATE(BI$99,1)),"D","")))</f>
        <v/>
      </c>
      <c r="BJ125" s="71" t="str">
        <f aca="false">IF(OR(BJ$99="",$A91=""),"",IF(AND(ISNUMBER($G91),$G91&gt;=BJ$99,$G91&lt;EDATE(BJ$99,1)),"F",IF(AND(ISNUMBER($H91),$H91&gt;=BJ$99,$H91&lt;EDATE(BJ$99,1)),"D","")))</f>
        <v/>
      </c>
      <c r="BK125" s="71" t="str">
        <f aca="false">IF(OR(BK$99="",$A91=""),"",IF(AND(ISNUMBER($G91),$G91&gt;=BK$99,$G91&lt;EDATE(BK$99,1)),"F",IF(AND(ISNUMBER($H91),$H91&gt;=BK$99,$H91&lt;EDATE(BK$99,1)),"D","")))</f>
        <v/>
      </c>
      <c r="BL125" s="71" t="str">
        <f aca="false">IF(OR(BL$99="",$A91=""),"",IF(AND(ISNUMBER($G91),$G91&gt;=BL$99,$G91&lt;EDATE(BL$99,1)),"F",IF(AND(ISNUMBER($H91),$H91&gt;=BL$99,$H91&lt;EDATE(BL$99,1)),"D","")))</f>
        <v/>
      </c>
      <c r="BM125" s="71" t="str">
        <f aca="false">IF(OR(BM$99="",$A91=""),"",IF(AND(ISNUMBER($G91),$G91&gt;=BM$99,$G91&lt;EDATE(BM$99,1)),"F",IF(AND(ISNUMBER($H91),$H91&gt;=BM$99,$H91&lt;EDATE(BM$99,1)),"D","")))</f>
        <v/>
      </c>
      <c r="BN125" s="71" t="str">
        <f aca="false">IF(OR(BN$99="",$A91=""),"",IF(AND(ISNUMBER($G91),$G91&gt;=BN$99,$G91&lt;EDATE(BN$99,1)),"F",IF(AND(ISNUMBER($H91),$H91&gt;=BN$99,$H91&lt;EDATE(BN$99,1)),"D","")))</f>
        <v/>
      </c>
      <c r="BO125" s="71" t="str">
        <f aca="false">IF(OR(BO$99="",$A91=""),"",IF(AND(ISNUMBER($G91),$G91&gt;=BO$99,$G91&lt;EDATE(BO$99,1)),"F",IF(AND(ISNUMBER($H91),$H91&gt;=BO$99,$H91&lt;EDATE(BO$99,1)),"D","")))</f>
        <v/>
      </c>
      <c r="BP125" s="71" t="str">
        <f aca="false">IF(OR(BP$99="",$A91=""),"",IF(AND(ISNUMBER($G91),$G91&gt;=BP$99,$G91&lt;EDATE(BP$99,1)),"F",IF(AND(ISNUMBER($H91),$H91&gt;=BP$99,$H91&lt;EDATE(BP$99,1)),"D","")))</f>
        <v/>
      </c>
      <c r="BQ125" s="71" t="str">
        <f aca="false">IF(OR(BQ$99="",$A91=""),"",IF(AND(ISNUMBER($G91),$G91&gt;=BQ$99,$G91&lt;EDATE(BQ$99,1)),"F",IF(AND(ISNUMBER($H91),$H91&gt;=BQ$99,$H91&lt;EDATE(BQ$99,1)),"D","")))</f>
        <v/>
      </c>
      <c r="BR125" s="71" t="str">
        <f aca="false">IF(OR(BR$99="",$A91=""),"",IF(AND(ISNUMBER($G91),$G91&gt;=BR$99,$G91&lt;EDATE(BR$99,1)),"F",IF(AND(ISNUMBER($H91),$H91&gt;=BR$99,$H91&lt;EDATE(BR$99,1)),"D","")))</f>
        <v/>
      </c>
      <c r="BS125" s="71" t="str">
        <f aca="false">IF(OR(BS$99="",$A91=""),"",IF(AND(ISNUMBER($G91),$G91&gt;=BS$99,$G91&lt;EDATE(BS$99,1)),"F",IF(AND(ISNUMBER($H91),$H91&gt;=BS$99,$H91&lt;EDATE(BS$99,1)),"D","")))</f>
        <v/>
      </c>
      <c r="BT125" s="71" t="str">
        <f aca="false">IF(OR(BT$99="",$A91=""),"",IF(AND(ISNUMBER($G91),$G91&gt;=BT$99,$G91&lt;EDATE(BT$99,1)),"F",IF(AND(ISNUMBER($H91),$H91&gt;=BT$99,$H91&lt;EDATE(BT$99,1)),"D","")))</f>
        <v/>
      </c>
      <c r="BU125" s="71" t="str">
        <f aca="false">IF(OR(BU$99="",$A91=""),"",IF(AND(ISNUMBER($G91),$G91&gt;=BU$99,$G91&lt;EDATE(BU$99,1)),"F",IF(AND(ISNUMBER($H91),$H91&gt;=BU$99,$H91&lt;EDATE(BU$99,1)),"D","")))</f>
        <v/>
      </c>
      <c r="BV125" s="71" t="str">
        <f aca="false">IF(OR(BV$99="",$A91=""),"",IF(AND(ISNUMBER($G91),$G91&gt;=BV$99,$G91&lt;EDATE(BV$99,1)),"F",IF(AND(ISNUMBER($H91),$H91&gt;=BV$99,$H91&lt;EDATE(BV$99,1)),"D","")))</f>
        <v/>
      </c>
      <c r="BW125" s="71" t="str">
        <f aca="false">IF(OR(BW$99="",$A91=""),"",IF(AND(ISNUMBER($G91),$G91&gt;=BW$99,$G91&lt;EDATE(BW$99,1)),"F",IF(AND(ISNUMBER($H91),$H91&gt;=BW$99,$H91&lt;EDATE(BW$99,1)),"D","")))</f>
        <v/>
      </c>
      <c r="BX125" s="71" t="str">
        <f aca="false">IF(OR(BX$99="",$A91=""),"",IF(AND(ISNUMBER($G91),$G91&gt;=BX$99,$G91&lt;EDATE(BX$99,1)),"F",IF(AND(ISNUMBER($H91),$H91&gt;=BX$99,$H91&lt;EDATE(BX$99,1)),"D","")))</f>
        <v/>
      </c>
      <c r="BY125" s="71" t="str">
        <f aca="false">IF(OR(BY$99="",$A91=""),"",IF(AND(ISNUMBER($G91),$G91&gt;=BY$99,$G91&lt;EDATE(BY$99,1)),"F",IF(AND(ISNUMBER($H91),$H91&gt;=BY$99,$H91&lt;EDATE(BY$99,1)),"D","")))</f>
        <v/>
      </c>
      <c r="BZ125" s="71" t="str">
        <f aca="false">IF(OR(BZ$99="",$A91=""),"",IF(AND(ISNUMBER($G91),$G91&gt;=BZ$99,$G91&lt;EDATE(BZ$99,1)),"F",IF(AND(ISNUMBER($H91),$H91&gt;=BZ$99,$H91&lt;EDATE(BZ$99,1)),"D","")))</f>
        <v/>
      </c>
      <c r="CA125" s="71" t="str">
        <f aca="false">IF(OR(CA$99="",$A91=""),"",IF(AND(ISNUMBER($G91),$G91&gt;=CA$99,$G91&lt;EDATE(CA$99,1)),"F",IF(AND(ISNUMBER($H91),$H91&gt;=CA$99,$H91&lt;EDATE(CA$99,1)),"D","")))</f>
        <v/>
      </c>
      <c r="CB125" s="71" t="str">
        <f aca="false">IF(OR(CB$99="",$A91=""),"",IF(AND(ISNUMBER($G91),$G91&gt;=CB$99,$G91&lt;EDATE(CB$99,1)),"F",IF(AND(ISNUMBER($H91),$H91&gt;=CB$99,$H91&lt;EDATE(CB$99,1)),"D","")))</f>
        <v/>
      </c>
      <c r="CC125" s="71" t="str">
        <f aca="false">IF(OR(CC$99="",$A91=""),"",IF(AND(ISNUMBER($G91),$G91&gt;=CC$99,$G91&lt;EDATE(CC$99,1)),"F",IF(AND(ISNUMBER($H91),$H91&gt;=CC$99,$H91&lt;EDATE(CC$99,1)),"D","")))</f>
        <v/>
      </c>
      <c r="CD125" s="71" t="str">
        <f aca="false">IF(OR(CD$99="",$A91=""),"",IF(AND(ISNUMBER($G91),$G91&gt;=CD$99,$G91&lt;EDATE(CD$99,1)),"F",IF(AND(ISNUMBER($H91),$H91&gt;=CD$99,$H91&lt;EDATE(CD$99,1)),"D","")))</f>
        <v/>
      </c>
      <c r="CE125" s="71" t="str">
        <f aca="false">IF(OR(CE$99="",$A91=""),"",IF(AND(ISNUMBER($G91),$G91&gt;=CE$99,$G91&lt;EDATE(CE$99,1)),"F",IF(AND(ISNUMBER($H91),$H91&gt;=CE$99,$H91&lt;EDATE(CE$99,1)),"D","")))</f>
        <v/>
      </c>
      <c r="CF125" s="71" t="str">
        <f aca="false">IF(OR(CF$99="",$A91=""),"",IF(AND(ISNUMBER($G91),$G91&gt;=CF$99,$G91&lt;EDATE(CF$99,1)),"F",IF(AND(ISNUMBER($H91),$H91&gt;=CF$99,$H91&lt;EDATE(CF$99,1)),"D","")))</f>
        <v/>
      </c>
      <c r="CG125" s="71" t="str">
        <f aca="false">IF(OR(CG$99="",$A91=""),"",IF(AND(ISNUMBER($G91),$G91&gt;=CG$99,$G91&lt;EDATE(CG$99,1)),"F",IF(AND(ISNUMBER($H91),$H91&gt;=CG$99,$H91&lt;EDATE(CG$99,1)),"D","")))</f>
        <v/>
      </c>
      <c r="CH125" s="71" t="str">
        <f aca="false">IF(OR(CH$99="",$A91=""),"",IF(AND(ISNUMBER($G91),$G91&gt;=CH$99,$G91&lt;EDATE(CH$99,1)),"F",IF(AND(ISNUMBER($H91),$H91&gt;=CH$99,$H91&lt;EDATE(CH$99,1)),"D","")))</f>
        <v/>
      </c>
      <c r="CI125" s="71" t="str">
        <f aca="false">IF(OR(CI$99="",$A91=""),"",IF(AND(ISNUMBER($G91),$G91&gt;=CI$99,$G91&lt;EDATE(CI$99,1)),"F",IF(AND(ISNUMBER($H91),$H91&gt;=CI$99,$H91&lt;EDATE(CI$99,1)),"D","")))</f>
        <v/>
      </c>
      <c r="CJ125" s="71" t="str">
        <f aca="false">IF(OR(CJ$99="",$A91=""),"",IF(AND(ISNUMBER($G91),$G91&gt;=CJ$99,$G91&lt;EDATE(CJ$99,1)),"F",IF(AND(ISNUMBER($H91),$H91&gt;=CJ$99,$H91&lt;EDATE(CJ$99,1)),"D","")))</f>
        <v/>
      </c>
      <c r="CK125" s="71" t="str">
        <f aca="false">IF(OR(CK$99="",$A91=""),"",IF(AND(ISNUMBER($G91),$G91&gt;=CK$99,$G91&lt;EDATE(CK$99,1)),"F",IF(AND(ISNUMBER($H91),$H91&gt;=CK$99,$H91&lt;EDATE(CK$99,1)),"D","")))</f>
        <v/>
      </c>
    </row>
    <row r="126" customFormat="false" ht="15" hidden="false" customHeight="false" outlineLevel="0" collapsed="false">
      <c r="A126" s="74" t="str">
        <f aca="false">IF($A92="","",$A92)</f>
        <v/>
      </c>
      <c r="B126" s="74" t="str">
        <f aca="false">IF($A92="","",$B92)</f>
        <v/>
      </c>
      <c r="R126" s="71" t="str">
        <f aca="false">IF(OR(R$99="",$A92=""),"",IF(AND(ISNUMBER($G92),$G92&gt;=R$99,$G92&lt;EDATE(R$99,1)),"F",IF(AND(ISNUMBER($H92),$H92&gt;=R$99,$H92&lt;EDATE(R$99,1)),"D","")))</f>
        <v/>
      </c>
      <c r="S126" s="71" t="str">
        <f aca="false">IF(OR(S$99="",$A92=""),"",IF(AND(ISNUMBER($G92),$G92&gt;=S$99,$G92&lt;EDATE(S$99,1)),"F",IF(AND(ISNUMBER($H92),$H92&gt;=S$99,$H92&lt;EDATE(S$99,1)),"D","")))</f>
        <v/>
      </c>
      <c r="T126" s="71" t="str">
        <f aca="false">IF(OR(T$99="",$A92=""),"",IF(AND(ISNUMBER($G92),$G92&gt;=T$99,$G92&lt;EDATE(T$99,1)),"F",IF(AND(ISNUMBER($H92),$H92&gt;=T$99,$H92&lt;EDATE(T$99,1)),"D","")))</f>
        <v/>
      </c>
      <c r="U126" s="71" t="str">
        <f aca="false">IF(OR(U$99="",$A92=""),"",IF(AND(ISNUMBER($G92),$G92&gt;=U$99,$G92&lt;EDATE(U$99,1)),"F",IF(AND(ISNUMBER($H92),$H92&gt;=U$99,$H92&lt;EDATE(U$99,1)),"D","")))</f>
        <v/>
      </c>
      <c r="V126" s="71" t="str">
        <f aca="false">IF(OR(V$99="",$A92=""),"",IF(AND(ISNUMBER($G92),$G92&gt;=V$99,$G92&lt;EDATE(V$99,1)),"F",IF(AND(ISNUMBER($H92),$H92&gt;=V$99,$H92&lt;EDATE(V$99,1)),"D","")))</f>
        <v/>
      </c>
      <c r="W126" s="71" t="str">
        <f aca="false">IF(OR(W$99="",$A92=""),"",IF(AND(ISNUMBER($G92),$G92&gt;=W$99,$G92&lt;EDATE(W$99,1)),"F",IF(AND(ISNUMBER($H92),$H92&gt;=W$99,$H92&lt;EDATE(W$99,1)),"D","")))</f>
        <v/>
      </c>
      <c r="X126" s="71" t="str">
        <f aca="false">IF(OR(X$99="",$A92=""),"",IF(AND(ISNUMBER($G92),$G92&gt;=X$99,$G92&lt;EDATE(X$99,1)),"F",IF(AND(ISNUMBER($H92),$H92&gt;=X$99,$H92&lt;EDATE(X$99,1)),"D","")))</f>
        <v/>
      </c>
      <c r="Y126" s="71" t="str">
        <f aca="false">IF(OR(Y$99="",$A92=""),"",IF(AND(ISNUMBER($G92),$G92&gt;=Y$99,$G92&lt;EDATE(Y$99,1)),"F",IF(AND(ISNUMBER($H92),$H92&gt;=Y$99,$H92&lt;EDATE(Y$99,1)),"D","")))</f>
        <v/>
      </c>
      <c r="Z126" s="71" t="str">
        <f aca="false">IF(OR(Z$99="",$A92=""),"",IF(AND(ISNUMBER($G92),$G92&gt;=Z$99,$G92&lt;EDATE(Z$99,1)),"F",IF(AND(ISNUMBER($H92),$H92&gt;=Z$99,$H92&lt;EDATE(Z$99,1)),"D","")))</f>
        <v/>
      </c>
      <c r="AA126" s="71" t="str">
        <f aca="false">IF(OR(AA$99="",$A92=""),"",IF(AND(ISNUMBER($G92),$G92&gt;=AA$99,$G92&lt;EDATE(AA$99,1)),"F",IF(AND(ISNUMBER($H92),$H92&gt;=AA$99,$H92&lt;EDATE(AA$99,1)),"D","")))</f>
        <v/>
      </c>
      <c r="AB126" s="71" t="str">
        <f aca="false">IF(OR(AB$99="",$A92=""),"",IF(AND(ISNUMBER($G92),$G92&gt;=AB$99,$G92&lt;EDATE(AB$99,1)),"F",IF(AND(ISNUMBER($H92),$H92&gt;=AB$99,$H92&lt;EDATE(AB$99,1)),"D","")))</f>
        <v/>
      </c>
      <c r="AC126" s="71" t="str">
        <f aca="false">IF(OR(AC$99="",$A92=""),"",IF(AND(ISNUMBER($G92),$G92&gt;=AC$99,$G92&lt;EDATE(AC$99,1)),"F",IF(AND(ISNUMBER($H92),$H92&gt;=AC$99,$H92&lt;EDATE(AC$99,1)),"D","")))</f>
        <v/>
      </c>
      <c r="AD126" s="71" t="str">
        <f aca="false">IF(OR(AD$99="",$A92=""),"",IF(AND(ISNUMBER($G92),$G92&gt;=AD$99,$G92&lt;EDATE(AD$99,1)),"F",IF(AND(ISNUMBER($H92),$H92&gt;=AD$99,$H92&lt;EDATE(AD$99,1)),"D","")))</f>
        <v/>
      </c>
      <c r="AE126" s="71" t="str">
        <f aca="false">IF(OR(AE$99="",$A92=""),"",IF(AND(ISNUMBER($G92),$G92&gt;=AE$99,$G92&lt;EDATE(AE$99,1)),"F",IF(AND(ISNUMBER($H92),$H92&gt;=AE$99,$H92&lt;EDATE(AE$99,1)),"D","")))</f>
        <v/>
      </c>
      <c r="AF126" s="71" t="str">
        <f aca="false">IF(OR(AF$99="",$A92=""),"",IF(AND(ISNUMBER($G92),$G92&gt;=AF$99,$G92&lt;EDATE(AF$99,1)),"F",IF(AND(ISNUMBER($H92),$H92&gt;=AF$99,$H92&lt;EDATE(AF$99,1)),"D","")))</f>
        <v/>
      </c>
      <c r="AG126" s="71" t="str">
        <f aca="false">IF(OR(AG$99="",$A92=""),"",IF(AND(ISNUMBER($G92),$G92&gt;=AG$99,$G92&lt;EDATE(AG$99,1)),"F",IF(AND(ISNUMBER($H92),$H92&gt;=AG$99,$H92&lt;EDATE(AG$99,1)),"D","")))</f>
        <v/>
      </c>
      <c r="AH126" s="71" t="str">
        <f aca="false">IF(OR(AH$99="",$A92=""),"",IF(AND(ISNUMBER($G92),$G92&gt;=AH$99,$G92&lt;EDATE(AH$99,1)),"F",IF(AND(ISNUMBER($H92),$H92&gt;=AH$99,$H92&lt;EDATE(AH$99,1)),"D","")))</f>
        <v/>
      </c>
      <c r="AI126" s="71" t="str">
        <f aca="false">IF(OR(AI$99="",$A92=""),"",IF(AND(ISNUMBER($G92),$G92&gt;=AI$99,$G92&lt;EDATE(AI$99,1)),"F",IF(AND(ISNUMBER($H92),$H92&gt;=AI$99,$H92&lt;EDATE(AI$99,1)),"D","")))</f>
        <v/>
      </c>
      <c r="AJ126" s="71" t="str">
        <f aca="false">IF(OR(AJ$99="",$A92=""),"",IF(AND(ISNUMBER($G92),$G92&gt;=AJ$99,$G92&lt;EDATE(AJ$99,1)),"F",IF(AND(ISNUMBER($H92),$H92&gt;=AJ$99,$H92&lt;EDATE(AJ$99,1)),"D","")))</f>
        <v/>
      </c>
      <c r="AK126" s="71" t="str">
        <f aca="false">IF(OR(AK$99="",$A92=""),"",IF(AND(ISNUMBER($G92),$G92&gt;=AK$99,$G92&lt;EDATE(AK$99,1)),"F",IF(AND(ISNUMBER($H92),$H92&gt;=AK$99,$H92&lt;EDATE(AK$99,1)),"D","")))</f>
        <v/>
      </c>
      <c r="AL126" s="71" t="str">
        <f aca="false">IF(OR(AL$99="",$A92=""),"",IF(AND(ISNUMBER($G92),$G92&gt;=AL$99,$G92&lt;EDATE(AL$99,1)),"F",IF(AND(ISNUMBER($H92),$H92&gt;=AL$99,$H92&lt;EDATE(AL$99,1)),"D","")))</f>
        <v/>
      </c>
      <c r="AM126" s="71" t="str">
        <f aca="false">IF(OR(AM$99="",$A92=""),"",IF(AND(ISNUMBER($G92),$G92&gt;=AM$99,$G92&lt;EDATE(AM$99,1)),"F",IF(AND(ISNUMBER($H92),$H92&gt;=AM$99,$H92&lt;EDATE(AM$99,1)),"D","")))</f>
        <v/>
      </c>
      <c r="AN126" s="71" t="str">
        <f aca="false">IF(OR(AN$99="",$A92=""),"",IF(AND(ISNUMBER($G92),$G92&gt;=AN$99,$G92&lt;EDATE(AN$99,1)),"F",IF(AND(ISNUMBER($H92),$H92&gt;=AN$99,$H92&lt;EDATE(AN$99,1)),"D","")))</f>
        <v/>
      </c>
      <c r="AO126" s="71" t="str">
        <f aca="false">IF(OR(AO$99="",$A92=""),"",IF(AND(ISNUMBER($G92),$G92&gt;=AO$99,$G92&lt;EDATE(AO$99,1)),"F",IF(AND(ISNUMBER($H92),$H92&gt;=AO$99,$H92&lt;EDATE(AO$99,1)),"D","")))</f>
        <v/>
      </c>
      <c r="AP126" s="71" t="str">
        <f aca="false">IF(OR(AP$99="",$A92=""),"",IF(AND(ISNUMBER($G92),$G92&gt;=AP$99,$G92&lt;EDATE(AP$99,1)),"F",IF(AND(ISNUMBER($H92),$H92&gt;=AP$99,$H92&lt;EDATE(AP$99,1)),"D","")))</f>
        <v/>
      </c>
      <c r="AQ126" s="71" t="str">
        <f aca="false">IF(OR(AQ$99="",$A92=""),"",IF(AND(ISNUMBER($G92),$G92&gt;=AQ$99,$G92&lt;EDATE(AQ$99,1)),"F",IF(AND(ISNUMBER($H92),$H92&gt;=AQ$99,$H92&lt;EDATE(AQ$99,1)),"D","")))</f>
        <v/>
      </c>
      <c r="AR126" s="71" t="str">
        <f aca="false">IF(OR(AR$99="",$A92=""),"",IF(AND(ISNUMBER($G92),$G92&gt;=AR$99,$G92&lt;EDATE(AR$99,1)),"F",IF(AND(ISNUMBER($H92),$H92&gt;=AR$99,$H92&lt;EDATE(AR$99,1)),"D","")))</f>
        <v/>
      </c>
      <c r="AS126" s="71" t="str">
        <f aca="false">IF(OR(AS$99="",$A92=""),"",IF(AND(ISNUMBER($G92),$G92&gt;=AS$99,$G92&lt;EDATE(AS$99,1)),"F",IF(AND(ISNUMBER($H92),$H92&gt;=AS$99,$H92&lt;EDATE(AS$99,1)),"D","")))</f>
        <v/>
      </c>
      <c r="AT126" s="71" t="str">
        <f aca="false">IF(OR(AT$99="",$A92=""),"",IF(AND(ISNUMBER($G92),$G92&gt;=AT$99,$G92&lt;EDATE(AT$99,1)),"F",IF(AND(ISNUMBER($H92),$H92&gt;=AT$99,$H92&lt;EDATE(AT$99,1)),"D","")))</f>
        <v/>
      </c>
      <c r="AU126" s="71" t="str">
        <f aca="false">IF(OR(AU$99="",$A92=""),"",IF(AND(ISNUMBER($G92),$G92&gt;=AU$99,$G92&lt;EDATE(AU$99,1)),"F",IF(AND(ISNUMBER($H92),$H92&gt;=AU$99,$H92&lt;EDATE(AU$99,1)),"D","")))</f>
        <v/>
      </c>
      <c r="AV126" s="71" t="str">
        <f aca="false">IF(OR(AV$99="",$A92=""),"",IF(AND(ISNUMBER($G92),$G92&gt;=AV$99,$G92&lt;EDATE(AV$99,1)),"F",IF(AND(ISNUMBER($H92),$H92&gt;=AV$99,$H92&lt;EDATE(AV$99,1)),"D","")))</f>
        <v/>
      </c>
      <c r="AW126" s="71" t="str">
        <f aca="false">IF(OR(AW$99="",$A92=""),"",IF(AND(ISNUMBER($G92),$G92&gt;=AW$99,$G92&lt;EDATE(AW$99,1)),"F",IF(AND(ISNUMBER($H92),$H92&gt;=AW$99,$H92&lt;EDATE(AW$99,1)),"D","")))</f>
        <v/>
      </c>
      <c r="AX126" s="71" t="str">
        <f aca="false">IF(OR(AX$99="",$A92=""),"",IF(AND(ISNUMBER($G92),$G92&gt;=AX$99,$G92&lt;EDATE(AX$99,1)),"F",IF(AND(ISNUMBER($H92),$H92&gt;=AX$99,$H92&lt;EDATE(AX$99,1)),"D","")))</f>
        <v/>
      </c>
      <c r="AY126" s="71" t="str">
        <f aca="false">IF(OR(AY$99="",$A92=""),"",IF(AND(ISNUMBER($G92),$G92&gt;=AY$99,$G92&lt;EDATE(AY$99,1)),"F",IF(AND(ISNUMBER($H92),$H92&gt;=AY$99,$H92&lt;EDATE(AY$99,1)),"D","")))</f>
        <v/>
      </c>
      <c r="AZ126" s="71" t="str">
        <f aca="false">IF(OR(AZ$99="",$A92=""),"",IF(AND(ISNUMBER($G92),$G92&gt;=AZ$99,$G92&lt;EDATE(AZ$99,1)),"F",IF(AND(ISNUMBER($H92),$H92&gt;=AZ$99,$H92&lt;EDATE(AZ$99,1)),"D","")))</f>
        <v/>
      </c>
      <c r="BA126" s="71" t="str">
        <f aca="false">IF(OR(BA$99="",$A92=""),"",IF(AND(ISNUMBER($G92),$G92&gt;=BA$99,$G92&lt;EDATE(BA$99,1)),"F",IF(AND(ISNUMBER($H92),$H92&gt;=BA$99,$H92&lt;EDATE(BA$99,1)),"D","")))</f>
        <v/>
      </c>
      <c r="BB126" s="71" t="str">
        <f aca="false">IF(OR(BB$99="",$A92=""),"",IF(AND(ISNUMBER($G92),$G92&gt;=BB$99,$G92&lt;EDATE(BB$99,1)),"F",IF(AND(ISNUMBER($H92),$H92&gt;=BB$99,$H92&lt;EDATE(BB$99,1)),"D","")))</f>
        <v/>
      </c>
      <c r="BC126" s="71" t="str">
        <f aca="false">IF(OR(BC$99="",$A92=""),"",IF(AND(ISNUMBER($G92),$G92&gt;=BC$99,$G92&lt;EDATE(BC$99,1)),"F",IF(AND(ISNUMBER($H92),$H92&gt;=BC$99,$H92&lt;EDATE(BC$99,1)),"D","")))</f>
        <v/>
      </c>
      <c r="BD126" s="71" t="str">
        <f aca="false">IF(OR(BD$99="",$A92=""),"",IF(AND(ISNUMBER($G92),$G92&gt;=BD$99,$G92&lt;EDATE(BD$99,1)),"F",IF(AND(ISNUMBER($H92),$H92&gt;=BD$99,$H92&lt;EDATE(BD$99,1)),"D","")))</f>
        <v/>
      </c>
      <c r="BE126" s="71" t="str">
        <f aca="false">IF(OR(BE$99="",$A92=""),"",IF(AND(ISNUMBER($G92),$G92&gt;=BE$99,$G92&lt;EDATE(BE$99,1)),"F",IF(AND(ISNUMBER($H92),$H92&gt;=BE$99,$H92&lt;EDATE(BE$99,1)),"D","")))</f>
        <v/>
      </c>
      <c r="BF126" s="71" t="str">
        <f aca="false">IF(OR(BF$99="",$A92=""),"",IF(AND(ISNUMBER($G92),$G92&gt;=BF$99,$G92&lt;EDATE(BF$99,1)),"F",IF(AND(ISNUMBER($H92),$H92&gt;=BF$99,$H92&lt;EDATE(BF$99,1)),"D","")))</f>
        <v/>
      </c>
      <c r="BG126" s="71" t="str">
        <f aca="false">IF(OR(BG$99="",$A92=""),"",IF(AND(ISNUMBER($G92),$G92&gt;=BG$99,$G92&lt;EDATE(BG$99,1)),"F",IF(AND(ISNUMBER($H92),$H92&gt;=BG$99,$H92&lt;EDATE(BG$99,1)),"D","")))</f>
        <v/>
      </c>
      <c r="BH126" s="71" t="str">
        <f aca="false">IF(OR(BH$99="",$A92=""),"",IF(AND(ISNUMBER($G92),$G92&gt;=BH$99,$G92&lt;EDATE(BH$99,1)),"F",IF(AND(ISNUMBER($H92),$H92&gt;=BH$99,$H92&lt;EDATE(BH$99,1)),"D","")))</f>
        <v/>
      </c>
      <c r="BI126" s="71" t="str">
        <f aca="false">IF(OR(BI$99="",$A92=""),"",IF(AND(ISNUMBER($G92),$G92&gt;=BI$99,$G92&lt;EDATE(BI$99,1)),"F",IF(AND(ISNUMBER($H92),$H92&gt;=BI$99,$H92&lt;EDATE(BI$99,1)),"D","")))</f>
        <v/>
      </c>
      <c r="BJ126" s="71" t="str">
        <f aca="false">IF(OR(BJ$99="",$A92=""),"",IF(AND(ISNUMBER($G92),$G92&gt;=BJ$99,$G92&lt;EDATE(BJ$99,1)),"F",IF(AND(ISNUMBER($H92),$H92&gt;=BJ$99,$H92&lt;EDATE(BJ$99,1)),"D","")))</f>
        <v/>
      </c>
      <c r="BK126" s="71" t="str">
        <f aca="false">IF(OR(BK$99="",$A92=""),"",IF(AND(ISNUMBER($G92),$G92&gt;=BK$99,$G92&lt;EDATE(BK$99,1)),"F",IF(AND(ISNUMBER($H92),$H92&gt;=BK$99,$H92&lt;EDATE(BK$99,1)),"D","")))</f>
        <v/>
      </c>
      <c r="BL126" s="71" t="str">
        <f aca="false">IF(OR(BL$99="",$A92=""),"",IF(AND(ISNUMBER($G92),$G92&gt;=BL$99,$G92&lt;EDATE(BL$99,1)),"F",IF(AND(ISNUMBER($H92),$H92&gt;=BL$99,$H92&lt;EDATE(BL$99,1)),"D","")))</f>
        <v/>
      </c>
      <c r="BM126" s="71" t="str">
        <f aca="false">IF(OR(BM$99="",$A92=""),"",IF(AND(ISNUMBER($G92),$G92&gt;=BM$99,$G92&lt;EDATE(BM$99,1)),"F",IF(AND(ISNUMBER($H92),$H92&gt;=BM$99,$H92&lt;EDATE(BM$99,1)),"D","")))</f>
        <v/>
      </c>
      <c r="BN126" s="71" t="str">
        <f aca="false">IF(OR(BN$99="",$A92=""),"",IF(AND(ISNUMBER($G92),$G92&gt;=BN$99,$G92&lt;EDATE(BN$99,1)),"F",IF(AND(ISNUMBER($H92),$H92&gt;=BN$99,$H92&lt;EDATE(BN$99,1)),"D","")))</f>
        <v/>
      </c>
      <c r="BO126" s="71" t="str">
        <f aca="false">IF(OR(BO$99="",$A92=""),"",IF(AND(ISNUMBER($G92),$G92&gt;=BO$99,$G92&lt;EDATE(BO$99,1)),"F",IF(AND(ISNUMBER($H92),$H92&gt;=BO$99,$H92&lt;EDATE(BO$99,1)),"D","")))</f>
        <v/>
      </c>
      <c r="BP126" s="71" t="str">
        <f aca="false">IF(OR(BP$99="",$A92=""),"",IF(AND(ISNUMBER($G92),$G92&gt;=BP$99,$G92&lt;EDATE(BP$99,1)),"F",IF(AND(ISNUMBER($H92),$H92&gt;=BP$99,$H92&lt;EDATE(BP$99,1)),"D","")))</f>
        <v/>
      </c>
      <c r="BQ126" s="71" t="str">
        <f aca="false">IF(OR(BQ$99="",$A92=""),"",IF(AND(ISNUMBER($G92),$G92&gt;=BQ$99,$G92&lt;EDATE(BQ$99,1)),"F",IF(AND(ISNUMBER($H92),$H92&gt;=BQ$99,$H92&lt;EDATE(BQ$99,1)),"D","")))</f>
        <v/>
      </c>
      <c r="BR126" s="71" t="str">
        <f aca="false">IF(OR(BR$99="",$A92=""),"",IF(AND(ISNUMBER($G92),$G92&gt;=BR$99,$G92&lt;EDATE(BR$99,1)),"F",IF(AND(ISNUMBER($H92),$H92&gt;=BR$99,$H92&lt;EDATE(BR$99,1)),"D","")))</f>
        <v/>
      </c>
      <c r="BS126" s="71" t="str">
        <f aca="false">IF(OR(BS$99="",$A92=""),"",IF(AND(ISNUMBER($G92),$G92&gt;=BS$99,$G92&lt;EDATE(BS$99,1)),"F",IF(AND(ISNUMBER($H92),$H92&gt;=BS$99,$H92&lt;EDATE(BS$99,1)),"D","")))</f>
        <v/>
      </c>
      <c r="BT126" s="71" t="str">
        <f aca="false">IF(OR(BT$99="",$A92=""),"",IF(AND(ISNUMBER($G92),$G92&gt;=BT$99,$G92&lt;EDATE(BT$99,1)),"F",IF(AND(ISNUMBER($H92),$H92&gt;=BT$99,$H92&lt;EDATE(BT$99,1)),"D","")))</f>
        <v/>
      </c>
      <c r="BU126" s="71" t="str">
        <f aca="false">IF(OR(BU$99="",$A92=""),"",IF(AND(ISNUMBER($G92),$G92&gt;=BU$99,$G92&lt;EDATE(BU$99,1)),"F",IF(AND(ISNUMBER($H92),$H92&gt;=BU$99,$H92&lt;EDATE(BU$99,1)),"D","")))</f>
        <v/>
      </c>
      <c r="BV126" s="71" t="str">
        <f aca="false">IF(OR(BV$99="",$A92=""),"",IF(AND(ISNUMBER($G92),$G92&gt;=BV$99,$G92&lt;EDATE(BV$99,1)),"F",IF(AND(ISNUMBER($H92),$H92&gt;=BV$99,$H92&lt;EDATE(BV$99,1)),"D","")))</f>
        <v/>
      </c>
      <c r="BW126" s="71" t="str">
        <f aca="false">IF(OR(BW$99="",$A92=""),"",IF(AND(ISNUMBER($G92),$G92&gt;=BW$99,$G92&lt;EDATE(BW$99,1)),"F",IF(AND(ISNUMBER($H92),$H92&gt;=BW$99,$H92&lt;EDATE(BW$99,1)),"D","")))</f>
        <v/>
      </c>
      <c r="BX126" s="71" t="str">
        <f aca="false">IF(OR(BX$99="",$A92=""),"",IF(AND(ISNUMBER($G92),$G92&gt;=BX$99,$G92&lt;EDATE(BX$99,1)),"F",IF(AND(ISNUMBER($H92),$H92&gt;=BX$99,$H92&lt;EDATE(BX$99,1)),"D","")))</f>
        <v/>
      </c>
      <c r="BY126" s="71" t="str">
        <f aca="false">IF(OR(BY$99="",$A92=""),"",IF(AND(ISNUMBER($G92),$G92&gt;=BY$99,$G92&lt;EDATE(BY$99,1)),"F",IF(AND(ISNUMBER($H92),$H92&gt;=BY$99,$H92&lt;EDATE(BY$99,1)),"D","")))</f>
        <v/>
      </c>
      <c r="BZ126" s="71" t="str">
        <f aca="false">IF(OR(BZ$99="",$A92=""),"",IF(AND(ISNUMBER($G92),$G92&gt;=BZ$99,$G92&lt;EDATE(BZ$99,1)),"F",IF(AND(ISNUMBER($H92),$H92&gt;=BZ$99,$H92&lt;EDATE(BZ$99,1)),"D","")))</f>
        <v/>
      </c>
      <c r="CA126" s="71" t="str">
        <f aca="false">IF(OR(CA$99="",$A92=""),"",IF(AND(ISNUMBER($G92),$G92&gt;=CA$99,$G92&lt;EDATE(CA$99,1)),"F",IF(AND(ISNUMBER($H92),$H92&gt;=CA$99,$H92&lt;EDATE(CA$99,1)),"D","")))</f>
        <v/>
      </c>
      <c r="CB126" s="71" t="str">
        <f aca="false">IF(OR(CB$99="",$A92=""),"",IF(AND(ISNUMBER($G92),$G92&gt;=CB$99,$G92&lt;EDATE(CB$99,1)),"F",IF(AND(ISNUMBER($H92),$H92&gt;=CB$99,$H92&lt;EDATE(CB$99,1)),"D","")))</f>
        <v/>
      </c>
      <c r="CC126" s="71" t="str">
        <f aca="false">IF(OR(CC$99="",$A92=""),"",IF(AND(ISNUMBER($G92),$G92&gt;=CC$99,$G92&lt;EDATE(CC$99,1)),"F",IF(AND(ISNUMBER($H92),$H92&gt;=CC$99,$H92&lt;EDATE(CC$99,1)),"D","")))</f>
        <v/>
      </c>
      <c r="CD126" s="71" t="str">
        <f aca="false">IF(OR(CD$99="",$A92=""),"",IF(AND(ISNUMBER($G92),$G92&gt;=CD$99,$G92&lt;EDATE(CD$99,1)),"F",IF(AND(ISNUMBER($H92),$H92&gt;=CD$99,$H92&lt;EDATE(CD$99,1)),"D","")))</f>
        <v/>
      </c>
      <c r="CE126" s="71" t="str">
        <f aca="false">IF(OR(CE$99="",$A92=""),"",IF(AND(ISNUMBER($G92),$G92&gt;=CE$99,$G92&lt;EDATE(CE$99,1)),"F",IF(AND(ISNUMBER($H92),$H92&gt;=CE$99,$H92&lt;EDATE(CE$99,1)),"D","")))</f>
        <v/>
      </c>
      <c r="CF126" s="71" t="str">
        <f aca="false">IF(OR(CF$99="",$A92=""),"",IF(AND(ISNUMBER($G92),$G92&gt;=CF$99,$G92&lt;EDATE(CF$99,1)),"F",IF(AND(ISNUMBER($H92),$H92&gt;=CF$99,$H92&lt;EDATE(CF$99,1)),"D","")))</f>
        <v/>
      </c>
      <c r="CG126" s="71" t="str">
        <f aca="false">IF(OR(CG$99="",$A92=""),"",IF(AND(ISNUMBER($G92),$G92&gt;=CG$99,$G92&lt;EDATE(CG$99,1)),"F",IF(AND(ISNUMBER($H92),$H92&gt;=CG$99,$H92&lt;EDATE(CG$99,1)),"D","")))</f>
        <v/>
      </c>
      <c r="CH126" s="71" t="str">
        <f aca="false">IF(OR(CH$99="",$A92=""),"",IF(AND(ISNUMBER($G92),$G92&gt;=CH$99,$G92&lt;EDATE(CH$99,1)),"F",IF(AND(ISNUMBER($H92),$H92&gt;=CH$99,$H92&lt;EDATE(CH$99,1)),"D","")))</f>
        <v/>
      </c>
      <c r="CI126" s="71" t="str">
        <f aca="false">IF(OR(CI$99="",$A92=""),"",IF(AND(ISNUMBER($G92),$G92&gt;=CI$99,$G92&lt;EDATE(CI$99,1)),"F",IF(AND(ISNUMBER($H92),$H92&gt;=CI$99,$H92&lt;EDATE(CI$99,1)),"D","")))</f>
        <v/>
      </c>
      <c r="CJ126" s="71" t="str">
        <f aca="false">IF(OR(CJ$99="",$A92=""),"",IF(AND(ISNUMBER($G92),$G92&gt;=CJ$99,$G92&lt;EDATE(CJ$99,1)),"F",IF(AND(ISNUMBER($H92),$H92&gt;=CJ$99,$H92&lt;EDATE(CJ$99,1)),"D","")))</f>
        <v/>
      </c>
      <c r="CK126" s="71" t="str">
        <f aca="false">IF(OR(CK$99="",$A92=""),"",IF(AND(ISNUMBER($G92),$G92&gt;=CK$99,$G92&lt;EDATE(CK$99,1)),"F",IF(AND(ISNUMBER($H92),$H92&gt;=CK$99,$H92&lt;EDATE(CK$99,1)),"D","")))</f>
        <v/>
      </c>
    </row>
    <row r="127" customFormat="false" ht="15" hidden="false" customHeight="false" outlineLevel="0" collapsed="false">
      <c r="A127" s="74" t="str">
        <f aca="false">IF($A93="","",$A93)</f>
        <v/>
      </c>
      <c r="B127" s="74" t="str">
        <f aca="false">IF($A93="","",$B93)</f>
        <v/>
      </c>
      <c r="R127" s="71" t="str">
        <f aca="false">IF(OR(R$99="",$A93=""),"",IF(AND(ISNUMBER($G93),$G93&gt;=R$99,$G93&lt;EDATE(R$99,1)),"F",IF(AND(ISNUMBER($H93),$H93&gt;=R$99,$H93&lt;EDATE(R$99,1)),"D","")))</f>
        <v/>
      </c>
      <c r="S127" s="71" t="str">
        <f aca="false">IF(OR(S$99="",$A93=""),"",IF(AND(ISNUMBER($G93),$G93&gt;=S$99,$G93&lt;EDATE(S$99,1)),"F",IF(AND(ISNUMBER($H93),$H93&gt;=S$99,$H93&lt;EDATE(S$99,1)),"D","")))</f>
        <v/>
      </c>
      <c r="T127" s="71" t="str">
        <f aca="false">IF(OR(T$99="",$A93=""),"",IF(AND(ISNUMBER($G93),$G93&gt;=T$99,$G93&lt;EDATE(T$99,1)),"F",IF(AND(ISNUMBER($H93),$H93&gt;=T$99,$H93&lt;EDATE(T$99,1)),"D","")))</f>
        <v/>
      </c>
      <c r="U127" s="71" t="str">
        <f aca="false">IF(OR(U$99="",$A93=""),"",IF(AND(ISNUMBER($G93),$G93&gt;=U$99,$G93&lt;EDATE(U$99,1)),"F",IF(AND(ISNUMBER($H93),$H93&gt;=U$99,$H93&lt;EDATE(U$99,1)),"D","")))</f>
        <v/>
      </c>
      <c r="V127" s="71" t="str">
        <f aca="false">IF(OR(V$99="",$A93=""),"",IF(AND(ISNUMBER($G93),$G93&gt;=V$99,$G93&lt;EDATE(V$99,1)),"F",IF(AND(ISNUMBER($H93),$H93&gt;=V$99,$H93&lt;EDATE(V$99,1)),"D","")))</f>
        <v/>
      </c>
      <c r="W127" s="71" t="str">
        <f aca="false">IF(OR(W$99="",$A93=""),"",IF(AND(ISNUMBER($G93),$G93&gt;=W$99,$G93&lt;EDATE(W$99,1)),"F",IF(AND(ISNUMBER($H93),$H93&gt;=W$99,$H93&lt;EDATE(W$99,1)),"D","")))</f>
        <v/>
      </c>
      <c r="X127" s="71" t="str">
        <f aca="false">IF(OR(X$99="",$A93=""),"",IF(AND(ISNUMBER($G93),$G93&gt;=X$99,$G93&lt;EDATE(X$99,1)),"F",IF(AND(ISNUMBER($H93),$H93&gt;=X$99,$H93&lt;EDATE(X$99,1)),"D","")))</f>
        <v/>
      </c>
      <c r="Y127" s="71" t="str">
        <f aca="false">IF(OR(Y$99="",$A93=""),"",IF(AND(ISNUMBER($G93),$G93&gt;=Y$99,$G93&lt;EDATE(Y$99,1)),"F",IF(AND(ISNUMBER($H93),$H93&gt;=Y$99,$H93&lt;EDATE(Y$99,1)),"D","")))</f>
        <v/>
      </c>
      <c r="Z127" s="71" t="str">
        <f aca="false">IF(OR(Z$99="",$A93=""),"",IF(AND(ISNUMBER($G93),$G93&gt;=Z$99,$G93&lt;EDATE(Z$99,1)),"F",IF(AND(ISNUMBER($H93),$H93&gt;=Z$99,$H93&lt;EDATE(Z$99,1)),"D","")))</f>
        <v/>
      </c>
      <c r="AA127" s="71" t="str">
        <f aca="false">IF(OR(AA$99="",$A93=""),"",IF(AND(ISNUMBER($G93),$G93&gt;=AA$99,$G93&lt;EDATE(AA$99,1)),"F",IF(AND(ISNUMBER($H93),$H93&gt;=AA$99,$H93&lt;EDATE(AA$99,1)),"D","")))</f>
        <v/>
      </c>
      <c r="AB127" s="71" t="str">
        <f aca="false">IF(OR(AB$99="",$A93=""),"",IF(AND(ISNUMBER($G93),$G93&gt;=AB$99,$G93&lt;EDATE(AB$99,1)),"F",IF(AND(ISNUMBER($H93),$H93&gt;=AB$99,$H93&lt;EDATE(AB$99,1)),"D","")))</f>
        <v/>
      </c>
      <c r="AC127" s="71" t="str">
        <f aca="false">IF(OR(AC$99="",$A93=""),"",IF(AND(ISNUMBER($G93),$G93&gt;=AC$99,$G93&lt;EDATE(AC$99,1)),"F",IF(AND(ISNUMBER($H93),$H93&gt;=AC$99,$H93&lt;EDATE(AC$99,1)),"D","")))</f>
        <v/>
      </c>
      <c r="AD127" s="71" t="str">
        <f aca="false">IF(OR(AD$99="",$A93=""),"",IF(AND(ISNUMBER($G93),$G93&gt;=AD$99,$G93&lt;EDATE(AD$99,1)),"F",IF(AND(ISNUMBER($H93),$H93&gt;=AD$99,$H93&lt;EDATE(AD$99,1)),"D","")))</f>
        <v/>
      </c>
      <c r="AE127" s="71" t="str">
        <f aca="false">IF(OR(AE$99="",$A93=""),"",IF(AND(ISNUMBER($G93),$G93&gt;=AE$99,$G93&lt;EDATE(AE$99,1)),"F",IF(AND(ISNUMBER($H93),$H93&gt;=AE$99,$H93&lt;EDATE(AE$99,1)),"D","")))</f>
        <v/>
      </c>
      <c r="AF127" s="71" t="str">
        <f aca="false">IF(OR(AF$99="",$A93=""),"",IF(AND(ISNUMBER($G93),$G93&gt;=AF$99,$G93&lt;EDATE(AF$99,1)),"F",IF(AND(ISNUMBER($H93),$H93&gt;=AF$99,$H93&lt;EDATE(AF$99,1)),"D","")))</f>
        <v/>
      </c>
      <c r="AG127" s="71" t="str">
        <f aca="false">IF(OR(AG$99="",$A93=""),"",IF(AND(ISNUMBER($G93),$G93&gt;=AG$99,$G93&lt;EDATE(AG$99,1)),"F",IF(AND(ISNUMBER($H93),$H93&gt;=AG$99,$H93&lt;EDATE(AG$99,1)),"D","")))</f>
        <v/>
      </c>
      <c r="AH127" s="71" t="str">
        <f aca="false">IF(OR(AH$99="",$A93=""),"",IF(AND(ISNUMBER($G93),$G93&gt;=AH$99,$G93&lt;EDATE(AH$99,1)),"F",IF(AND(ISNUMBER($H93),$H93&gt;=AH$99,$H93&lt;EDATE(AH$99,1)),"D","")))</f>
        <v/>
      </c>
      <c r="AI127" s="71" t="str">
        <f aca="false">IF(OR(AI$99="",$A93=""),"",IF(AND(ISNUMBER($G93),$G93&gt;=AI$99,$G93&lt;EDATE(AI$99,1)),"F",IF(AND(ISNUMBER($H93),$H93&gt;=AI$99,$H93&lt;EDATE(AI$99,1)),"D","")))</f>
        <v/>
      </c>
      <c r="AJ127" s="71" t="str">
        <f aca="false">IF(OR(AJ$99="",$A93=""),"",IF(AND(ISNUMBER($G93),$G93&gt;=AJ$99,$G93&lt;EDATE(AJ$99,1)),"F",IF(AND(ISNUMBER($H93),$H93&gt;=AJ$99,$H93&lt;EDATE(AJ$99,1)),"D","")))</f>
        <v/>
      </c>
      <c r="AK127" s="71" t="str">
        <f aca="false">IF(OR(AK$99="",$A93=""),"",IF(AND(ISNUMBER($G93),$G93&gt;=AK$99,$G93&lt;EDATE(AK$99,1)),"F",IF(AND(ISNUMBER($H93),$H93&gt;=AK$99,$H93&lt;EDATE(AK$99,1)),"D","")))</f>
        <v/>
      </c>
      <c r="AL127" s="71" t="str">
        <f aca="false">IF(OR(AL$99="",$A93=""),"",IF(AND(ISNUMBER($G93),$G93&gt;=AL$99,$G93&lt;EDATE(AL$99,1)),"F",IF(AND(ISNUMBER($H93),$H93&gt;=AL$99,$H93&lt;EDATE(AL$99,1)),"D","")))</f>
        <v/>
      </c>
      <c r="AM127" s="71" t="str">
        <f aca="false">IF(OR(AM$99="",$A93=""),"",IF(AND(ISNUMBER($G93),$G93&gt;=AM$99,$G93&lt;EDATE(AM$99,1)),"F",IF(AND(ISNUMBER($H93),$H93&gt;=AM$99,$H93&lt;EDATE(AM$99,1)),"D","")))</f>
        <v/>
      </c>
      <c r="AN127" s="71" t="str">
        <f aca="false">IF(OR(AN$99="",$A93=""),"",IF(AND(ISNUMBER($G93),$G93&gt;=AN$99,$G93&lt;EDATE(AN$99,1)),"F",IF(AND(ISNUMBER($H93),$H93&gt;=AN$99,$H93&lt;EDATE(AN$99,1)),"D","")))</f>
        <v/>
      </c>
      <c r="AO127" s="71" t="str">
        <f aca="false">IF(OR(AO$99="",$A93=""),"",IF(AND(ISNUMBER($G93),$G93&gt;=AO$99,$G93&lt;EDATE(AO$99,1)),"F",IF(AND(ISNUMBER($H93),$H93&gt;=AO$99,$H93&lt;EDATE(AO$99,1)),"D","")))</f>
        <v/>
      </c>
      <c r="AP127" s="71" t="str">
        <f aca="false">IF(OR(AP$99="",$A93=""),"",IF(AND(ISNUMBER($G93),$G93&gt;=AP$99,$G93&lt;EDATE(AP$99,1)),"F",IF(AND(ISNUMBER($H93),$H93&gt;=AP$99,$H93&lt;EDATE(AP$99,1)),"D","")))</f>
        <v/>
      </c>
      <c r="AQ127" s="71" t="str">
        <f aca="false">IF(OR(AQ$99="",$A93=""),"",IF(AND(ISNUMBER($G93),$G93&gt;=AQ$99,$G93&lt;EDATE(AQ$99,1)),"F",IF(AND(ISNUMBER($H93),$H93&gt;=AQ$99,$H93&lt;EDATE(AQ$99,1)),"D","")))</f>
        <v/>
      </c>
      <c r="AR127" s="71" t="str">
        <f aca="false">IF(OR(AR$99="",$A93=""),"",IF(AND(ISNUMBER($G93),$G93&gt;=AR$99,$G93&lt;EDATE(AR$99,1)),"F",IF(AND(ISNUMBER($H93),$H93&gt;=AR$99,$H93&lt;EDATE(AR$99,1)),"D","")))</f>
        <v/>
      </c>
      <c r="AS127" s="71" t="str">
        <f aca="false">IF(OR(AS$99="",$A93=""),"",IF(AND(ISNUMBER($G93),$G93&gt;=AS$99,$G93&lt;EDATE(AS$99,1)),"F",IF(AND(ISNUMBER($H93),$H93&gt;=AS$99,$H93&lt;EDATE(AS$99,1)),"D","")))</f>
        <v/>
      </c>
      <c r="AT127" s="71" t="str">
        <f aca="false">IF(OR(AT$99="",$A93=""),"",IF(AND(ISNUMBER($G93),$G93&gt;=AT$99,$G93&lt;EDATE(AT$99,1)),"F",IF(AND(ISNUMBER($H93),$H93&gt;=AT$99,$H93&lt;EDATE(AT$99,1)),"D","")))</f>
        <v/>
      </c>
      <c r="AU127" s="71" t="str">
        <f aca="false">IF(OR(AU$99="",$A93=""),"",IF(AND(ISNUMBER($G93),$G93&gt;=AU$99,$G93&lt;EDATE(AU$99,1)),"F",IF(AND(ISNUMBER($H93),$H93&gt;=AU$99,$H93&lt;EDATE(AU$99,1)),"D","")))</f>
        <v/>
      </c>
      <c r="AV127" s="71" t="str">
        <f aca="false">IF(OR(AV$99="",$A93=""),"",IF(AND(ISNUMBER($G93),$G93&gt;=AV$99,$G93&lt;EDATE(AV$99,1)),"F",IF(AND(ISNUMBER($H93),$H93&gt;=AV$99,$H93&lt;EDATE(AV$99,1)),"D","")))</f>
        <v/>
      </c>
      <c r="AW127" s="71" t="str">
        <f aca="false">IF(OR(AW$99="",$A93=""),"",IF(AND(ISNUMBER($G93),$G93&gt;=AW$99,$G93&lt;EDATE(AW$99,1)),"F",IF(AND(ISNUMBER($H93),$H93&gt;=AW$99,$H93&lt;EDATE(AW$99,1)),"D","")))</f>
        <v/>
      </c>
      <c r="AX127" s="71" t="str">
        <f aca="false">IF(OR(AX$99="",$A93=""),"",IF(AND(ISNUMBER($G93),$G93&gt;=AX$99,$G93&lt;EDATE(AX$99,1)),"F",IF(AND(ISNUMBER($H93),$H93&gt;=AX$99,$H93&lt;EDATE(AX$99,1)),"D","")))</f>
        <v/>
      </c>
      <c r="AY127" s="71" t="str">
        <f aca="false">IF(OR(AY$99="",$A93=""),"",IF(AND(ISNUMBER($G93),$G93&gt;=AY$99,$G93&lt;EDATE(AY$99,1)),"F",IF(AND(ISNUMBER($H93),$H93&gt;=AY$99,$H93&lt;EDATE(AY$99,1)),"D","")))</f>
        <v/>
      </c>
      <c r="AZ127" s="71" t="str">
        <f aca="false">IF(OR(AZ$99="",$A93=""),"",IF(AND(ISNUMBER($G93),$G93&gt;=AZ$99,$G93&lt;EDATE(AZ$99,1)),"F",IF(AND(ISNUMBER($H93),$H93&gt;=AZ$99,$H93&lt;EDATE(AZ$99,1)),"D","")))</f>
        <v/>
      </c>
      <c r="BA127" s="71" t="str">
        <f aca="false">IF(OR(BA$99="",$A93=""),"",IF(AND(ISNUMBER($G93),$G93&gt;=BA$99,$G93&lt;EDATE(BA$99,1)),"F",IF(AND(ISNUMBER($H93),$H93&gt;=BA$99,$H93&lt;EDATE(BA$99,1)),"D","")))</f>
        <v/>
      </c>
      <c r="BB127" s="71" t="str">
        <f aca="false">IF(OR(BB$99="",$A93=""),"",IF(AND(ISNUMBER($G93),$G93&gt;=BB$99,$G93&lt;EDATE(BB$99,1)),"F",IF(AND(ISNUMBER($H93),$H93&gt;=BB$99,$H93&lt;EDATE(BB$99,1)),"D","")))</f>
        <v/>
      </c>
      <c r="BC127" s="71" t="str">
        <f aca="false">IF(OR(BC$99="",$A93=""),"",IF(AND(ISNUMBER($G93),$G93&gt;=BC$99,$G93&lt;EDATE(BC$99,1)),"F",IF(AND(ISNUMBER($H93),$H93&gt;=BC$99,$H93&lt;EDATE(BC$99,1)),"D","")))</f>
        <v/>
      </c>
      <c r="BD127" s="71" t="str">
        <f aca="false">IF(OR(BD$99="",$A93=""),"",IF(AND(ISNUMBER($G93),$G93&gt;=BD$99,$G93&lt;EDATE(BD$99,1)),"F",IF(AND(ISNUMBER($H93),$H93&gt;=BD$99,$H93&lt;EDATE(BD$99,1)),"D","")))</f>
        <v/>
      </c>
      <c r="BE127" s="71" t="str">
        <f aca="false">IF(OR(BE$99="",$A93=""),"",IF(AND(ISNUMBER($G93),$G93&gt;=BE$99,$G93&lt;EDATE(BE$99,1)),"F",IF(AND(ISNUMBER($H93),$H93&gt;=BE$99,$H93&lt;EDATE(BE$99,1)),"D","")))</f>
        <v/>
      </c>
      <c r="BF127" s="71" t="str">
        <f aca="false">IF(OR(BF$99="",$A93=""),"",IF(AND(ISNUMBER($G93),$G93&gt;=BF$99,$G93&lt;EDATE(BF$99,1)),"F",IF(AND(ISNUMBER($H93),$H93&gt;=BF$99,$H93&lt;EDATE(BF$99,1)),"D","")))</f>
        <v/>
      </c>
      <c r="BG127" s="71" t="str">
        <f aca="false">IF(OR(BG$99="",$A93=""),"",IF(AND(ISNUMBER($G93),$G93&gt;=BG$99,$G93&lt;EDATE(BG$99,1)),"F",IF(AND(ISNUMBER($H93),$H93&gt;=BG$99,$H93&lt;EDATE(BG$99,1)),"D","")))</f>
        <v/>
      </c>
      <c r="BH127" s="71" t="str">
        <f aca="false">IF(OR(BH$99="",$A93=""),"",IF(AND(ISNUMBER($G93),$G93&gt;=BH$99,$G93&lt;EDATE(BH$99,1)),"F",IF(AND(ISNUMBER($H93),$H93&gt;=BH$99,$H93&lt;EDATE(BH$99,1)),"D","")))</f>
        <v/>
      </c>
      <c r="BI127" s="71" t="str">
        <f aca="false">IF(OR(BI$99="",$A93=""),"",IF(AND(ISNUMBER($G93),$G93&gt;=BI$99,$G93&lt;EDATE(BI$99,1)),"F",IF(AND(ISNUMBER($H93),$H93&gt;=BI$99,$H93&lt;EDATE(BI$99,1)),"D","")))</f>
        <v/>
      </c>
      <c r="BJ127" s="71" t="str">
        <f aca="false">IF(OR(BJ$99="",$A93=""),"",IF(AND(ISNUMBER($G93),$G93&gt;=BJ$99,$G93&lt;EDATE(BJ$99,1)),"F",IF(AND(ISNUMBER($H93),$H93&gt;=BJ$99,$H93&lt;EDATE(BJ$99,1)),"D","")))</f>
        <v/>
      </c>
      <c r="BK127" s="71" t="str">
        <f aca="false">IF(OR(BK$99="",$A93=""),"",IF(AND(ISNUMBER($G93),$G93&gt;=BK$99,$G93&lt;EDATE(BK$99,1)),"F",IF(AND(ISNUMBER($H93),$H93&gt;=BK$99,$H93&lt;EDATE(BK$99,1)),"D","")))</f>
        <v/>
      </c>
      <c r="BL127" s="71" t="str">
        <f aca="false">IF(OR(BL$99="",$A93=""),"",IF(AND(ISNUMBER($G93),$G93&gt;=BL$99,$G93&lt;EDATE(BL$99,1)),"F",IF(AND(ISNUMBER($H93),$H93&gt;=BL$99,$H93&lt;EDATE(BL$99,1)),"D","")))</f>
        <v/>
      </c>
      <c r="BM127" s="71" t="str">
        <f aca="false">IF(OR(BM$99="",$A93=""),"",IF(AND(ISNUMBER($G93),$G93&gt;=BM$99,$G93&lt;EDATE(BM$99,1)),"F",IF(AND(ISNUMBER($H93),$H93&gt;=BM$99,$H93&lt;EDATE(BM$99,1)),"D","")))</f>
        <v/>
      </c>
      <c r="BN127" s="71" t="str">
        <f aca="false">IF(OR(BN$99="",$A93=""),"",IF(AND(ISNUMBER($G93),$G93&gt;=BN$99,$G93&lt;EDATE(BN$99,1)),"F",IF(AND(ISNUMBER($H93),$H93&gt;=BN$99,$H93&lt;EDATE(BN$99,1)),"D","")))</f>
        <v/>
      </c>
      <c r="BO127" s="71" t="str">
        <f aca="false">IF(OR(BO$99="",$A93=""),"",IF(AND(ISNUMBER($G93),$G93&gt;=BO$99,$G93&lt;EDATE(BO$99,1)),"F",IF(AND(ISNUMBER($H93),$H93&gt;=BO$99,$H93&lt;EDATE(BO$99,1)),"D","")))</f>
        <v/>
      </c>
      <c r="BP127" s="71" t="str">
        <f aca="false">IF(OR(BP$99="",$A93=""),"",IF(AND(ISNUMBER($G93),$G93&gt;=BP$99,$G93&lt;EDATE(BP$99,1)),"F",IF(AND(ISNUMBER($H93),$H93&gt;=BP$99,$H93&lt;EDATE(BP$99,1)),"D","")))</f>
        <v/>
      </c>
      <c r="BQ127" s="71" t="str">
        <f aca="false">IF(OR(BQ$99="",$A93=""),"",IF(AND(ISNUMBER($G93),$G93&gt;=BQ$99,$G93&lt;EDATE(BQ$99,1)),"F",IF(AND(ISNUMBER($H93),$H93&gt;=BQ$99,$H93&lt;EDATE(BQ$99,1)),"D","")))</f>
        <v/>
      </c>
      <c r="BR127" s="71" t="str">
        <f aca="false">IF(OR(BR$99="",$A93=""),"",IF(AND(ISNUMBER($G93),$G93&gt;=BR$99,$G93&lt;EDATE(BR$99,1)),"F",IF(AND(ISNUMBER($H93),$H93&gt;=BR$99,$H93&lt;EDATE(BR$99,1)),"D","")))</f>
        <v/>
      </c>
      <c r="BS127" s="71" t="str">
        <f aca="false">IF(OR(BS$99="",$A93=""),"",IF(AND(ISNUMBER($G93),$G93&gt;=BS$99,$G93&lt;EDATE(BS$99,1)),"F",IF(AND(ISNUMBER($H93),$H93&gt;=BS$99,$H93&lt;EDATE(BS$99,1)),"D","")))</f>
        <v/>
      </c>
      <c r="BT127" s="71" t="str">
        <f aca="false">IF(OR(BT$99="",$A93=""),"",IF(AND(ISNUMBER($G93),$G93&gt;=BT$99,$G93&lt;EDATE(BT$99,1)),"F",IF(AND(ISNUMBER($H93),$H93&gt;=BT$99,$H93&lt;EDATE(BT$99,1)),"D","")))</f>
        <v/>
      </c>
      <c r="BU127" s="71" t="str">
        <f aca="false">IF(OR(BU$99="",$A93=""),"",IF(AND(ISNUMBER($G93),$G93&gt;=BU$99,$G93&lt;EDATE(BU$99,1)),"F",IF(AND(ISNUMBER($H93),$H93&gt;=BU$99,$H93&lt;EDATE(BU$99,1)),"D","")))</f>
        <v/>
      </c>
      <c r="BV127" s="71" t="str">
        <f aca="false">IF(OR(BV$99="",$A93=""),"",IF(AND(ISNUMBER($G93),$G93&gt;=BV$99,$G93&lt;EDATE(BV$99,1)),"F",IF(AND(ISNUMBER($H93),$H93&gt;=BV$99,$H93&lt;EDATE(BV$99,1)),"D","")))</f>
        <v/>
      </c>
      <c r="BW127" s="71" t="str">
        <f aca="false">IF(OR(BW$99="",$A93=""),"",IF(AND(ISNUMBER($G93),$G93&gt;=BW$99,$G93&lt;EDATE(BW$99,1)),"F",IF(AND(ISNUMBER($H93),$H93&gt;=BW$99,$H93&lt;EDATE(BW$99,1)),"D","")))</f>
        <v/>
      </c>
      <c r="BX127" s="71" t="str">
        <f aca="false">IF(OR(BX$99="",$A93=""),"",IF(AND(ISNUMBER($G93),$G93&gt;=BX$99,$G93&lt;EDATE(BX$99,1)),"F",IF(AND(ISNUMBER($H93),$H93&gt;=BX$99,$H93&lt;EDATE(BX$99,1)),"D","")))</f>
        <v/>
      </c>
      <c r="BY127" s="71" t="str">
        <f aca="false">IF(OR(BY$99="",$A93=""),"",IF(AND(ISNUMBER($G93),$G93&gt;=BY$99,$G93&lt;EDATE(BY$99,1)),"F",IF(AND(ISNUMBER($H93),$H93&gt;=BY$99,$H93&lt;EDATE(BY$99,1)),"D","")))</f>
        <v/>
      </c>
      <c r="BZ127" s="71" t="str">
        <f aca="false">IF(OR(BZ$99="",$A93=""),"",IF(AND(ISNUMBER($G93),$G93&gt;=BZ$99,$G93&lt;EDATE(BZ$99,1)),"F",IF(AND(ISNUMBER($H93),$H93&gt;=BZ$99,$H93&lt;EDATE(BZ$99,1)),"D","")))</f>
        <v/>
      </c>
      <c r="CA127" s="71" t="str">
        <f aca="false">IF(OR(CA$99="",$A93=""),"",IF(AND(ISNUMBER($G93),$G93&gt;=CA$99,$G93&lt;EDATE(CA$99,1)),"F",IF(AND(ISNUMBER($H93),$H93&gt;=CA$99,$H93&lt;EDATE(CA$99,1)),"D","")))</f>
        <v/>
      </c>
      <c r="CB127" s="71" t="str">
        <f aca="false">IF(OR(CB$99="",$A93=""),"",IF(AND(ISNUMBER($G93),$G93&gt;=CB$99,$G93&lt;EDATE(CB$99,1)),"F",IF(AND(ISNUMBER($H93),$H93&gt;=CB$99,$H93&lt;EDATE(CB$99,1)),"D","")))</f>
        <v/>
      </c>
      <c r="CC127" s="71" t="str">
        <f aca="false">IF(OR(CC$99="",$A93=""),"",IF(AND(ISNUMBER($G93),$G93&gt;=CC$99,$G93&lt;EDATE(CC$99,1)),"F",IF(AND(ISNUMBER($H93),$H93&gt;=CC$99,$H93&lt;EDATE(CC$99,1)),"D","")))</f>
        <v/>
      </c>
      <c r="CD127" s="71" t="str">
        <f aca="false">IF(OR(CD$99="",$A93=""),"",IF(AND(ISNUMBER($G93),$G93&gt;=CD$99,$G93&lt;EDATE(CD$99,1)),"F",IF(AND(ISNUMBER($H93),$H93&gt;=CD$99,$H93&lt;EDATE(CD$99,1)),"D","")))</f>
        <v/>
      </c>
      <c r="CE127" s="71" t="str">
        <f aca="false">IF(OR(CE$99="",$A93=""),"",IF(AND(ISNUMBER($G93),$G93&gt;=CE$99,$G93&lt;EDATE(CE$99,1)),"F",IF(AND(ISNUMBER($H93),$H93&gt;=CE$99,$H93&lt;EDATE(CE$99,1)),"D","")))</f>
        <v/>
      </c>
      <c r="CF127" s="71" t="str">
        <f aca="false">IF(OR(CF$99="",$A93=""),"",IF(AND(ISNUMBER($G93),$G93&gt;=CF$99,$G93&lt;EDATE(CF$99,1)),"F",IF(AND(ISNUMBER($H93),$H93&gt;=CF$99,$H93&lt;EDATE(CF$99,1)),"D","")))</f>
        <v/>
      </c>
      <c r="CG127" s="71" t="str">
        <f aca="false">IF(OR(CG$99="",$A93=""),"",IF(AND(ISNUMBER($G93),$G93&gt;=CG$99,$G93&lt;EDATE(CG$99,1)),"F",IF(AND(ISNUMBER($H93),$H93&gt;=CG$99,$H93&lt;EDATE(CG$99,1)),"D","")))</f>
        <v/>
      </c>
      <c r="CH127" s="71" t="str">
        <f aca="false">IF(OR(CH$99="",$A93=""),"",IF(AND(ISNUMBER($G93),$G93&gt;=CH$99,$G93&lt;EDATE(CH$99,1)),"F",IF(AND(ISNUMBER($H93),$H93&gt;=CH$99,$H93&lt;EDATE(CH$99,1)),"D","")))</f>
        <v/>
      </c>
      <c r="CI127" s="71" t="str">
        <f aca="false">IF(OR(CI$99="",$A93=""),"",IF(AND(ISNUMBER($G93),$G93&gt;=CI$99,$G93&lt;EDATE(CI$99,1)),"F",IF(AND(ISNUMBER($H93),$H93&gt;=CI$99,$H93&lt;EDATE(CI$99,1)),"D","")))</f>
        <v/>
      </c>
      <c r="CJ127" s="71" t="str">
        <f aca="false">IF(OR(CJ$99="",$A93=""),"",IF(AND(ISNUMBER($G93),$G93&gt;=CJ$99,$G93&lt;EDATE(CJ$99,1)),"F",IF(AND(ISNUMBER($H93),$H93&gt;=CJ$99,$H93&lt;EDATE(CJ$99,1)),"D","")))</f>
        <v/>
      </c>
      <c r="CK127" s="71" t="str">
        <f aca="false">IF(OR(CK$99="",$A93=""),"",IF(AND(ISNUMBER($G93),$G93&gt;=CK$99,$G93&lt;EDATE(CK$99,1)),"F",IF(AND(ISNUMBER($H93),$H93&gt;=CK$99,$H93&lt;EDATE(CK$99,1)),"D","")))</f>
        <v/>
      </c>
    </row>
    <row r="128" customFormat="false" ht="15" hidden="false" customHeight="false" outlineLevel="0" collapsed="false">
      <c r="A128" s="74" t="str">
        <f aca="false">IF($A94="","",$A94)</f>
        <v/>
      </c>
      <c r="B128" s="74" t="str">
        <f aca="false">IF($A94="","",$B94)</f>
        <v/>
      </c>
      <c r="R128" s="71" t="str">
        <f aca="false">IF(OR(R$99="",$A94=""),"",IF(AND(ISNUMBER($G94),$G94&gt;=R$99,$G94&lt;EDATE(R$99,1)),"F",IF(AND(ISNUMBER($H94),$H94&gt;=R$99,$H94&lt;EDATE(R$99,1)),"D","")))</f>
        <v/>
      </c>
      <c r="S128" s="71" t="str">
        <f aca="false">IF(OR(S$99="",$A94=""),"",IF(AND(ISNUMBER($G94),$G94&gt;=S$99,$G94&lt;EDATE(S$99,1)),"F",IF(AND(ISNUMBER($H94),$H94&gt;=S$99,$H94&lt;EDATE(S$99,1)),"D","")))</f>
        <v/>
      </c>
      <c r="T128" s="71" t="str">
        <f aca="false">IF(OR(T$99="",$A94=""),"",IF(AND(ISNUMBER($G94),$G94&gt;=T$99,$G94&lt;EDATE(T$99,1)),"F",IF(AND(ISNUMBER($H94),$H94&gt;=T$99,$H94&lt;EDATE(T$99,1)),"D","")))</f>
        <v/>
      </c>
      <c r="U128" s="71" t="str">
        <f aca="false">IF(OR(U$99="",$A94=""),"",IF(AND(ISNUMBER($G94),$G94&gt;=U$99,$G94&lt;EDATE(U$99,1)),"F",IF(AND(ISNUMBER($H94),$H94&gt;=U$99,$H94&lt;EDATE(U$99,1)),"D","")))</f>
        <v/>
      </c>
      <c r="V128" s="71" t="str">
        <f aca="false">IF(OR(V$99="",$A94=""),"",IF(AND(ISNUMBER($G94),$G94&gt;=V$99,$G94&lt;EDATE(V$99,1)),"F",IF(AND(ISNUMBER($H94),$H94&gt;=V$99,$H94&lt;EDATE(V$99,1)),"D","")))</f>
        <v/>
      </c>
      <c r="W128" s="71" t="str">
        <f aca="false">IF(OR(W$99="",$A94=""),"",IF(AND(ISNUMBER($G94),$G94&gt;=W$99,$G94&lt;EDATE(W$99,1)),"F",IF(AND(ISNUMBER($H94),$H94&gt;=W$99,$H94&lt;EDATE(W$99,1)),"D","")))</f>
        <v/>
      </c>
      <c r="X128" s="71" t="str">
        <f aca="false">IF(OR(X$99="",$A94=""),"",IF(AND(ISNUMBER($G94),$G94&gt;=X$99,$G94&lt;EDATE(X$99,1)),"F",IF(AND(ISNUMBER($H94),$H94&gt;=X$99,$H94&lt;EDATE(X$99,1)),"D","")))</f>
        <v/>
      </c>
      <c r="Y128" s="71" t="str">
        <f aca="false">IF(OR(Y$99="",$A94=""),"",IF(AND(ISNUMBER($G94),$G94&gt;=Y$99,$G94&lt;EDATE(Y$99,1)),"F",IF(AND(ISNUMBER($H94),$H94&gt;=Y$99,$H94&lt;EDATE(Y$99,1)),"D","")))</f>
        <v/>
      </c>
      <c r="Z128" s="71" t="str">
        <f aca="false">IF(OR(Z$99="",$A94=""),"",IF(AND(ISNUMBER($G94),$G94&gt;=Z$99,$G94&lt;EDATE(Z$99,1)),"F",IF(AND(ISNUMBER($H94),$H94&gt;=Z$99,$H94&lt;EDATE(Z$99,1)),"D","")))</f>
        <v/>
      </c>
      <c r="AA128" s="71" t="str">
        <f aca="false">IF(OR(AA$99="",$A94=""),"",IF(AND(ISNUMBER($G94),$G94&gt;=AA$99,$G94&lt;EDATE(AA$99,1)),"F",IF(AND(ISNUMBER($H94),$H94&gt;=AA$99,$H94&lt;EDATE(AA$99,1)),"D","")))</f>
        <v/>
      </c>
      <c r="AB128" s="71" t="str">
        <f aca="false">IF(OR(AB$99="",$A94=""),"",IF(AND(ISNUMBER($G94),$G94&gt;=AB$99,$G94&lt;EDATE(AB$99,1)),"F",IF(AND(ISNUMBER($H94),$H94&gt;=AB$99,$H94&lt;EDATE(AB$99,1)),"D","")))</f>
        <v/>
      </c>
      <c r="AC128" s="71" t="str">
        <f aca="false">IF(OR(AC$99="",$A94=""),"",IF(AND(ISNUMBER($G94),$G94&gt;=AC$99,$G94&lt;EDATE(AC$99,1)),"F",IF(AND(ISNUMBER($H94),$H94&gt;=AC$99,$H94&lt;EDATE(AC$99,1)),"D","")))</f>
        <v/>
      </c>
      <c r="AD128" s="71" t="str">
        <f aca="false">IF(OR(AD$99="",$A94=""),"",IF(AND(ISNUMBER($G94),$G94&gt;=AD$99,$G94&lt;EDATE(AD$99,1)),"F",IF(AND(ISNUMBER($H94),$H94&gt;=AD$99,$H94&lt;EDATE(AD$99,1)),"D","")))</f>
        <v/>
      </c>
      <c r="AE128" s="71" t="str">
        <f aca="false">IF(OR(AE$99="",$A94=""),"",IF(AND(ISNUMBER($G94),$G94&gt;=AE$99,$G94&lt;EDATE(AE$99,1)),"F",IF(AND(ISNUMBER($H94),$H94&gt;=AE$99,$H94&lt;EDATE(AE$99,1)),"D","")))</f>
        <v/>
      </c>
      <c r="AF128" s="71" t="str">
        <f aca="false">IF(OR(AF$99="",$A94=""),"",IF(AND(ISNUMBER($G94),$G94&gt;=AF$99,$G94&lt;EDATE(AF$99,1)),"F",IF(AND(ISNUMBER($H94),$H94&gt;=AF$99,$H94&lt;EDATE(AF$99,1)),"D","")))</f>
        <v/>
      </c>
      <c r="AG128" s="71" t="str">
        <f aca="false">IF(OR(AG$99="",$A94=""),"",IF(AND(ISNUMBER($G94),$G94&gt;=AG$99,$G94&lt;EDATE(AG$99,1)),"F",IF(AND(ISNUMBER($H94),$H94&gt;=AG$99,$H94&lt;EDATE(AG$99,1)),"D","")))</f>
        <v/>
      </c>
      <c r="AH128" s="71" t="str">
        <f aca="false">IF(OR(AH$99="",$A94=""),"",IF(AND(ISNUMBER($G94),$G94&gt;=AH$99,$G94&lt;EDATE(AH$99,1)),"F",IF(AND(ISNUMBER($H94),$H94&gt;=AH$99,$H94&lt;EDATE(AH$99,1)),"D","")))</f>
        <v/>
      </c>
      <c r="AI128" s="71" t="str">
        <f aca="false">IF(OR(AI$99="",$A94=""),"",IF(AND(ISNUMBER($G94),$G94&gt;=AI$99,$G94&lt;EDATE(AI$99,1)),"F",IF(AND(ISNUMBER($H94),$H94&gt;=AI$99,$H94&lt;EDATE(AI$99,1)),"D","")))</f>
        <v/>
      </c>
      <c r="AJ128" s="71" t="str">
        <f aca="false">IF(OR(AJ$99="",$A94=""),"",IF(AND(ISNUMBER($G94),$G94&gt;=AJ$99,$G94&lt;EDATE(AJ$99,1)),"F",IF(AND(ISNUMBER($H94),$H94&gt;=AJ$99,$H94&lt;EDATE(AJ$99,1)),"D","")))</f>
        <v/>
      </c>
      <c r="AK128" s="71" t="str">
        <f aca="false">IF(OR(AK$99="",$A94=""),"",IF(AND(ISNUMBER($G94),$G94&gt;=AK$99,$G94&lt;EDATE(AK$99,1)),"F",IF(AND(ISNUMBER($H94),$H94&gt;=AK$99,$H94&lt;EDATE(AK$99,1)),"D","")))</f>
        <v/>
      </c>
      <c r="AL128" s="71" t="str">
        <f aca="false">IF(OR(AL$99="",$A94=""),"",IF(AND(ISNUMBER($G94),$G94&gt;=AL$99,$G94&lt;EDATE(AL$99,1)),"F",IF(AND(ISNUMBER($H94),$H94&gt;=AL$99,$H94&lt;EDATE(AL$99,1)),"D","")))</f>
        <v/>
      </c>
      <c r="AM128" s="71" t="str">
        <f aca="false">IF(OR(AM$99="",$A94=""),"",IF(AND(ISNUMBER($G94),$G94&gt;=AM$99,$G94&lt;EDATE(AM$99,1)),"F",IF(AND(ISNUMBER($H94),$H94&gt;=AM$99,$H94&lt;EDATE(AM$99,1)),"D","")))</f>
        <v/>
      </c>
      <c r="AN128" s="71" t="str">
        <f aca="false">IF(OR(AN$99="",$A94=""),"",IF(AND(ISNUMBER($G94),$G94&gt;=AN$99,$G94&lt;EDATE(AN$99,1)),"F",IF(AND(ISNUMBER($H94),$H94&gt;=AN$99,$H94&lt;EDATE(AN$99,1)),"D","")))</f>
        <v/>
      </c>
      <c r="AO128" s="71" t="str">
        <f aca="false">IF(OR(AO$99="",$A94=""),"",IF(AND(ISNUMBER($G94),$G94&gt;=AO$99,$G94&lt;EDATE(AO$99,1)),"F",IF(AND(ISNUMBER($H94),$H94&gt;=AO$99,$H94&lt;EDATE(AO$99,1)),"D","")))</f>
        <v/>
      </c>
      <c r="AP128" s="71" t="str">
        <f aca="false">IF(OR(AP$99="",$A94=""),"",IF(AND(ISNUMBER($G94),$G94&gt;=AP$99,$G94&lt;EDATE(AP$99,1)),"F",IF(AND(ISNUMBER($H94),$H94&gt;=AP$99,$H94&lt;EDATE(AP$99,1)),"D","")))</f>
        <v/>
      </c>
      <c r="AQ128" s="71" t="str">
        <f aca="false">IF(OR(AQ$99="",$A94=""),"",IF(AND(ISNUMBER($G94),$G94&gt;=AQ$99,$G94&lt;EDATE(AQ$99,1)),"F",IF(AND(ISNUMBER($H94),$H94&gt;=AQ$99,$H94&lt;EDATE(AQ$99,1)),"D","")))</f>
        <v/>
      </c>
      <c r="AR128" s="71" t="str">
        <f aca="false">IF(OR(AR$99="",$A94=""),"",IF(AND(ISNUMBER($G94),$G94&gt;=AR$99,$G94&lt;EDATE(AR$99,1)),"F",IF(AND(ISNUMBER($H94),$H94&gt;=AR$99,$H94&lt;EDATE(AR$99,1)),"D","")))</f>
        <v/>
      </c>
      <c r="AS128" s="71" t="str">
        <f aca="false">IF(OR(AS$99="",$A94=""),"",IF(AND(ISNUMBER($G94),$G94&gt;=AS$99,$G94&lt;EDATE(AS$99,1)),"F",IF(AND(ISNUMBER($H94),$H94&gt;=AS$99,$H94&lt;EDATE(AS$99,1)),"D","")))</f>
        <v/>
      </c>
      <c r="AT128" s="71" t="str">
        <f aca="false">IF(OR(AT$99="",$A94=""),"",IF(AND(ISNUMBER($G94),$G94&gt;=AT$99,$G94&lt;EDATE(AT$99,1)),"F",IF(AND(ISNUMBER($H94),$H94&gt;=AT$99,$H94&lt;EDATE(AT$99,1)),"D","")))</f>
        <v/>
      </c>
      <c r="AU128" s="71" t="str">
        <f aca="false">IF(OR(AU$99="",$A94=""),"",IF(AND(ISNUMBER($G94),$G94&gt;=AU$99,$G94&lt;EDATE(AU$99,1)),"F",IF(AND(ISNUMBER($H94),$H94&gt;=AU$99,$H94&lt;EDATE(AU$99,1)),"D","")))</f>
        <v/>
      </c>
      <c r="AV128" s="71" t="str">
        <f aca="false">IF(OR(AV$99="",$A94=""),"",IF(AND(ISNUMBER($G94),$G94&gt;=AV$99,$G94&lt;EDATE(AV$99,1)),"F",IF(AND(ISNUMBER($H94),$H94&gt;=AV$99,$H94&lt;EDATE(AV$99,1)),"D","")))</f>
        <v/>
      </c>
      <c r="AW128" s="71" t="str">
        <f aca="false">IF(OR(AW$99="",$A94=""),"",IF(AND(ISNUMBER($G94),$G94&gt;=AW$99,$G94&lt;EDATE(AW$99,1)),"F",IF(AND(ISNUMBER($H94),$H94&gt;=AW$99,$H94&lt;EDATE(AW$99,1)),"D","")))</f>
        <v/>
      </c>
      <c r="AX128" s="71" t="str">
        <f aca="false">IF(OR(AX$99="",$A94=""),"",IF(AND(ISNUMBER($G94),$G94&gt;=AX$99,$G94&lt;EDATE(AX$99,1)),"F",IF(AND(ISNUMBER($H94),$H94&gt;=AX$99,$H94&lt;EDATE(AX$99,1)),"D","")))</f>
        <v/>
      </c>
      <c r="AY128" s="71" t="str">
        <f aca="false">IF(OR(AY$99="",$A94=""),"",IF(AND(ISNUMBER($G94),$G94&gt;=AY$99,$G94&lt;EDATE(AY$99,1)),"F",IF(AND(ISNUMBER($H94),$H94&gt;=AY$99,$H94&lt;EDATE(AY$99,1)),"D","")))</f>
        <v/>
      </c>
      <c r="AZ128" s="71" t="str">
        <f aca="false">IF(OR(AZ$99="",$A94=""),"",IF(AND(ISNUMBER($G94),$G94&gt;=AZ$99,$G94&lt;EDATE(AZ$99,1)),"F",IF(AND(ISNUMBER($H94),$H94&gt;=AZ$99,$H94&lt;EDATE(AZ$99,1)),"D","")))</f>
        <v/>
      </c>
      <c r="BA128" s="71" t="str">
        <f aca="false">IF(OR(BA$99="",$A94=""),"",IF(AND(ISNUMBER($G94),$G94&gt;=BA$99,$G94&lt;EDATE(BA$99,1)),"F",IF(AND(ISNUMBER($H94),$H94&gt;=BA$99,$H94&lt;EDATE(BA$99,1)),"D","")))</f>
        <v/>
      </c>
      <c r="BB128" s="71" t="str">
        <f aca="false">IF(OR(BB$99="",$A94=""),"",IF(AND(ISNUMBER($G94),$G94&gt;=BB$99,$G94&lt;EDATE(BB$99,1)),"F",IF(AND(ISNUMBER($H94),$H94&gt;=BB$99,$H94&lt;EDATE(BB$99,1)),"D","")))</f>
        <v/>
      </c>
      <c r="BC128" s="71" t="str">
        <f aca="false">IF(OR(BC$99="",$A94=""),"",IF(AND(ISNUMBER($G94),$G94&gt;=BC$99,$G94&lt;EDATE(BC$99,1)),"F",IF(AND(ISNUMBER($H94),$H94&gt;=BC$99,$H94&lt;EDATE(BC$99,1)),"D","")))</f>
        <v/>
      </c>
      <c r="BD128" s="71" t="str">
        <f aca="false">IF(OR(BD$99="",$A94=""),"",IF(AND(ISNUMBER($G94),$G94&gt;=BD$99,$G94&lt;EDATE(BD$99,1)),"F",IF(AND(ISNUMBER($H94),$H94&gt;=BD$99,$H94&lt;EDATE(BD$99,1)),"D","")))</f>
        <v/>
      </c>
      <c r="BE128" s="71" t="str">
        <f aca="false">IF(OR(BE$99="",$A94=""),"",IF(AND(ISNUMBER($G94),$G94&gt;=BE$99,$G94&lt;EDATE(BE$99,1)),"F",IF(AND(ISNUMBER($H94),$H94&gt;=BE$99,$H94&lt;EDATE(BE$99,1)),"D","")))</f>
        <v/>
      </c>
      <c r="BF128" s="71" t="str">
        <f aca="false">IF(OR(BF$99="",$A94=""),"",IF(AND(ISNUMBER($G94),$G94&gt;=BF$99,$G94&lt;EDATE(BF$99,1)),"F",IF(AND(ISNUMBER($H94),$H94&gt;=BF$99,$H94&lt;EDATE(BF$99,1)),"D","")))</f>
        <v/>
      </c>
      <c r="BG128" s="71" t="str">
        <f aca="false">IF(OR(BG$99="",$A94=""),"",IF(AND(ISNUMBER($G94),$G94&gt;=BG$99,$G94&lt;EDATE(BG$99,1)),"F",IF(AND(ISNUMBER($H94),$H94&gt;=BG$99,$H94&lt;EDATE(BG$99,1)),"D","")))</f>
        <v/>
      </c>
      <c r="BH128" s="71" t="str">
        <f aca="false">IF(OR(BH$99="",$A94=""),"",IF(AND(ISNUMBER($G94),$G94&gt;=BH$99,$G94&lt;EDATE(BH$99,1)),"F",IF(AND(ISNUMBER($H94),$H94&gt;=BH$99,$H94&lt;EDATE(BH$99,1)),"D","")))</f>
        <v/>
      </c>
      <c r="BI128" s="71" t="str">
        <f aca="false">IF(OR(BI$99="",$A94=""),"",IF(AND(ISNUMBER($G94),$G94&gt;=BI$99,$G94&lt;EDATE(BI$99,1)),"F",IF(AND(ISNUMBER($H94),$H94&gt;=BI$99,$H94&lt;EDATE(BI$99,1)),"D","")))</f>
        <v/>
      </c>
      <c r="BJ128" s="71" t="str">
        <f aca="false">IF(OR(BJ$99="",$A94=""),"",IF(AND(ISNUMBER($G94),$G94&gt;=BJ$99,$G94&lt;EDATE(BJ$99,1)),"F",IF(AND(ISNUMBER($H94),$H94&gt;=BJ$99,$H94&lt;EDATE(BJ$99,1)),"D","")))</f>
        <v/>
      </c>
      <c r="BK128" s="71" t="str">
        <f aca="false">IF(OR(BK$99="",$A94=""),"",IF(AND(ISNUMBER($G94),$G94&gt;=BK$99,$G94&lt;EDATE(BK$99,1)),"F",IF(AND(ISNUMBER($H94),$H94&gt;=BK$99,$H94&lt;EDATE(BK$99,1)),"D","")))</f>
        <v/>
      </c>
      <c r="BL128" s="71" t="str">
        <f aca="false">IF(OR(BL$99="",$A94=""),"",IF(AND(ISNUMBER($G94),$G94&gt;=BL$99,$G94&lt;EDATE(BL$99,1)),"F",IF(AND(ISNUMBER($H94),$H94&gt;=BL$99,$H94&lt;EDATE(BL$99,1)),"D","")))</f>
        <v/>
      </c>
      <c r="BM128" s="71" t="str">
        <f aca="false">IF(OR(BM$99="",$A94=""),"",IF(AND(ISNUMBER($G94),$G94&gt;=BM$99,$G94&lt;EDATE(BM$99,1)),"F",IF(AND(ISNUMBER($H94),$H94&gt;=BM$99,$H94&lt;EDATE(BM$99,1)),"D","")))</f>
        <v/>
      </c>
      <c r="BN128" s="71" t="str">
        <f aca="false">IF(OR(BN$99="",$A94=""),"",IF(AND(ISNUMBER($G94),$G94&gt;=BN$99,$G94&lt;EDATE(BN$99,1)),"F",IF(AND(ISNUMBER($H94),$H94&gt;=BN$99,$H94&lt;EDATE(BN$99,1)),"D","")))</f>
        <v/>
      </c>
      <c r="BO128" s="71" t="str">
        <f aca="false">IF(OR(BO$99="",$A94=""),"",IF(AND(ISNUMBER($G94),$G94&gt;=BO$99,$G94&lt;EDATE(BO$99,1)),"F",IF(AND(ISNUMBER($H94),$H94&gt;=BO$99,$H94&lt;EDATE(BO$99,1)),"D","")))</f>
        <v/>
      </c>
      <c r="BP128" s="71" t="str">
        <f aca="false">IF(OR(BP$99="",$A94=""),"",IF(AND(ISNUMBER($G94),$G94&gt;=BP$99,$G94&lt;EDATE(BP$99,1)),"F",IF(AND(ISNUMBER($H94),$H94&gt;=BP$99,$H94&lt;EDATE(BP$99,1)),"D","")))</f>
        <v/>
      </c>
      <c r="BQ128" s="71" t="str">
        <f aca="false">IF(OR(BQ$99="",$A94=""),"",IF(AND(ISNUMBER($G94),$G94&gt;=BQ$99,$G94&lt;EDATE(BQ$99,1)),"F",IF(AND(ISNUMBER($H94),$H94&gt;=BQ$99,$H94&lt;EDATE(BQ$99,1)),"D","")))</f>
        <v/>
      </c>
      <c r="BR128" s="71" t="str">
        <f aca="false">IF(OR(BR$99="",$A94=""),"",IF(AND(ISNUMBER($G94),$G94&gt;=BR$99,$G94&lt;EDATE(BR$99,1)),"F",IF(AND(ISNUMBER($H94),$H94&gt;=BR$99,$H94&lt;EDATE(BR$99,1)),"D","")))</f>
        <v/>
      </c>
      <c r="BS128" s="71" t="str">
        <f aca="false">IF(OR(BS$99="",$A94=""),"",IF(AND(ISNUMBER($G94),$G94&gt;=BS$99,$G94&lt;EDATE(BS$99,1)),"F",IF(AND(ISNUMBER($H94),$H94&gt;=BS$99,$H94&lt;EDATE(BS$99,1)),"D","")))</f>
        <v/>
      </c>
      <c r="BT128" s="71" t="str">
        <f aca="false">IF(OR(BT$99="",$A94=""),"",IF(AND(ISNUMBER($G94),$G94&gt;=BT$99,$G94&lt;EDATE(BT$99,1)),"F",IF(AND(ISNUMBER($H94),$H94&gt;=BT$99,$H94&lt;EDATE(BT$99,1)),"D","")))</f>
        <v/>
      </c>
      <c r="BU128" s="71" t="str">
        <f aca="false">IF(OR(BU$99="",$A94=""),"",IF(AND(ISNUMBER($G94),$G94&gt;=BU$99,$G94&lt;EDATE(BU$99,1)),"F",IF(AND(ISNUMBER($H94),$H94&gt;=BU$99,$H94&lt;EDATE(BU$99,1)),"D","")))</f>
        <v/>
      </c>
      <c r="BV128" s="71" t="str">
        <f aca="false">IF(OR(BV$99="",$A94=""),"",IF(AND(ISNUMBER($G94),$G94&gt;=BV$99,$G94&lt;EDATE(BV$99,1)),"F",IF(AND(ISNUMBER($H94),$H94&gt;=BV$99,$H94&lt;EDATE(BV$99,1)),"D","")))</f>
        <v/>
      </c>
      <c r="BW128" s="71" t="str">
        <f aca="false">IF(OR(BW$99="",$A94=""),"",IF(AND(ISNUMBER($G94),$G94&gt;=BW$99,$G94&lt;EDATE(BW$99,1)),"F",IF(AND(ISNUMBER($H94),$H94&gt;=BW$99,$H94&lt;EDATE(BW$99,1)),"D","")))</f>
        <v/>
      </c>
      <c r="BX128" s="71" t="str">
        <f aca="false">IF(OR(BX$99="",$A94=""),"",IF(AND(ISNUMBER($G94),$G94&gt;=BX$99,$G94&lt;EDATE(BX$99,1)),"F",IF(AND(ISNUMBER($H94),$H94&gt;=BX$99,$H94&lt;EDATE(BX$99,1)),"D","")))</f>
        <v/>
      </c>
      <c r="BY128" s="71" t="str">
        <f aca="false">IF(OR(BY$99="",$A94=""),"",IF(AND(ISNUMBER($G94),$G94&gt;=BY$99,$G94&lt;EDATE(BY$99,1)),"F",IF(AND(ISNUMBER($H94),$H94&gt;=BY$99,$H94&lt;EDATE(BY$99,1)),"D","")))</f>
        <v/>
      </c>
      <c r="BZ128" s="71" t="str">
        <f aca="false">IF(OR(BZ$99="",$A94=""),"",IF(AND(ISNUMBER($G94),$G94&gt;=BZ$99,$G94&lt;EDATE(BZ$99,1)),"F",IF(AND(ISNUMBER($H94),$H94&gt;=BZ$99,$H94&lt;EDATE(BZ$99,1)),"D","")))</f>
        <v/>
      </c>
      <c r="CA128" s="71" t="str">
        <f aca="false">IF(OR(CA$99="",$A94=""),"",IF(AND(ISNUMBER($G94),$G94&gt;=CA$99,$G94&lt;EDATE(CA$99,1)),"F",IF(AND(ISNUMBER($H94),$H94&gt;=CA$99,$H94&lt;EDATE(CA$99,1)),"D","")))</f>
        <v/>
      </c>
      <c r="CB128" s="71" t="str">
        <f aca="false">IF(OR(CB$99="",$A94=""),"",IF(AND(ISNUMBER($G94),$G94&gt;=CB$99,$G94&lt;EDATE(CB$99,1)),"F",IF(AND(ISNUMBER($H94),$H94&gt;=CB$99,$H94&lt;EDATE(CB$99,1)),"D","")))</f>
        <v/>
      </c>
      <c r="CC128" s="71" t="str">
        <f aca="false">IF(OR(CC$99="",$A94=""),"",IF(AND(ISNUMBER($G94),$G94&gt;=CC$99,$G94&lt;EDATE(CC$99,1)),"F",IF(AND(ISNUMBER($H94),$H94&gt;=CC$99,$H94&lt;EDATE(CC$99,1)),"D","")))</f>
        <v/>
      </c>
      <c r="CD128" s="71" t="str">
        <f aca="false">IF(OR(CD$99="",$A94=""),"",IF(AND(ISNUMBER($G94),$G94&gt;=CD$99,$G94&lt;EDATE(CD$99,1)),"F",IF(AND(ISNUMBER($H94),$H94&gt;=CD$99,$H94&lt;EDATE(CD$99,1)),"D","")))</f>
        <v/>
      </c>
      <c r="CE128" s="71" t="str">
        <f aca="false">IF(OR(CE$99="",$A94=""),"",IF(AND(ISNUMBER($G94),$G94&gt;=CE$99,$G94&lt;EDATE(CE$99,1)),"F",IF(AND(ISNUMBER($H94),$H94&gt;=CE$99,$H94&lt;EDATE(CE$99,1)),"D","")))</f>
        <v/>
      </c>
      <c r="CF128" s="71" t="str">
        <f aca="false">IF(OR(CF$99="",$A94=""),"",IF(AND(ISNUMBER($G94),$G94&gt;=CF$99,$G94&lt;EDATE(CF$99,1)),"F",IF(AND(ISNUMBER($H94),$H94&gt;=CF$99,$H94&lt;EDATE(CF$99,1)),"D","")))</f>
        <v/>
      </c>
      <c r="CG128" s="71" t="str">
        <f aca="false">IF(OR(CG$99="",$A94=""),"",IF(AND(ISNUMBER($G94),$G94&gt;=CG$99,$G94&lt;EDATE(CG$99,1)),"F",IF(AND(ISNUMBER($H94),$H94&gt;=CG$99,$H94&lt;EDATE(CG$99,1)),"D","")))</f>
        <v/>
      </c>
      <c r="CH128" s="71" t="str">
        <f aca="false">IF(OR(CH$99="",$A94=""),"",IF(AND(ISNUMBER($G94),$G94&gt;=CH$99,$G94&lt;EDATE(CH$99,1)),"F",IF(AND(ISNUMBER($H94),$H94&gt;=CH$99,$H94&lt;EDATE(CH$99,1)),"D","")))</f>
        <v/>
      </c>
      <c r="CI128" s="71" t="str">
        <f aca="false">IF(OR(CI$99="",$A94=""),"",IF(AND(ISNUMBER($G94),$G94&gt;=CI$99,$G94&lt;EDATE(CI$99,1)),"F",IF(AND(ISNUMBER($H94),$H94&gt;=CI$99,$H94&lt;EDATE(CI$99,1)),"D","")))</f>
        <v/>
      </c>
      <c r="CJ128" s="71" t="str">
        <f aca="false">IF(OR(CJ$99="",$A94=""),"",IF(AND(ISNUMBER($G94),$G94&gt;=CJ$99,$G94&lt;EDATE(CJ$99,1)),"F",IF(AND(ISNUMBER($H94),$H94&gt;=CJ$99,$H94&lt;EDATE(CJ$99,1)),"D","")))</f>
        <v/>
      </c>
      <c r="CK128" s="71" t="str">
        <f aca="false">IF(OR(CK$99="",$A94=""),"",IF(AND(ISNUMBER($G94),$G94&gt;=CK$99,$G94&lt;EDATE(CK$99,1)),"F",IF(AND(ISNUMBER($H94),$H94&gt;=CK$99,$H94&lt;EDATE(CK$99,1)),"D","")))</f>
        <v/>
      </c>
    </row>
    <row r="129" customFormat="false" ht="15" hidden="false" customHeight="false" outlineLevel="0" collapsed="false">
      <c r="A129" s="74" t="str">
        <f aca="false">IF($A95="","",$A95)</f>
        <v/>
      </c>
      <c r="B129" s="74" t="str">
        <f aca="false">IF($A95="","",$B95)</f>
        <v/>
      </c>
      <c r="R129" s="71" t="str">
        <f aca="false">IF(OR(R$99="",$A95=""),"",IF(AND(ISNUMBER($G95),$G95&gt;=R$99,$G95&lt;EDATE(R$99,1)),"F",IF(AND(ISNUMBER($H95),$H95&gt;=R$99,$H95&lt;EDATE(R$99,1)),"D","")))</f>
        <v/>
      </c>
      <c r="S129" s="71" t="str">
        <f aca="false">IF(OR(S$99="",$A95=""),"",IF(AND(ISNUMBER($G95),$G95&gt;=S$99,$G95&lt;EDATE(S$99,1)),"F",IF(AND(ISNUMBER($H95),$H95&gt;=S$99,$H95&lt;EDATE(S$99,1)),"D","")))</f>
        <v/>
      </c>
      <c r="T129" s="71" t="str">
        <f aca="false">IF(OR(T$99="",$A95=""),"",IF(AND(ISNUMBER($G95),$G95&gt;=T$99,$G95&lt;EDATE(T$99,1)),"F",IF(AND(ISNUMBER($H95),$H95&gt;=T$99,$H95&lt;EDATE(T$99,1)),"D","")))</f>
        <v/>
      </c>
      <c r="U129" s="71" t="str">
        <f aca="false">IF(OR(U$99="",$A95=""),"",IF(AND(ISNUMBER($G95),$G95&gt;=U$99,$G95&lt;EDATE(U$99,1)),"F",IF(AND(ISNUMBER($H95),$H95&gt;=U$99,$H95&lt;EDATE(U$99,1)),"D","")))</f>
        <v/>
      </c>
      <c r="V129" s="71" t="str">
        <f aca="false">IF(OR(V$99="",$A95=""),"",IF(AND(ISNUMBER($G95),$G95&gt;=V$99,$G95&lt;EDATE(V$99,1)),"F",IF(AND(ISNUMBER($H95),$H95&gt;=V$99,$H95&lt;EDATE(V$99,1)),"D","")))</f>
        <v/>
      </c>
      <c r="W129" s="71" t="str">
        <f aca="false">IF(OR(W$99="",$A95=""),"",IF(AND(ISNUMBER($G95),$G95&gt;=W$99,$G95&lt;EDATE(W$99,1)),"F",IF(AND(ISNUMBER($H95),$H95&gt;=W$99,$H95&lt;EDATE(W$99,1)),"D","")))</f>
        <v/>
      </c>
      <c r="X129" s="71" t="str">
        <f aca="false">IF(OR(X$99="",$A95=""),"",IF(AND(ISNUMBER($G95),$G95&gt;=X$99,$G95&lt;EDATE(X$99,1)),"F",IF(AND(ISNUMBER($H95),$H95&gt;=X$99,$H95&lt;EDATE(X$99,1)),"D","")))</f>
        <v/>
      </c>
      <c r="Y129" s="71" t="str">
        <f aca="false">IF(OR(Y$99="",$A95=""),"",IF(AND(ISNUMBER($G95),$G95&gt;=Y$99,$G95&lt;EDATE(Y$99,1)),"F",IF(AND(ISNUMBER($H95),$H95&gt;=Y$99,$H95&lt;EDATE(Y$99,1)),"D","")))</f>
        <v/>
      </c>
      <c r="Z129" s="71" t="str">
        <f aca="false">IF(OR(Z$99="",$A95=""),"",IF(AND(ISNUMBER($G95),$G95&gt;=Z$99,$G95&lt;EDATE(Z$99,1)),"F",IF(AND(ISNUMBER($H95),$H95&gt;=Z$99,$H95&lt;EDATE(Z$99,1)),"D","")))</f>
        <v/>
      </c>
      <c r="AA129" s="71" t="str">
        <f aca="false">IF(OR(AA$99="",$A95=""),"",IF(AND(ISNUMBER($G95),$G95&gt;=AA$99,$G95&lt;EDATE(AA$99,1)),"F",IF(AND(ISNUMBER($H95),$H95&gt;=AA$99,$H95&lt;EDATE(AA$99,1)),"D","")))</f>
        <v/>
      </c>
      <c r="AB129" s="71" t="str">
        <f aca="false">IF(OR(AB$99="",$A95=""),"",IF(AND(ISNUMBER($G95),$G95&gt;=AB$99,$G95&lt;EDATE(AB$99,1)),"F",IF(AND(ISNUMBER($H95),$H95&gt;=AB$99,$H95&lt;EDATE(AB$99,1)),"D","")))</f>
        <v/>
      </c>
      <c r="AC129" s="71" t="str">
        <f aca="false">IF(OR(AC$99="",$A95=""),"",IF(AND(ISNUMBER($G95),$G95&gt;=AC$99,$G95&lt;EDATE(AC$99,1)),"F",IF(AND(ISNUMBER($H95),$H95&gt;=AC$99,$H95&lt;EDATE(AC$99,1)),"D","")))</f>
        <v/>
      </c>
      <c r="AD129" s="71" t="str">
        <f aca="false">IF(OR(AD$99="",$A95=""),"",IF(AND(ISNUMBER($G95),$G95&gt;=AD$99,$G95&lt;EDATE(AD$99,1)),"F",IF(AND(ISNUMBER($H95),$H95&gt;=AD$99,$H95&lt;EDATE(AD$99,1)),"D","")))</f>
        <v/>
      </c>
      <c r="AE129" s="71" t="str">
        <f aca="false">IF(OR(AE$99="",$A95=""),"",IF(AND(ISNUMBER($G95),$G95&gt;=AE$99,$G95&lt;EDATE(AE$99,1)),"F",IF(AND(ISNUMBER($H95),$H95&gt;=AE$99,$H95&lt;EDATE(AE$99,1)),"D","")))</f>
        <v/>
      </c>
      <c r="AF129" s="71" t="str">
        <f aca="false">IF(OR(AF$99="",$A95=""),"",IF(AND(ISNUMBER($G95),$G95&gt;=AF$99,$G95&lt;EDATE(AF$99,1)),"F",IF(AND(ISNUMBER($H95),$H95&gt;=AF$99,$H95&lt;EDATE(AF$99,1)),"D","")))</f>
        <v/>
      </c>
      <c r="AG129" s="71" t="str">
        <f aca="false">IF(OR(AG$99="",$A95=""),"",IF(AND(ISNUMBER($G95),$G95&gt;=AG$99,$G95&lt;EDATE(AG$99,1)),"F",IF(AND(ISNUMBER($H95),$H95&gt;=AG$99,$H95&lt;EDATE(AG$99,1)),"D","")))</f>
        <v/>
      </c>
      <c r="AH129" s="71" t="str">
        <f aca="false">IF(OR(AH$99="",$A95=""),"",IF(AND(ISNUMBER($G95),$G95&gt;=AH$99,$G95&lt;EDATE(AH$99,1)),"F",IF(AND(ISNUMBER($H95),$H95&gt;=AH$99,$H95&lt;EDATE(AH$99,1)),"D","")))</f>
        <v/>
      </c>
      <c r="AI129" s="71" t="str">
        <f aca="false">IF(OR(AI$99="",$A95=""),"",IF(AND(ISNUMBER($G95),$G95&gt;=AI$99,$G95&lt;EDATE(AI$99,1)),"F",IF(AND(ISNUMBER($H95),$H95&gt;=AI$99,$H95&lt;EDATE(AI$99,1)),"D","")))</f>
        <v/>
      </c>
      <c r="AJ129" s="71" t="str">
        <f aca="false">IF(OR(AJ$99="",$A95=""),"",IF(AND(ISNUMBER($G95),$G95&gt;=AJ$99,$G95&lt;EDATE(AJ$99,1)),"F",IF(AND(ISNUMBER($H95),$H95&gt;=AJ$99,$H95&lt;EDATE(AJ$99,1)),"D","")))</f>
        <v/>
      </c>
      <c r="AK129" s="71" t="str">
        <f aca="false">IF(OR(AK$99="",$A95=""),"",IF(AND(ISNUMBER($G95),$G95&gt;=AK$99,$G95&lt;EDATE(AK$99,1)),"F",IF(AND(ISNUMBER($H95),$H95&gt;=AK$99,$H95&lt;EDATE(AK$99,1)),"D","")))</f>
        <v/>
      </c>
      <c r="AL129" s="71" t="str">
        <f aca="false">IF(OR(AL$99="",$A95=""),"",IF(AND(ISNUMBER($G95),$G95&gt;=AL$99,$G95&lt;EDATE(AL$99,1)),"F",IF(AND(ISNUMBER($H95),$H95&gt;=AL$99,$H95&lt;EDATE(AL$99,1)),"D","")))</f>
        <v/>
      </c>
      <c r="AM129" s="71" t="str">
        <f aca="false">IF(OR(AM$99="",$A95=""),"",IF(AND(ISNUMBER($G95),$G95&gt;=AM$99,$G95&lt;EDATE(AM$99,1)),"F",IF(AND(ISNUMBER($H95),$H95&gt;=AM$99,$H95&lt;EDATE(AM$99,1)),"D","")))</f>
        <v/>
      </c>
      <c r="AN129" s="71" t="str">
        <f aca="false">IF(OR(AN$99="",$A95=""),"",IF(AND(ISNUMBER($G95),$G95&gt;=AN$99,$G95&lt;EDATE(AN$99,1)),"F",IF(AND(ISNUMBER($H95),$H95&gt;=AN$99,$H95&lt;EDATE(AN$99,1)),"D","")))</f>
        <v/>
      </c>
      <c r="AO129" s="71" t="str">
        <f aca="false">IF(OR(AO$99="",$A95=""),"",IF(AND(ISNUMBER($G95),$G95&gt;=AO$99,$G95&lt;EDATE(AO$99,1)),"F",IF(AND(ISNUMBER($H95),$H95&gt;=AO$99,$H95&lt;EDATE(AO$99,1)),"D","")))</f>
        <v/>
      </c>
      <c r="AP129" s="71" t="str">
        <f aca="false">IF(OR(AP$99="",$A95=""),"",IF(AND(ISNUMBER($G95),$G95&gt;=AP$99,$G95&lt;EDATE(AP$99,1)),"F",IF(AND(ISNUMBER($H95),$H95&gt;=AP$99,$H95&lt;EDATE(AP$99,1)),"D","")))</f>
        <v/>
      </c>
      <c r="AQ129" s="71" t="str">
        <f aca="false">IF(OR(AQ$99="",$A95=""),"",IF(AND(ISNUMBER($G95),$G95&gt;=AQ$99,$G95&lt;EDATE(AQ$99,1)),"F",IF(AND(ISNUMBER($H95),$H95&gt;=AQ$99,$H95&lt;EDATE(AQ$99,1)),"D","")))</f>
        <v/>
      </c>
      <c r="AR129" s="71" t="str">
        <f aca="false">IF(OR(AR$99="",$A95=""),"",IF(AND(ISNUMBER($G95),$G95&gt;=AR$99,$G95&lt;EDATE(AR$99,1)),"F",IF(AND(ISNUMBER($H95),$H95&gt;=AR$99,$H95&lt;EDATE(AR$99,1)),"D","")))</f>
        <v/>
      </c>
      <c r="AS129" s="71" t="str">
        <f aca="false">IF(OR(AS$99="",$A95=""),"",IF(AND(ISNUMBER($G95),$G95&gt;=AS$99,$G95&lt;EDATE(AS$99,1)),"F",IF(AND(ISNUMBER($H95),$H95&gt;=AS$99,$H95&lt;EDATE(AS$99,1)),"D","")))</f>
        <v/>
      </c>
      <c r="AT129" s="71" t="str">
        <f aca="false">IF(OR(AT$99="",$A95=""),"",IF(AND(ISNUMBER($G95),$G95&gt;=AT$99,$G95&lt;EDATE(AT$99,1)),"F",IF(AND(ISNUMBER($H95),$H95&gt;=AT$99,$H95&lt;EDATE(AT$99,1)),"D","")))</f>
        <v/>
      </c>
      <c r="AU129" s="71" t="str">
        <f aca="false">IF(OR(AU$99="",$A95=""),"",IF(AND(ISNUMBER($G95),$G95&gt;=AU$99,$G95&lt;EDATE(AU$99,1)),"F",IF(AND(ISNUMBER($H95),$H95&gt;=AU$99,$H95&lt;EDATE(AU$99,1)),"D","")))</f>
        <v/>
      </c>
      <c r="AV129" s="71" t="str">
        <f aca="false">IF(OR(AV$99="",$A95=""),"",IF(AND(ISNUMBER($G95),$G95&gt;=AV$99,$G95&lt;EDATE(AV$99,1)),"F",IF(AND(ISNUMBER($H95),$H95&gt;=AV$99,$H95&lt;EDATE(AV$99,1)),"D","")))</f>
        <v/>
      </c>
      <c r="AW129" s="71" t="str">
        <f aca="false">IF(OR(AW$99="",$A95=""),"",IF(AND(ISNUMBER($G95),$G95&gt;=AW$99,$G95&lt;EDATE(AW$99,1)),"F",IF(AND(ISNUMBER($H95),$H95&gt;=AW$99,$H95&lt;EDATE(AW$99,1)),"D","")))</f>
        <v/>
      </c>
      <c r="AX129" s="71" t="str">
        <f aca="false">IF(OR(AX$99="",$A95=""),"",IF(AND(ISNUMBER($G95),$G95&gt;=AX$99,$G95&lt;EDATE(AX$99,1)),"F",IF(AND(ISNUMBER($H95),$H95&gt;=AX$99,$H95&lt;EDATE(AX$99,1)),"D","")))</f>
        <v/>
      </c>
      <c r="AY129" s="71" t="str">
        <f aca="false">IF(OR(AY$99="",$A95=""),"",IF(AND(ISNUMBER($G95),$G95&gt;=AY$99,$G95&lt;EDATE(AY$99,1)),"F",IF(AND(ISNUMBER($H95),$H95&gt;=AY$99,$H95&lt;EDATE(AY$99,1)),"D","")))</f>
        <v/>
      </c>
      <c r="AZ129" s="71" t="str">
        <f aca="false">IF(OR(AZ$99="",$A95=""),"",IF(AND(ISNUMBER($G95),$G95&gt;=AZ$99,$G95&lt;EDATE(AZ$99,1)),"F",IF(AND(ISNUMBER($H95),$H95&gt;=AZ$99,$H95&lt;EDATE(AZ$99,1)),"D","")))</f>
        <v/>
      </c>
      <c r="BA129" s="71" t="str">
        <f aca="false">IF(OR(BA$99="",$A95=""),"",IF(AND(ISNUMBER($G95),$G95&gt;=BA$99,$G95&lt;EDATE(BA$99,1)),"F",IF(AND(ISNUMBER($H95),$H95&gt;=BA$99,$H95&lt;EDATE(BA$99,1)),"D","")))</f>
        <v/>
      </c>
      <c r="BB129" s="71" t="str">
        <f aca="false">IF(OR(BB$99="",$A95=""),"",IF(AND(ISNUMBER($G95),$G95&gt;=BB$99,$G95&lt;EDATE(BB$99,1)),"F",IF(AND(ISNUMBER($H95),$H95&gt;=BB$99,$H95&lt;EDATE(BB$99,1)),"D","")))</f>
        <v/>
      </c>
      <c r="BC129" s="71" t="str">
        <f aca="false">IF(OR(BC$99="",$A95=""),"",IF(AND(ISNUMBER($G95),$G95&gt;=BC$99,$G95&lt;EDATE(BC$99,1)),"F",IF(AND(ISNUMBER($H95),$H95&gt;=BC$99,$H95&lt;EDATE(BC$99,1)),"D","")))</f>
        <v/>
      </c>
      <c r="BD129" s="71" t="str">
        <f aca="false">IF(OR(BD$99="",$A95=""),"",IF(AND(ISNUMBER($G95),$G95&gt;=BD$99,$G95&lt;EDATE(BD$99,1)),"F",IF(AND(ISNUMBER($H95),$H95&gt;=BD$99,$H95&lt;EDATE(BD$99,1)),"D","")))</f>
        <v/>
      </c>
      <c r="BE129" s="71" t="str">
        <f aca="false">IF(OR(BE$99="",$A95=""),"",IF(AND(ISNUMBER($G95),$G95&gt;=BE$99,$G95&lt;EDATE(BE$99,1)),"F",IF(AND(ISNUMBER($H95),$H95&gt;=BE$99,$H95&lt;EDATE(BE$99,1)),"D","")))</f>
        <v/>
      </c>
      <c r="BF129" s="71" t="str">
        <f aca="false">IF(OR(BF$99="",$A95=""),"",IF(AND(ISNUMBER($G95),$G95&gt;=BF$99,$G95&lt;EDATE(BF$99,1)),"F",IF(AND(ISNUMBER($H95),$H95&gt;=BF$99,$H95&lt;EDATE(BF$99,1)),"D","")))</f>
        <v/>
      </c>
      <c r="BG129" s="71" t="str">
        <f aca="false">IF(OR(BG$99="",$A95=""),"",IF(AND(ISNUMBER($G95),$G95&gt;=BG$99,$G95&lt;EDATE(BG$99,1)),"F",IF(AND(ISNUMBER($H95),$H95&gt;=BG$99,$H95&lt;EDATE(BG$99,1)),"D","")))</f>
        <v/>
      </c>
      <c r="BH129" s="71" t="str">
        <f aca="false">IF(OR(BH$99="",$A95=""),"",IF(AND(ISNUMBER($G95),$G95&gt;=BH$99,$G95&lt;EDATE(BH$99,1)),"F",IF(AND(ISNUMBER($H95),$H95&gt;=BH$99,$H95&lt;EDATE(BH$99,1)),"D","")))</f>
        <v/>
      </c>
      <c r="BI129" s="71" t="str">
        <f aca="false">IF(OR(BI$99="",$A95=""),"",IF(AND(ISNUMBER($G95),$G95&gt;=BI$99,$G95&lt;EDATE(BI$99,1)),"F",IF(AND(ISNUMBER($H95),$H95&gt;=BI$99,$H95&lt;EDATE(BI$99,1)),"D","")))</f>
        <v/>
      </c>
      <c r="BJ129" s="71" t="str">
        <f aca="false">IF(OR(BJ$99="",$A95=""),"",IF(AND(ISNUMBER($G95),$G95&gt;=BJ$99,$G95&lt;EDATE(BJ$99,1)),"F",IF(AND(ISNUMBER($H95),$H95&gt;=BJ$99,$H95&lt;EDATE(BJ$99,1)),"D","")))</f>
        <v/>
      </c>
      <c r="BK129" s="71" t="str">
        <f aca="false">IF(OR(BK$99="",$A95=""),"",IF(AND(ISNUMBER($G95),$G95&gt;=BK$99,$G95&lt;EDATE(BK$99,1)),"F",IF(AND(ISNUMBER($H95),$H95&gt;=BK$99,$H95&lt;EDATE(BK$99,1)),"D","")))</f>
        <v/>
      </c>
      <c r="BL129" s="71" t="str">
        <f aca="false">IF(OR(BL$99="",$A95=""),"",IF(AND(ISNUMBER($G95),$G95&gt;=BL$99,$G95&lt;EDATE(BL$99,1)),"F",IF(AND(ISNUMBER($H95),$H95&gt;=BL$99,$H95&lt;EDATE(BL$99,1)),"D","")))</f>
        <v/>
      </c>
      <c r="BM129" s="71" t="str">
        <f aca="false">IF(OR(BM$99="",$A95=""),"",IF(AND(ISNUMBER($G95),$G95&gt;=BM$99,$G95&lt;EDATE(BM$99,1)),"F",IF(AND(ISNUMBER($H95),$H95&gt;=BM$99,$H95&lt;EDATE(BM$99,1)),"D","")))</f>
        <v/>
      </c>
      <c r="BN129" s="71" t="str">
        <f aca="false">IF(OR(BN$99="",$A95=""),"",IF(AND(ISNUMBER($G95),$G95&gt;=BN$99,$G95&lt;EDATE(BN$99,1)),"F",IF(AND(ISNUMBER($H95),$H95&gt;=BN$99,$H95&lt;EDATE(BN$99,1)),"D","")))</f>
        <v/>
      </c>
      <c r="BO129" s="71" t="str">
        <f aca="false">IF(OR(BO$99="",$A95=""),"",IF(AND(ISNUMBER($G95),$G95&gt;=BO$99,$G95&lt;EDATE(BO$99,1)),"F",IF(AND(ISNUMBER($H95),$H95&gt;=BO$99,$H95&lt;EDATE(BO$99,1)),"D","")))</f>
        <v/>
      </c>
      <c r="BP129" s="71" t="str">
        <f aca="false">IF(OR(BP$99="",$A95=""),"",IF(AND(ISNUMBER($G95),$G95&gt;=BP$99,$G95&lt;EDATE(BP$99,1)),"F",IF(AND(ISNUMBER($H95),$H95&gt;=BP$99,$H95&lt;EDATE(BP$99,1)),"D","")))</f>
        <v/>
      </c>
      <c r="BQ129" s="71" t="str">
        <f aca="false">IF(OR(BQ$99="",$A95=""),"",IF(AND(ISNUMBER($G95),$G95&gt;=BQ$99,$G95&lt;EDATE(BQ$99,1)),"F",IF(AND(ISNUMBER($H95),$H95&gt;=BQ$99,$H95&lt;EDATE(BQ$99,1)),"D","")))</f>
        <v/>
      </c>
      <c r="BR129" s="71" t="str">
        <f aca="false">IF(OR(BR$99="",$A95=""),"",IF(AND(ISNUMBER($G95),$G95&gt;=BR$99,$G95&lt;EDATE(BR$99,1)),"F",IF(AND(ISNUMBER($H95),$H95&gt;=BR$99,$H95&lt;EDATE(BR$99,1)),"D","")))</f>
        <v/>
      </c>
      <c r="BS129" s="71" t="str">
        <f aca="false">IF(OR(BS$99="",$A95=""),"",IF(AND(ISNUMBER($G95),$G95&gt;=BS$99,$G95&lt;EDATE(BS$99,1)),"F",IF(AND(ISNUMBER($H95),$H95&gt;=BS$99,$H95&lt;EDATE(BS$99,1)),"D","")))</f>
        <v/>
      </c>
      <c r="BT129" s="71" t="str">
        <f aca="false">IF(OR(BT$99="",$A95=""),"",IF(AND(ISNUMBER($G95),$G95&gt;=BT$99,$G95&lt;EDATE(BT$99,1)),"F",IF(AND(ISNUMBER($H95),$H95&gt;=BT$99,$H95&lt;EDATE(BT$99,1)),"D","")))</f>
        <v/>
      </c>
      <c r="BU129" s="71" t="str">
        <f aca="false">IF(OR(BU$99="",$A95=""),"",IF(AND(ISNUMBER($G95),$G95&gt;=BU$99,$G95&lt;EDATE(BU$99,1)),"F",IF(AND(ISNUMBER($H95),$H95&gt;=BU$99,$H95&lt;EDATE(BU$99,1)),"D","")))</f>
        <v/>
      </c>
      <c r="BV129" s="71" t="str">
        <f aca="false">IF(OR(BV$99="",$A95=""),"",IF(AND(ISNUMBER($G95),$G95&gt;=BV$99,$G95&lt;EDATE(BV$99,1)),"F",IF(AND(ISNUMBER($H95),$H95&gt;=BV$99,$H95&lt;EDATE(BV$99,1)),"D","")))</f>
        <v/>
      </c>
      <c r="BW129" s="71" t="str">
        <f aca="false">IF(OR(BW$99="",$A95=""),"",IF(AND(ISNUMBER($G95),$G95&gt;=BW$99,$G95&lt;EDATE(BW$99,1)),"F",IF(AND(ISNUMBER($H95),$H95&gt;=BW$99,$H95&lt;EDATE(BW$99,1)),"D","")))</f>
        <v/>
      </c>
      <c r="BX129" s="71" t="str">
        <f aca="false">IF(OR(BX$99="",$A95=""),"",IF(AND(ISNUMBER($G95),$G95&gt;=BX$99,$G95&lt;EDATE(BX$99,1)),"F",IF(AND(ISNUMBER($H95),$H95&gt;=BX$99,$H95&lt;EDATE(BX$99,1)),"D","")))</f>
        <v/>
      </c>
      <c r="BY129" s="71" t="str">
        <f aca="false">IF(OR(BY$99="",$A95=""),"",IF(AND(ISNUMBER($G95),$G95&gt;=BY$99,$G95&lt;EDATE(BY$99,1)),"F",IF(AND(ISNUMBER($H95),$H95&gt;=BY$99,$H95&lt;EDATE(BY$99,1)),"D","")))</f>
        <v/>
      </c>
      <c r="BZ129" s="71" t="str">
        <f aca="false">IF(OR(BZ$99="",$A95=""),"",IF(AND(ISNUMBER($G95),$G95&gt;=BZ$99,$G95&lt;EDATE(BZ$99,1)),"F",IF(AND(ISNUMBER($H95),$H95&gt;=BZ$99,$H95&lt;EDATE(BZ$99,1)),"D","")))</f>
        <v/>
      </c>
      <c r="CA129" s="71" t="str">
        <f aca="false">IF(OR(CA$99="",$A95=""),"",IF(AND(ISNUMBER($G95),$G95&gt;=CA$99,$G95&lt;EDATE(CA$99,1)),"F",IF(AND(ISNUMBER($H95),$H95&gt;=CA$99,$H95&lt;EDATE(CA$99,1)),"D","")))</f>
        <v/>
      </c>
      <c r="CB129" s="71" t="str">
        <f aca="false">IF(OR(CB$99="",$A95=""),"",IF(AND(ISNUMBER($G95),$G95&gt;=CB$99,$G95&lt;EDATE(CB$99,1)),"F",IF(AND(ISNUMBER($H95),$H95&gt;=CB$99,$H95&lt;EDATE(CB$99,1)),"D","")))</f>
        <v/>
      </c>
      <c r="CC129" s="71" t="str">
        <f aca="false">IF(OR(CC$99="",$A95=""),"",IF(AND(ISNUMBER($G95),$G95&gt;=CC$99,$G95&lt;EDATE(CC$99,1)),"F",IF(AND(ISNUMBER($H95),$H95&gt;=CC$99,$H95&lt;EDATE(CC$99,1)),"D","")))</f>
        <v/>
      </c>
      <c r="CD129" s="71" t="str">
        <f aca="false">IF(OR(CD$99="",$A95=""),"",IF(AND(ISNUMBER($G95),$G95&gt;=CD$99,$G95&lt;EDATE(CD$99,1)),"F",IF(AND(ISNUMBER($H95),$H95&gt;=CD$99,$H95&lt;EDATE(CD$99,1)),"D","")))</f>
        <v/>
      </c>
      <c r="CE129" s="71" t="str">
        <f aca="false">IF(OR(CE$99="",$A95=""),"",IF(AND(ISNUMBER($G95),$G95&gt;=CE$99,$G95&lt;EDATE(CE$99,1)),"F",IF(AND(ISNUMBER($H95),$H95&gt;=CE$99,$H95&lt;EDATE(CE$99,1)),"D","")))</f>
        <v/>
      </c>
      <c r="CF129" s="71" t="str">
        <f aca="false">IF(OR(CF$99="",$A95=""),"",IF(AND(ISNUMBER($G95),$G95&gt;=CF$99,$G95&lt;EDATE(CF$99,1)),"F",IF(AND(ISNUMBER($H95),$H95&gt;=CF$99,$H95&lt;EDATE(CF$99,1)),"D","")))</f>
        <v/>
      </c>
      <c r="CG129" s="71" t="str">
        <f aca="false">IF(OR(CG$99="",$A95=""),"",IF(AND(ISNUMBER($G95),$G95&gt;=CG$99,$G95&lt;EDATE(CG$99,1)),"F",IF(AND(ISNUMBER($H95),$H95&gt;=CG$99,$H95&lt;EDATE(CG$99,1)),"D","")))</f>
        <v/>
      </c>
      <c r="CH129" s="71" t="str">
        <f aca="false">IF(OR(CH$99="",$A95=""),"",IF(AND(ISNUMBER($G95),$G95&gt;=CH$99,$G95&lt;EDATE(CH$99,1)),"F",IF(AND(ISNUMBER($H95),$H95&gt;=CH$99,$H95&lt;EDATE(CH$99,1)),"D","")))</f>
        <v/>
      </c>
      <c r="CI129" s="71" t="str">
        <f aca="false">IF(OR(CI$99="",$A95=""),"",IF(AND(ISNUMBER($G95),$G95&gt;=CI$99,$G95&lt;EDATE(CI$99,1)),"F",IF(AND(ISNUMBER($H95),$H95&gt;=CI$99,$H95&lt;EDATE(CI$99,1)),"D","")))</f>
        <v/>
      </c>
      <c r="CJ129" s="71" t="str">
        <f aca="false">IF(OR(CJ$99="",$A95=""),"",IF(AND(ISNUMBER($G95),$G95&gt;=CJ$99,$G95&lt;EDATE(CJ$99,1)),"F",IF(AND(ISNUMBER($H95),$H95&gt;=CJ$99,$H95&lt;EDATE(CJ$99,1)),"D","")))</f>
        <v/>
      </c>
      <c r="CK129" s="71" t="str">
        <f aca="false">IF(OR(CK$99="",$A95=""),"",IF(AND(ISNUMBER($G95),$G95&gt;=CK$99,$G95&lt;EDATE(CK$99,1)),"F",IF(AND(ISNUMBER($H95),$H95&gt;=CK$99,$H95&lt;EDATE(CK$99,1)),"D","")))</f>
        <v/>
      </c>
    </row>
  </sheetData>
  <dataValidations count="3">
    <dataValidation allowBlank="false" errorStyle="stop" operator="between" showDropDown="false" showErrorMessage="false" showInputMessage="false" sqref="B4" type="list">
      <formula1>"Combined,Separate"</formula1>
      <formula2>0</formula2>
    </dataValidation>
    <dataValidation allowBlank="true" errorStyle="stop" operator="between" showDropDown="false" showErrorMessage="false" showInputMessage="false" sqref="M8:M62" type="list">
      <formula1>Milestones!$B$5:$B$34</formula1>
      <formula2>0</formula2>
    </dataValidation>
    <dataValidation allowBlank="true" errorStyle="stop" operator="between" showDropDown="false" showErrorMessage="false" showInputMessage="false" sqref="D8:D62" type="list">
      <formula1>"CDRL,CDRL (recurring),CDRL (per event),Data access,Evidence,Effort only"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2026-10-23T16:50:15Z</dcterms:created>
  <dc:creator>openpyxl</dc:creator>
  <dc:description/>
  <dc:language>en-US</dc:language>
  <cp:lastModifiedBy/>
  <dcterms:modified xsi:type="dcterms:W3CDTF">2026-10-23T12:50:20Z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